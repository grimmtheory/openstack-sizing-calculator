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505" codeName="{8C4F1C90-05EB-6A55-5F09-09C24B55AC0B}"/>
  <workbookPr showInkAnnotation="0" codeName="ThisWorkbook" checkCompatibility="1" autoCompressPictures="0"/>
  <mc:AlternateContent xmlns:mc="http://schemas.openxmlformats.org/markup-compatibility/2006">
    <mc:Choice Requires="x15">
      <x15ac:absPath xmlns:x15ac="http://schemas.microsoft.com/office/spreadsheetml/2010/11/ac" url="/Users/jasgrimm/Documents/tech-content/"/>
    </mc:Choice>
  </mc:AlternateContent>
  <bookViews>
    <workbookView xWindow="0" yWindow="460" windowWidth="33600" windowHeight="19540" tabRatio="778"/>
  </bookViews>
  <sheets>
    <sheet name="All-Servers" sheetId="1" r:id="rId1"/>
    <sheet name="Hypervisors" sheetId="13" state="hidden" r:id="rId2"/>
    <sheet name="Summary" sheetId="9" r:id="rId3"/>
    <sheet name="Inputs" sheetId="5" state="hidden" r:id="rId4"/>
    <sheet name="CPULookup" sheetId="17" state="hidden" r:id="rId5"/>
    <sheet name="RAMLookup" sheetId="18" state="hidden" r:id="rId6"/>
    <sheet name="DiskLookup" sheetId="8" state="hidden" r:id="rId7"/>
    <sheet name="Drawing" sheetId="23" state="hidden" r:id="rId8"/>
  </sheets>
  <definedNames>
    <definedName name="cpulookup" localSheetId="5">RAMLookup!$A$1:$B$10</definedName>
    <definedName name="cpulookup">CPULookup!$A$1:$I$22</definedName>
    <definedName name="cputable" localSheetId="5">RAMLookup!$B$1:$B$10</definedName>
    <definedName name="cputable">CPULookup!$B$1:$I$22</definedName>
    <definedName name="disklookup">DiskLookup!$A$1:$I$26</definedName>
    <definedName name="memorylookup">RAMLookup!$A$1:$D$10</definedName>
    <definedName name="_xlnm.Print_Area" localSheetId="2">Summary!$B$3:$J$230</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P248" i="1" l="1"/>
  <c r="C5" i="9"/>
  <c r="F5" i="9"/>
  <c r="C6" i="9"/>
  <c r="F6" i="9"/>
  <c r="C7" i="9"/>
  <c r="F7" i="9"/>
  <c r="C8" i="9"/>
  <c r="F8" i="9"/>
  <c r="C9" i="9"/>
  <c r="F9" i="9"/>
  <c r="C10" i="9"/>
  <c r="F10" i="9"/>
  <c r="C11" i="9"/>
  <c r="F11" i="9"/>
  <c r="C12" i="9"/>
  <c r="F12" i="9"/>
  <c r="C13" i="9"/>
  <c r="F13" i="9"/>
  <c r="C14" i="9"/>
  <c r="F14" i="9"/>
  <c r="C15" i="9"/>
  <c r="F15" i="9"/>
  <c r="C16" i="9"/>
  <c r="F16" i="9"/>
  <c r="C17" i="9"/>
  <c r="F17" i="9"/>
  <c r="C18" i="9"/>
  <c r="F18" i="9"/>
  <c r="C19" i="9"/>
  <c r="F19" i="9"/>
  <c r="C20" i="9"/>
  <c r="F20" i="9"/>
  <c r="C21" i="9"/>
  <c r="F21" i="9"/>
  <c r="C22" i="9"/>
  <c r="F22" i="9"/>
  <c r="C23" i="9"/>
  <c r="F23" i="9"/>
  <c r="C24" i="9"/>
  <c r="F24" i="9"/>
  <c r="C25" i="9"/>
  <c r="F25" i="9"/>
  <c r="C26" i="9"/>
  <c r="F26" i="9"/>
  <c r="C27" i="9"/>
  <c r="F27" i="9"/>
  <c r="C28" i="9"/>
  <c r="F28" i="9"/>
  <c r="C29" i="9"/>
  <c r="F29" i="9"/>
  <c r="C30" i="9"/>
  <c r="F30" i="9"/>
  <c r="C31" i="9"/>
  <c r="F31" i="9"/>
  <c r="C32" i="9"/>
  <c r="F32" i="9"/>
  <c r="C33" i="9"/>
  <c r="F33" i="9"/>
  <c r="C34" i="9"/>
  <c r="F34" i="9"/>
  <c r="C35" i="9"/>
  <c r="F35" i="9"/>
  <c r="C36" i="9"/>
  <c r="F36" i="9"/>
  <c r="C37" i="9"/>
  <c r="F37" i="9"/>
  <c r="C38" i="9"/>
  <c r="F38" i="9"/>
  <c r="C39" i="9"/>
  <c r="F39" i="9"/>
  <c r="C40" i="9"/>
  <c r="F40" i="9"/>
  <c r="C41" i="9"/>
  <c r="F41" i="9"/>
  <c r="C42" i="9"/>
  <c r="F42" i="9"/>
  <c r="F43" i="9"/>
  <c r="E59" i="9"/>
  <c r="E62" i="9"/>
  <c r="P245" i="1"/>
  <c r="P215" i="1"/>
  <c r="H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P12" i="1"/>
  <c r="P72" i="1"/>
  <c r="P74" i="1"/>
  <c r="P76" i="1"/>
  <c r="P77" i="1"/>
  <c r="P113" i="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P13" i="1"/>
  <c r="P114" i="1"/>
  <c r="J2" i="5"/>
  <c r="J3" i="5"/>
  <c r="J4" i="5"/>
  <c r="J5" i="5"/>
  <c r="J6" i="5"/>
  <c r="J7" i="5"/>
  <c r="J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143" i="5"/>
  <c r="J144" i="5"/>
  <c r="J145" i="5"/>
  <c r="J146" i="5"/>
  <c r="J147" i="5"/>
  <c r="J148" i="5"/>
  <c r="J149" i="5"/>
  <c r="J150" i="5"/>
  <c r="J151" i="5"/>
  <c r="J152" i="5"/>
  <c r="J153" i="5"/>
  <c r="J154" i="5"/>
  <c r="J155" i="5"/>
  <c r="J156" i="5"/>
  <c r="J157" i="5"/>
  <c r="J158" i="5"/>
  <c r="J159" i="5"/>
  <c r="J160" i="5"/>
  <c r="J161" i="5"/>
  <c r="J162" i="5"/>
  <c r="J163" i="5"/>
  <c r="J164" i="5"/>
  <c r="J165" i="5"/>
  <c r="J166" i="5"/>
  <c r="J167" i="5"/>
  <c r="J168" i="5"/>
  <c r="J169" i="5"/>
  <c r="J170" i="5"/>
  <c r="J171" i="5"/>
  <c r="J172" i="5"/>
  <c r="J173" i="5"/>
  <c r="J174" i="5"/>
  <c r="J175" i="5"/>
  <c r="J176" i="5"/>
  <c r="J177" i="5"/>
  <c r="J178" i="5"/>
  <c r="J179" i="5"/>
  <c r="J180" i="5"/>
  <c r="J181" i="5"/>
  <c r="J182" i="5"/>
  <c r="J183" i="5"/>
  <c r="J184" i="5"/>
  <c r="J185" i="5"/>
  <c r="J186" i="5"/>
  <c r="J187" i="5"/>
  <c r="J188" i="5"/>
  <c r="J189" i="5"/>
  <c r="J190" i="5"/>
  <c r="J191" i="5"/>
  <c r="J192" i="5"/>
  <c r="J193" i="5"/>
  <c r="J194" i="5"/>
  <c r="J195" i="5"/>
  <c r="J196" i="5"/>
  <c r="J197" i="5"/>
  <c r="J198" i="5"/>
  <c r="J199" i="5"/>
  <c r="J200" i="5"/>
  <c r="J201" i="5"/>
  <c r="J202" i="5"/>
  <c r="J203" i="5"/>
  <c r="J204" i="5"/>
  <c r="J205" i="5"/>
  <c r="J206" i="5"/>
  <c r="J207" i="5"/>
  <c r="J208" i="5"/>
  <c r="J209" i="5"/>
  <c r="J210" i="5"/>
  <c r="J211" i="5"/>
  <c r="J212" i="5"/>
  <c r="J213" i="5"/>
  <c r="J214" i="5"/>
  <c r="J215" i="5"/>
  <c r="J216" i="5"/>
  <c r="J217" i="5"/>
  <c r="J218" i="5"/>
  <c r="J219" i="5"/>
  <c r="J220" i="5"/>
  <c r="J221" i="5"/>
  <c r="J222" i="5"/>
  <c r="J223" i="5"/>
  <c r="J224" i="5"/>
  <c r="J225" i="5"/>
  <c r="J226" i="5"/>
  <c r="J227" i="5"/>
  <c r="J228" i="5"/>
  <c r="J229" i="5"/>
  <c r="J230" i="5"/>
  <c r="J231" i="5"/>
  <c r="J232" i="5"/>
  <c r="J233" i="5"/>
  <c r="J234" i="5"/>
  <c r="J235" i="5"/>
  <c r="J236" i="5"/>
  <c r="J237"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4" i="5"/>
  <c r="J275" i="5"/>
  <c r="J276" i="5"/>
  <c r="J277" i="5"/>
  <c r="J278" i="5"/>
  <c r="J279" i="5"/>
  <c r="J280" i="5"/>
  <c r="J281" i="5"/>
  <c r="J282" i="5"/>
  <c r="J283" i="5"/>
  <c r="J284" i="5"/>
  <c r="J285" i="5"/>
  <c r="J286" i="5"/>
  <c r="J287" i="5"/>
  <c r="J288" i="5"/>
  <c r="J289" i="5"/>
  <c r="J290" i="5"/>
  <c r="J291" i="5"/>
  <c r="J292" i="5"/>
  <c r="J293" i="5"/>
  <c r="J294" i="5"/>
  <c r="J295" i="5"/>
  <c r="J296" i="5"/>
  <c r="J297" i="5"/>
  <c r="J298" i="5"/>
  <c r="J299" i="5"/>
  <c r="J300" i="5"/>
  <c r="J301" i="5"/>
  <c r="J302" i="5"/>
  <c r="J303" i="5"/>
  <c r="J304" i="5"/>
  <c r="J305" i="5"/>
  <c r="J306" i="5"/>
  <c r="J307" i="5"/>
  <c r="J308" i="5"/>
  <c r="J309" i="5"/>
  <c r="J310" i="5"/>
  <c r="J311" i="5"/>
  <c r="J312" i="5"/>
  <c r="J313" i="5"/>
  <c r="J314" i="5"/>
  <c r="J315" i="5"/>
  <c r="J316" i="5"/>
  <c r="J317" i="5"/>
  <c r="J318" i="5"/>
  <c r="J319" i="5"/>
  <c r="J320" i="5"/>
  <c r="J321" i="5"/>
  <c r="J322" i="5"/>
  <c r="J323" i="5"/>
  <c r="J324" i="5"/>
  <c r="J325" i="5"/>
  <c r="J326" i="5"/>
  <c r="J327" i="5"/>
  <c r="J328" i="5"/>
  <c r="J329" i="5"/>
  <c r="J330" i="5"/>
  <c r="J331" i="5"/>
  <c r="J332" i="5"/>
  <c r="J333" i="5"/>
  <c r="J334" i="5"/>
  <c r="J335" i="5"/>
  <c r="J336" i="5"/>
  <c r="J337" i="5"/>
  <c r="J338" i="5"/>
  <c r="J339" i="5"/>
  <c r="J340" i="5"/>
  <c r="J341" i="5"/>
  <c r="J342" i="5"/>
  <c r="J343" i="5"/>
  <c r="J344" i="5"/>
  <c r="J345" i="5"/>
  <c r="J346" i="5"/>
  <c r="J347" i="5"/>
  <c r="J348" i="5"/>
  <c r="J349" i="5"/>
  <c r="J350" i="5"/>
  <c r="J351" i="5"/>
  <c r="J352" i="5"/>
  <c r="J353" i="5"/>
  <c r="J354" i="5"/>
  <c r="J355" i="5"/>
  <c r="J356" i="5"/>
  <c r="J357" i="5"/>
  <c r="J358" i="5"/>
  <c r="J359" i="5"/>
  <c r="J360" i="5"/>
  <c r="J361" i="5"/>
  <c r="J362" i="5"/>
  <c r="J363" i="5"/>
  <c r="J364" i="5"/>
  <c r="J365" i="5"/>
  <c r="J366" i="5"/>
  <c r="J367" i="5"/>
  <c r="J368" i="5"/>
  <c r="J369" i="5"/>
  <c r="J370" i="5"/>
  <c r="J371" i="5"/>
  <c r="J372" i="5"/>
  <c r="J373" i="5"/>
  <c r="J374" i="5"/>
  <c r="J375" i="5"/>
  <c r="J376" i="5"/>
  <c r="J377" i="5"/>
  <c r="J378" i="5"/>
  <c r="J379" i="5"/>
  <c r="J380" i="5"/>
  <c r="J381" i="5"/>
  <c r="J382" i="5"/>
  <c r="J383" i="5"/>
  <c r="J384" i="5"/>
  <c r="J385" i="5"/>
  <c r="J386" i="5"/>
  <c r="J387" i="5"/>
  <c r="J388" i="5"/>
  <c r="J389" i="5"/>
  <c r="J390" i="5"/>
  <c r="J391" i="5"/>
  <c r="J392" i="5"/>
  <c r="J393" i="5"/>
  <c r="J394" i="5"/>
  <c r="J395" i="5"/>
  <c r="J396" i="5"/>
  <c r="J397" i="5"/>
  <c r="J398" i="5"/>
  <c r="J399" i="5"/>
  <c r="J400" i="5"/>
  <c r="J401" i="5"/>
  <c r="J402" i="5"/>
  <c r="J403" i="5"/>
  <c r="J404" i="5"/>
  <c r="J405" i="5"/>
  <c r="J406" i="5"/>
  <c r="J407" i="5"/>
  <c r="J408" i="5"/>
  <c r="J409" i="5"/>
  <c r="J410" i="5"/>
  <c r="J411" i="5"/>
  <c r="J412" i="5"/>
  <c r="J413" i="5"/>
  <c r="J414" i="5"/>
  <c r="J415" i="5"/>
  <c r="J416" i="5"/>
  <c r="J417" i="5"/>
  <c r="J418" i="5"/>
  <c r="J419" i="5"/>
  <c r="J420" i="5"/>
  <c r="J421" i="5"/>
  <c r="J422" i="5"/>
  <c r="J423" i="5"/>
  <c r="J424" i="5"/>
  <c r="J425" i="5"/>
  <c r="J426" i="5"/>
  <c r="J427" i="5"/>
  <c r="J428" i="5"/>
  <c r="J429" i="5"/>
  <c r="J430" i="5"/>
  <c r="J431" i="5"/>
  <c r="J432" i="5"/>
  <c r="J433" i="5"/>
  <c r="J434" i="5"/>
  <c r="J435" i="5"/>
  <c r="J436" i="5"/>
  <c r="J437" i="5"/>
  <c r="J438" i="5"/>
  <c r="J439" i="5"/>
  <c r="J440" i="5"/>
  <c r="J441" i="5"/>
  <c r="J442" i="5"/>
  <c r="J443" i="5"/>
  <c r="J444" i="5"/>
  <c r="J445" i="5"/>
  <c r="J446" i="5"/>
  <c r="J447" i="5"/>
  <c r="J448" i="5"/>
  <c r="J449" i="5"/>
  <c r="J450" i="5"/>
  <c r="J451" i="5"/>
  <c r="J452" i="5"/>
  <c r="J453" i="5"/>
  <c r="J454" i="5"/>
  <c r="J455" i="5"/>
  <c r="J456" i="5"/>
  <c r="J457" i="5"/>
  <c r="J458" i="5"/>
  <c r="J459" i="5"/>
  <c r="J460" i="5"/>
  <c r="J461" i="5"/>
  <c r="J462" i="5"/>
  <c r="J463" i="5"/>
  <c r="J464" i="5"/>
  <c r="J465" i="5"/>
  <c r="J466" i="5"/>
  <c r="J467" i="5"/>
  <c r="J468" i="5"/>
  <c r="J469" i="5"/>
  <c r="J470" i="5"/>
  <c r="J471" i="5"/>
  <c r="J472" i="5"/>
  <c r="J473" i="5"/>
  <c r="J474" i="5"/>
  <c r="J475" i="5"/>
  <c r="J476" i="5"/>
  <c r="J477" i="5"/>
  <c r="J478" i="5"/>
  <c r="J479" i="5"/>
  <c r="J480" i="5"/>
  <c r="J481" i="5"/>
  <c r="J482" i="5"/>
  <c r="J483" i="5"/>
  <c r="J484" i="5"/>
  <c r="J485" i="5"/>
  <c r="J486" i="5"/>
  <c r="J487" i="5"/>
  <c r="J488" i="5"/>
  <c r="J489" i="5"/>
  <c r="J490" i="5"/>
  <c r="J491" i="5"/>
  <c r="J492" i="5"/>
  <c r="J493" i="5"/>
  <c r="J494" i="5"/>
  <c r="J495" i="5"/>
  <c r="J496" i="5"/>
  <c r="J497" i="5"/>
  <c r="J498" i="5"/>
  <c r="J499" i="5"/>
  <c r="J500" i="5"/>
  <c r="J501" i="5"/>
  <c r="J502" i="5"/>
  <c r="J503" i="5"/>
  <c r="J504" i="5"/>
  <c r="J505" i="5"/>
  <c r="J506" i="5"/>
  <c r="J507" i="5"/>
  <c r="J508" i="5"/>
  <c r="J509" i="5"/>
  <c r="J510" i="5"/>
  <c r="J511" i="5"/>
  <c r="J512" i="5"/>
  <c r="J513" i="5"/>
  <c r="J514" i="5"/>
  <c r="J515" i="5"/>
  <c r="J516" i="5"/>
  <c r="J517" i="5"/>
  <c r="J518" i="5"/>
  <c r="J519" i="5"/>
  <c r="J520" i="5"/>
  <c r="J521" i="5"/>
  <c r="J522" i="5"/>
  <c r="J523" i="5"/>
  <c r="J524" i="5"/>
  <c r="J525" i="5"/>
  <c r="J526" i="5"/>
  <c r="J527" i="5"/>
  <c r="J528" i="5"/>
  <c r="J529" i="5"/>
  <c r="J530" i="5"/>
  <c r="J531" i="5"/>
  <c r="J532" i="5"/>
  <c r="J533" i="5"/>
  <c r="J534" i="5"/>
  <c r="J535" i="5"/>
  <c r="J536" i="5"/>
  <c r="J537" i="5"/>
  <c r="J538" i="5"/>
  <c r="J539" i="5"/>
  <c r="J540" i="5"/>
  <c r="J541" i="5"/>
  <c r="J542" i="5"/>
  <c r="J543" i="5"/>
  <c r="J544" i="5"/>
  <c r="J545" i="5"/>
  <c r="J546" i="5"/>
  <c r="J547" i="5"/>
  <c r="J548" i="5"/>
  <c r="J549" i="5"/>
  <c r="J550" i="5"/>
  <c r="J551" i="5"/>
  <c r="J552" i="5"/>
  <c r="J553" i="5"/>
  <c r="J554" i="5"/>
  <c r="J555" i="5"/>
  <c r="J556" i="5"/>
  <c r="J557" i="5"/>
  <c r="J558" i="5"/>
  <c r="J559" i="5"/>
  <c r="J560" i="5"/>
  <c r="J561" i="5"/>
  <c r="J562" i="5"/>
  <c r="J563" i="5"/>
  <c r="J564" i="5"/>
  <c r="J565" i="5"/>
  <c r="J566" i="5"/>
  <c r="J567" i="5"/>
  <c r="J568" i="5"/>
  <c r="J569" i="5"/>
  <c r="J570" i="5"/>
  <c r="J571" i="5"/>
  <c r="J572" i="5"/>
  <c r="J573" i="5"/>
  <c r="J574" i="5"/>
  <c r="J575" i="5"/>
  <c r="J576" i="5"/>
  <c r="J577" i="5"/>
  <c r="J578" i="5"/>
  <c r="J579" i="5"/>
  <c r="J580" i="5"/>
  <c r="J581" i="5"/>
  <c r="J582" i="5"/>
  <c r="J583" i="5"/>
  <c r="J584" i="5"/>
  <c r="J585" i="5"/>
  <c r="J586" i="5"/>
  <c r="J587" i="5"/>
  <c r="J588" i="5"/>
  <c r="J589" i="5"/>
  <c r="J590" i="5"/>
  <c r="J591" i="5"/>
  <c r="J592" i="5"/>
  <c r="J593" i="5"/>
  <c r="J594" i="5"/>
  <c r="J595" i="5"/>
  <c r="J596" i="5"/>
  <c r="J597" i="5"/>
  <c r="J598" i="5"/>
  <c r="J599" i="5"/>
  <c r="J600" i="5"/>
  <c r="J601" i="5"/>
  <c r="J602" i="5"/>
  <c r="J603" i="5"/>
  <c r="J604" i="5"/>
  <c r="J605" i="5"/>
  <c r="J606" i="5"/>
  <c r="J607" i="5"/>
  <c r="J608" i="5"/>
  <c r="J609" i="5"/>
  <c r="J610" i="5"/>
  <c r="J611" i="5"/>
  <c r="J612" i="5"/>
  <c r="J613" i="5"/>
  <c r="J614" i="5"/>
  <c r="J615" i="5"/>
  <c r="J616" i="5"/>
  <c r="J617" i="5"/>
  <c r="J618" i="5"/>
  <c r="J619" i="5"/>
  <c r="J620" i="5"/>
  <c r="J621" i="5"/>
  <c r="J622" i="5"/>
  <c r="J623" i="5"/>
  <c r="J624" i="5"/>
  <c r="J625" i="5"/>
  <c r="J626" i="5"/>
  <c r="J627" i="5"/>
  <c r="J628" i="5"/>
  <c r="J629" i="5"/>
  <c r="J630" i="5"/>
  <c r="J631" i="5"/>
  <c r="J632" i="5"/>
  <c r="J633" i="5"/>
  <c r="J634" i="5"/>
  <c r="J635" i="5"/>
  <c r="J636" i="5"/>
  <c r="J637" i="5"/>
  <c r="J638" i="5"/>
  <c r="J639" i="5"/>
  <c r="J640" i="5"/>
  <c r="J641" i="5"/>
  <c r="J642" i="5"/>
  <c r="J643" i="5"/>
  <c r="J644" i="5"/>
  <c r="J645" i="5"/>
  <c r="J646" i="5"/>
  <c r="J647" i="5"/>
  <c r="J648" i="5"/>
  <c r="J649" i="5"/>
  <c r="J650" i="5"/>
  <c r="J651" i="5"/>
  <c r="J652" i="5"/>
  <c r="J653" i="5"/>
  <c r="J654" i="5"/>
  <c r="J655" i="5"/>
  <c r="J656" i="5"/>
  <c r="J657" i="5"/>
  <c r="J658" i="5"/>
  <c r="J659" i="5"/>
  <c r="J660" i="5"/>
  <c r="J661" i="5"/>
  <c r="J662" i="5"/>
  <c r="J663" i="5"/>
  <c r="J664" i="5"/>
  <c r="J665" i="5"/>
  <c r="J666" i="5"/>
  <c r="J667" i="5"/>
  <c r="J668" i="5"/>
  <c r="J669" i="5"/>
  <c r="J670" i="5"/>
  <c r="J671" i="5"/>
  <c r="J672" i="5"/>
  <c r="J673" i="5"/>
  <c r="J674" i="5"/>
  <c r="J675" i="5"/>
  <c r="J676" i="5"/>
  <c r="J677" i="5"/>
  <c r="J678" i="5"/>
  <c r="J679" i="5"/>
  <c r="J680" i="5"/>
  <c r="J681" i="5"/>
  <c r="J682" i="5"/>
  <c r="J683" i="5"/>
  <c r="J684" i="5"/>
  <c r="J685" i="5"/>
  <c r="J686" i="5"/>
  <c r="J687" i="5"/>
  <c r="J688" i="5"/>
  <c r="J689" i="5"/>
  <c r="J690" i="5"/>
  <c r="J691" i="5"/>
  <c r="J692" i="5"/>
  <c r="J693" i="5"/>
  <c r="J694" i="5"/>
  <c r="J695" i="5"/>
  <c r="J696" i="5"/>
  <c r="J697" i="5"/>
  <c r="J698" i="5"/>
  <c r="J699" i="5"/>
  <c r="J700" i="5"/>
  <c r="J701" i="5"/>
  <c r="J702" i="5"/>
  <c r="J703" i="5"/>
  <c r="J704" i="5"/>
  <c r="J705" i="5"/>
  <c r="J706" i="5"/>
  <c r="J707" i="5"/>
  <c r="J708" i="5"/>
  <c r="J709" i="5"/>
  <c r="J710" i="5"/>
  <c r="J711" i="5"/>
  <c r="J712" i="5"/>
  <c r="J713" i="5"/>
  <c r="J714" i="5"/>
  <c r="J715" i="5"/>
  <c r="J716" i="5"/>
  <c r="J717" i="5"/>
  <c r="J718" i="5"/>
  <c r="J719" i="5"/>
  <c r="J720" i="5"/>
  <c r="J721" i="5"/>
  <c r="J722" i="5"/>
  <c r="J723" i="5"/>
  <c r="J724" i="5"/>
  <c r="J725" i="5"/>
  <c r="J726" i="5"/>
  <c r="J727" i="5"/>
  <c r="J728" i="5"/>
  <c r="J729" i="5"/>
  <c r="J730" i="5"/>
  <c r="J731" i="5"/>
  <c r="J732" i="5"/>
  <c r="J733" i="5"/>
  <c r="J734" i="5"/>
  <c r="J735" i="5"/>
  <c r="J736" i="5"/>
  <c r="J737" i="5"/>
  <c r="J738" i="5"/>
  <c r="J739" i="5"/>
  <c r="J740" i="5"/>
  <c r="J741" i="5"/>
  <c r="J742" i="5"/>
  <c r="J743" i="5"/>
  <c r="J744" i="5"/>
  <c r="J745" i="5"/>
  <c r="J746" i="5"/>
  <c r="J747" i="5"/>
  <c r="J748" i="5"/>
  <c r="J749" i="5"/>
  <c r="J750" i="5"/>
  <c r="J751" i="5"/>
  <c r="J752" i="5"/>
  <c r="J753" i="5"/>
  <c r="J754" i="5"/>
  <c r="J755" i="5"/>
  <c r="J756" i="5"/>
  <c r="J757" i="5"/>
  <c r="J758" i="5"/>
  <c r="J759" i="5"/>
  <c r="J760" i="5"/>
  <c r="J761" i="5"/>
  <c r="J762" i="5"/>
  <c r="J763" i="5"/>
  <c r="J764" i="5"/>
  <c r="J765" i="5"/>
  <c r="J766" i="5"/>
  <c r="J767" i="5"/>
  <c r="J768" i="5"/>
  <c r="J769" i="5"/>
  <c r="J770" i="5"/>
  <c r="J771" i="5"/>
  <c r="J772" i="5"/>
  <c r="J773" i="5"/>
  <c r="J774" i="5"/>
  <c r="J775" i="5"/>
  <c r="J776" i="5"/>
  <c r="J777" i="5"/>
  <c r="J778" i="5"/>
  <c r="J779" i="5"/>
  <c r="J780" i="5"/>
  <c r="J781" i="5"/>
  <c r="J782" i="5"/>
  <c r="J783" i="5"/>
  <c r="J784" i="5"/>
  <c r="J785" i="5"/>
  <c r="J786" i="5"/>
  <c r="J787" i="5"/>
  <c r="J788" i="5"/>
  <c r="J789" i="5"/>
  <c r="J790" i="5"/>
  <c r="J791" i="5"/>
  <c r="J792" i="5"/>
  <c r="J793" i="5"/>
  <c r="J794" i="5"/>
  <c r="J795" i="5"/>
  <c r="J796" i="5"/>
  <c r="J797" i="5"/>
  <c r="J798" i="5"/>
  <c r="J799" i="5"/>
  <c r="J800" i="5"/>
  <c r="J801" i="5"/>
  <c r="J802" i="5"/>
  <c r="J803" i="5"/>
  <c r="J804" i="5"/>
  <c r="J805" i="5"/>
  <c r="J806" i="5"/>
  <c r="J807" i="5"/>
  <c r="J808" i="5"/>
  <c r="J809" i="5"/>
  <c r="J810" i="5"/>
  <c r="J811" i="5"/>
  <c r="J812" i="5"/>
  <c r="J813" i="5"/>
  <c r="J814" i="5"/>
  <c r="J815" i="5"/>
  <c r="J816" i="5"/>
  <c r="J817" i="5"/>
  <c r="J818" i="5"/>
  <c r="J819" i="5"/>
  <c r="J820" i="5"/>
  <c r="J821" i="5"/>
  <c r="J822" i="5"/>
  <c r="J823" i="5"/>
  <c r="J824" i="5"/>
  <c r="J825" i="5"/>
  <c r="J826" i="5"/>
  <c r="J827" i="5"/>
  <c r="J828" i="5"/>
  <c r="J829" i="5"/>
  <c r="J830" i="5"/>
  <c r="J831" i="5"/>
  <c r="J832" i="5"/>
  <c r="J833" i="5"/>
  <c r="J834" i="5"/>
  <c r="J835" i="5"/>
  <c r="J836" i="5"/>
  <c r="J837" i="5"/>
  <c r="J838" i="5"/>
  <c r="J839" i="5"/>
  <c r="J840" i="5"/>
  <c r="J841" i="5"/>
  <c r="J842" i="5"/>
  <c r="J843" i="5"/>
  <c r="J844" i="5"/>
  <c r="J845" i="5"/>
  <c r="J846" i="5"/>
  <c r="J847" i="5"/>
  <c r="J848" i="5"/>
  <c r="J849" i="5"/>
  <c r="J850" i="5"/>
  <c r="J851" i="5"/>
  <c r="J852" i="5"/>
  <c r="J853" i="5"/>
  <c r="J854" i="5"/>
  <c r="J855" i="5"/>
  <c r="J856" i="5"/>
  <c r="J857" i="5"/>
  <c r="J858" i="5"/>
  <c r="J859" i="5"/>
  <c r="J860" i="5"/>
  <c r="J861" i="5"/>
  <c r="J862" i="5"/>
  <c r="J863" i="5"/>
  <c r="J864" i="5"/>
  <c r="J865" i="5"/>
  <c r="J866" i="5"/>
  <c r="J867" i="5"/>
  <c r="J868" i="5"/>
  <c r="J869" i="5"/>
  <c r="J870" i="5"/>
  <c r="J871" i="5"/>
  <c r="J872" i="5"/>
  <c r="J873" i="5"/>
  <c r="J874" i="5"/>
  <c r="J875" i="5"/>
  <c r="J876" i="5"/>
  <c r="J877" i="5"/>
  <c r="J878" i="5"/>
  <c r="J879" i="5"/>
  <c r="J880" i="5"/>
  <c r="J881" i="5"/>
  <c r="J882" i="5"/>
  <c r="J883" i="5"/>
  <c r="J884" i="5"/>
  <c r="J885" i="5"/>
  <c r="J886" i="5"/>
  <c r="J887" i="5"/>
  <c r="J888" i="5"/>
  <c r="J889" i="5"/>
  <c r="J890" i="5"/>
  <c r="J891" i="5"/>
  <c r="J892" i="5"/>
  <c r="J893" i="5"/>
  <c r="J894" i="5"/>
  <c r="J895" i="5"/>
  <c r="J896" i="5"/>
  <c r="J897" i="5"/>
  <c r="J898" i="5"/>
  <c r="J899" i="5"/>
  <c r="J900" i="5"/>
  <c r="J901" i="5"/>
  <c r="J902" i="5"/>
  <c r="J903" i="5"/>
  <c r="J904" i="5"/>
  <c r="J905" i="5"/>
  <c r="J906" i="5"/>
  <c r="J907" i="5"/>
  <c r="J908" i="5"/>
  <c r="J909" i="5"/>
  <c r="J910" i="5"/>
  <c r="J911" i="5"/>
  <c r="J912" i="5"/>
  <c r="J913" i="5"/>
  <c r="J914" i="5"/>
  <c r="J915" i="5"/>
  <c r="J916" i="5"/>
  <c r="J917" i="5"/>
  <c r="J918" i="5"/>
  <c r="J919" i="5"/>
  <c r="J920" i="5"/>
  <c r="J921" i="5"/>
  <c r="J922" i="5"/>
  <c r="J923" i="5"/>
  <c r="J924" i="5"/>
  <c r="J925" i="5"/>
  <c r="J926" i="5"/>
  <c r="J927" i="5"/>
  <c r="J928" i="5"/>
  <c r="J929" i="5"/>
  <c r="J930" i="5"/>
  <c r="J931" i="5"/>
  <c r="J932" i="5"/>
  <c r="J933" i="5"/>
  <c r="J934" i="5"/>
  <c r="J935" i="5"/>
  <c r="J936" i="5"/>
  <c r="J937" i="5"/>
  <c r="J938" i="5"/>
  <c r="J939" i="5"/>
  <c r="J940" i="5"/>
  <c r="J941" i="5"/>
  <c r="J942" i="5"/>
  <c r="J943" i="5"/>
  <c r="J944" i="5"/>
  <c r="J945" i="5"/>
  <c r="J946" i="5"/>
  <c r="J947" i="5"/>
  <c r="J948" i="5"/>
  <c r="J949" i="5"/>
  <c r="J950" i="5"/>
  <c r="J951" i="5"/>
  <c r="J952" i="5"/>
  <c r="J953" i="5"/>
  <c r="J954" i="5"/>
  <c r="J955" i="5"/>
  <c r="J956" i="5"/>
  <c r="J957" i="5"/>
  <c r="J958" i="5"/>
  <c r="J959" i="5"/>
  <c r="J960" i="5"/>
  <c r="J961" i="5"/>
  <c r="J962" i="5"/>
  <c r="J963" i="5"/>
  <c r="J964" i="5"/>
  <c r="J965" i="5"/>
  <c r="J966" i="5"/>
  <c r="J967" i="5"/>
  <c r="J968" i="5"/>
  <c r="J969" i="5"/>
  <c r="J970" i="5"/>
  <c r="J971" i="5"/>
  <c r="J972" i="5"/>
  <c r="J973" i="5"/>
  <c r="J974" i="5"/>
  <c r="J975" i="5"/>
  <c r="J976" i="5"/>
  <c r="J977" i="5"/>
  <c r="J978" i="5"/>
  <c r="J979" i="5"/>
  <c r="J980" i="5"/>
  <c r="J981" i="5"/>
  <c r="J982" i="5"/>
  <c r="J983" i="5"/>
  <c r="J984" i="5"/>
  <c r="J985" i="5"/>
  <c r="J986" i="5"/>
  <c r="J987" i="5"/>
  <c r="J988" i="5"/>
  <c r="J989" i="5"/>
  <c r="J990" i="5"/>
  <c r="J991" i="5"/>
  <c r="J992" i="5"/>
  <c r="J993" i="5"/>
  <c r="J994" i="5"/>
  <c r="J995" i="5"/>
  <c r="J996" i="5"/>
  <c r="J997" i="5"/>
  <c r="J998" i="5"/>
  <c r="J999" i="5"/>
  <c r="J1000" i="5"/>
  <c r="J1001" i="5"/>
  <c r="J1002" i="5"/>
  <c r="J1003" i="5"/>
  <c r="J1004" i="5"/>
  <c r="J1005" i="5"/>
  <c r="J1006" i="5"/>
  <c r="J1007" i="5"/>
  <c r="J1008" i="5"/>
  <c r="J1009" i="5"/>
  <c r="J1010" i="5"/>
  <c r="J1011" i="5"/>
  <c r="J1012" i="5"/>
  <c r="J1013" i="5"/>
  <c r="J1014" i="5"/>
  <c r="J1015" i="5"/>
  <c r="J1016" i="5"/>
  <c r="J1017" i="5"/>
  <c r="J1018" i="5"/>
  <c r="J1019" i="5"/>
  <c r="J1020" i="5"/>
  <c r="J1021" i="5"/>
  <c r="J1022" i="5"/>
  <c r="J1023" i="5"/>
  <c r="J1024" i="5"/>
  <c r="J1025" i="5"/>
  <c r="J1026" i="5"/>
  <c r="J1027" i="5"/>
  <c r="J1028" i="5"/>
  <c r="J1029" i="5"/>
  <c r="J1030" i="5"/>
  <c r="J1031" i="5"/>
  <c r="J1032" i="5"/>
  <c r="J1033" i="5"/>
  <c r="J1034" i="5"/>
  <c r="J1035" i="5"/>
  <c r="J1036" i="5"/>
  <c r="J1037" i="5"/>
  <c r="J1038" i="5"/>
  <c r="J1039" i="5"/>
  <c r="J1040" i="5"/>
  <c r="J1041" i="5"/>
  <c r="J1042" i="5"/>
  <c r="J1043" i="5"/>
  <c r="J1044" i="5"/>
  <c r="J1045" i="5"/>
  <c r="J1046" i="5"/>
  <c r="J1047" i="5"/>
  <c r="J1048" i="5"/>
  <c r="J1049" i="5"/>
  <c r="J1050" i="5"/>
  <c r="J1051" i="5"/>
  <c r="J1052" i="5"/>
  <c r="J1053" i="5"/>
  <c r="J1054" i="5"/>
  <c r="J1055" i="5"/>
  <c r="J1056" i="5"/>
  <c r="J1057" i="5"/>
  <c r="J1058" i="5"/>
  <c r="J1059" i="5"/>
  <c r="J1060" i="5"/>
  <c r="J1061" i="5"/>
  <c r="J1062" i="5"/>
  <c r="J1063" i="5"/>
  <c r="J1064" i="5"/>
  <c r="J1065" i="5"/>
  <c r="J1066" i="5"/>
  <c r="J1067" i="5"/>
  <c r="J1068" i="5"/>
  <c r="J1069" i="5"/>
  <c r="J1070" i="5"/>
  <c r="J1071" i="5"/>
  <c r="J1072" i="5"/>
  <c r="J1073" i="5"/>
  <c r="J1074" i="5"/>
  <c r="J1075" i="5"/>
  <c r="J1076" i="5"/>
  <c r="J1077" i="5"/>
  <c r="J1078" i="5"/>
  <c r="J1079" i="5"/>
  <c r="J1080" i="5"/>
  <c r="J1081" i="5"/>
  <c r="J1082" i="5"/>
  <c r="J1083" i="5"/>
  <c r="J1084" i="5"/>
  <c r="J1085" i="5"/>
  <c r="J1086" i="5"/>
  <c r="J1087" i="5"/>
  <c r="J1088" i="5"/>
  <c r="J1089" i="5"/>
  <c r="J1090" i="5"/>
  <c r="J1091" i="5"/>
  <c r="J1092" i="5"/>
  <c r="J1093" i="5"/>
  <c r="J1094" i="5"/>
  <c r="J1095" i="5"/>
  <c r="J1096" i="5"/>
  <c r="J1097" i="5"/>
  <c r="J1098" i="5"/>
  <c r="J1099" i="5"/>
  <c r="J1100" i="5"/>
  <c r="J1101" i="5"/>
  <c r="J1102" i="5"/>
  <c r="J1103" i="5"/>
  <c r="J1104" i="5"/>
  <c r="J1105" i="5"/>
  <c r="J1106" i="5"/>
  <c r="J1107" i="5"/>
  <c r="J1108" i="5"/>
  <c r="J1109" i="5"/>
  <c r="J1110" i="5"/>
  <c r="J1111" i="5"/>
  <c r="J1112" i="5"/>
  <c r="J1113" i="5"/>
  <c r="J1114" i="5"/>
  <c r="J1115" i="5"/>
  <c r="J1116" i="5"/>
  <c r="J1117" i="5"/>
  <c r="J1118" i="5"/>
  <c r="J1119" i="5"/>
  <c r="J1120" i="5"/>
  <c r="J1121" i="5"/>
  <c r="J1122" i="5"/>
  <c r="J1123" i="5"/>
  <c r="J1124" i="5"/>
  <c r="J1125" i="5"/>
  <c r="J1126" i="5"/>
  <c r="J1127" i="5"/>
  <c r="J1128" i="5"/>
  <c r="J1129" i="5"/>
  <c r="J1130" i="5"/>
  <c r="J1131" i="5"/>
  <c r="J1132" i="5"/>
  <c r="J1133" i="5"/>
  <c r="J1134" i="5"/>
  <c r="J1135" i="5"/>
  <c r="J1136" i="5"/>
  <c r="J1137" i="5"/>
  <c r="J1138" i="5"/>
  <c r="J1139" i="5"/>
  <c r="J1140" i="5"/>
  <c r="J1141" i="5"/>
  <c r="J1142" i="5"/>
  <c r="J1143" i="5"/>
  <c r="J1144" i="5"/>
  <c r="J1145" i="5"/>
  <c r="J1146" i="5"/>
  <c r="J1147" i="5"/>
  <c r="J1148" i="5"/>
  <c r="J1149" i="5"/>
  <c r="J1150" i="5"/>
  <c r="J1151" i="5"/>
  <c r="J1152" i="5"/>
  <c r="J1153" i="5"/>
  <c r="J1154" i="5"/>
  <c r="J1155" i="5"/>
  <c r="J1156" i="5"/>
  <c r="J1157" i="5"/>
  <c r="J1158" i="5"/>
  <c r="J1159" i="5"/>
  <c r="J1160" i="5"/>
  <c r="J1161" i="5"/>
  <c r="J1162" i="5"/>
  <c r="J1163" i="5"/>
  <c r="J1164" i="5"/>
  <c r="J1165" i="5"/>
  <c r="J1166" i="5"/>
  <c r="J1167" i="5"/>
  <c r="J1168" i="5"/>
  <c r="J1169" i="5"/>
  <c r="J1170" i="5"/>
  <c r="J1171" i="5"/>
  <c r="J1172" i="5"/>
  <c r="J1173" i="5"/>
  <c r="J1174" i="5"/>
  <c r="J1175" i="5"/>
  <c r="J1176" i="5"/>
  <c r="J1177" i="5"/>
  <c r="J1178" i="5"/>
  <c r="J1179" i="5"/>
  <c r="J1180" i="5"/>
  <c r="J1181" i="5"/>
  <c r="J1182" i="5"/>
  <c r="J1183" i="5"/>
  <c r="J1184" i="5"/>
  <c r="J1185" i="5"/>
  <c r="J1186" i="5"/>
  <c r="J1187" i="5"/>
  <c r="J1188" i="5"/>
  <c r="J1189" i="5"/>
  <c r="J1190" i="5"/>
  <c r="J1191" i="5"/>
  <c r="J1192" i="5"/>
  <c r="J1193" i="5"/>
  <c r="J1194" i="5"/>
  <c r="J1195" i="5"/>
  <c r="J1196" i="5"/>
  <c r="J1197" i="5"/>
  <c r="J1198" i="5"/>
  <c r="J1199" i="5"/>
  <c r="J1200" i="5"/>
  <c r="J1201" i="5"/>
  <c r="J1202" i="5"/>
  <c r="J1203" i="5"/>
  <c r="J1204" i="5"/>
  <c r="J1205" i="5"/>
  <c r="J1206" i="5"/>
  <c r="J1207" i="5"/>
  <c r="J1208" i="5"/>
  <c r="J1209" i="5"/>
  <c r="J1210" i="5"/>
  <c r="J1211" i="5"/>
  <c r="J1212" i="5"/>
  <c r="J1213" i="5"/>
  <c r="J1214" i="5"/>
  <c r="J1215" i="5"/>
  <c r="J1216" i="5"/>
  <c r="J1217" i="5"/>
  <c r="J1218" i="5"/>
  <c r="J1219" i="5"/>
  <c r="J1220" i="5"/>
  <c r="J1221" i="5"/>
  <c r="J1222" i="5"/>
  <c r="J1223" i="5"/>
  <c r="J1224" i="5"/>
  <c r="J1225" i="5"/>
  <c r="J1226" i="5"/>
  <c r="J1227" i="5"/>
  <c r="J1228" i="5"/>
  <c r="J1229" i="5"/>
  <c r="J1230" i="5"/>
  <c r="J1231" i="5"/>
  <c r="J1232" i="5"/>
  <c r="J1233" i="5"/>
  <c r="J1234" i="5"/>
  <c r="J1235" i="5"/>
  <c r="J1236" i="5"/>
  <c r="J1237" i="5"/>
  <c r="J1238" i="5"/>
  <c r="J1239" i="5"/>
  <c r="J1240" i="5"/>
  <c r="J1241" i="5"/>
  <c r="J1242" i="5"/>
  <c r="J1243" i="5"/>
  <c r="J1244" i="5"/>
  <c r="J1245" i="5"/>
  <c r="J1246" i="5"/>
  <c r="J1247" i="5"/>
  <c r="J1248" i="5"/>
  <c r="J1249" i="5"/>
  <c r="J1250" i="5"/>
  <c r="J1251" i="5"/>
  <c r="J1252" i="5"/>
  <c r="J1253" i="5"/>
  <c r="J1254" i="5"/>
  <c r="J1255" i="5"/>
  <c r="J1256" i="5"/>
  <c r="J1257" i="5"/>
  <c r="J1258" i="5"/>
  <c r="J1259" i="5"/>
  <c r="J1260" i="5"/>
  <c r="J1261" i="5"/>
  <c r="J1262" i="5"/>
  <c r="J1263" i="5"/>
  <c r="J1264" i="5"/>
  <c r="J1265" i="5"/>
  <c r="J1266" i="5"/>
  <c r="J1267" i="5"/>
  <c r="J1268" i="5"/>
  <c r="J1269" i="5"/>
  <c r="J1270" i="5"/>
  <c r="J1271" i="5"/>
  <c r="J1272" i="5"/>
  <c r="J1273" i="5"/>
  <c r="J1274" i="5"/>
  <c r="J1275" i="5"/>
  <c r="J1276" i="5"/>
  <c r="J1277" i="5"/>
  <c r="J1278" i="5"/>
  <c r="J1279" i="5"/>
  <c r="J1280" i="5"/>
  <c r="J1281" i="5"/>
  <c r="J1282" i="5"/>
  <c r="J1283" i="5"/>
  <c r="J1284" i="5"/>
  <c r="J1285" i="5"/>
  <c r="J1286" i="5"/>
  <c r="J1287" i="5"/>
  <c r="J1288" i="5"/>
  <c r="J1289" i="5"/>
  <c r="J1290" i="5"/>
  <c r="J1291" i="5"/>
  <c r="J1292" i="5"/>
  <c r="J1293" i="5"/>
  <c r="J1294" i="5"/>
  <c r="J1295" i="5"/>
  <c r="J1296" i="5"/>
  <c r="J1297" i="5"/>
  <c r="J1298" i="5"/>
  <c r="J1299" i="5"/>
  <c r="J1300" i="5"/>
  <c r="J1301" i="5"/>
  <c r="J1302" i="5"/>
  <c r="J1303" i="5"/>
  <c r="J1304" i="5"/>
  <c r="J1305" i="5"/>
  <c r="J1306" i="5"/>
  <c r="J1307" i="5"/>
  <c r="J1308" i="5"/>
  <c r="J1309" i="5"/>
  <c r="J1310" i="5"/>
  <c r="J1311" i="5"/>
  <c r="J1312" i="5"/>
  <c r="J1313" i="5"/>
  <c r="J1314" i="5"/>
  <c r="J1315" i="5"/>
  <c r="J1316" i="5"/>
  <c r="J1317" i="5"/>
  <c r="J1318" i="5"/>
  <c r="J1319" i="5"/>
  <c r="J1320" i="5"/>
  <c r="J1321" i="5"/>
  <c r="J1322" i="5"/>
  <c r="J1323" i="5"/>
  <c r="J1324" i="5"/>
  <c r="J1325" i="5"/>
  <c r="J1326" i="5"/>
  <c r="J1327" i="5"/>
  <c r="J1328" i="5"/>
  <c r="J1329" i="5"/>
  <c r="J1330" i="5"/>
  <c r="J1331" i="5"/>
  <c r="J1332" i="5"/>
  <c r="J1333" i="5"/>
  <c r="J1334" i="5"/>
  <c r="J1335" i="5"/>
  <c r="J1336" i="5"/>
  <c r="J1337" i="5"/>
  <c r="J1338" i="5"/>
  <c r="J1339" i="5"/>
  <c r="J1340" i="5"/>
  <c r="J1341" i="5"/>
  <c r="J1342" i="5"/>
  <c r="J1343" i="5"/>
  <c r="J1344" i="5"/>
  <c r="J1345" i="5"/>
  <c r="J1346" i="5"/>
  <c r="J1347" i="5"/>
  <c r="J1348" i="5"/>
  <c r="J1349" i="5"/>
  <c r="J1350" i="5"/>
  <c r="J1351" i="5"/>
  <c r="J1352" i="5"/>
  <c r="J1353" i="5"/>
  <c r="J1354" i="5"/>
  <c r="J1355" i="5"/>
  <c r="J1356" i="5"/>
  <c r="J1357" i="5"/>
  <c r="J1358" i="5"/>
  <c r="J1359" i="5"/>
  <c r="J1360" i="5"/>
  <c r="J1361" i="5"/>
  <c r="J1362" i="5"/>
  <c r="J1363" i="5"/>
  <c r="J1364" i="5"/>
  <c r="J1365" i="5"/>
  <c r="J1366" i="5"/>
  <c r="J1367" i="5"/>
  <c r="J1368" i="5"/>
  <c r="J1369" i="5"/>
  <c r="J1370" i="5"/>
  <c r="J1371" i="5"/>
  <c r="J1372" i="5"/>
  <c r="J1373" i="5"/>
  <c r="J1374" i="5"/>
  <c r="J1375" i="5"/>
  <c r="J1376" i="5"/>
  <c r="J1377" i="5"/>
  <c r="J1378" i="5"/>
  <c r="J1379" i="5"/>
  <c r="J1380" i="5"/>
  <c r="J1381" i="5"/>
  <c r="J1382" i="5"/>
  <c r="J1383" i="5"/>
  <c r="J1384" i="5"/>
  <c r="J1385" i="5"/>
  <c r="J1386" i="5"/>
  <c r="J1387" i="5"/>
  <c r="J1388" i="5"/>
  <c r="J1389" i="5"/>
  <c r="J1390" i="5"/>
  <c r="J1391" i="5"/>
  <c r="J1392" i="5"/>
  <c r="J1393" i="5"/>
  <c r="J1394" i="5"/>
  <c r="J1395" i="5"/>
  <c r="J1396" i="5"/>
  <c r="J1397" i="5"/>
  <c r="J1398" i="5"/>
  <c r="J1399" i="5"/>
  <c r="J1400" i="5"/>
  <c r="J1401" i="5"/>
  <c r="J1402" i="5"/>
  <c r="J1403" i="5"/>
  <c r="J1404" i="5"/>
  <c r="J1405" i="5"/>
  <c r="J1406" i="5"/>
  <c r="J1407" i="5"/>
  <c r="J1408" i="5"/>
  <c r="J1409" i="5"/>
  <c r="J1410" i="5"/>
  <c r="J1411" i="5"/>
  <c r="J1412" i="5"/>
  <c r="J1413" i="5"/>
  <c r="J1414" i="5"/>
  <c r="J1415" i="5"/>
  <c r="J1416" i="5"/>
  <c r="J1417" i="5"/>
  <c r="J1418" i="5"/>
  <c r="J1419" i="5"/>
  <c r="J1420" i="5"/>
  <c r="J1421" i="5"/>
  <c r="J1422" i="5"/>
  <c r="J1423" i="5"/>
  <c r="J1424" i="5"/>
  <c r="J1425" i="5"/>
  <c r="J1426" i="5"/>
  <c r="J1427" i="5"/>
  <c r="J1428" i="5"/>
  <c r="J1429" i="5"/>
  <c r="J1430" i="5"/>
  <c r="J1431" i="5"/>
  <c r="J1432" i="5"/>
  <c r="J1433" i="5"/>
  <c r="J1434" i="5"/>
  <c r="J1435" i="5"/>
  <c r="J1436" i="5"/>
  <c r="J1437" i="5"/>
  <c r="J1438" i="5"/>
  <c r="J1439" i="5"/>
  <c r="J1440" i="5"/>
  <c r="J1441" i="5"/>
  <c r="J1442" i="5"/>
  <c r="J1443" i="5"/>
  <c r="J1444" i="5"/>
  <c r="J1445" i="5"/>
  <c r="J1446" i="5"/>
  <c r="J1447" i="5"/>
  <c r="J1448" i="5"/>
  <c r="J1449" i="5"/>
  <c r="J1450" i="5"/>
  <c r="J1451" i="5"/>
  <c r="J1452" i="5"/>
  <c r="J1453" i="5"/>
  <c r="J1454" i="5"/>
  <c r="J1455" i="5"/>
  <c r="J1456" i="5"/>
  <c r="J1457" i="5"/>
  <c r="J1458" i="5"/>
  <c r="J1459" i="5"/>
  <c r="J1460" i="5"/>
  <c r="J1461" i="5"/>
  <c r="J1462" i="5"/>
  <c r="J1463" i="5"/>
  <c r="J1464" i="5"/>
  <c r="J1465" i="5"/>
  <c r="J1466" i="5"/>
  <c r="J1467" i="5"/>
  <c r="J1468" i="5"/>
  <c r="J1469" i="5"/>
  <c r="J1470" i="5"/>
  <c r="J1471" i="5"/>
  <c r="J1472" i="5"/>
  <c r="J1473" i="5"/>
  <c r="J1474" i="5"/>
  <c r="J1475" i="5"/>
  <c r="J1476" i="5"/>
  <c r="J1477" i="5"/>
  <c r="J1478" i="5"/>
  <c r="J1479" i="5"/>
  <c r="J1480" i="5"/>
  <c r="J1481" i="5"/>
  <c r="J1482" i="5"/>
  <c r="J1483" i="5"/>
  <c r="J1484" i="5"/>
  <c r="J1485" i="5"/>
  <c r="J1486" i="5"/>
  <c r="J1487" i="5"/>
  <c r="J1488" i="5"/>
  <c r="J1489" i="5"/>
  <c r="J1490" i="5"/>
  <c r="J1491" i="5"/>
  <c r="J1492" i="5"/>
  <c r="J1493" i="5"/>
  <c r="J1494" i="5"/>
  <c r="J1495" i="5"/>
  <c r="J1496" i="5"/>
  <c r="J1497" i="5"/>
  <c r="J1498" i="5"/>
  <c r="J1499" i="5"/>
  <c r="J1500" i="5"/>
  <c r="J1501" i="5"/>
  <c r="J1502" i="5"/>
  <c r="P14" i="1"/>
  <c r="K2" i="5"/>
  <c r="K3"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K850" i="5"/>
  <c r="K851" i="5"/>
  <c r="K852" i="5"/>
  <c r="K853" i="5"/>
  <c r="K854" i="5"/>
  <c r="K855" i="5"/>
  <c r="K856" i="5"/>
  <c r="K857" i="5"/>
  <c r="K858" i="5"/>
  <c r="K859" i="5"/>
  <c r="K860" i="5"/>
  <c r="K861" i="5"/>
  <c r="K862" i="5"/>
  <c r="K863" i="5"/>
  <c r="K864" i="5"/>
  <c r="K865" i="5"/>
  <c r="K866" i="5"/>
  <c r="K867" i="5"/>
  <c r="K868" i="5"/>
  <c r="K869" i="5"/>
  <c r="K870" i="5"/>
  <c r="K871" i="5"/>
  <c r="K872" i="5"/>
  <c r="K873" i="5"/>
  <c r="K874" i="5"/>
  <c r="K875" i="5"/>
  <c r="K876" i="5"/>
  <c r="K877" i="5"/>
  <c r="K878" i="5"/>
  <c r="K879" i="5"/>
  <c r="K880" i="5"/>
  <c r="K881" i="5"/>
  <c r="K882" i="5"/>
  <c r="K883" i="5"/>
  <c r="K884" i="5"/>
  <c r="K885" i="5"/>
  <c r="K886" i="5"/>
  <c r="K887" i="5"/>
  <c r="K888" i="5"/>
  <c r="K889" i="5"/>
  <c r="K890" i="5"/>
  <c r="K891" i="5"/>
  <c r="K892" i="5"/>
  <c r="K893" i="5"/>
  <c r="K894" i="5"/>
  <c r="K895" i="5"/>
  <c r="K896" i="5"/>
  <c r="K897" i="5"/>
  <c r="K898" i="5"/>
  <c r="K899" i="5"/>
  <c r="K900" i="5"/>
  <c r="K901" i="5"/>
  <c r="K902" i="5"/>
  <c r="K903" i="5"/>
  <c r="K904" i="5"/>
  <c r="K905" i="5"/>
  <c r="K906" i="5"/>
  <c r="K907" i="5"/>
  <c r="K908" i="5"/>
  <c r="K909" i="5"/>
  <c r="K910" i="5"/>
  <c r="K911" i="5"/>
  <c r="K912" i="5"/>
  <c r="K913" i="5"/>
  <c r="K914" i="5"/>
  <c r="K915" i="5"/>
  <c r="K916" i="5"/>
  <c r="K917" i="5"/>
  <c r="K918" i="5"/>
  <c r="K919" i="5"/>
  <c r="K920" i="5"/>
  <c r="K921" i="5"/>
  <c r="K922" i="5"/>
  <c r="K923" i="5"/>
  <c r="K924" i="5"/>
  <c r="K925" i="5"/>
  <c r="K926" i="5"/>
  <c r="K927" i="5"/>
  <c r="K928" i="5"/>
  <c r="K929" i="5"/>
  <c r="K930" i="5"/>
  <c r="K931" i="5"/>
  <c r="K932" i="5"/>
  <c r="K933" i="5"/>
  <c r="K934" i="5"/>
  <c r="K935" i="5"/>
  <c r="K936" i="5"/>
  <c r="K937" i="5"/>
  <c r="K938" i="5"/>
  <c r="K939" i="5"/>
  <c r="K940" i="5"/>
  <c r="K941" i="5"/>
  <c r="K942" i="5"/>
  <c r="K943" i="5"/>
  <c r="K944" i="5"/>
  <c r="K945" i="5"/>
  <c r="K946" i="5"/>
  <c r="K947" i="5"/>
  <c r="K948" i="5"/>
  <c r="K949" i="5"/>
  <c r="K950" i="5"/>
  <c r="K951" i="5"/>
  <c r="K952" i="5"/>
  <c r="K953" i="5"/>
  <c r="K954" i="5"/>
  <c r="K955" i="5"/>
  <c r="K956" i="5"/>
  <c r="K957" i="5"/>
  <c r="K958" i="5"/>
  <c r="K959" i="5"/>
  <c r="K960" i="5"/>
  <c r="K961" i="5"/>
  <c r="K962" i="5"/>
  <c r="K963" i="5"/>
  <c r="K964" i="5"/>
  <c r="K965" i="5"/>
  <c r="K966" i="5"/>
  <c r="K967" i="5"/>
  <c r="K968" i="5"/>
  <c r="K969" i="5"/>
  <c r="K970" i="5"/>
  <c r="K971" i="5"/>
  <c r="K972" i="5"/>
  <c r="K973" i="5"/>
  <c r="K974" i="5"/>
  <c r="K975" i="5"/>
  <c r="K976" i="5"/>
  <c r="K977" i="5"/>
  <c r="K978" i="5"/>
  <c r="K979" i="5"/>
  <c r="K980" i="5"/>
  <c r="K981" i="5"/>
  <c r="K982" i="5"/>
  <c r="K983" i="5"/>
  <c r="K984" i="5"/>
  <c r="K985" i="5"/>
  <c r="K986" i="5"/>
  <c r="K987" i="5"/>
  <c r="K988" i="5"/>
  <c r="K989" i="5"/>
  <c r="K990" i="5"/>
  <c r="K991" i="5"/>
  <c r="K992" i="5"/>
  <c r="K993" i="5"/>
  <c r="K994" i="5"/>
  <c r="K995" i="5"/>
  <c r="K996" i="5"/>
  <c r="K997" i="5"/>
  <c r="K998" i="5"/>
  <c r="K999" i="5"/>
  <c r="K1000" i="5"/>
  <c r="K1001" i="5"/>
  <c r="K1002" i="5"/>
  <c r="K1003" i="5"/>
  <c r="K1004" i="5"/>
  <c r="K1005" i="5"/>
  <c r="K1006" i="5"/>
  <c r="K1007" i="5"/>
  <c r="K1008" i="5"/>
  <c r="K1009" i="5"/>
  <c r="K1010" i="5"/>
  <c r="K1011" i="5"/>
  <c r="K1012" i="5"/>
  <c r="K1013" i="5"/>
  <c r="K1014" i="5"/>
  <c r="K1015" i="5"/>
  <c r="K1016" i="5"/>
  <c r="K1017" i="5"/>
  <c r="K1018" i="5"/>
  <c r="K1019" i="5"/>
  <c r="K1020" i="5"/>
  <c r="K1021" i="5"/>
  <c r="K1022" i="5"/>
  <c r="K1023" i="5"/>
  <c r="K1024" i="5"/>
  <c r="K1025" i="5"/>
  <c r="K1026" i="5"/>
  <c r="K1027" i="5"/>
  <c r="K1028" i="5"/>
  <c r="K1029" i="5"/>
  <c r="K1030" i="5"/>
  <c r="K1031" i="5"/>
  <c r="K1032" i="5"/>
  <c r="K1033" i="5"/>
  <c r="K1034" i="5"/>
  <c r="K1035" i="5"/>
  <c r="K1036" i="5"/>
  <c r="K1037" i="5"/>
  <c r="K1038" i="5"/>
  <c r="K1039" i="5"/>
  <c r="K1040" i="5"/>
  <c r="K1041" i="5"/>
  <c r="K1042" i="5"/>
  <c r="K1043" i="5"/>
  <c r="K1044" i="5"/>
  <c r="K1045" i="5"/>
  <c r="K1046" i="5"/>
  <c r="K1047" i="5"/>
  <c r="K1048" i="5"/>
  <c r="K1049" i="5"/>
  <c r="K1050" i="5"/>
  <c r="K1051" i="5"/>
  <c r="K1052" i="5"/>
  <c r="K1053" i="5"/>
  <c r="K1054" i="5"/>
  <c r="K1055" i="5"/>
  <c r="K1056" i="5"/>
  <c r="K1057" i="5"/>
  <c r="K1058" i="5"/>
  <c r="K1059" i="5"/>
  <c r="K1060" i="5"/>
  <c r="K1061" i="5"/>
  <c r="K1062" i="5"/>
  <c r="K1063" i="5"/>
  <c r="K1064" i="5"/>
  <c r="K1065" i="5"/>
  <c r="K1066" i="5"/>
  <c r="K1067" i="5"/>
  <c r="K1068" i="5"/>
  <c r="K1069" i="5"/>
  <c r="K1070" i="5"/>
  <c r="K1071" i="5"/>
  <c r="K1072" i="5"/>
  <c r="K1073" i="5"/>
  <c r="K1074" i="5"/>
  <c r="K1075" i="5"/>
  <c r="K1076" i="5"/>
  <c r="K1077" i="5"/>
  <c r="K1078" i="5"/>
  <c r="K1079" i="5"/>
  <c r="K1080" i="5"/>
  <c r="K1081" i="5"/>
  <c r="K1082" i="5"/>
  <c r="K1083" i="5"/>
  <c r="K1084" i="5"/>
  <c r="K1085" i="5"/>
  <c r="K1086" i="5"/>
  <c r="K1087" i="5"/>
  <c r="K1088" i="5"/>
  <c r="K1089" i="5"/>
  <c r="K1090" i="5"/>
  <c r="K1091" i="5"/>
  <c r="K1092" i="5"/>
  <c r="K1093" i="5"/>
  <c r="K1094" i="5"/>
  <c r="K1095" i="5"/>
  <c r="K1096" i="5"/>
  <c r="K1097" i="5"/>
  <c r="K1098" i="5"/>
  <c r="K1099" i="5"/>
  <c r="K1100" i="5"/>
  <c r="K1101" i="5"/>
  <c r="K1102" i="5"/>
  <c r="K1103" i="5"/>
  <c r="K1104" i="5"/>
  <c r="K1105" i="5"/>
  <c r="K1106" i="5"/>
  <c r="K1107" i="5"/>
  <c r="K1108" i="5"/>
  <c r="K1109" i="5"/>
  <c r="K1110" i="5"/>
  <c r="K1111" i="5"/>
  <c r="K1112" i="5"/>
  <c r="K1113" i="5"/>
  <c r="K1114" i="5"/>
  <c r="K1115" i="5"/>
  <c r="K1116" i="5"/>
  <c r="K1117" i="5"/>
  <c r="K1118" i="5"/>
  <c r="K1119" i="5"/>
  <c r="K1120" i="5"/>
  <c r="K1121" i="5"/>
  <c r="K1122" i="5"/>
  <c r="K1123" i="5"/>
  <c r="K1124" i="5"/>
  <c r="K1125" i="5"/>
  <c r="K1126" i="5"/>
  <c r="K1127" i="5"/>
  <c r="K1128" i="5"/>
  <c r="K1129" i="5"/>
  <c r="K1130" i="5"/>
  <c r="K1131" i="5"/>
  <c r="K1132" i="5"/>
  <c r="K1133" i="5"/>
  <c r="K1134" i="5"/>
  <c r="K1135" i="5"/>
  <c r="K1136" i="5"/>
  <c r="K1137" i="5"/>
  <c r="K1138" i="5"/>
  <c r="K1139" i="5"/>
  <c r="K1140" i="5"/>
  <c r="K1141" i="5"/>
  <c r="K1142" i="5"/>
  <c r="K1143" i="5"/>
  <c r="K1144" i="5"/>
  <c r="K1145" i="5"/>
  <c r="K1146" i="5"/>
  <c r="K1147" i="5"/>
  <c r="K1148" i="5"/>
  <c r="K1149" i="5"/>
  <c r="K1150" i="5"/>
  <c r="K1151" i="5"/>
  <c r="K1152" i="5"/>
  <c r="K1153" i="5"/>
  <c r="K1154" i="5"/>
  <c r="K1155" i="5"/>
  <c r="K1156" i="5"/>
  <c r="K1157" i="5"/>
  <c r="K1158" i="5"/>
  <c r="K1159" i="5"/>
  <c r="K1160" i="5"/>
  <c r="K1161" i="5"/>
  <c r="K1162" i="5"/>
  <c r="K1163" i="5"/>
  <c r="K1164" i="5"/>
  <c r="K1165" i="5"/>
  <c r="K1166" i="5"/>
  <c r="K1167" i="5"/>
  <c r="K1168" i="5"/>
  <c r="K1169" i="5"/>
  <c r="K1170" i="5"/>
  <c r="K1171" i="5"/>
  <c r="K1172" i="5"/>
  <c r="K1173" i="5"/>
  <c r="K1174" i="5"/>
  <c r="K1175" i="5"/>
  <c r="K1176" i="5"/>
  <c r="K1177" i="5"/>
  <c r="K1178" i="5"/>
  <c r="K1179" i="5"/>
  <c r="K1180" i="5"/>
  <c r="K1181" i="5"/>
  <c r="K1182" i="5"/>
  <c r="K1183" i="5"/>
  <c r="K1184" i="5"/>
  <c r="K1185" i="5"/>
  <c r="K1186" i="5"/>
  <c r="K1187" i="5"/>
  <c r="K1188" i="5"/>
  <c r="K1189" i="5"/>
  <c r="K1190" i="5"/>
  <c r="K1191" i="5"/>
  <c r="K1192" i="5"/>
  <c r="K1193" i="5"/>
  <c r="K1194" i="5"/>
  <c r="K1195" i="5"/>
  <c r="K1196" i="5"/>
  <c r="K1197" i="5"/>
  <c r="K1198" i="5"/>
  <c r="K1199" i="5"/>
  <c r="K1200" i="5"/>
  <c r="K1201" i="5"/>
  <c r="K1202" i="5"/>
  <c r="K1203" i="5"/>
  <c r="K1204" i="5"/>
  <c r="K1205" i="5"/>
  <c r="K1206" i="5"/>
  <c r="K1207" i="5"/>
  <c r="K1208" i="5"/>
  <c r="K1209" i="5"/>
  <c r="K1210" i="5"/>
  <c r="K1211" i="5"/>
  <c r="K1212" i="5"/>
  <c r="K1213" i="5"/>
  <c r="K1214" i="5"/>
  <c r="K1215" i="5"/>
  <c r="K1216" i="5"/>
  <c r="K1217" i="5"/>
  <c r="K1218" i="5"/>
  <c r="K1219" i="5"/>
  <c r="K1220" i="5"/>
  <c r="K1221" i="5"/>
  <c r="K1222" i="5"/>
  <c r="K1223" i="5"/>
  <c r="K1224" i="5"/>
  <c r="K1225" i="5"/>
  <c r="K1226" i="5"/>
  <c r="K1227" i="5"/>
  <c r="K1228" i="5"/>
  <c r="K1229" i="5"/>
  <c r="K1230" i="5"/>
  <c r="K1231" i="5"/>
  <c r="K1232" i="5"/>
  <c r="K1233" i="5"/>
  <c r="K1234" i="5"/>
  <c r="K1235" i="5"/>
  <c r="K1236" i="5"/>
  <c r="K1237" i="5"/>
  <c r="K1238" i="5"/>
  <c r="K1239" i="5"/>
  <c r="K1240" i="5"/>
  <c r="K1241" i="5"/>
  <c r="K1242" i="5"/>
  <c r="K1243" i="5"/>
  <c r="K1244" i="5"/>
  <c r="K1245" i="5"/>
  <c r="K1246" i="5"/>
  <c r="K1247" i="5"/>
  <c r="K1248" i="5"/>
  <c r="K1249" i="5"/>
  <c r="K1250" i="5"/>
  <c r="K1251" i="5"/>
  <c r="K1252" i="5"/>
  <c r="K1253" i="5"/>
  <c r="K1254" i="5"/>
  <c r="K1255" i="5"/>
  <c r="K1256" i="5"/>
  <c r="K1257" i="5"/>
  <c r="K1258" i="5"/>
  <c r="K1259" i="5"/>
  <c r="K1260" i="5"/>
  <c r="K1261" i="5"/>
  <c r="K1262" i="5"/>
  <c r="K1263" i="5"/>
  <c r="K1264" i="5"/>
  <c r="K1265" i="5"/>
  <c r="K1266" i="5"/>
  <c r="K1267" i="5"/>
  <c r="K1268" i="5"/>
  <c r="K1269" i="5"/>
  <c r="K1270" i="5"/>
  <c r="K1271" i="5"/>
  <c r="K1272" i="5"/>
  <c r="K1273" i="5"/>
  <c r="K1274" i="5"/>
  <c r="K1275" i="5"/>
  <c r="K1276" i="5"/>
  <c r="K1277" i="5"/>
  <c r="K1278" i="5"/>
  <c r="K1279" i="5"/>
  <c r="K1280" i="5"/>
  <c r="K1281" i="5"/>
  <c r="K1282" i="5"/>
  <c r="K1283" i="5"/>
  <c r="K1284" i="5"/>
  <c r="K1285" i="5"/>
  <c r="K1286" i="5"/>
  <c r="K1287" i="5"/>
  <c r="K1288" i="5"/>
  <c r="K1289" i="5"/>
  <c r="K1290" i="5"/>
  <c r="K1291" i="5"/>
  <c r="K1292" i="5"/>
  <c r="K1293" i="5"/>
  <c r="K1294" i="5"/>
  <c r="K1295" i="5"/>
  <c r="K1296" i="5"/>
  <c r="K1297" i="5"/>
  <c r="K1298" i="5"/>
  <c r="K1299" i="5"/>
  <c r="K1300" i="5"/>
  <c r="K1301" i="5"/>
  <c r="K1302" i="5"/>
  <c r="K1303" i="5"/>
  <c r="K1304" i="5"/>
  <c r="K1305" i="5"/>
  <c r="K1306" i="5"/>
  <c r="K1307" i="5"/>
  <c r="K1308" i="5"/>
  <c r="K1309" i="5"/>
  <c r="K1310" i="5"/>
  <c r="K1311" i="5"/>
  <c r="K1312" i="5"/>
  <c r="K1313" i="5"/>
  <c r="K1314" i="5"/>
  <c r="K1315" i="5"/>
  <c r="K1316" i="5"/>
  <c r="K1317" i="5"/>
  <c r="K1318" i="5"/>
  <c r="K1319" i="5"/>
  <c r="K1320" i="5"/>
  <c r="K1321" i="5"/>
  <c r="K1322" i="5"/>
  <c r="K1323" i="5"/>
  <c r="K1324" i="5"/>
  <c r="K1325" i="5"/>
  <c r="K1326" i="5"/>
  <c r="K1327" i="5"/>
  <c r="K1328" i="5"/>
  <c r="K1329" i="5"/>
  <c r="K1330" i="5"/>
  <c r="K1331" i="5"/>
  <c r="K1332" i="5"/>
  <c r="K1333" i="5"/>
  <c r="K1334" i="5"/>
  <c r="K1335" i="5"/>
  <c r="K1336" i="5"/>
  <c r="K1337" i="5"/>
  <c r="K1338" i="5"/>
  <c r="K1339" i="5"/>
  <c r="K1340" i="5"/>
  <c r="K1341" i="5"/>
  <c r="K1342" i="5"/>
  <c r="K1343" i="5"/>
  <c r="K1344" i="5"/>
  <c r="K1345" i="5"/>
  <c r="K1346" i="5"/>
  <c r="K1347" i="5"/>
  <c r="K1348" i="5"/>
  <c r="K1349" i="5"/>
  <c r="K1350" i="5"/>
  <c r="K1351" i="5"/>
  <c r="K1352" i="5"/>
  <c r="K1353" i="5"/>
  <c r="K1354" i="5"/>
  <c r="K1355" i="5"/>
  <c r="K1356" i="5"/>
  <c r="K1357" i="5"/>
  <c r="K1358" i="5"/>
  <c r="K1359" i="5"/>
  <c r="K1360" i="5"/>
  <c r="K1361" i="5"/>
  <c r="K1362" i="5"/>
  <c r="K1363" i="5"/>
  <c r="K1364" i="5"/>
  <c r="K1365" i="5"/>
  <c r="K1366" i="5"/>
  <c r="K1367" i="5"/>
  <c r="K1368" i="5"/>
  <c r="K1369" i="5"/>
  <c r="K1370" i="5"/>
  <c r="K1371" i="5"/>
  <c r="K1372" i="5"/>
  <c r="K1373" i="5"/>
  <c r="K1374" i="5"/>
  <c r="K1375" i="5"/>
  <c r="K1376" i="5"/>
  <c r="K1377" i="5"/>
  <c r="K1378" i="5"/>
  <c r="K1379" i="5"/>
  <c r="K1380" i="5"/>
  <c r="K1381" i="5"/>
  <c r="K1382" i="5"/>
  <c r="K1383" i="5"/>
  <c r="K1384" i="5"/>
  <c r="K1385" i="5"/>
  <c r="K1386" i="5"/>
  <c r="K1387" i="5"/>
  <c r="K1388" i="5"/>
  <c r="K1389" i="5"/>
  <c r="K1390" i="5"/>
  <c r="K1391" i="5"/>
  <c r="K1392" i="5"/>
  <c r="K1393" i="5"/>
  <c r="K1394" i="5"/>
  <c r="K1395" i="5"/>
  <c r="K1396" i="5"/>
  <c r="K1397" i="5"/>
  <c r="K1398" i="5"/>
  <c r="K1399" i="5"/>
  <c r="K1400" i="5"/>
  <c r="K1401" i="5"/>
  <c r="K1402" i="5"/>
  <c r="K1403" i="5"/>
  <c r="K1404" i="5"/>
  <c r="K1405" i="5"/>
  <c r="K1406" i="5"/>
  <c r="K1407" i="5"/>
  <c r="K1408" i="5"/>
  <c r="K1409" i="5"/>
  <c r="K1410" i="5"/>
  <c r="K1411" i="5"/>
  <c r="K1412" i="5"/>
  <c r="K1413" i="5"/>
  <c r="K1414" i="5"/>
  <c r="K1415" i="5"/>
  <c r="K1416" i="5"/>
  <c r="K1417" i="5"/>
  <c r="K1418" i="5"/>
  <c r="K1419" i="5"/>
  <c r="K1420" i="5"/>
  <c r="K1421" i="5"/>
  <c r="K1422" i="5"/>
  <c r="K1423" i="5"/>
  <c r="K1424" i="5"/>
  <c r="K1425" i="5"/>
  <c r="K1426" i="5"/>
  <c r="K1427" i="5"/>
  <c r="K1428" i="5"/>
  <c r="K1429" i="5"/>
  <c r="K1430" i="5"/>
  <c r="K1431" i="5"/>
  <c r="K1432" i="5"/>
  <c r="K1433" i="5"/>
  <c r="K1434" i="5"/>
  <c r="K1435" i="5"/>
  <c r="K1436" i="5"/>
  <c r="K1437" i="5"/>
  <c r="K1438" i="5"/>
  <c r="K1439" i="5"/>
  <c r="K1440" i="5"/>
  <c r="K1441" i="5"/>
  <c r="K1442" i="5"/>
  <c r="K1443" i="5"/>
  <c r="K1444" i="5"/>
  <c r="K1445" i="5"/>
  <c r="K1446" i="5"/>
  <c r="K1447" i="5"/>
  <c r="K1448" i="5"/>
  <c r="K1449" i="5"/>
  <c r="K1450" i="5"/>
  <c r="K1451" i="5"/>
  <c r="K1452" i="5"/>
  <c r="K1453" i="5"/>
  <c r="K1454" i="5"/>
  <c r="K1455" i="5"/>
  <c r="K1456" i="5"/>
  <c r="K1457" i="5"/>
  <c r="K1458" i="5"/>
  <c r="K1459" i="5"/>
  <c r="K1460" i="5"/>
  <c r="K1461" i="5"/>
  <c r="K1462" i="5"/>
  <c r="K1463" i="5"/>
  <c r="K1464" i="5"/>
  <c r="K1465" i="5"/>
  <c r="K1466" i="5"/>
  <c r="K1467" i="5"/>
  <c r="K1468" i="5"/>
  <c r="K1469" i="5"/>
  <c r="K1470" i="5"/>
  <c r="K1471" i="5"/>
  <c r="K1472" i="5"/>
  <c r="K1473" i="5"/>
  <c r="K1474" i="5"/>
  <c r="K1475" i="5"/>
  <c r="K1476" i="5"/>
  <c r="K1477" i="5"/>
  <c r="K1478" i="5"/>
  <c r="K1479" i="5"/>
  <c r="K1480" i="5"/>
  <c r="K1481" i="5"/>
  <c r="K1482" i="5"/>
  <c r="K1483" i="5"/>
  <c r="K1484" i="5"/>
  <c r="K1485" i="5"/>
  <c r="K1486" i="5"/>
  <c r="K1487" i="5"/>
  <c r="K1488" i="5"/>
  <c r="K1489" i="5"/>
  <c r="K1490" i="5"/>
  <c r="K1491" i="5"/>
  <c r="K1492" i="5"/>
  <c r="K1493" i="5"/>
  <c r="K1494" i="5"/>
  <c r="K1495" i="5"/>
  <c r="K1496" i="5"/>
  <c r="K1497" i="5"/>
  <c r="K1498" i="5"/>
  <c r="K1499" i="5"/>
  <c r="K1500" i="5"/>
  <c r="K1501" i="5"/>
  <c r="K1502" i="5"/>
  <c r="P15" i="1"/>
  <c r="P93" i="1"/>
  <c r="P108" i="1"/>
  <c r="P115" i="1"/>
  <c r="P18" i="1"/>
  <c r="P96" i="1"/>
  <c r="P100" i="1"/>
  <c r="P98" i="1"/>
  <c r="P103" i="1"/>
  <c r="P99" i="1"/>
  <c r="P106" i="1"/>
  <c r="P116" i="1"/>
  <c r="P194" i="1"/>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58" i="9"/>
  <c r="E61" i="9"/>
  <c r="P243" i="1"/>
  <c r="G5" i="9"/>
  <c r="H5" i="9"/>
  <c r="I5" i="9"/>
  <c r="G6" i="9"/>
  <c r="H6" i="9"/>
  <c r="I6" i="9"/>
  <c r="G7" i="9"/>
  <c r="H7" i="9"/>
  <c r="I7" i="9"/>
  <c r="G8" i="9"/>
  <c r="H8" i="9"/>
  <c r="I8" i="9"/>
  <c r="G9" i="9"/>
  <c r="H9" i="9"/>
  <c r="I9" i="9"/>
  <c r="G10" i="9"/>
  <c r="H10" i="9"/>
  <c r="I10" i="9"/>
  <c r="G11" i="9"/>
  <c r="H11" i="9"/>
  <c r="I11" i="9"/>
  <c r="G12" i="9"/>
  <c r="H12" i="9"/>
  <c r="I12" i="9"/>
  <c r="G13" i="9"/>
  <c r="H13" i="9"/>
  <c r="I13" i="9"/>
  <c r="G14" i="9"/>
  <c r="H14" i="9"/>
  <c r="I14" i="9"/>
  <c r="G15" i="9"/>
  <c r="H15" i="9"/>
  <c r="I15" i="9"/>
  <c r="G16" i="9"/>
  <c r="H16" i="9"/>
  <c r="I16" i="9"/>
  <c r="G17" i="9"/>
  <c r="H17" i="9"/>
  <c r="I17" i="9"/>
  <c r="G18" i="9"/>
  <c r="H18" i="9"/>
  <c r="I18" i="9"/>
  <c r="G19" i="9"/>
  <c r="H19" i="9"/>
  <c r="I19" i="9"/>
  <c r="G20" i="9"/>
  <c r="H20" i="9"/>
  <c r="I20" i="9"/>
  <c r="G21" i="9"/>
  <c r="H21" i="9"/>
  <c r="I21" i="9"/>
  <c r="G22" i="9"/>
  <c r="H22" i="9"/>
  <c r="I22" i="9"/>
  <c r="G23" i="9"/>
  <c r="H23" i="9"/>
  <c r="I23" i="9"/>
  <c r="G24" i="9"/>
  <c r="H24" i="9"/>
  <c r="I24" i="9"/>
  <c r="G25" i="9"/>
  <c r="H25" i="9"/>
  <c r="I25" i="9"/>
  <c r="G26" i="9"/>
  <c r="H26" i="9"/>
  <c r="I26" i="9"/>
  <c r="G27" i="9"/>
  <c r="H27" i="9"/>
  <c r="I27" i="9"/>
  <c r="G28" i="9"/>
  <c r="H28" i="9"/>
  <c r="I28" i="9"/>
  <c r="G29" i="9"/>
  <c r="H29" i="9"/>
  <c r="I29" i="9"/>
  <c r="G30" i="9"/>
  <c r="H30" i="9"/>
  <c r="I30" i="9"/>
  <c r="G31" i="9"/>
  <c r="H31" i="9"/>
  <c r="I31" i="9"/>
  <c r="G32" i="9"/>
  <c r="H32" i="9"/>
  <c r="I32" i="9"/>
  <c r="G33" i="9"/>
  <c r="H33" i="9"/>
  <c r="I33" i="9"/>
  <c r="G34" i="9"/>
  <c r="H34" i="9"/>
  <c r="I34" i="9"/>
  <c r="G35" i="9"/>
  <c r="H35" i="9"/>
  <c r="I35" i="9"/>
  <c r="G36" i="9"/>
  <c r="H36" i="9"/>
  <c r="I36" i="9"/>
  <c r="G37" i="9"/>
  <c r="H37" i="9"/>
  <c r="I37" i="9"/>
  <c r="G38" i="9"/>
  <c r="H38" i="9"/>
  <c r="I38" i="9"/>
  <c r="G39" i="9"/>
  <c r="H39" i="9"/>
  <c r="I39" i="9"/>
  <c r="G40" i="9"/>
  <c r="H40" i="9"/>
  <c r="I40" i="9"/>
  <c r="G41" i="9"/>
  <c r="H41" i="9"/>
  <c r="I41" i="9"/>
  <c r="G42" i="9"/>
  <c r="H42" i="9"/>
  <c r="I42" i="9"/>
  <c r="I43" i="9"/>
  <c r="E65" i="9"/>
  <c r="E69" i="9"/>
  <c r="P247" i="1"/>
  <c r="P250" i="1"/>
  <c r="P251" i="1"/>
  <c r="P252" i="1"/>
  <c r="P253" i="1"/>
  <c r="P246" i="1"/>
  <c r="P244" i="1"/>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E57" i="9"/>
  <c r="E60" i="9"/>
  <c r="P242" i="1"/>
  <c r="P214" i="1"/>
  <c r="P213" i="1"/>
  <c r="P216" i="1"/>
  <c r="P233" i="1"/>
  <c r="P172" i="1"/>
  <c r="P184" i="1"/>
  <c r="P189" i="1"/>
  <c r="P234" i="1"/>
  <c r="P124" i="1"/>
  <c r="P173" i="1"/>
  <c r="R269" i="1"/>
  <c r="P179" i="1"/>
  <c r="P190" i="1"/>
  <c r="P235" i="1"/>
  <c r="P236" i="1"/>
  <c r="P237" i="1"/>
  <c r="P238" i="1"/>
  <c r="O234" i="1"/>
  <c r="O235" i="1"/>
  <c r="P225" i="1"/>
  <c r="P183" i="1"/>
  <c r="P187" i="1"/>
  <c r="P226" i="1"/>
  <c r="R267" i="1"/>
  <c r="P177" i="1"/>
  <c r="P188" i="1"/>
  <c r="P227" i="1"/>
  <c r="P228" i="1"/>
  <c r="P229" i="1"/>
  <c r="P230" i="1"/>
  <c r="O226" i="1"/>
  <c r="O227" i="1"/>
  <c r="P221" i="1"/>
  <c r="R268" i="1"/>
  <c r="P178" i="1"/>
  <c r="P123" i="1"/>
  <c r="O123" i="1"/>
  <c r="P174" i="1"/>
  <c r="O174" i="1"/>
  <c r="P117" i="1"/>
  <c r="N8" i="9"/>
  <c r="N14" i="9"/>
  <c r="N5" i="9"/>
  <c r="N11" i="9"/>
  <c r="P70" i="1"/>
  <c r="P29" i="1"/>
  <c r="B91" i="9"/>
  <c r="P67" i="1"/>
  <c r="P71" i="1"/>
  <c r="P69" i="1"/>
  <c r="B9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A2" i="8"/>
  <c r="A3" i="8"/>
  <c r="A4" i="8"/>
  <c r="A5" i="8"/>
  <c r="A6" i="8"/>
  <c r="A7" i="8"/>
  <c r="A8" i="8"/>
  <c r="A9" i="8"/>
  <c r="A10" i="8"/>
  <c r="A11" i="8"/>
  <c r="A12" i="8"/>
  <c r="A13" i="8"/>
  <c r="A14" i="8"/>
  <c r="A15" i="8"/>
  <c r="A16" i="8"/>
  <c r="A17" i="8"/>
  <c r="A18" i="8"/>
  <c r="A19" i="8"/>
  <c r="A20" i="8"/>
  <c r="A21" i="8"/>
  <c r="A22" i="8"/>
  <c r="A23" i="8"/>
  <c r="A24" i="8"/>
  <c r="A25" i="8"/>
  <c r="A26" i="8"/>
  <c r="A2" i="17"/>
  <c r="A3" i="17"/>
  <c r="A4" i="17"/>
  <c r="A5" i="17"/>
  <c r="A6" i="17"/>
  <c r="A7" i="17"/>
  <c r="A8" i="17"/>
  <c r="A9" i="17"/>
  <c r="A10" i="17"/>
  <c r="A11" i="17"/>
  <c r="A12" i="17"/>
  <c r="A13" i="17"/>
  <c r="A14" i="17"/>
  <c r="A15" i="17"/>
  <c r="A16" i="17"/>
  <c r="A17" i="17"/>
  <c r="A18" i="17"/>
  <c r="A19" i="17"/>
  <c r="A20" i="17"/>
  <c r="A21" i="17"/>
  <c r="A22" i="17"/>
  <c r="P220" i="1"/>
  <c r="P222" i="1"/>
  <c r="F145" i="9"/>
  <c r="C154" i="9"/>
  <c r="C155" i="9"/>
  <c r="C152" i="9"/>
  <c r="C153" i="9"/>
  <c r="C156" i="9"/>
  <c r="C157" i="9"/>
  <c r="D162" i="9"/>
  <c r="E162" i="9"/>
  <c r="F162" i="9"/>
  <c r="E66" i="9"/>
  <c r="E74" i="9"/>
  <c r="E78" i="9"/>
  <c r="E81" i="9"/>
  <c r="F161" i="9"/>
  <c r="G162" i="9"/>
  <c r="P107" i="1"/>
  <c r="F152" i="9"/>
  <c r="F154" i="9"/>
  <c r="F155" i="9"/>
  <c r="F146" i="9"/>
  <c r="F147" i="9"/>
  <c r="F148" i="9"/>
  <c r="F157" i="9"/>
  <c r="C144" i="9"/>
  <c r="C145" i="9"/>
  <c r="C147" i="9"/>
  <c r="C149" i="9"/>
  <c r="D163" i="9"/>
  <c r="E163" i="9"/>
  <c r="F163" i="9"/>
  <c r="G163" i="9"/>
  <c r="D164" i="9"/>
  <c r="P181" i="1"/>
  <c r="P182" i="1"/>
  <c r="D165" i="9"/>
  <c r="E73" i="9"/>
  <c r="E77" i="9"/>
  <c r="E80" i="9"/>
  <c r="E161" i="9"/>
  <c r="E72" i="9"/>
  <c r="E76" i="9"/>
  <c r="E79" i="9"/>
  <c r="D161" i="9"/>
  <c r="B99" i="9"/>
  <c r="C47" i="9"/>
  <c r="C49" i="9"/>
  <c r="C50" i="9"/>
  <c r="C51" i="9"/>
  <c r="P16" i="1"/>
  <c r="C52" i="9"/>
  <c r="P17" i="1"/>
  <c r="C53" i="9"/>
  <c r="C48" i="9"/>
  <c r="B5" i="9"/>
  <c r="O16" i="1"/>
  <c r="A3" i="18"/>
  <c r="A4" i="18"/>
  <c r="A5" i="18"/>
  <c r="A6" i="18"/>
  <c r="A7" i="18"/>
  <c r="A8" i="18"/>
  <c r="A9" i="18"/>
  <c r="A10" i="18"/>
  <c r="A2" i="18"/>
  <c r="E165" i="9"/>
  <c r="F165" i="9"/>
  <c r="G165" i="9"/>
  <c r="E164" i="9"/>
  <c r="F164" i="9"/>
  <c r="C165" i="9"/>
  <c r="B94" i="9"/>
  <c r="C105" i="9"/>
  <c r="B90" i="9"/>
  <c r="O4" i="13"/>
  <c r="C4" i="13"/>
  <c r="P81" i="1"/>
  <c r="P82" i="1"/>
  <c r="P83" i="1"/>
  <c r="B96" i="9"/>
  <c r="P35" i="1"/>
  <c r="P36" i="1"/>
  <c r="P37" i="1"/>
  <c r="B93" i="9"/>
  <c r="P50" i="1"/>
  <c r="P45" i="1"/>
  <c r="P48" i="1"/>
  <c r="P46" i="1"/>
  <c r="P47" i="1"/>
  <c r="P53" i="1"/>
  <c r="P44" i="1"/>
  <c r="P55" i="1"/>
  <c r="B92" i="9"/>
  <c r="P68" i="1"/>
  <c r="P73" i="1"/>
  <c r="P91" i="1"/>
  <c r="P119" i="1"/>
  <c r="P120" i="1"/>
  <c r="P121" i="1"/>
  <c r="P122" i="1"/>
  <c r="P61" i="1"/>
  <c r="P52" i="1"/>
  <c r="P51" i="1"/>
  <c r="P54" i="1"/>
  <c r="P137" i="1"/>
  <c r="P30" i="1"/>
  <c r="P31" i="1"/>
  <c r="N17" i="9"/>
  <c r="B100" i="9"/>
  <c r="E198" i="9"/>
  <c r="E199" i="9"/>
  <c r="F199" i="9"/>
  <c r="P131" i="1"/>
  <c r="P132" i="1"/>
  <c r="P133" i="1"/>
  <c r="P125" i="1"/>
  <c r="P134" i="1"/>
  <c r="P138" i="1"/>
  <c r="O138" i="1"/>
  <c r="E200" i="9"/>
  <c r="F200" i="9"/>
  <c r="P139" i="1"/>
  <c r="O139" i="1"/>
  <c r="E201" i="9"/>
  <c r="F201" i="9"/>
  <c r="P140" i="1"/>
  <c r="O140" i="1"/>
  <c r="E202" i="9"/>
  <c r="F202" i="9"/>
  <c r="P141" i="1"/>
  <c r="O141" i="1"/>
  <c r="E203" i="9"/>
  <c r="F203" i="9"/>
  <c r="P142" i="1"/>
  <c r="O142" i="1"/>
  <c r="E204" i="9"/>
  <c r="F204" i="9"/>
  <c r="P143" i="1"/>
  <c r="O143" i="1"/>
  <c r="E205" i="9"/>
  <c r="F205" i="9"/>
  <c r="P144" i="1"/>
  <c r="O144" i="1"/>
  <c r="E206" i="9"/>
  <c r="F206" i="9"/>
  <c r="P145" i="1"/>
  <c r="O145" i="1"/>
  <c r="E207" i="9"/>
  <c r="F207" i="9"/>
  <c r="P146" i="1"/>
  <c r="O146" i="1"/>
  <c r="E208" i="9"/>
  <c r="F208" i="9"/>
  <c r="P147" i="1"/>
  <c r="O147" i="1"/>
  <c r="E209" i="9"/>
  <c r="F209" i="9"/>
  <c r="P148" i="1"/>
  <c r="O148" i="1"/>
  <c r="E210" i="9"/>
  <c r="F210" i="9"/>
  <c r="P149" i="1"/>
  <c r="O149" i="1"/>
  <c r="E211" i="9"/>
  <c r="F211" i="9"/>
  <c r="P150" i="1"/>
  <c r="O150" i="1"/>
  <c r="E212" i="9"/>
  <c r="F212" i="9"/>
  <c r="P151" i="1"/>
  <c r="O151" i="1"/>
  <c r="E213" i="9"/>
  <c r="F213" i="9"/>
  <c r="P152" i="1"/>
  <c r="O152" i="1"/>
  <c r="E214" i="9"/>
  <c r="F214" i="9"/>
  <c r="P153" i="1"/>
  <c r="O153" i="1"/>
  <c r="E215" i="9"/>
  <c r="F215" i="9"/>
  <c r="P154" i="1"/>
  <c r="O154" i="1"/>
  <c r="E216" i="9"/>
  <c r="F216" i="9"/>
  <c r="P155" i="1"/>
  <c r="O155" i="1"/>
  <c r="E217" i="9"/>
  <c r="F217" i="9"/>
  <c r="P156" i="1"/>
  <c r="O156" i="1"/>
  <c r="E218" i="9"/>
  <c r="F218" i="9"/>
  <c r="P157" i="1"/>
  <c r="O157" i="1"/>
  <c r="E219" i="9"/>
  <c r="F219" i="9"/>
  <c r="P158" i="1"/>
  <c r="O158" i="1"/>
  <c r="E220" i="9"/>
  <c r="F220" i="9"/>
  <c r="P159" i="1"/>
  <c r="O159" i="1"/>
  <c r="E221" i="9"/>
  <c r="F221" i="9"/>
  <c r="P160" i="1"/>
  <c r="O160" i="1"/>
  <c r="E222" i="9"/>
  <c r="F222" i="9"/>
  <c r="P161" i="1"/>
  <c r="O161" i="1"/>
  <c r="E223" i="9"/>
  <c r="F223" i="9"/>
  <c r="P162" i="1"/>
  <c r="O162" i="1"/>
  <c r="E224" i="9"/>
  <c r="F224" i="9"/>
  <c r="H43" i="9"/>
  <c r="C43" i="9"/>
  <c r="C107" i="9"/>
  <c r="F153" i="9"/>
  <c r="C146" i="9"/>
  <c r="C148" i="9"/>
  <c r="C164" i="9"/>
  <c r="C163" i="9"/>
  <c r="C150" i="9"/>
  <c r="E5" i="13"/>
  <c r="F5" i="13"/>
  <c r="D5" i="13"/>
  <c r="G164" i="9"/>
  <c r="G161" i="9"/>
  <c r="B198" i="9"/>
  <c r="B199" i="9"/>
  <c r="C199" i="9"/>
  <c r="B200" i="9"/>
  <c r="C200" i="9"/>
  <c r="B201" i="9"/>
  <c r="C201" i="9"/>
  <c r="B202" i="9"/>
  <c r="C202" i="9"/>
  <c r="B204" i="9"/>
  <c r="B205" i="9"/>
  <c r="C205" i="9"/>
  <c r="B206" i="9"/>
  <c r="C206" i="9"/>
  <c r="B207" i="9"/>
  <c r="C207" i="9"/>
  <c r="B208" i="9"/>
  <c r="C208" i="9"/>
  <c r="B209" i="9"/>
  <c r="C209" i="9"/>
  <c r="O124" i="1"/>
  <c r="B210" i="9"/>
  <c r="C210" i="9"/>
  <c r="B211" i="9"/>
  <c r="C211" i="9"/>
  <c r="B212" i="9"/>
  <c r="P126" i="1"/>
  <c r="C212" i="9"/>
  <c r="B213" i="9"/>
  <c r="P127" i="1"/>
  <c r="C213" i="9"/>
  <c r="P128" i="1"/>
  <c r="O128" i="1"/>
  <c r="B214" i="9"/>
  <c r="C214" i="9"/>
  <c r="B216" i="9"/>
  <c r="B217" i="9"/>
  <c r="C217" i="9"/>
  <c r="B218" i="9"/>
  <c r="C218" i="9"/>
  <c r="B219" i="9"/>
  <c r="C219" i="9"/>
  <c r="B220" i="9"/>
  <c r="C220" i="9"/>
  <c r="B97" i="9"/>
  <c r="C106" i="9"/>
  <c r="B52" i="9"/>
  <c r="B51" i="9"/>
  <c r="B50" i="9"/>
  <c r="B49" i="9"/>
  <c r="B85" i="9"/>
  <c r="B86" i="9"/>
  <c r="D104" i="9"/>
  <c r="C104" i="9"/>
  <c r="F104" i="9"/>
  <c r="B105" i="9"/>
  <c r="B87" i="9"/>
  <c r="D105" i="9"/>
  <c r="F105" i="9"/>
  <c r="D107" i="9"/>
  <c r="F107" i="9"/>
  <c r="D106" i="9"/>
  <c r="F106" i="9"/>
  <c r="E105" i="9"/>
  <c r="E107" i="9"/>
  <c r="E106" i="9"/>
  <c r="E104" i="9"/>
  <c r="O13" i="1"/>
  <c r="O14" i="1"/>
  <c r="O15" i="1"/>
  <c r="P95" i="1"/>
  <c r="P94" i="1"/>
  <c r="P92" i="1"/>
  <c r="P90" i="1"/>
  <c r="P89" i="1"/>
  <c r="N8" i="13"/>
  <c r="N10" i="1"/>
  <c r="C8" i="13"/>
  <c r="O3" i="13"/>
  <c r="P104" i="1"/>
  <c r="P105" i="1"/>
  <c r="P249" i="1"/>
</calcChain>
</file>

<file path=xl/sharedStrings.xml><?xml version="1.0" encoding="utf-8"?>
<sst xmlns="http://schemas.openxmlformats.org/spreadsheetml/2006/main" count="820" uniqueCount="542">
  <si>
    <t>Cinder</t>
  </si>
  <si>
    <t>RAID Type</t>
  </si>
  <si>
    <t>RAID 5</t>
  </si>
  <si>
    <t>RAID 5+1</t>
  </si>
  <si>
    <t>RAID 10</t>
  </si>
  <si>
    <t>Disk Type</t>
  </si>
  <si>
    <t>SSD</t>
  </si>
  <si>
    <t>Disk Size</t>
  </si>
  <si>
    <t>Disk Count</t>
  </si>
  <si>
    <t>RAM</t>
  </si>
  <si>
    <t>Hyperthreading</t>
  </si>
  <si>
    <t>HT</t>
  </si>
  <si>
    <t>Disk type</t>
  </si>
  <si>
    <t>RAID type</t>
  </si>
  <si>
    <t>Physical CPUs per Node</t>
  </si>
  <si>
    <t>Physical Cores per Node</t>
  </si>
  <si>
    <t>Physical Cores per CPU</t>
  </si>
  <si>
    <t>RAM per Node (GB)</t>
  </si>
  <si>
    <t>vCPU</t>
  </si>
  <si>
    <t>Physical CPU Model</t>
  </si>
  <si>
    <t>vCPU Subscription Ratio (X:1)</t>
  </si>
  <si>
    <t>CPU</t>
  </si>
  <si>
    <t>Image</t>
  </si>
  <si>
    <t>INSTANCE DETAILS</t>
  </si>
  <si>
    <t>Server Name</t>
  </si>
  <si>
    <t>Qty.</t>
  </si>
  <si>
    <t>Instance Count</t>
  </si>
  <si>
    <t>(1)  Paste customer sever list into "INSTANCE DETAILS" section.</t>
  </si>
  <si>
    <t>(2)  Fill out values in yellow fields only.</t>
  </si>
  <si>
    <t>(3)  Review results  in "Required Hypervisors".</t>
  </si>
  <si>
    <t>vCPU Consumption</t>
  </si>
  <si>
    <t>Memory Consumption</t>
  </si>
  <si>
    <t>Disk Consumption</t>
  </si>
  <si>
    <t>% Read Operations</t>
  </si>
  <si>
    <t>% Write Operations</t>
  </si>
  <si>
    <t>Overcommit</t>
  </si>
  <si>
    <t>Physical CPU</t>
  </si>
  <si>
    <t>Physical cores</t>
  </si>
  <si>
    <t>Average IO/s required per VM</t>
  </si>
  <si>
    <t>Total IO/s</t>
  </si>
  <si>
    <t>IO/s per Node</t>
  </si>
  <si>
    <t>IO/s per VM</t>
  </si>
  <si>
    <t>Add "x" % to initial size (1.1 = 110%)</t>
  </si>
  <si>
    <t>IO/s (VM count * IO/s per VM required)</t>
  </si>
  <si>
    <t>HV-Name</t>
  </si>
  <si>
    <t>VM-Name</t>
  </si>
  <si>
    <t>HV-vCPU</t>
  </si>
  <si>
    <t>HV-RAM</t>
  </si>
  <si>
    <t>HV-Disk</t>
  </si>
  <si>
    <t>HV-#</t>
  </si>
  <si>
    <t>VM-vCPU</t>
  </si>
  <si>
    <t>VM-RAM</t>
  </si>
  <si>
    <t>VM-Disk</t>
  </si>
  <si>
    <t>Raid Read IO Penalty</t>
  </si>
  <si>
    <t>Raid Write IO Penalty</t>
  </si>
  <si>
    <t>Total Raw IO/s</t>
  </si>
  <si>
    <t>Calculated Read IO/s</t>
  </si>
  <si>
    <t>Calculated Write IO/s</t>
  </si>
  <si>
    <t>Aggregate Total IO/s</t>
  </si>
  <si>
    <t>Physical CPU Speed (GHz)</t>
  </si>
  <si>
    <t>Physical Threads per CPU</t>
  </si>
  <si>
    <t>Physical CPU Cache (MB)</t>
  </si>
  <si>
    <t>Total GHz</t>
  </si>
  <si>
    <t>Physical CPU Bus Speed (GT/s)</t>
  </si>
  <si>
    <t>Total Logical CPUs per Node (+/- HT)</t>
  </si>
  <si>
    <t>Total vCPUs per Node (+ oversubscription)</t>
  </si>
  <si>
    <t>(4)  Optionally assign VMs to hypervisor, email summary, etc.</t>
  </si>
  <si>
    <t>(1) Select hypervisor to size for:</t>
  </si>
  <si>
    <t>(2) Clear data (if necessary)</t>
  </si>
  <si>
    <t>Clear data between runs.</t>
  </si>
  <si>
    <t>Instance Mapping: Hypervisor &lt;- -&gt; Instance</t>
  </si>
  <si>
    <t>(3) Import instances</t>
  </si>
  <si>
    <t>Accounts for multi-quantity</t>
  </si>
  <si>
    <t>(4) Assign</t>
  </si>
  <si>
    <t>instances</t>
  </si>
  <si>
    <t>Cores</t>
  </si>
  <si>
    <t>E5-2690 v3</t>
  </si>
  <si>
    <t>Chassis</t>
  </si>
  <si>
    <t>U240</t>
  </si>
  <si>
    <t>Total</t>
  </si>
  <si>
    <t>OS (GB)</t>
  </si>
  <si>
    <t>CPU Options and information</t>
  </si>
  <si>
    <t>RAM Options and information</t>
  </si>
  <si>
    <t>Product ID (PID)</t>
  </si>
  <si>
    <t>Intel Number</t>
  </si>
  <si>
    <t>Clock Freq (GHz)</t>
  </si>
  <si>
    <t>Power (W)</t>
  </si>
  <si>
    <t>Cache Size (MB)</t>
  </si>
  <si>
    <t>QPI</t>
  </si>
  <si>
    <t>Highest DDR4 DIMM</t>
  </si>
  <si>
    <t>UCS-CPU-E52699D</t>
  </si>
  <si>
    <t>E5-2699 v3</t>
  </si>
  <si>
    <t>9.6 GT/s</t>
  </si>
  <si>
    <t>UCS-CPU-E52698D</t>
  </si>
  <si>
    <t>E5-2698 v3</t>
  </si>
  <si>
    <t>UCS-CPU-E52697D</t>
  </si>
  <si>
    <t>E5-2697 v3</t>
  </si>
  <si>
    <t>UCS-CPU-E52695D</t>
  </si>
  <si>
    <t>E5-2695 v3</t>
  </si>
  <si>
    <t>UCS-CPU-E52690D</t>
  </si>
  <si>
    <t>UCS-CPU-E52683D</t>
  </si>
  <si>
    <t>E5-2683 v3</t>
  </si>
  <si>
    <t>UCS-CPU-E52680D</t>
  </si>
  <si>
    <t>E5-2680 v3</t>
  </si>
  <si>
    <t>UCS-CPU-E52670D</t>
  </si>
  <si>
    <t>E5-2670 v3</t>
  </si>
  <si>
    <t>UCS-CPU-E52667D</t>
  </si>
  <si>
    <t>E5-2667 v3</t>
  </si>
  <si>
    <t>UCS-CPU-E52660D</t>
  </si>
  <si>
    <t>E5-2660 v3</t>
  </si>
  <si>
    <t>UCS-CPU-E52658D</t>
  </si>
  <si>
    <t>E5-2658 v3</t>
  </si>
  <si>
    <t>UCS-CPU-E52650D</t>
  </si>
  <si>
    <t>E5-2650 v3</t>
  </si>
  <si>
    <t>UCS-CPU-E52650LD</t>
  </si>
  <si>
    <t>E5-2650L v3</t>
  </si>
  <si>
    <t>UCS-CPU-E52643D</t>
  </si>
  <si>
    <t>E5-2643 v3</t>
  </si>
  <si>
    <t>UCS-CPU-E52640D</t>
  </si>
  <si>
    <t>E5-2640 v3</t>
  </si>
  <si>
    <t>8.0 GT/s</t>
  </si>
  <si>
    <t>UCS-CPU-E52637D</t>
  </si>
  <si>
    <t>E5-2637 v3</t>
  </si>
  <si>
    <t>UCS-CPU-E52630D</t>
  </si>
  <si>
    <t>E5-2630 v3</t>
  </si>
  <si>
    <t>UCS-CPU-E52630LD</t>
  </si>
  <si>
    <t>E5-2630L v3</t>
  </si>
  <si>
    <t>UCS-CPU-E52623D</t>
  </si>
  <si>
    <t>E5-2623 v3</t>
  </si>
  <si>
    <t>UCS-CPU-E52620D</t>
  </si>
  <si>
    <t>E5-2620 v3</t>
  </si>
  <si>
    <t>E5-2609 v3</t>
  </si>
  <si>
    <t>6.4 GT/s</t>
  </si>
  <si>
    <r>
      <t>UCS-CPU-E52609D</t>
    </r>
    <r>
      <rPr>
        <sz val="7"/>
        <color theme="1"/>
        <rFont val="Trebuchet MS"/>
        <charset val="161"/>
      </rPr>
      <t>2</t>
    </r>
  </si>
  <si>
    <t>Description</t>
  </si>
  <si>
    <t>Power (Watts)</t>
  </si>
  <si>
    <t>Highest DIMM speed supported (MHz)</t>
  </si>
  <si>
    <t>HYPERVISOR BUILD</t>
  </si>
  <si>
    <t>Select Chassis Type</t>
  </si>
  <si>
    <t>Chassis Options and Information</t>
  </si>
  <si>
    <t>Storage Type</t>
  </si>
  <si>
    <t>Ephemeral</t>
  </si>
  <si>
    <t>Ceph</t>
  </si>
  <si>
    <t>Chassis Type</t>
  </si>
  <si>
    <t>Disk Options and information</t>
  </si>
  <si>
    <t>Storage configuration type</t>
  </si>
  <si>
    <t># of disks in server (SFF &lt;=24, LFF &lt;=12)</t>
  </si>
  <si>
    <t>Total System Memory Size</t>
  </si>
  <si>
    <t>CPU 1 DIMMs</t>
  </si>
  <si>
    <t>CPU 2 DIMMs</t>
  </si>
  <si>
    <t>DIMM Max</t>
  </si>
  <si>
    <t>Speed (MHz)</t>
  </si>
  <si>
    <t>Total DIMMs</t>
  </si>
  <si>
    <t>Blue Slots Slot 1 (A1,B1, C1,D1)</t>
  </si>
  <si>
    <t>Black Slots Slot 2 (A2,B2, C2,D2)</t>
  </si>
  <si>
    <t>White Slots Slot 3 (A3,B3, C3,D3)</t>
  </si>
  <si>
    <t>Blue Slots Slot 1 (E1,F1, G1,H1)</t>
  </si>
  <si>
    <t>Black Slots Slot 2 (E2,F2, G2,H2)</t>
  </si>
  <si>
    <t>White Slots Slot 3 (E3,F3, G3,H3)</t>
  </si>
  <si>
    <t>64 GB</t>
  </si>
  <si>
    <t>4x8 GB</t>
  </si>
  <si>
    <t>—</t>
  </si>
  <si>
    <t>96 GB</t>
  </si>
  <si>
    <r>
      <t>4x8 GB</t>
    </r>
    <r>
      <rPr>
        <sz val="6"/>
        <color theme="1"/>
        <rFont val="Trebuchet MS"/>
        <charset val="161"/>
      </rPr>
      <t>2</t>
    </r>
  </si>
  <si>
    <r>
      <t>2x8 GB</t>
    </r>
    <r>
      <rPr>
        <sz val="7"/>
        <color theme="1"/>
        <rFont val="Trebuchet MS"/>
        <charset val="161"/>
      </rPr>
      <t>2</t>
    </r>
  </si>
  <si>
    <r>
      <t>—</t>
    </r>
    <r>
      <rPr>
        <sz val="7"/>
        <color theme="1"/>
        <rFont val="Trebuchet MS"/>
        <charset val="161"/>
      </rPr>
      <t>2</t>
    </r>
  </si>
  <si>
    <r>
      <t>4x8 GB</t>
    </r>
    <r>
      <rPr>
        <sz val="7"/>
        <color theme="1"/>
        <rFont val="Trebuchet MS"/>
        <charset val="161"/>
      </rPr>
      <t>2</t>
    </r>
  </si>
  <si>
    <t>3x16 GB</t>
  </si>
  <si>
    <t>128 GB</t>
  </si>
  <si>
    <t>4x16 GB</t>
  </si>
  <si>
    <t>192 GB</t>
  </si>
  <si>
    <r>
      <t>4x16 GB</t>
    </r>
    <r>
      <rPr>
        <sz val="7"/>
        <color theme="1"/>
        <rFont val="Trebuchet MS"/>
        <charset val="161"/>
      </rPr>
      <t>2</t>
    </r>
  </si>
  <si>
    <r>
      <t>2x16 GB</t>
    </r>
    <r>
      <rPr>
        <sz val="7"/>
        <color theme="1"/>
        <rFont val="Trebuchet MS"/>
        <charset val="161"/>
      </rPr>
      <t>2</t>
    </r>
  </si>
  <si>
    <t>256 GB</t>
  </si>
  <si>
    <t>4x32 GB</t>
  </si>
  <si>
    <t>384 GB</t>
  </si>
  <si>
    <t>512 GB</t>
  </si>
  <si>
    <t>768 GB</t>
  </si>
  <si>
    <t>1536 GB</t>
  </si>
  <si>
    <t>4x64 GB</t>
  </si>
  <si>
    <t>DIMM Count</t>
  </si>
  <si>
    <t>DIMM Speed</t>
  </si>
  <si>
    <t>DiMM Size</t>
  </si>
  <si>
    <t>Memory Total</t>
  </si>
  <si>
    <t>Recommended DIMM Count</t>
  </si>
  <si>
    <t>Optimal DIMM Speed Possible (MHz)</t>
  </si>
  <si>
    <t>Recommended DIMM Size (GB)</t>
  </si>
  <si>
    <t>Disk Speed</t>
  </si>
  <si>
    <t>Disk IO/s</t>
  </si>
  <si>
    <t>PID Description</t>
  </si>
  <si>
    <t>Drive Type</t>
  </si>
  <si>
    <t>Capacity</t>
  </si>
  <si>
    <t>HDDs</t>
  </si>
  <si>
    <r>
      <t>UCS-HD6T7KL4K</t>
    </r>
    <r>
      <rPr>
        <sz val="7"/>
        <color theme="1"/>
        <rFont val="Trebuchet MS"/>
        <charset val="161"/>
      </rPr>
      <t>1</t>
    </r>
  </si>
  <si>
    <t>6 TB 12G SAS 7.2K RPM LFF HDD (4K sector format)</t>
  </si>
  <si>
    <t>SAS</t>
  </si>
  <si>
    <t>6 TB</t>
  </si>
  <si>
    <t>UCS-HD4T7KS3-E</t>
  </si>
  <si>
    <t>4 TB SAS 7.2K RPM LFF HDD</t>
  </si>
  <si>
    <t>4 TB</t>
  </si>
  <si>
    <t>UCS-HDD3TI2F214</t>
  </si>
  <si>
    <t>3 TB SAS 7.2K RPM LFF HDD</t>
  </si>
  <si>
    <t>3 TB</t>
  </si>
  <si>
    <t>UCS-HDD2TI2F213</t>
  </si>
  <si>
    <t>2 TB SAS 7.2K RPM LFF HDD</t>
  </si>
  <si>
    <t>2 TB</t>
  </si>
  <si>
    <t>UCS-HDD1TI2F212</t>
  </si>
  <si>
    <t>1 TB SAS 7.2K RPM LFF HDD</t>
  </si>
  <si>
    <t>1 TB</t>
  </si>
  <si>
    <t>Boot Drives</t>
  </si>
  <si>
    <t>UCS-SD960G0KSB-EV</t>
  </si>
  <si>
    <t>960 GB 2.5 inch Enterprise Value 6G SATA SSD (BOOT)</t>
  </si>
  <si>
    <t>SATA</t>
  </si>
  <si>
    <t>960 GB</t>
  </si>
  <si>
    <t>UCS-SD480G0KSB-EV</t>
  </si>
  <si>
    <t>480 GB 2.5 inch Enterprise Value 6G SATA SSD (BOOT)</t>
  </si>
  <si>
    <t>480 GB</t>
  </si>
  <si>
    <t>UCS-SD120G0KSB-EV</t>
  </si>
  <si>
    <t>120 GB 2.5 inch Enterprise Value 6G SATA SSD (BOOT)</t>
  </si>
  <si>
    <t>120 GB</t>
  </si>
  <si>
    <t>LFF</t>
  </si>
  <si>
    <t>SFF</t>
  </si>
  <si>
    <t>Bus Type</t>
  </si>
  <si>
    <t>Disk Description</t>
  </si>
  <si>
    <t>HDDs (15K RPM)</t>
  </si>
  <si>
    <t>UCS-HD600G15KS2-E</t>
  </si>
  <si>
    <t>600 GB 6 Gbps SAS 15K RPM SFF HDD</t>
  </si>
  <si>
    <t>600 GB</t>
  </si>
  <si>
    <t>UCS-HD450G15KS2-E</t>
  </si>
  <si>
    <t>450 GB 6 Gbps SAS 15K RPM SFF HDD</t>
  </si>
  <si>
    <t>450 GB</t>
  </si>
  <si>
    <t>UCS-HDD300GI2F105</t>
  </si>
  <si>
    <t>300 GB 6 Gbps SAS 15K RPM SFF HDD</t>
  </si>
  <si>
    <t>300 GB</t>
  </si>
  <si>
    <t>HDDs (10K RPM)</t>
  </si>
  <si>
    <r>
      <t>UCS-HD18TB10KS4K</t>
    </r>
    <r>
      <rPr>
        <sz val="7"/>
        <color theme="1"/>
        <rFont val="Trebuchet MS"/>
        <charset val="161"/>
      </rPr>
      <t>1</t>
    </r>
  </si>
  <si>
    <t>1.8 TB 12 Gbps SAS 10K RPM SFF HDD (4K sector format)</t>
  </si>
  <si>
    <t>1.8 TB</t>
  </si>
  <si>
    <t>UCS-HD12T10KS2-E</t>
  </si>
  <si>
    <t>1.2 TB 6 Gbps SAS 10K RPM SFF HDD</t>
  </si>
  <si>
    <t>1.2 TB</t>
  </si>
  <si>
    <r>
      <t>UCS-HD600G10KS4K</t>
    </r>
    <r>
      <rPr>
        <sz val="7"/>
        <color theme="1"/>
        <rFont val="Trebuchet MS"/>
        <charset val="161"/>
      </rPr>
      <t>1</t>
    </r>
  </si>
  <si>
    <t>600 GB 12 Gbps SAS 10K RPM SFF HDD (4K sector format)</t>
  </si>
  <si>
    <t>UCS-HDD900GI2F106</t>
  </si>
  <si>
    <t>900 GB 6 Gbps SAS 10K RPM SFF HDD</t>
  </si>
  <si>
    <t>900 GB</t>
  </si>
  <si>
    <t>A03-D600GA2</t>
  </si>
  <si>
    <t>600 GB 6 Gbps SAS 10K RPM SFF HDD</t>
  </si>
  <si>
    <t>A03-D300GA2</t>
  </si>
  <si>
    <t>300 GB 6 Gbps SAS 10K RPM SFF HDD</t>
  </si>
  <si>
    <t>HDDs (7.2K RPM)</t>
  </si>
  <si>
    <t>UCS-HD1T7KS2-E</t>
  </si>
  <si>
    <t>1 TB 6 Gbps SAS 7.2K RPM SFF HDD</t>
  </si>
  <si>
    <r>
      <t>A03-D1TBSATA</t>
    </r>
    <r>
      <rPr>
        <sz val="7"/>
        <color theme="1"/>
        <rFont val="Trebuchet MS"/>
        <charset val="161"/>
      </rPr>
      <t>2</t>
    </r>
  </si>
  <si>
    <t>1 TB SATA 7.2K RPM SFF HDD</t>
  </si>
  <si>
    <t>Product ID (PID) PID Description Drive Capacity Type</t>
  </si>
  <si>
    <t>SSDs</t>
  </si>
  <si>
    <r>
      <t>Enterprise Performance SSDs (High endurance, supports up to 10 FDWP (full drive writes per day))</t>
    </r>
    <r>
      <rPr>
        <b/>
        <sz val="7"/>
        <color theme="1"/>
        <rFont val="Trebuchet MS"/>
        <charset val="161"/>
      </rPr>
      <t>3</t>
    </r>
  </si>
  <si>
    <t>UCS-SD16T12S2-EP</t>
  </si>
  <si>
    <t>1.6 TB Enterprise Performance 12 Gbps SAS eMLC SSD (high endurance)</t>
  </si>
  <si>
    <t>1.6 TB</t>
  </si>
  <si>
    <t>UCS-SD800G0KS2-EP</t>
  </si>
  <si>
    <t>800 GB Enterprise Performance 6 Gbps SAS eMLC SSD (high endurance)</t>
  </si>
  <si>
    <t>800 GB</t>
  </si>
  <si>
    <t>UCS-SD400G12S2-EP</t>
  </si>
  <si>
    <t>400 GB Enterprise Performance 12 Gbps SAS eMLC SSD (high endurance)</t>
  </si>
  <si>
    <t>400 GB</t>
  </si>
  <si>
    <t>UCS-SD400G0KS2-EP</t>
  </si>
  <si>
    <t>400 GB Enterprise Performance 6 Gbps SAS eMLC SSD (high endurance)</t>
  </si>
  <si>
    <t>UCS-SD200G0KS2-EP</t>
  </si>
  <si>
    <t>200 GB Enterprise Performance 6 Gbps SAS eMLC SSD (high endurance)</t>
  </si>
  <si>
    <t>200 GB</t>
  </si>
  <si>
    <r>
      <t>Enterprise Value SSDs (Low endurance, supports up to 1 FDWP (Full drive write per day))</t>
    </r>
    <r>
      <rPr>
        <b/>
        <sz val="7"/>
        <color theme="1"/>
        <rFont val="Trebuchet MS"/>
        <charset val="161"/>
      </rPr>
      <t>4</t>
    </r>
  </si>
  <si>
    <t>UCS-SD960G0KS2-EV</t>
  </si>
  <si>
    <t>960 GB 2.5 inch Enterprise Value 6 Gbps SATA SSD</t>
  </si>
  <si>
    <t>UCS-SD480G0KS2-EV</t>
  </si>
  <si>
    <t>480 GB 2.5 inch Enterprise Value 6 Gbps SATA SSD</t>
  </si>
  <si>
    <t>UCS-SD240G0KS2-EV</t>
  </si>
  <si>
    <t>240 GB 2.5 inch Enterprise Value 6 Gbps SATA SSD</t>
  </si>
  <si>
    <t>240 GB</t>
  </si>
  <si>
    <t>UCS-SD120G0KS2-EV</t>
  </si>
  <si>
    <t>120 GB 2.5 inch Enterprise Value 6 Gbps SATA SSD</t>
  </si>
  <si>
    <t>Spindle</t>
  </si>
  <si>
    <t>Bus Throughput (Gbps)</t>
  </si>
  <si>
    <t>Form Factor</t>
  </si>
  <si>
    <t>Bus type</t>
  </si>
  <si>
    <t>Disk speed (1000s of RPM)</t>
  </si>
  <si>
    <t>Disk size (GB)</t>
  </si>
  <si>
    <t>Bus throughput (Gbps)</t>
  </si>
  <si>
    <t>IO/s per disk</t>
  </si>
  <si>
    <t>Total useable capacity per ode (TB)</t>
  </si>
  <si>
    <t>Total raw capacity per node (GB)</t>
  </si>
  <si>
    <t>JBOD</t>
  </si>
  <si>
    <t>(5) Optionally provide utilization, growth and padding rates.</t>
  </si>
  <si>
    <t>Estimated utilization</t>
  </si>
  <si>
    <t>Month-over-month growth rate in %</t>
  </si>
  <si>
    <t>Form factor (in)</t>
  </si>
  <si>
    <t>Sizing paramaters set</t>
  </si>
  <si>
    <t>Sizing Metric</t>
  </si>
  <si>
    <t>Capacity Results</t>
  </si>
  <si>
    <t>Metric</t>
  </si>
  <si>
    <t>Sizing Exercise Settings</t>
  </si>
  <si>
    <t>Aggregate on-demand hourly rate</t>
  </si>
  <si>
    <t>Aggregate 1-year hourly rate</t>
  </si>
  <si>
    <t>Aggregate 3-year hourly rate</t>
  </si>
  <si>
    <t>EBS SSD storage rate</t>
  </si>
  <si>
    <t>EBS general rate</t>
  </si>
  <si>
    <t>Calculated monthly rate (50/50 SSD/general)</t>
  </si>
  <si>
    <t>Estimate of current environment spend</t>
  </si>
  <si>
    <t>IO/s</t>
  </si>
  <si>
    <t>Required</t>
  </si>
  <si>
    <t>Provided</t>
  </si>
  <si>
    <t>Diff. %</t>
  </si>
  <si>
    <t>Count</t>
  </si>
  <si>
    <t>EC2 (direct costs only) description</t>
  </si>
  <si>
    <t>Rate</t>
  </si>
  <si>
    <t>EBS (direct costs only) description</t>
  </si>
  <si>
    <t>EC2 Source Data</t>
  </si>
  <si>
    <t>EBS Source Data</t>
  </si>
  <si>
    <t>Environment Totals</t>
  </si>
  <si>
    <t xml:space="preserve">  </t>
  </si>
  <si>
    <t>7.2K</t>
  </si>
  <si>
    <t>15K</t>
  </si>
  <si>
    <t>10K</t>
  </si>
  <si>
    <t>UCS C240 M4 LFF</t>
  </si>
  <si>
    <t>New Environment Build Information</t>
  </si>
  <si>
    <t>New Environment Build Options</t>
  </si>
  <si>
    <t>Name</t>
  </si>
  <si>
    <t>Advantage / Disadvantage</t>
  </si>
  <si>
    <t>Provides the lowest cost point of entry and therefore, typically, the lowest TCO and highest ROI.  Does not offer integrated HW support options and may slow down design and deploy times due to validation steps.</t>
  </si>
  <si>
    <t>IO/s Consumption</t>
  </si>
  <si>
    <t>Rate of growth</t>
  </si>
  <si>
    <t>Environment Component</t>
  </si>
  <si>
    <t>Provides pre-validated, certified and optimized HW design, typically with higher capacity than existing HW with optional integrated HW support, but at a higher cost than the HW only model.  Utilizes customer's existing network (L2) and access plane (L3 &amp; LB) HW.</t>
  </si>
  <si>
    <t>(1) Local - Software only</t>
  </si>
  <si>
    <t>(2) Local - Control, compute and data plane</t>
  </si>
  <si>
    <t>(3) Local - Control, compute, data, network and access plane</t>
  </si>
  <si>
    <t>(4) Hosted - Control, compute, data, network and access plane</t>
  </si>
  <si>
    <t>Local installation of what is soon to be offered as a "Metapod" which is a self-contained environment containing all planes and bundle pricing options.</t>
  </si>
  <si>
    <t>Hosted "Metapod" installation, the same as option 3 but the environment resides in a co-location facility.</t>
  </si>
  <si>
    <t>Solution Options and Costs</t>
  </si>
  <si>
    <t>Line item description</t>
  </si>
  <si>
    <t>One time</t>
  </si>
  <si>
    <t>Advantageous from a "white glove" approach, generally the quickiest and easiest to deploy and consume but at a higher cost.</t>
  </si>
  <si>
    <t>One time fee - Installation</t>
  </si>
  <si>
    <t>One time fee - Training</t>
  </si>
  <si>
    <t>One time fee - Hosting setup</t>
  </si>
  <si>
    <t>Total one time fees w/ hosting</t>
  </si>
  <si>
    <t>Total one time fees w/o hosting</t>
  </si>
  <si>
    <t>One time fees</t>
  </si>
  <si>
    <t>Control Servers</t>
  </si>
  <si>
    <t>Compute / Data Servers</t>
  </si>
  <si>
    <t>Socket Count</t>
  </si>
  <si>
    <t>Cost per subscription</t>
  </si>
  <si>
    <t>Total raw storage (GB)</t>
  </si>
  <si>
    <t>Managed cost per GB</t>
  </si>
  <si>
    <t>Total storage cost</t>
  </si>
  <si>
    <t>Total compute cost</t>
  </si>
  <si>
    <t>Data costs (monthly)</t>
  </si>
  <si>
    <t>Total monthly SW cost</t>
  </si>
  <si>
    <t>HW costs</t>
  </si>
  <si>
    <t>Per controller cost</t>
  </si>
  <si>
    <t>Controller cost total</t>
  </si>
  <si>
    <t>Per hypervisor cost</t>
  </si>
  <si>
    <t>Hypervisor cost total</t>
  </si>
  <si>
    <t>Total HW cost</t>
  </si>
  <si>
    <t>Ammortized 36 monthly HW costs</t>
  </si>
  <si>
    <t>Total usable storage (GB)</t>
  </si>
  <si>
    <t>UCSC-C220-M4S</t>
  </si>
  <si>
    <t>UCSC-C240-M4L</t>
  </si>
  <si>
    <t>Flavor Name</t>
  </si>
  <si>
    <t>Vol. Size</t>
  </si>
  <si>
    <t>AWS total spend estimate</t>
  </si>
  <si>
    <t>2 x 64 GB SD Cards (standard boot device)</t>
  </si>
  <si>
    <t>36 monthly fees w/o hosting</t>
  </si>
  <si>
    <t>36 monthly fees w/hosting</t>
  </si>
  <si>
    <t>Spend Comparison</t>
  </si>
  <si>
    <t>Initial capacity and utilization over time</t>
  </si>
  <si>
    <t>Required Hypervisors</t>
  </si>
  <si>
    <t>Environment Total Capacity</t>
  </si>
  <si>
    <t>Initial Environment Utilization</t>
  </si>
  <si>
    <t>Capacity Over Time</t>
  </si>
  <si>
    <t>Send email "To" address</t>
  </si>
  <si>
    <t>Send email "CC" address</t>
  </si>
  <si>
    <t>PDF Filepath</t>
  </si>
  <si>
    <t>XLSM Filepath</t>
  </si>
  <si>
    <t>PDF Filename</t>
  </si>
  <si>
    <t>XLSM Filename</t>
  </si>
  <si>
    <t>`</t>
  </si>
  <si>
    <t>CONTROLLER BUILD</t>
  </si>
  <si>
    <t>UCSC-C240-M4S</t>
  </si>
  <si>
    <t>UCSC-C220-M4L</t>
  </si>
  <si>
    <t>480 GB  SATA 6G SSD SFF</t>
  </si>
  <si>
    <t>Calculated Chassis Count</t>
  </si>
  <si>
    <t>CAPACITY ANALYSIS</t>
  </si>
  <si>
    <t>Hardware Device Count Totals</t>
  </si>
  <si>
    <t>ENVIRONMENT TOTALS AND COSTS</t>
  </si>
  <si>
    <t>Software Count Totals</t>
  </si>
  <si>
    <t>Total raw Ceph storage (GB) managed</t>
  </si>
  <si>
    <t>One-Time Fees</t>
  </si>
  <si>
    <t>Hardware Device Totals</t>
  </si>
  <si>
    <t>Diff</t>
  </si>
  <si>
    <t>RAM (GB)</t>
  </si>
  <si>
    <t>Data (GB)</t>
  </si>
  <si>
    <t>Hypervisors Required by CPU</t>
  </si>
  <si>
    <t>Hypervisors Required by RAM</t>
  </si>
  <si>
    <t>Hypervisors Required by Disk Capacity</t>
  </si>
  <si>
    <t>Hypervisors Required by Instance to Disk IO/s</t>
  </si>
  <si>
    <t>Metapod training cost</t>
  </si>
  <si>
    <t>Metapod hosting setup cost</t>
  </si>
  <si>
    <t>Total Metapod Sockets</t>
  </si>
  <si>
    <t>Metapod controller count</t>
  </si>
  <si>
    <t>Metapod per controller cost</t>
  </si>
  <si>
    <t>Metapod per hypervisor cost</t>
  </si>
  <si>
    <t>Metapod controller total cost</t>
  </si>
  <si>
    <t>Metapod hypervisor total cost</t>
  </si>
  <si>
    <t>Metapod software is installed on existing local hardware, customer provides all control, compute, etc. equipment.</t>
  </si>
  <si>
    <t>Net-new UCS hardware installed locally for control, compute and data plane along with Metapod software</t>
  </si>
  <si>
    <t>Advantageous because all components are managed and supported by Metapod, provides easy (basic VLAN hand off) integration into existing DC environments, but at a higher cost than options 1 and 2.</t>
  </si>
  <si>
    <t>Calculated EC2 monthly rate (100% on demand)</t>
  </si>
  <si>
    <t>Calculated EC2 monthly rate (1 year reserved, paid upfront)</t>
  </si>
  <si>
    <t>Calculated EC2 monthly rate (3 year reserved, paid upfront)</t>
  </si>
  <si>
    <t>1 Year</t>
  </si>
  <si>
    <t>3 Year</t>
  </si>
  <si>
    <t>Monthly</t>
  </si>
  <si>
    <t>EBS and EC2 direct charge subtotal (100% on demand)</t>
  </si>
  <si>
    <t>EBS and EC2 monthly rate (1 year reserved, paid upfront)</t>
  </si>
  <si>
    <t>EBS and EC2 monthly rate (3 year reserved, paid upfront)</t>
  </si>
  <si>
    <t>Total monthly estimate (100% On-Demand)</t>
  </si>
  <si>
    <t>Total of indirect fees (100% On-Demand)</t>
  </si>
  <si>
    <t>Total of indirect fees (1 year reserved, paid upfront)</t>
  </si>
  <si>
    <t>Total of indirect fees (3 year reserved, paid upfront)</t>
  </si>
  <si>
    <t>EBS total capacity used (GB)</t>
  </si>
  <si>
    <t>Metapod 1 - Customer DC SW only</t>
  </si>
  <si>
    <t>Metapod 2 - Customer DC SW + HW</t>
  </si>
  <si>
    <t>AWS</t>
  </si>
  <si>
    <t>Metapod 3 - Hosted SW + HW</t>
  </si>
  <si>
    <t>vRealize Pricing</t>
  </si>
  <si>
    <t>vRealize Enterprise Cost per Socket per Month</t>
  </si>
  <si>
    <t>vRealize Enterprise Cost per Socket per Year</t>
  </si>
  <si>
    <t>Total number of sockets required</t>
  </si>
  <si>
    <t>Total Monthly vRealize Cost</t>
  </si>
  <si>
    <t>vRealize SW + HW</t>
  </si>
  <si>
    <t>Cost / Hr</t>
  </si>
  <si>
    <t>Total monthly estimate (1 year reserved, paid upfront)</t>
  </si>
  <si>
    <t>Total monthly estimate (3 year reserved, paid upfront)</t>
  </si>
  <si>
    <t>E5-2640 v3 (8)</t>
  </si>
  <si>
    <t>Cost / 3yr</t>
  </si>
  <si>
    <t>Cost / 1yr</t>
  </si>
  <si>
    <t>Metapod 2901 router count</t>
  </si>
  <si>
    <t>Metapod 2901 router per unit cost</t>
  </si>
  <si>
    <t>Metapod Nexus 9396 bundle (2) count</t>
  </si>
  <si>
    <t>On Demand</t>
  </si>
  <si>
    <t>% of workload is SSD?</t>
  </si>
  <si>
    <t>Total Hardware</t>
  </si>
  <si>
    <t>Metapod monthly hosting cost per rack</t>
  </si>
  <si>
    <t>Total number of racks required</t>
  </si>
  <si>
    <t>Total monthly hosting cost</t>
  </si>
  <si>
    <t>Metapod ASR 1002K count</t>
  </si>
  <si>
    <t>% above total is indirect charge (AWS support, transfer, S3, etc.)</t>
  </si>
  <si>
    <t>E5-2690 v3 (12)</t>
  </si>
  <si>
    <t>4096 GB 7.2K SAS 6G Spindle LFF</t>
  </si>
  <si>
    <t>Metapod Nexus 9368 (x2) per unit cost</t>
  </si>
  <si>
    <t>Metapod ASR 1002 (x2) per unit cost</t>
  </si>
  <si>
    <t>jedcarr@cisco.com</t>
  </si>
  <si>
    <t>Metapod installation cost (waived w/ Metapod Head-End)</t>
  </si>
  <si>
    <t>Table 7.       List pricing for CPU socket subscriptions.</t>
  </si>
  <si>
    <t>Committed Sockets</t>
  </si>
  <si>
    <t>Price Per Socket for 1 yr</t>
  </si>
  <si>
    <t>Price Per Socket for 3/4/5 yr</t>
  </si>
  <si>
    <t>30-100</t>
  </si>
  <si>
    <t>101-200</t>
  </si>
  <si>
    <t>201-400</t>
  </si>
  <si>
    <t>401-1000</t>
  </si>
  <si>
    <t>1001+</t>
  </si>
  <si>
    <t>Table 8.       List pricing for CPU storage subscriptions.</t>
  </si>
  <si>
    <t>Term</t>
  </si>
  <si>
    <t>Price Per Raw Terabyte (TB)</t>
  </si>
  <si>
    <t>1 year</t>
  </si>
  <si>
    <t>2 year</t>
  </si>
  <si>
    <t>3, 4 or 5 years</t>
  </si>
  <si>
    <t>Total Monthly Cost (3 Year term)</t>
  </si>
  <si>
    <t>Storage IO/s</t>
  </si>
  <si>
    <t>Storage Capacity</t>
  </si>
  <si>
    <t>Difference</t>
  </si>
  <si>
    <t>Control &amp; compute costs</t>
  </si>
  <si>
    <t>dev.t2.micro</t>
  </si>
  <si>
    <t>dev.m3.medium</t>
  </si>
  <si>
    <t>dev.c4.large</t>
  </si>
  <si>
    <t>dev.m4.large</t>
  </si>
  <si>
    <t>dev.c4.xlarge</t>
  </si>
  <si>
    <t>dev.c3.2xlarge</t>
  </si>
  <si>
    <t>dev.c4.4xlarge</t>
  </si>
  <si>
    <t>prod.t2.micro</t>
  </si>
  <si>
    <t>prod.m3.medium</t>
  </si>
  <si>
    <t>prod.m4.2xlarge</t>
  </si>
  <si>
    <t>prod.c3.2xlarge</t>
  </si>
  <si>
    <t>prod.c4.large</t>
  </si>
  <si>
    <t>temp.c4.large</t>
  </si>
  <si>
    <t>Hardware Device Per Unit Costs</t>
  </si>
  <si>
    <t>Software Item Per Unit Costs</t>
  </si>
  <si>
    <t>Metapod per socket monthly subscription fee (1 Year)</t>
  </si>
  <si>
    <t>Metapod per socket monthly subscription fee (3 Year)</t>
  </si>
  <si>
    <t>Managed storage per GB fee (1 Year term)</t>
  </si>
  <si>
    <t>Managed storage per GB fee (2 Year term)</t>
  </si>
  <si>
    <t>Managed storage per GB fee (3+ Year term)</t>
  </si>
  <si>
    <t>Total Monthly Cost (1 Year term)</t>
  </si>
  <si>
    <t>Total HW Cost</t>
  </si>
  <si>
    <t>Total SW Cost (1 Year Term)</t>
  </si>
  <si>
    <t>Software Cost Totals</t>
  </si>
  <si>
    <t>Total Managed Ceph Storage Cost (1 Year Term)</t>
  </si>
  <si>
    <t>Total Metapod Subscripription Cost (1 Year Term)</t>
  </si>
  <si>
    <t>Total Metapod Subscripription Cost (3 Year Term)</t>
  </si>
  <si>
    <t>Total Managed Ceph Storage Cost (3 Year Term)</t>
  </si>
  <si>
    <t>Price Per Raw Gigabyte (GB) for 3/4/5 yr</t>
  </si>
  <si>
    <t>Total HW &amp; SW Cost (1 Year Term)</t>
  </si>
  <si>
    <t>Total SW Cost (3 Year Term)</t>
  </si>
  <si>
    <t>Total HW &amp; SW Cost (3 Year Term)</t>
  </si>
  <si>
    <t>Metapod 1 Year Term Pricing</t>
  </si>
  <si>
    <t>Metapod 3 Year Term Pricing</t>
  </si>
  <si>
    <t>AWS Estimates</t>
  </si>
  <si>
    <t>Amazon "Uplift" Costs (Support, Transfer Fees, etc.)</t>
  </si>
  <si>
    <t>EC2 On-Demand Cost (Monrhly)</t>
  </si>
  <si>
    <t>EC2 1 Year Pre-Paid (Total)</t>
  </si>
  <si>
    <t>EC2 1 Year Pre-Paid (Monrhly)</t>
  </si>
  <si>
    <t>EC2 3 Year Pre-Paid (Total)</t>
  </si>
  <si>
    <t>EC2 3 Year Pre-Paid (Monrhly)</t>
  </si>
  <si>
    <t>EBS (Monthly)</t>
  </si>
  <si>
    <t>Metapod hypervisor count (rounds up to minimum of 7)</t>
  </si>
  <si>
    <t>Metapod head-end "value" bundle</t>
  </si>
  <si>
    <t>Metapod head-end "enterprise" bundle</t>
  </si>
  <si>
    <t>Metapod head-end "service provider" bundle</t>
  </si>
  <si>
    <t>Metapod head-end "value" bundle cost</t>
  </si>
  <si>
    <t>Metapod head-end "enterprise" bundle cost</t>
  </si>
  <si>
    <t>Metapod head-end "service provider" bundle cost</t>
  </si>
  <si>
    <t>Metapod head-end total cost</t>
  </si>
  <si>
    <t>AWS 1 Year Total w/ EBS &amp; "Uplifit" (1 Year Total)</t>
  </si>
  <si>
    <t>AWS 1 Year Total w/ EBS &amp; "Uplifit" (1 Year Monthly)</t>
  </si>
  <si>
    <t>AWS 3 Year Total w/ EBS &amp; "Uplifit" (3 Year Total)</t>
  </si>
  <si>
    <t>AWS 3 Year Total w/ EBS &amp; "Uplifit" (3 Year Monthly)</t>
  </si>
  <si>
    <t>AWS On-Demand Total w/ EBS &amp; "Uplifit" (1 Year Total)</t>
  </si>
  <si>
    <t>AWS On-Demand Total w/ EBS &amp; "Uplifit" (1 Year Monthly)</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</si>
</sst>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_(&quot;$&quot;* \(#,##0.00\);_(&quot;$&quot;* &quot;-&quot;??_);_(@_)"/>
    <numFmt numFmtId="164" formatCode="_-* #,##0.00_-;\-* #,##0.00_-;_-* &quot;-&quot;??_-;_-@_-"/>
    <numFmt numFmtId="165" formatCode="&quot;$&quot;#,##0.00;[Red]&quot;$&quot;#,##0.00"/>
    <numFmt numFmtId="166" formatCode="&quot;$&quot;#,##0.000;[Red]&quot;$&quot;#,##0.000"/>
    <numFmt numFmtId="167" formatCode="&quot;$&quot;#,##0.0000;[Red]&quot;$&quot;#,##0.0000"/>
  </numFmts>
  <fonts count="44" x14ac:knownFonts="1">
    <font>
      <sz val="12"/>
      <color theme="1"/>
      <name val="Calibri"/>
      <family val="2"/>
      <scheme val="minor"/>
    </font>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10"/>
      <color theme="1"/>
      <name val="Calibri"/>
      <family val="2"/>
      <scheme val="minor"/>
    </font>
    <font>
      <b/>
      <sz val="10"/>
      <color theme="1"/>
      <name val="Calibri"/>
      <family val="2"/>
      <scheme val="minor"/>
    </font>
    <font>
      <b/>
      <sz val="10"/>
      <color theme="0"/>
      <name val="Calibri"/>
      <family val="2"/>
      <scheme val="minor"/>
    </font>
    <font>
      <sz val="12"/>
      <color theme="1"/>
      <name val="Calibri"/>
      <family val="2"/>
      <scheme val="minor"/>
    </font>
    <font>
      <sz val="10"/>
      <name val="Calibri"/>
      <family val="2"/>
      <scheme val="minor"/>
    </font>
    <font>
      <sz val="10"/>
      <color rgb="FFFF0000"/>
      <name val="Calibri"/>
      <family val="2"/>
      <scheme val="minor"/>
    </font>
    <font>
      <sz val="10"/>
      <color theme="0"/>
      <name val="Calibri"/>
      <family val="2"/>
      <scheme val="minor"/>
    </font>
    <font>
      <sz val="8"/>
      <color theme="1"/>
      <name val="Calibri"/>
      <family val="2"/>
      <scheme val="minor"/>
    </font>
    <font>
      <b/>
      <sz val="11"/>
      <color theme="1"/>
      <name val="Calibri"/>
      <family val="2"/>
      <scheme val="minor"/>
    </font>
    <font>
      <i/>
      <sz val="10"/>
      <color theme="1"/>
      <name val="Calibri"/>
      <family val="2"/>
      <scheme val="minor"/>
    </font>
    <font>
      <b/>
      <sz val="10"/>
      <color theme="0" tint="-4.9989318521683403E-2"/>
      <name val="Calibri"/>
      <family val="2"/>
      <scheme val="minor"/>
    </font>
    <font>
      <sz val="10"/>
      <color rgb="FF000000"/>
      <name val="Calibri"/>
      <family val="2"/>
    </font>
    <font>
      <sz val="10"/>
      <color theme="0" tint="-0.34998626667073579"/>
      <name val="Calibri"/>
      <scheme val="minor"/>
    </font>
    <font>
      <b/>
      <sz val="10"/>
      <color theme="1"/>
      <name val="Trebuchet MS"/>
      <charset val="161"/>
    </font>
    <font>
      <sz val="10"/>
      <color theme="1"/>
      <name val="Trebuchet MS"/>
      <charset val="161"/>
    </font>
    <font>
      <b/>
      <sz val="7"/>
      <color theme="1"/>
      <name val="Trebuchet MS"/>
      <charset val="161"/>
    </font>
    <font>
      <sz val="7"/>
      <color theme="1"/>
      <name val="Trebuchet MS"/>
      <charset val="161"/>
    </font>
    <font>
      <b/>
      <sz val="8.5"/>
      <color theme="1"/>
      <name val="Trebuchet MS"/>
      <charset val="161"/>
    </font>
    <font>
      <b/>
      <sz val="13.5"/>
      <color theme="1"/>
      <name val="Trebuchet MS"/>
      <charset val="161"/>
    </font>
    <font>
      <sz val="9"/>
      <color theme="1"/>
      <name val="Trebuchet MS"/>
      <charset val="161"/>
    </font>
    <font>
      <sz val="6"/>
      <color theme="1"/>
      <name val="Trebuchet MS"/>
      <charset val="161"/>
    </font>
    <font>
      <b/>
      <sz val="10"/>
      <color rgb="FF000000"/>
      <name val="Trebuchet MS"/>
      <charset val="161"/>
    </font>
    <font>
      <sz val="10"/>
      <color rgb="FF000000"/>
      <name val="Trebuchet MS"/>
      <charset val="161"/>
    </font>
    <font>
      <b/>
      <sz val="7.5"/>
      <color theme="1"/>
      <name val="Trebuchet MS"/>
      <charset val="161"/>
    </font>
    <font>
      <sz val="8"/>
      <name val="Calibri"/>
      <family val="2"/>
      <scheme val="minor"/>
    </font>
    <font>
      <sz val="11"/>
      <color rgb="FF000000"/>
      <name val="Calibri"/>
      <scheme val="minor"/>
    </font>
    <font>
      <sz val="10"/>
      <name val="Calibri"/>
      <family val="2"/>
    </font>
    <font>
      <sz val="9"/>
      <color theme="1"/>
      <name val="Calibri"/>
      <family val="2"/>
      <scheme val="minor"/>
    </font>
    <font>
      <sz val="9"/>
      <color theme="0"/>
      <name val="Calibri"/>
      <family val="2"/>
      <scheme val="minor"/>
    </font>
    <font>
      <sz val="9"/>
      <color rgb="FF000000"/>
      <name val="Courier"/>
    </font>
    <font>
      <sz val="9"/>
      <name val="Calibri"/>
      <family val="2"/>
      <scheme val="minor"/>
    </font>
    <font>
      <sz val="9"/>
      <color rgb="FFFF0000"/>
      <name val="Calibri"/>
      <family val="2"/>
      <scheme val="minor"/>
    </font>
    <font>
      <sz val="10"/>
      <name val="Arial"/>
    </font>
    <font>
      <sz val="12"/>
      <color rgb="FF000000"/>
      <name val="Calibri"/>
    </font>
    <font>
      <sz val="11"/>
      <color rgb="FF000000"/>
      <name val="Calibri"/>
    </font>
    <font>
      <b/>
      <i/>
      <u/>
      <sz val="14"/>
      <color rgb="FFC0504D"/>
      <name val="Calibri"/>
    </font>
    <font>
      <i/>
      <sz val="9"/>
      <color rgb="FF0000FF"/>
      <name val="Calibri"/>
      <scheme val="minor"/>
    </font>
  </fonts>
  <fills count="18">
    <fill>
      <patternFill patternType="none"/>
    </fill>
    <fill>
      <patternFill patternType="gray125"/>
    </fill>
    <fill>
      <patternFill patternType="solid">
        <fgColor theme="3"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FFFCC"/>
        <bgColor indexed="64"/>
      </patternFill>
    </fill>
    <fill>
      <patternFill patternType="solid">
        <fgColor theme="4" tint="0.79998168889431442"/>
        <bgColor indexed="64"/>
      </patternFill>
    </fill>
    <fill>
      <gradientFill degree="90">
        <stop position="0">
          <color rgb="FFFFFFCC"/>
        </stop>
        <stop position="1">
          <color rgb="FFFFFFCC"/>
        </stop>
      </gradientFill>
    </fill>
    <fill>
      <patternFill patternType="solid">
        <fgColor rgb="FFCCFFCC"/>
        <bgColor indexed="64"/>
      </patternFill>
    </fill>
    <fill>
      <patternFill patternType="solid">
        <fgColor rgb="FFFFFFCC"/>
        <bgColor rgb="FF000000"/>
      </patternFill>
    </fill>
    <fill>
      <patternFill patternType="solid">
        <fgColor rgb="FFFFFFFF"/>
        <bgColor rgb="FF000000"/>
      </patternFill>
    </fill>
    <fill>
      <patternFill patternType="solid">
        <fgColor theme="6" tint="-0.499984740745262"/>
        <bgColor indexed="64"/>
      </patternFill>
    </fill>
    <fill>
      <patternFill patternType="solid">
        <fgColor theme="4" tint="-0.249977111117893"/>
        <bgColor indexed="64"/>
      </patternFill>
    </fill>
    <fill>
      <patternFill patternType="solid">
        <fgColor rgb="FFB3D0EC"/>
        <bgColor indexed="64"/>
      </patternFill>
    </fill>
    <fill>
      <patternFill patternType="solid">
        <fgColor rgb="FFFFFFB3"/>
        <bgColor indexed="64"/>
      </patternFill>
    </fill>
    <fill>
      <patternFill patternType="solid">
        <fgColor rgb="FFB3D0EC"/>
        <bgColor rgb="FF000000"/>
      </patternFill>
    </fill>
    <fill>
      <patternFill patternType="solid">
        <fgColor theme="0" tint="-0.14999847407452621"/>
        <bgColor indexed="64"/>
      </patternFill>
    </fill>
    <fill>
      <patternFill patternType="solid">
        <fgColor theme="2" tint="-9.9978637043366805E-2"/>
        <bgColor indexed="64"/>
      </patternFill>
    </fill>
  </fills>
  <borders count="3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thin">
        <color auto="1"/>
      </top>
      <bottom style="thin">
        <color auto="1"/>
      </bottom>
      <diagonal/>
    </border>
    <border>
      <left style="thin">
        <color auto="1"/>
      </left>
      <right style="thin">
        <color auto="1"/>
      </right>
      <top/>
      <bottom/>
      <diagonal/>
    </border>
    <border>
      <left/>
      <right/>
      <top style="thin">
        <color auto="1"/>
      </top>
      <bottom style="thin">
        <color auto="1"/>
      </bottom>
      <diagonal/>
    </border>
    <border>
      <left/>
      <right/>
      <top style="medium">
        <color rgb="FF000000"/>
      </top>
      <bottom style="medium">
        <color rgb="FF000000"/>
      </bottom>
      <diagonal/>
    </border>
    <border>
      <left/>
      <right/>
      <top style="medium">
        <color rgb="FF000000"/>
      </top>
      <bottom/>
      <diagonal/>
    </border>
    <border>
      <left/>
      <right/>
      <top/>
      <bottom style="medium">
        <color rgb="FF000000"/>
      </bottom>
      <diagonal/>
    </border>
    <border>
      <left style="thin">
        <color auto="1"/>
      </left>
      <right style="thin">
        <color auto="1"/>
      </right>
      <top style="thin">
        <color auto="1"/>
      </top>
      <bottom style="thin">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right style="medium">
        <color rgb="FF000000"/>
      </right>
      <top/>
      <bottom/>
      <diagonal/>
    </border>
    <border>
      <left style="medium">
        <color rgb="FF000000"/>
      </left>
      <right/>
      <top style="medium">
        <color rgb="FF000000"/>
      </top>
      <bottom/>
      <diagonal/>
    </border>
    <border>
      <left style="medium">
        <color rgb="FF000000"/>
      </left>
      <right/>
      <top/>
      <bottom style="medium">
        <color rgb="FF000000"/>
      </bottom>
      <diagonal/>
    </border>
  </borders>
  <cellStyleXfs count="538">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4" fontId="10"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9" fontId="10" fillId="0" borderId="0" applyFont="0" applyFill="0" applyBorder="0" applyAlignment="0" applyProtection="0"/>
    <xf numFmtId="0" fontId="3"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2"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32" fillId="0" borderId="0"/>
    <xf numFmtId="0" fontId="33"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164" fontId="1" fillId="0" borderId="0" applyFont="0" applyFill="0" applyBorder="0" applyAlignment="0" applyProtection="0"/>
    <xf numFmtId="0" fontId="39"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398">
    <xf numFmtId="0" fontId="0" fillId="0" borderId="0" xfId="0"/>
    <xf numFmtId="0" fontId="11" fillId="6" borderId="0" xfId="0" applyFont="1" applyFill="1"/>
    <xf numFmtId="0" fontId="7" fillId="6" borderId="0" xfId="0" applyFont="1" applyFill="1"/>
    <xf numFmtId="0" fontId="7" fillId="6" borderId="0" xfId="0" applyFont="1" applyFill="1" applyAlignment="1">
      <alignment horizontal="center" vertical="center"/>
    </xf>
    <xf numFmtId="0" fontId="7" fillId="4" borderId="8" xfId="0" applyFont="1" applyFill="1" applyBorder="1"/>
    <xf numFmtId="0" fontId="7" fillId="4" borderId="9" xfId="0" applyFont="1" applyFill="1" applyBorder="1"/>
    <xf numFmtId="0" fontId="7" fillId="4" borderId="9" xfId="0" applyFont="1" applyFill="1" applyBorder="1" applyAlignment="1">
      <alignment horizontal="center" vertical="center"/>
    </xf>
    <xf numFmtId="0" fontId="7" fillId="4" borderId="5" xfId="0" applyFont="1" applyFill="1" applyBorder="1"/>
    <xf numFmtId="0" fontId="11" fillId="4" borderId="10" xfId="0" applyFont="1" applyFill="1" applyBorder="1"/>
    <xf numFmtId="0" fontId="11" fillId="4" borderId="11" xfId="0" applyFont="1" applyFill="1" applyBorder="1"/>
    <xf numFmtId="0" fontId="7" fillId="4" borderId="10" xfId="0" applyFont="1" applyFill="1" applyBorder="1"/>
    <xf numFmtId="0" fontId="7" fillId="4" borderId="11" xfId="0" applyFont="1" applyFill="1" applyBorder="1"/>
    <xf numFmtId="0" fontId="7" fillId="4" borderId="12" xfId="0" applyFont="1" applyFill="1" applyBorder="1"/>
    <xf numFmtId="0" fontId="7" fillId="4" borderId="7" xfId="0" applyFont="1" applyFill="1" applyBorder="1" applyAlignment="1">
      <alignment horizontal="left" vertical="center" wrapText="1"/>
    </xf>
    <xf numFmtId="0" fontId="7" fillId="4" borderId="6" xfId="0" applyFont="1" applyFill="1" applyBorder="1"/>
    <xf numFmtId="0" fontId="7" fillId="4" borderId="6" xfId="0" applyFont="1" applyFill="1" applyBorder="1" applyAlignment="1">
      <alignment horizontal="left" vertical="center" wrapText="1"/>
    </xf>
    <xf numFmtId="0" fontId="7" fillId="4" borderId="0" xfId="0" applyFont="1" applyFill="1" applyBorder="1" applyAlignment="1">
      <alignment horizontal="center" vertical="center"/>
    </xf>
    <xf numFmtId="0" fontId="7" fillId="4" borderId="7" xfId="0" applyFont="1" applyFill="1" applyBorder="1"/>
    <xf numFmtId="0" fontId="7" fillId="4" borderId="7" xfId="0" applyFont="1" applyFill="1" applyBorder="1" applyAlignment="1">
      <alignment horizontal="center" vertical="center"/>
    </xf>
    <xf numFmtId="0" fontId="7" fillId="4" borderId="11" xfId="0" applyFont="1" applyFill="1" applyBorder="1" applyAlignment="1">
      <alignment vertical="center" wrapText="1"/>
    </xf>
    <xf numFmtId="0" fontId="11" fillId="4" borderId="11" xfId="0" applyFont="1" applyFill="1" applyBorder="1" applyAlignment="1">
      <alignment horizontal="right"/>
    </xf>
    <xf numFmtId="0" fontId="11" fillId="4" borderId="0" xfId="0" applyFont="1" applyFill="1" applyBorder="1" applyAlignment="1">
      <alignment horizontal="left"/>
    </xf>
    <xf numFmtId="0" fontId="11" fillId="4" borderId="11" xfId="0" applyFont="1" applyFill="1" applyBorder="1" applyAlignment="1">
      <alignment horizontal="left"/>
    </xf>
    <xf numFmtId="0" fontId="11" fillId="6" borderId="0" xfId="0" applyFont="1" applyFill="1" applyAlignment="1">
      <alignment horizontal="left"/>
    </xf>
    <xf numFmtId="0" fontId="11" fillId="4" borderId="0" xfId="0" applyFont="1" applyFill="1" applyBorder="1" applyAlignment="1">
      <alignment horizontal="right"/>
    </xf>
    <xf numFmtId="0" fontId="8" fillId="4" borderId="0" xfId="0" applyFont="1" applyFill="1" applyBorder="1" applyAlignment="1">
      <alignment horizontal="center" vertical="center"/>
    </xf>
    <xf numFmtId="0" fontId="7" fillId="7" borderId="1" xfId="0" applyFont="1" applyFill="1" applyBorder="1" applyProtection="1">
      <protection locked="0"/>
    </xf>
    <xf numFmtId="0" fontId="7" fillId="7" borderId="1" xfId="0" applyFont="1" applyFill="1" applyBorder="1" applyAlignment="1" applyProtection="1">
      <alignment horizontal="center" vertical="center"/>
      <protection locked="0"/>
    </xf>
    <xf numFmtId="0" fontId="7" fillId="0" borderId="8" xfId="0" applyFont="1" applyBorder="1"/>
    <xf numFmtId="0" fontId="11" fillId="0" borderId="9" xfId="0" applyFont="1" applyBorder="1"/>
    <xf numFmtId="0" fontId="11" fillId="0" borderId="9" xfId="0" applyFont="1" applyBorder="1" applyAlignment="1">
      <alignment horizontal="right"/>
    </xf>
    <xf numFmtId="0" fontId="13" fillId="0" borderId="5" xfId="0" applyFont="1" applyBorder="1"/>
    <xf numFmtId="0" fontId="7" fillId="0" borderId="10" xfId="0" applyFont="1" applyBorder="1"/>
    <xf numFmtId="0" fontId="13" fillId="0" borderId="11" xfId="0" applyFont="1" applyBorder="1"/>
    <xf numFmtId="0" fontId="7" fillId="0" borderId="12" xfId="0" applyFont="1" applyBorder="1"/>
    <xf numFmtId="0" fontId="11" fillId="0" borderId="7" xfId="0" applyFont="1" applyBorder="1"/>
    <xf numFmtId="0" fontId="11" fillId="0" borderId="7" xfId="0" applyFont="1" applyBorder="1" applyAlignment="1">
      <alignment horizontal="right"/>
    </xf>
    <xf numFmtId="0" fontId="13" fillId="0" borderId="6" xfId="0" applyFont="1" applyBorder="1"/>
    <xf numFmtId="0" fontId="11" fillId="0" borderId="0" xfId="0" applyFont="1" applyBorder="1" applyAlignment="1">
      <alignment horizontal="left" indent="1"/>
    </xf>
    <xf numFmtId="0" fontId="11" fillId="0" borderId="0" xfId="0" applyFont="1" applyBorder="1" applyAlignment="1">
      <alignment horizontal="right"/>
    </xf>
    <xf numFmtId="9" fontId="11" fillId="3" borderId="11" xfId="15" applyFont="1" applyFill="1" applyBorder="1" applyAlignment="1">
      <alignment horizontal="right"/>
    </xf>
    <xf numFmtId="9" fontId="11" fillId="3" borderId="6" xfId="15" applyFont="1" applyFill="1" applyBorder="1" applyAlignment="1">
      <alignment horizontal="right"/>
    </xf>
    <xf numFmtId="0" fontId="7" fillId="0" borderId="7" xfId="0" applyFont="1" applyBorder="1"/>
    <xf numFmtId="0" fontId="7" fillId="0" borderId="7" xfId="0" applyFont="1" applyBorder="1" applyAlignment="1">
      <alignment horizontal="center" vertical="center"/>
    </xf>
    <xf numFmtId="0" fontId="7" fillId="0" borderId="6" xfId="0" applyFont="1" applyBorder="1" applyAlignment="1">
      <alignment horizontal="center" vertical="center"/>
    </xf>
    <xf numFmtId="0" fontId="14" fillId="0" borderId="0" xfId="0" applyFont="1" applyAlignment="1">
      <alignment horizontal="center" vertical="center"/>
    </xf>
    <xf numFmtId="0" fontId="7" fillId="5" borderId="1" xfId="0" applyFont="1" applyFill="1" applyBorder="1" applyProtection="1"/>
    <xf numFmtId="0" fontId="7" fillId="5" borderId="1" xfId="0" applyFont="1" applyFill="1" applyBorder="1" applyAlignment="1" applyProtection="1">
      <alignment horizontal="center" vertical="center"/>
    </xf>
    <xf numFmtId="0" fontId="7" fillId="4" borderId="11" xfId="0" applyFont="1" applyFill="1" applyBorder="1" applyAlignment="1">
      <alignment horizontal="left" vertical="center" wrapText="1"/>
    </xf>
    <xf numFmtId="9" fontId="11" fillId="3" borderId="5" xfId="15" applyNumberFormat="1" applyFont="1" applyFill="1" applyBorder="1" applyAlignment="1">
      <alignment horizontal="right"/>
    </xf>
    <xf numFmtId="0" fontId="7" fillId="8" borderId="0" xfId="0" applyFont="1" applyFill="1" applyAlignment="1">
      <alignment horizontal="center" vertical="center"/>
    </xf>
    <xf numFmtId="0" fontId="7" fillId="4" borderId="8" xfId="0" applyFont="1" applyFill="1" applyBorder="1" applyAlignment="1">
      <alignment horizontal="center" vertical="center"/>
    </xf>
    <xf numFmtId="0" fontId="7" fillId="4" borderId="5" xfId="0" applyFont="1" applyFill="1" applyBorder="1" applyAlignment="1">
      <alignment horizontal="center" vertical="center"/>
    </xf>
    <xf numFmtId="0" fontId="7" fillId="4" borderId="10" xfId="0" applyFont="1" applyFill="1" applyBorder="1" applyAlignment="1">
      <alignment horizontal="center" vertical="center"/>
    </xf>
    <xf numFmtId="0" fontId="7" fillId="4" borderId="11" xfId="0" applyFont="1" applyFill="1" applyBorder="1" applyAlignment="1">
      <alignment horizontal="center" vertical="center"/>
    </xf>
    <xf numFmtId="0" fontId="7" fillId="4" borderId="12" xfId="0" applyFont="1" applyFill="1" applyBorder="1" applyAlignment="1">
      <alignment horizontal="center" vertical="center"/>
    </xf>
    <xf numFmtId="0" fontId="7" fillId="4" borderId="6" xfId="0" applyFont="1" applyFill="1" applyBorder="1" applyAlignment="1">
      <alignment horizontal="center" vertical="center"/>
    </xf>
    <xf numFmtId="0" fontId="8" fillId="4" borderId="10" xfId="0" applyFont="1" applyFill="1" applyBorder="1" applyAlignment="1">
      <alignment horizontal="center" vertical="center"/>
    </xf>
    <xf numFmtId="0" fontId="8" fillId="4" borderId="11" xfId="0" applyFont="1" applyFill="1" applyBorder="1" applyAlignment="1">
      <alignment horizontal="center" vertical="center"/>
    </xf>
    <xf numFmtId="0" fontId="8" fillId="8" borderId="0" xfId="0" applyFont="1" applyFill="1" applyAlignment="1">
      <alignment horizontal="center" vertical="center"/>
    </xf>
    <xf numFmtId="0" fontId="8" fillId="4" borderId="8" xfId="0" applyFont="1" applyFill="1" applyBorder="1" applyAlignment="1">
      <alignment horizontal="center" vertical="center"/>
    </xf>
    <xf numFmtId="0" fontId="8" fillId="4" borderId="9" xfId="0" applyFont="1" applyFill="1" applyBorder="1" applyAlignment="1">
      <alignment horizontal="center" vertical="center"/>
    </xf>
    <xf numFmtId="0" fontId="8" fillId="4"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8" xfId="0" applyFont="1" applyFill="1" applyBorder="1" applyAlignment="1">
      <alignment horizontal="left" vertical="center"/>
    </xf>
    <xf numFmtId="0" fontId="8" fillId="5" borderId="5" xfId="0" applyFont="1" applyFill="1" applyBorder="1" applyAlignment="1">
      <alignment horizontal="center" vertical="center"/>
    </xf>
    <xf numFmtId="0" fontId="7" fillId="5" borderId="7" xfId="0" applyFont="1" applyFill="1" applyBorder="1" applyAlignment="1">
      <alignment horizontal="center" vertical="center"/>
    </xf>
    <xf numFmtId="0" fontId="16" fillId="5" borderId="7" xfId="0" applyFont="1" applyFill="1" applyBorder="1" applyAlignment="1">
      <alignment horizontal="left" vertical="center"/>
    </xf>
    <xf numFmtId="0" fontId="8" fillId="5" borderId="6" xfId="0" applyFont="1" applyFill="1" applyBorder="1" applyAlignment="1">
      <alignment horizontal="center" vertical="center"/>
    </xf>
    <xf numFmtId="0" fontId="16" fillId="5" borderId="12" xfId="0" applyFont="1" applyFill="1" applyBorder="1" applyAlignment="1">
      <alignment horizontal="left" vertical="center"/>
    </xf>
    <xf numFmtId="0" fontId="8" fillId="4" borderId="12" xfId="0" applyFont="1" applyFill="1" applyBorder="1" applyAlignment="1">
      <alignment horizontal="center" vertical="center"/>
    </xf>
    <xf numFmtId="0" fontId="8" fillId="4" borderId="7" xfId="0" applyFont="1" applyFill="1" applyBorder="1" applyAlignment="1">
      <alignment horizontal="center" vertical="center"/>
    </xf>
    <xf numFmtId="0" fontId="8" fillId="4" borderId="6" xfId="0" applyFont="1" applyFill="1" applyBorder="1" applyAlignment="1">
      <alignment horizontal="center" vertical="center"/>
    </xf>
    <xf numFmtId="0" fontId="16" fillId="5" borderId="6" xfId="0" applyFont="1" applyFill="1" applyBorder="1" applyAlignment="1">
      <alignment horizontal="left" vertical="center"/>
    </xf>
    <xf numFmtId="0" fontId="8" fillId="5" borderId="1" xfId="0" applyFont="1" applyFill="1" applyBorder="1" applyAlignment="1">
      <alignment horizontal="center" vertical="center"/>
    </xf>
    <xf numFmtId="0" fontId="7" fillId="5" borderId="6" xfId="0" applyFont="1" applyFill="1" applyBorder="1" applyAlignment="1">
      <alignment horizontal="center" vertical="center"/>
    </xf>
    <xf numFmtId="0" fontId="8" fillId="5" borderId="12" xfId="0" applyFont="1" applyFill="1" applyBorder="1" applyAlignment="1">
      <alignment horizontal="left" vertical="center"/>
    </xf>
    <xf numFmtId="0" fontId="17" fillId="4" borderId="0" xfId="0" applyFont="1" applyFill="1" applyBorder="1" applyAlignment="1">
      <alignment horizontal="center" vertical="center"/>
    </xf>
    <xf numFmtId="0" fontId="18" fillId="9" borderId="1" xfId="0" applyFont="1" applyFill="1" applyBorder="1" applyAlignment="1">
      <alignment horizontal="center" vertical="center"/>
    </xf>
    <xf numFmtId="0" fontId="18" fillId="10" borderId="0" xfId="0" applyFont="1" applyFill="1" applyBorder="1" applyAlignment="1">
      <alignment horizontal="center" vertical="center"/>
    </xf>
    <xf numFmtId="0" fontId="9" fillId="12" borderId="1" xfId="0" applyFont="1" applyFill="1" applyBorder="1" applyAlignment="1">
      <alignment horizontal="center" vertical="center"/>
    </xf>
    <xf numFmtId="0" fontId="9" fillId="11" borderId="1" xfId="0" applyFont="1" applyFill="1" applyBorder="1" applyAlignment="1">
      <alignment horizontal="center" vertical="center"/>
    </xf>
    <xf numFmtId="0" fontId="13" fillId="4" borderId="0" xfId="0" applyFont="1" applyFill="1" applyBorder="1" applyAlignment="1">
      <alignment horizontal="right"/>
    </xf>
    <xf numFmtId="0" fontId="19" fillId="4" borderId="7" xfId="0" applyFont="1" applyFill="1" applyBorder="1" applyAlignment="1">
      <alignment horizontal="center" vertical="center"/>
    </xf>
    <xf numFmtId="0" fontId="13" fillId="4" borderId="7" xfId="0" applyFont="1" applyFill="1" applyBorder="1"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xf>
    <xf numFmtId="0" fontId="20" fillId="13" borderId="24" xfId="0" applyFont="1" applyFill="1" applyBorder="1" applyAlignment="1">
      <alignment horizontal="center" vertical="center" wrapText="1"/>
    </xf>
    <xf numFmtId="0" fontId="21" fillId="0" borderId="0" xfId="0" applyFont="1" applyAlignment="1">
      <alignment horizontal="center" vertical="center" wrapText="1"/>
    </xf>
    <xf numFmtId="0" fontId="21" fillId="0" borderId="24" xfId="0" applyFont="1" applyBorder="1" applyAlignment="1">
      <alignment horizontal="center" vertical="center" wrapText="1"/>
    </xf>
    <xf numFmtId="0" fontId="0" fillId="0" borderId="0" xfId="0" applyAlignment="1">
      <alignment horizontal="center"/>
    </xf>
    <xf numFmtId="0" fontId="20" fillId="13" borderId="1" xfId="0" applyFont="1" applyFill="1" applyBorder="1" applyAlignment="1">
      <alignment horizontal="center" vertical="center" wrapText="1"/>
    </xf>
    <xf numFmtId="0" fontId="21" fillId="0" borderId="1" xfId="0" applyFont="1" applyBorder="1" applyAlignment="1">
      <alignment horizontal="center" vertical="center" wrapText="1"/>
    </xf>
    <xf numFmtId="0" fontId="21" fillId="0" borderId="25" xfId="0" applyFont="1" applyBorder="1" applyAlignment="1">
      <alignment horizontal="center" vertical="center" wrapText="1"/>
    </xf>
    <xf numFmtId="0" fontId="11" fillId="4" borderId="0" xfId="0" applyFont="1" applyFill="1"/>
    <xf numFmtId="0" fontId="24" fillId="13" borderId="26" xfId="0" applyFont="1" applyFill="1" applyBorder="1" applyAlignment="1">
      <alignment vertical="center" wrapText="1"/>
    </xf>
    <xf numFmtId="0" fontId="20" fillId="13" borderId="27" xfId="0" applyFont="1" applyFill="1" applyBorder="1" applyAlignment="1">
      <alignment horizontal="center" vertical="center" wrapText="1"/>
    </xf>
    <xf numFmtId="0" fontId="0" fillId="13" borderId="28" xfId="0" applyFill="1" applyBorder="1" applyAlignment="1">
      <alignment vertical="top" wrapText="1"/>
    </xf>
    <xf numFmtId="0" fontId="25" fillId="13" borderId="30" xfId="0" applyFont="1" applyFill="1" applyBorder="1" applyAlignment="1">
      <alignment vertical="center" wrapText="1"/>
    </xf>
    <xf numFmtId="0" fontId="20" fillId="13" borderId="32" xfId="0" applyFont="1" applyFill="1" applyBorder="1" applyAlignment="1">
      <alignment horizontal="center" vertical="center" wrapText="1"/>
    </xf>
    <xf numFmtId="0" fontId="20" fillId="13" borderId="31" xfId="0" applyFont="1" applyFill="1" applyBorder="1" applyAlignment="1">
      <alignment horizontal="center" vertical="center" wrapText="1"/>
    </xf>
    <xf numFmtId="0" fontId="20" fillId="13" borderId="30" xfId="0" applyFont="1" applyFill="1" applyBorder="1" applyAlignment="1">
      <alignment vertical="center" wrapText="1"/>
    </xf>
    <xf numFmtId="0" fontId="24" fillId="13" borderId="32" xfId="0" applyFont="1" applyFill="1" applyBorder="1" applyAlignment="1">
      <alignment vertical="center" wrapText="1"/>
    </xf>
    <xf numFmtId="0" fontId="20" fillId="13" borderId="31" xfId="0" applyFont="1" applyFill="1" applyBorder="1" applyAlignment="1">
      <alignment vertical="center" wrapText="1"/>
    </xf>
    <xf numFmtId="0" fontId="20" fillId="13" borderId="29" xfId="0" applyFont="1" applyFill="1" applyBorder="1" applyAlignment="1">
      <alignment horizontal="center" vertical="center" wrapText="1"/>
    </xf>
    <xf numFmtId="0" fontId="26" fillId="0" borderId="28" xfId="0" applyFont="1" applyBorder="1" applyAlignment="1">
      <alignment vertical="center" wrapText="1"/>
    </xf>
    <xf numFmtId="0" fontId="21" fillId="14" borderId="31" xfId="0" applyFont="1" applyFill="1" applyBorder="1" applyAlignment="1">
      <alignment horizontal="left" vertical="center" wrapText="1" indent="1"/>
    </xf>
    <xf numFmtId="0" fontId="21" fillId="14" borderId="31" xfId="0" applyFont="1" applyFill="1" applyBorder="1" applyAlignment="1">
      <alignment horizontal="center" vertical="center" wrapText="1"/>
    </xf>
    <xf numFmtId="0" fontId="21" fillId="14" borderId="31" xfId="0" applyFont="1" applyFill="1" applyBorder="1" applyAlignment="1">
      <alignment vertical="center" wrapText="1"/>
    </xf>
    <xf numFmtId="0" fontId="21" fillId="0" borderId="31" xfId="0" applyFont="1" applyBorder="1" applyAlignment="1">
      <alignment horizontal="left" vertical="center" wrapText="1" indent="1"/>
    </xf>
    <xf numFmtId="0" fontId="21" fillId="0" borderId="31" xfId="0" applyFont="1" applyBorder="1" applyAlignment="1">
      <alignment vertical="center" wrapText="1"/>
    </xf>
    <xf numFmtId="0" fontId="21" fillId="0" borderId="31" xfId="0" applyFont="1" applyBorder="1" applyAlignment="1">
      <alignment horizontal="center" vertical="center" wrapText="1"/>
    </xf>
    <xf numFmtId="0" fontId="28" fillId="15" borderId="1" xfId="0" applyFont="1" applyFill="1" applyBorder="1" applyAlignment="1">
      <alignment horizontal="center" vertical="center" wrapText="1"/>
    </xf>
    <xf numFmtId="0" fontId="28" fillId="15" borderId="4" xfId="0" applyFont="1" applyFill="1" applyBorder="1" applyAlignment="1">
      <alignment horizontal="center" vertical="center" wrapText="1"/>
    </xf>
    <xf numFmtId="0" fontId="29" fillId="0" borderId="1" xfId="0" applyFont="1" applyBorder="1" applyAlignment="1">
      <alignment horizontal="center" vertical="center" wrapText="1"/>
    </xf>
    <xf numFmtId="0" fontId="30" fillId="13" borderId="23" xfId="0" applyFont="1" applyFill="1" applyBorder="1" applyAlignment="1">
      <alignment horizontal="center" vertical="center" wrapText="1"/>
    </xf>
    <xf numFmtId="0" fontId="21" fillId="0" borderId="0" xfId="0" applyFont="1" applyFill="1" applyBorder="1" applyAlignment="1">
      <alignment horizontal="center" vertical="center" wrapText="1"/>
    </xf>
    <xf numFmtId="0" fontId="11" fillId="16" borderId="10" xfId="0" applyFont="1" applyFill="1" applyBorder="1" applyAlignment="1">
      <alignment horizontal="left"/>
    </xf>
    <xf numFmtId="0" fontId="11" fillId="16" borderId="11" xfId="0" applyFont="1" applyFill="1" applyBorder="1" applyAlignment="1">
      <alignment horizontal="center"/>
    </xf>
    <xf numFmtId="0" fontId="11" fillId="16" borderId="12" xfId="0" applyFont="1" applyFill="1" applyBorder="1" applyAlignment="1">
      <alignment horizontal="left"/>
    </xf>
    <xf numFmtId="0" fontId="11" fillId="16" borderId="6" xfId="0" applyFont="1" applyFill="1" applyBorder="1" applyAlignment="1">
      <alignment horizontal="center"/>
    </xf>
    <xf numFmtId="0" fontId="11" fillId="16" borderId="2" xfId="0" applyFont="1" applyFill="1" applyBorder="1" applyAlignment="1">
      <alignment horizontal="left"/>
    </xf>
    <xf numFmtId="0" fontId="11" fillId="16" borderId="20" xfId="0" applyFont="1" applyFill="1" applyBorder="1" applyAlignment="1">
      <alignment horizontal="left"/>
    </xf>
    <xf numFmtId="0" fontId="11" fillId="16" borderId="3" xfId="0" applyFont="1" applyFill="1" applyBorder="1" applyAlignment="1">
      <alignment horizontal="left"/>
    </xf>
    <xf numFmtId="0" fontId="11" fillId="16" borderId="11" xfId="0" applyFont="1" applyFill="1" applyBorder="1" applyAlignment="1">
      <alignment horizontal="right"/>
    </xf>
    <xf numFmtId="0" fontId="11" fillId="16" borderId="6" xfId="0" applyFont="1" applyFill="1" applyBorder="1" applyAlignment="1">
      <alignment horizontal="right"/>
    </xf>
    <xf numFmtId="0" fontId="11" fillId="4" borderId="0" xfId="0" applyFont="1" applyFill="1" applyBorder="1"/>
    <xf numFmtId="0" fontId="11" fillId="16" borderId="8" xfId="0" applyFont="1" applyFill="1" applyBorder="1" applyAlignment="1" applyProtection="1">
      <alignment horizontal="left" vertical="center"/>
      <protection locked="0"/>
    </xf>
    <xf numFmtId="0" fontId="12" fillId="16" borderId="13" xfId="0" applyFont="1" applyFill="1" applyBorder="1" applyAlignment="1">
      <alignment horizontal="left"/>
    </xf>
    <xf numFmtId="0" fontId="12" fillId="16" borderId="14" xfId="0" applyFont="1" applyFill="1" applyBorder="1" applyAlignment="1">
      <alignment horizontal="right"/>
    </xf>
    <xf numFmtId="0" fontId="12" fillId="16" borderId="15" xfId="0" applyFont="1" applyFill="1" applyBorder="1" applyAlignment="1">
      <alignment horizontal="left"/>
    </xf>
    <xf numFmtId="0" fontId="12" fillId="16" borderId="16" xfId="0" applyFont="1" applyFill="1" applyBorder="1" applyAlignment="1">
      <alignment horizontal="right"/>
    </xf>
    <xf numFmtId="0" fontId="12" fillId="16" borderId="17" xfId="0" applyFont="1" applyFill="1" applyBorder="1" applyAlignment="1">
      <alignment horizontal="left"/>
    </xf>
    <xf numFmtId="0" fontId="12" fillId="16" borderId="18" xfId="0" applyFont="1" applyFill="1" applyBorder="1" applyAlignment="1">
      <alignment horizontal="right"/>
    </xf>
    <xf numFmtId="0" fontId="11" fillId="16" borderId="8" xfId="0" applyFont="1" applyFill="1" applyBorder="1" applyAlignment="1">
      <alignment horizontal="left"/>
    </xf>
    <xf numFmtId="0" fontId="11" fillId="16" borderId="5" xfId="0" applyFont="1" applyFill="1" applyBorder="1" applyAlignment="1">
      <alignment horizontal="right"/>
    </xf>
    <xf numFmtId="0" fontId="12" fillId="16" borderId="10" xfId="0" applyFont="1" applyFill="1" applyBorder="1" applyAlignment="1">
      <alignment horizontal="left"/>
    </xf>
    <xf numFmtId="0" fontId="12" fillId="16" borderId="11" xfId="0" applyFont="1" applyFill="1" applyBorder="1" applyAlignment="1">
      <alignment horizontal="right"/>
    </xf>
    <xf numFmtId="0" fontId="12" fillId="16" borderId="12" xfId="0" applyFont="1" applyFill="1" applyBorder="1" applyAlignment="1">
      <alignment horizontal="left"/>
    </xf>
    <xf numFmtId="0" fontId="12" fillId="16" borderId="6" xfId="0" applyFont="1" applyFill="1" applyBorder="1" applyAlignment="1">
      <alignment horizontal="right"/>
    </xf>
    <xf numFmtId="0" fontId="11" fillId="16" borderId="2" xfId="0" applyFont="1" applyFill="1" applyBorder="1" applyAlignment="1"/>
    <xf numFmtId="0" fontId="11" fillId="16" borderId="20" xfId="0" applyFont="1" applyFill="1" applyBorder="1" applyAlignment="1"/>
    <xf numFmtId="0" fontId="11" fillId="16" borderId="3" xfId="0" applyFont="1" applyFill="1" applyBorder="1" applyAlignment="1"/>
    <xf numFmtId="0" fontId="11" fillId="16" borderId="8" xfId="0" applyFont="1" applyFill="1" applyBorder="1" applyAlignment="1"/>
    <xf numFmtId="0" fontId="34" fillId="2" borderId="0" xfId="0" applyFont="1" applyFill="1" applyAlignment="1">
      <alignment horizontal="center" vertical="center"/>
    </xf>
    <xf numFmtId="44" fontId="34" fillId="2" borderId="0" xfId="7" applyFont="1" applyFill="1" applyAlignment="1">
      <alignment horizontal="center" vertical="center"/>
    </xf>
    <xf numFmtId="0" fontId="34" fillId="4" borderId="8" xfId="0" applyFont="1" applyFill="1" applyBorder="1" applyAlignment="1">
      <alignment horizontal="center" vertical="center"/>
    </xf>
    <xf numFmtId="0" fontId="34" fillId="4" borderId="9" xfId="0" applyFont="1" applyFill="1" applyBorder="1" applyAlignment="1">
      <alignment horizontal="center" vertical="center"/>
    </xf>
    <xf numFmtId="0" fontId="34" fillId="4" borderId="5" xfId="0" applyFont="1" applyFill="1" applyBorder="1" applyAlignment="1">
      <alignment horizontal="center" vertical="center"/>
    </xf>
    <xf numFmtId="0" fontId="34" fillId="4" borderId="10" xfId="0" applyFont="1" applyFill="1" applyBorder="1" applyAlignment="1">
      <alignment horizontal="center" vertical="center"/>
    </xf>
    <xf numFmtId="0" fontId="34" fillId="4" borderId="0" xfId="0" applyFont="1" applyFill="1" applyBorder="1" applyAlignment="1">
      <alignment horizontal="center" vertical="center"/>
    </xf>
    <xf numFmtId="0" fontId="34" fillId="4" borderId="11" xfId="0" applyFont="1" applyFill="1" applyBorder="1" applyAlignment="1">
      <alignment horizontal="center" vertical="center"/>
    </xf>
    <xf numFmtId="0" fontId="35" fillId="4" borderId="0" xfId="0" applyFont="1" applyFill="1" applyBorder="1" applyAlignment="1">
      <alignment horizontal="left" vertical="center"/>
    </xf>
    <xf numFmtId="0" fontId="36" fillId="16" borderId="1" xfId="0" applyFont="1" applyFill="1" applyBorder="1"/>
    <xf numFmtId="0" fontId="34" fillId="16" borderId="2" xfId="0" applyFont="1" applyFill="1" applyBorder="1" applyAlignment="1">
      <alignment horizontal="left" vertical="center"/>
    </xf>
    <xf numFmtId="0" fontId="34" fillId="16" borderId="5" xfId="0" applyFont="1" applyFill="1" applyBorder="1" applyAlignment="1">
      <alignment horizontal="center" vertical="center"/>
    </xf>
    <xf numFmtId="0" fontId="34" fillId="4" borderId="0" xfId="0" applyFont="1" applyFill="1" applyBorder="1" applyAlignment="1">
      <alignment horizontal="left" vertical="center"/>
    </xf>
    <xf numFmtId="0" fontId="36" fillId="0" borderId="0" xfId="0" applyFont="1" applyBorder="1"/>
    <xf numFmtId="0" fontId="34" fillId="16" borderId="20" xfId="0" applyFont="1" applyFill="1" applyBorder="1" applyAlignment="1">
      <alignment horizontal="left" vertical="center"/>
    </xf>
    <xf numFmtId="0" fontId="34" fillId="16" borderId="11" xfId="0" applyFont="1" applyFill="1" applyBorder="1" applyAlignment="1">
      <alignment horizontal="center" vertical="center"/>
    </xf>
    <xf numFmtId="0" fontId="34" fillId="16" borderId="20" xfId="0" applyFont="1" applyFill="1" applyBorder="1" applyAlignment="1">
      <alignment horizontal="center" vertical="center"/>
    </xf>
    <xf numFmtId="0" fontId="36" fillId="0" borderId="0" xfId="0" applyFont="1"/>
    <xf numFmtId="0" fontId="34" fillId="16" borderId="1" xfId="0" applyFont="1" applyFill="1" applyBorder="1"/>
    <xf numFmtId="0" fontId="34" fillId="0" borderId="0" xfId="0" applyFont="1" applyBorder="1"/>
    <xf numFmtId="0" fontId="34" fillId="4" borderId="12" xfId="0" applyFont="1" applyFill="1" applyBorder="1" applyAlignment="1">
      <alignment horizontal="center" vertical="center"/>
    </xf>
    <xf numFmtId="0" fontId="34" fillId="4" borderId="7" xfId="0" applyFont="1" applyFill="1" applyBorder="1" applyAlignment="1">
      <alignment horizontal="center" vertical="center"/>
    </xf>
    <xf numFmtId="0" fontId="34" fillId="4" borderId="6" xfId="0" applyFont="1" applyFill="1" applyBorder="1" applyAlignment="1">
      <alignment horizontal="center" vertical="center"/>
    </xf>
    <xf numFmtId="0" fontId="34" fillId="16" borderId="3" xfId="0" applyFont="1" applyFill="1" applyBorder="1" applyAlignment="1">
      <alignment horizontal="left" vertical="center"/>
    </xf>
    <xf numFmtId="0" fontId="34" fillId="16" borderId="3" xfId="0" applyFont="1" applyFill="1" applyBorder="1" applyAlignment="1">
      <alignment horizontal="center" vertical="center"/>
    </xf>
    <xf numFmtId="0" fontId="34" fillId="4" borderId="7" xfId="0" applyFont="1" applyFill="1" applyBorder="1" applyAlignment="1">
      <alignment horizontal="left" vertical="center"/>
    </xf>
    <xf numFmtId="0" fontId="34" fillId="4" borderId="9" xfId="0" applyFont="1" applyFill="1" applyBorder="1" applyAlignment="1">
      <alignment horizontal="left" vertical="center"/>
    </xf>
    <xf numFmtId="165" fontId="34" fillId="16" borderId="5" xfId="0" applyNumberFormat="1" applyFont="1" applyFill="1" applyBorder="1" applyAlignment="1">
      <alignment horizontal="center" vertical="center"/>
    </xf>
    <xf numFmtId="165" fontId="34" fillId="16" borderId="11" xfId="0" applyNumberFormat="1" applyFont="1" applyFill="1" applyBorder="1" applyAlignment="1">
      <alignment horizontal="center" vertical="center"/>
    </xf>
    <xf numFmtId="165" fontId="34" fillId="4" borderId="0" xfId="0" applyNumberFormat="1" applyFont="1" applyFill="1" applyBorder="1" applyAlignment="1">
      <alignment horizontal="center" vertical="center"/>
    </xf>
    <xf numFmtId="0" fontId="34" fillId="16" borderId="5" xfId="0" applyNumberFormat="1" applyFont="1" applyFill="1" applyBorder="1" applyAlignment="1">
      <alignment horizontal="center" vertical="center"/>
    </xf>
    <xf numFmtId="0" fontId="37" fillId="0" borderId="0" xfId="0" applyFont="1" applyBorder="1" applyAlignment="1">
      <alignment horizontal="right"/>
    </xf>
    <xf numFmtId="0" fontId="38" fillId="16" borderId="2" xfId="0" applyFont="1" applyFill="1" applyBorder="1" applyAlignment="1">
      <alignment horizontal="left"/>
    </xf>
    <xf numFmtId="0" fontId="38" fillId="16" borderId="2" xfId="0" applyFont="1" applyFill="1" applyBorder="1" applyAlignment="1">
      <alignment horizontal="right"/>
    </xf>
    <xf numFmtId="0" fontId="37" fillId="16" borderId="8" xfId="0" applyFont="1" applyFill="1" applyBorder="1" applyAlignment="1"/>
    <xf numFmtId="0" fontId="37" fillId="16" borderId="5" xfId="0" applyFont="1" applyFill="1" applyBorder="1" applyAlignment="1">
      <alignment horizontal="right"/>
    </xf>
    <xf numFmtId="0" fontId="38" fillId="16" borderId="20" xfId="0" applyFont="1" applyFill="1" applyBorder="1" applyAlignment="1">
      <alignment horizontal="left"/>
    </xf>
    <xf numFmtId="0" fontId="38" fillId="16" borderId="20" xfId="0" applyFont="1" applyFill="1" applyBorder="1" applyAlignment="1">
      <alignment horizontal="right"/>
    </xf>
    <xf numFmtId="0" fontId="37" fillId="16" borderId="2" xfId="0" applyFont="1" applyFill="1" applyBorder="1" applyAlignment="1"/>
    <xf numFmtId="9" fontId="37" fillId="3" borderId="5" xfId="15" applyNumberFormat="1" applyFont="1" applyFill="1" applyBorder="1" applyAlignment="1">
      <alignment horizontal="right"/>
    </xf>
    <xf numFmtId="0" fontId="37" fillId="16" borderId="20" xfId="0" applyFont="1" applyFill="1" applyBorder="1" applyAlignment="1"/>
    <xf numFmtId="9" fontId="37" fillId="3" borderId="11" xfId="15" applyFont="1" applyFill="1" applyBorder="1" applyAlignment="1">
      <alignment horizontal="right"/>
    </xf>
    <xf numFmtId="0" fontId="38" fillId="16" borderId="3" xfId="0" applyFont="1" applyFill="1" applyBorder="1" applyAlignment="1">
      <alignment horizontal="left"/>
    </xf>
    <xf numFmtId="0" fontId="38" fillId="16" borderId="3" xfId="0" applyFont="1" applyFill="1" applyBorder="1" applyAlignment="1">
      <alignment horizontal="right"/>
    </xf>
    <xf numFmtId="0" fontId="37" fillId="4" borderId="0" xfId="0" applyFont="1" applyFill="1" applyBorder="1" applyAlignment="1">
      <alignment horizontal="left"/>
    </xf>
    <xf numFmtId="0" fontId="35" fillId="4" borderId="0" xfId="0" applyFont="1" applyFill="1" applyBorder="1" applyAlignment="1">
      <alignment horizontal="right"/>
    </xf>
    <xf numFmtId="0" fontId="37" fillId="16" borderId="2" xfId="0" applyFont="1" applyFill="1" applyBorder="1" applyAlignment="1">
      <alignment horizontal="left"/>
    </xf>
    <xf numFmtId="0" fontId="37" fillId="16" borderId="20" xfId="0" applyFont="1" applyFill="1" applyBorder="1" applyAlignment="1">
      <alignment horizontal="left"/>
    </xf>
    <xf numFmtId="0" fontId="37" fillId="16" borderId="11" xfId="0" applyFont="1" applyFill="1" applyBorder="1" applyAlignment="1">
      <alignment horizontal="right"/>
    </xf>
    <xf numFmtId="0" fontId="38" fillId="16" borderId="11" xfId="0" applyFont="1" applyFill="1" applyBorder="1" applyAlignment="1">
      <alignment horizontal="right"/>
    </xf>
    <xf numFmtId="0" fontId="38" fillId="16" borderId="6" xfId="0" applyFont="1" applyFill="1" applyBorder="1" applyAlignment="1">
      <alignment horizontal="right"/>
    </xf>
    <xf numFmtId="0" fontId="37" fillId="4" borderId="0" xfId="0" applyFont="1" applyFill="1" applyBorder="1" applyAlignment="1">
      <alignment horizontal="right"/>
    </xf>
    <xf numFmtId="9" fontId="37" fillId="16" borderId="5" xfId="15" applyFont="1" applyFill="1" applyBorder="1" applyAlignment="1">
      <alignment horizontal="right"/>
    </xf>
    <xf numFmtId="9" fontId="37" fillId="16" borderId="11" xfId="15" applyFont="1" applyFill="1" applyBorder="1" applyAlignment="1">
      <alignment horizontal="right"/>
    </xf>
    <xf numFmtId="0" fontId="37" fillId="16" borderId="3" xfId="0" applyFont="1" applyFill="1" applyBorder="1" applyAlignment="1">
      <alignment horizontal="left"/>
    </xf>
    <xf numFmtId="9" fontId="37" fillId="16" borderId="6" xfId="15" applyFont="1" applyFill="1" applyBorder="1" applyAlignment="1">
      <alignment horizontal="right"/>
    </xf>
    <xf numFmtId="0" fontId="37" fillId="16" borderId="3" xfId="0" applyFont="1" applyFill="1" applyBorder="1" applyAlignment="1"/>
    <xf numFmtId="9" fontId="37" fillId="3" borderId="6" xfId="15" applyFont="1" applyFill="1" applyBorder="1" applyAlignment="1">
      <alignment horizontal="right"/>
    </xf>
    <xf numFmtId="0" fontId="34" fillId="2" borderId="0" xfId="0" applyFont="1" applyFill="1" applyAlignment="1">
      <alignment horizontal="center" vertical="center" wrapText="1"/>
    </xf>
    <xf numFmtId="0" fontId="37" fillId="16" borderId="8" xfId="0" applyFont="1" applyFill="1" applyBorder="1" applyAlignment="1">
      <alignment horizontal="left" vertical="center"/>
    </xf>
    <xf numFmtId="165" fontId="34" fillId="16" borderId="2" xfId="0" applyNumberFormat="1" applyFont="1" applyFill="1" applyBorder="1" applyAlignment="1">
      <alignment horizontal="center" vertical="center"/>
    </xf>
    <xf numFmtId="0" fontId="37" fillId="16" borderId="10" xfId="0" applyFont="1" applyFill="1" applyBorder="1" applyAlignment="1">
      <alignment horizontal="left" vertical="center"/>
    </xf>
    <xf numFmtId="165" fontId="34" fillId="16" borderId="20" xfId="0" applyNumberFormat="1" applyFont="1" applyFill="1" applyBorder="1" applyAlignment="1">
      <alignment horizontal="center" vertical="center"/>
    </xf>
    <xf numFmtId="0" fontId="37" fillId="16" borderId="12" xfId="0" applyFont="1" applyFill="1" applyBorder="1" applyAlignment="1">
      <alignment horizontal="left" vertical="center"/>
    </xf>
    <xf numFmtId="165" fontId="34" fillId="16" borderId="3" xfId="0" applyNumberFormat="1" applyFont="1" applyFill="1" applyBorder="1" applyAlignment="1">
      <alignment horizontal="center" vertical="center"/>
    </xf>
    <xf numFmtId="165" fontId="37" fillId="16" borderId="20" xfId="0" applyNumberFormat="1" applyFont="1" applyFill="1" applyBorder="1" applyAlignment="1">
      <alignment horizontal="center" vertical="center"/>
    </xf>
    <xf numFmtId="165" fontId="37" fillId="16" borderId="3" xfId="0" applyNumberFormat="1" applyFont="1" applyFill="1" applyBorder="1" applyAlignment="1">
      <alignment horizontal="center" vertical="center"/>
    </xf>
    <xf numFmtId="0" fontId="34" fillId="16" borderId="1" xfId="0" applyFont="1" applyFill="1" applyBorder="1" applyAlignment="1">
      <alignment horizontal="left" vertical="center"/>
    </xf>
    <xf numFmtId="0" fontId="37" fillId="16" borderId="2" xfId="0" applyFont="1" applyFill="1" applyBorder="1" applyAlignment="1">
      <alignment horizontal="left" vertical="center"/>
    </xf>
    <xf numFmtId="0" fontId="37" fillId="16" borderId="3" xfId="0" applyFont="1" applyFill="1" applyBorder="1" applyAlignment="1">
      <alignment horizontal="left" vertical="center"/>
    </xf>
    <xf numFmtId="165" fontId="34" fillId="16" borderId="6" xfId="0" applyNumberFormat="1" applyFont="1" applyFill="1" applyBorder="1" applyAlignment="1">
      <alignment horizontal="center" vertical="center"/>
    </xf>
    <xf numFmtId="0" fontId="34" fillId="16" borderId="11" xfId="0" applyNumberFormat="1" applyFont="1" applyFill="1" applyBorder="1" applyAlignment="1">
      <alignment horizontal="center" vertical="center"/>
    </xf>
    <xf numFmtId="166" fontId="34" fillId="16" borderId="11" xfId="0" applyNumberFormat="1" applyFont="1" applyFill="1" applyBorder="1" applyAlignment="1">
      <alignment horizontal="center" vertical="center"/>
    </xf>
    <xf numFmtId="0" fontId="37" fillId="16" borderId="1" xfId="0" applyFont="1" applyFill="1" applyBorder="1" applyAlignment="1">
      <alignment horizontal="left" vertical="center"/>
    </xf>
    <xf numFmtId="165" fontId="34" fillId="16" borderId="4" xfId="0" applyNumberFormat="1" applyFont="1" applyFill="1" applyBorder="1" applyAlignment="1">
      <alignment horizontal="center" vertical="center"/>
    </xf>
    <xf numFmtId="165" fontId="34" fillId="3" borderId="4" xfId="0" applyNumberFormat="1" applyFont="1" applyFill="1" applyBorder="1" applyAlignment="1">
      <alignment horizontal="center" vertical="center"/>
    </xf>
    <xf numFmtId="165" fontId="34" fillId="3" borderId="1" xfId="0" applyNumberFormat="1" applyFont="1" applyFill="1" applyBorder="1" applyAlignment="1">
      <alignment horizontal="center" vertical="center"/>
    </xf>
    <xf numFmtId="0" fontId="11" fillId="16" borderId="10" xfId="0" applyFont="1" applyFill="1" applyBorder="1" applyAlignment="1" applyProtection="1">
      <alignment horizontal="left" vertical="center"/>
      <protection locked="0"/>
    </xf>
    <xf numFmtId="0" fontId="11" fillId="16" borderId="12" xfId="0" applyFont="1" applyFill="1" applyBorder="1" applyAlignment="1" applyProtection="1">
      <alignment horizontal="left" vertical="center"/>
      <protection locked="0"/>
    </xf>
    <xf numFmtId="9" fontId="34" fillId="4" borderId="0" xfId="15" applyFont="1" applyFill="1" applyBorder="1" applyAlignment="1">
      <alignment horizontal="center" vertical="center"/>
    </xf>
    <xf numFmtId="0" fontId="34" fillId="4" borderId="19" xfId="0" applyFont="1" applyFill="1" applyBorder="1" applyAlignment="1">
      <alignment horizontal="left" vertical="center"/>
    </xf>
    <xf numFmtId="0" fontId="34" fillId="4" borderId="1" xfId="0" applyFont="1" applyFill="1" applyBorder="1" applyAlignment="1">
      <alignment horizontal="center" vertical="center"/>
    </xf>
    <xf numFmtId="0" fontId="34" fillId="16" borderId="0" xfId="0" applyFont="1" applyFill="1" applyBorder="1" applyAlignment="1">
      <alignment horizontal="center" vertical="center"/>
    </xf>
    <xf numFmtId="0" fontId="34" fillId="16" borderId="9" xfId="0" applyFont="1" applyFill="1" applyBorder="1" applyAlignment="1">
      <alignment horizontal="center" vertical="center"/>
    </xf>
    <xf numFmtId="0" fontId="34" fillId="16" borderId="7" xfId="0" applyFont="1" applyFill="1" applyBorder="1" applyAlignment="1">
      <alignment horizontal="center" vertical="center"/>
    </xf>
    <xf numFmtId="0" fontId="11" fillId="4" borderId="8" xfId="0" applyFont="1" applyFill="1" applyBorder="1"/>
    <xf numFmtId="0" fontId="11" fillId="4" borderId="9" xfId="0" applyFont="1" applyFill="1" applyBorder="1" applyAlignment="1">
      <alignment horizontal="left"/>
    </xf>
    <xf numFmtId="0" fontId="11" fillId="4" borderId="9" xfId="0" applyFont="1" applyFill="1" applyBorder="1"/>
    <xf numFmtId="0" fontId="11" fillId="16" borderId="1" xfId="0" applyFont="1" applyFill="1" applyBorder="1" applyAlignment="1">
      <alignment horizontal="center" vertical="center"/>
    </xf>
    <xf numFmtId="0" fontId="11" fillId="4" borderId="8" xfId="0" applyFont="1" applyFill="1" applyBorder="1" applyAlignment="1">
      <alignment horizontal="center" vertical="center"/>
    </xf>
    <xf numFmtId="0" fontId="11" fillId="4" borderId="10" xfId="0" applyFont="1" applyFill="1" applyBorder="1" applyAlignment="1">
      <alignment horizontal="center" vertical="center"/>
    </xf>
    <xf numFmtId="0" fontId="11" fillId="4" borderId="9" xfId="0" applyFont="1" applyFill="1" applyBorder="1" applyAlignment="1">
      <alignment horizontal="center" vertical="center"/>
    </xf>
    <xf numFmtId="165" fontId="11" fillId="4" borderId="9" xfId="0" applyNumberFormat="1" applyFont="1" applyFill="1" applyBorder="1" applyAlignment="1">
      <alignment horizontal="center" vertical="center"/>
    </xf>
    <xf numFmtId="165" fontId="11" fillId="4" borderId="0" xfId="0" applyNumberFormat="1" applyFont="1" applyFill="1" applyBorder="1" applyAlignment="1">
      <alignment horizontal="center" vertical="center"/>
    </xf>
    <xf numFmtId="0" fontId="11" fillId="4" borderId="12" xfId="0" applyFont="1" applyFill="1" applyBorder="1" applyAlignment="1">
      <alignment horizontal="center" vertical="center"/>
    </xf>
    <xf numFmtId="0" fontId="11" fillId="4" borderId="12" xfId="0" applyFont="1" applyFill="1" applyBorder="1"/>
    <xf numFmtId="0" fontId="11" fillId="4" borderId="7" xfId="0" applyFont="1" applyFill="1" applyBorder="1" applyAlignment="1">
      <alignment horizontal="left"/>
    </xf>
    <xf numFmtId="0" fontId="11" fillId="4" borderId="7" xfId="0" applyFont="1" applyFill="1" applyBorder="1"/>
    <xf numFmtId="1" fontId="34" fillId="16" borderId="5" xfId="0" applyNumberFormat="1" applyFont="1" applyFill="1" applyBorder="1" applyAlignment="1">
      <alignment horizontal="center" vertical="center"/>
    </xf>
    <xf numFmtId="1" fontId="34" fillId="3" borderId="5" xfId="0" applyNumberFormat="1" applyFont="1" applyFill="1" applyBorder="1" applyAlignment="1">
      <alignment horizontal="center" vertical="center"/>
    </xf>
    <xf numFmtId="1" fontId="34" fillId="16" borderId="11" xfId="0" applyNumberFormat="1" applyFont="1" applyFill="1" applyBorder="1" applyAlignment="1">
      <alignment horizontal="center" vertical="center"/>
    </xf>
    <xf numFmtId="1" fontId="34" fillId="3" borderId="11" xfId="0" applyNumberFormat="1" applyFont="1" applyFill="1" applyBorder="1" applyAlignment="1">
      <alignment horizontal="center" vertical="center"/>
    </xf>
    <xf numFmtId="1" fontId="34" fillId="16" borderId="6" xfId="0" applyNumberFormat="1" applyFont="1" applyFill="1" applyBorder="1" applyAlignment="1">
      <alignment horizontal="center" vertical="center"/>
    </xf>
    <xf numFmtId="1" fontId="34" fillId="3" borderId="6" xfId="0" applyNumberFormat="1" applyFont="1" applyFill="1" applyBorder="1" applyAlignment="1">
      <alignment horizontal="center" vertical="center"/>
    </xf>
    <xf numFmtId="165" fontId="11" fillId="4" borderId="11" xfId="0" applyNumberFormat="1" applyFont="1" applyFill="1" applyBorder="1" applyAlignment="1">
      <alignment horizontal="center" vertical="center"/>
    </xf>
    <xf numFmtId="165" fontId="11" fillId="4" borderId="5" xfId="0" applyNumberFormat="1" applyFont="1" applyFill="1" applyBorder="1" applyAlignment="1">
      <alignment horizontal="center" vertical="center"/>
    </xf>
    <xf numFmtId="0" fontId="34" fillId="16" borderId="10" xfId="0" applyFont="1" applyFill="1" applyBorder="1" applyAlignment="1">
      <alignment horizontal="left" vertical="center"/>
    </xf>
    <xf numFmtId="0" fontId="34" fillId="16" borderId="0" xfId="0" applyFont="1" applyFill="1" applyBorder="1" applyAlignment="1">
      <alignment horizontal="left" vertical="center"/>
    </xf>
    <xf numFmtId="0" fontId="34" fillId="16" borderId="11" xfId="0" applyFont="1" applyFill="1" applyBorder="1" applyAlignment="1">
      <alignment horizontal="left" vertical="center"/>
    </xf>
    <xf numFmtId="0" fontId="34" fillId="16" borderId="12" xfId="0" applyFont="1" applyFill="1" applyBorder="1" applyAlignment="1">
      <alignment horizontal="left" vertical="center"/>
    </xf>
    <xf numFmtId="0" fontId="34" fillId="16" borderId="8" xfId="0" applyFont="1" applyFill="1" applyBorder="1" applyAlignment="1">
      <alignment horizontal="left" vertical="center"/>
    </xf>
    <xf numFmtId="0" fontId="11" fillId="16" borderId="2" xfId="0" applyNumberFormat="1" applyFont="1" applyFill="1" applyBorder="1" applyAlignment="1">
      <alignment horizontal="right"/>
    </xf>
    <xf numFmtId="1" fontId="11" fillId="16" borderId="2" xfId="0" applyNumberFormat="1" applyFont="1" applyFill="1" applyBorder="1" applyAlignment="1">
      <alignment horizontal="right"/>
    </xf>
    <xf numFmtId="1" fontId="11" fillId="16" borderId="20" xfId="515" applyNumberFormat="1" applyFont="1" applyFill="1" applyBorder="1" applyAlignment="1">
      <alignment horizontal="right"/>
    </xf>
    <xf numFmtId="1" fontId="11" fillId="16" borderId="3" xfId="515" applyNumberFormat="1" applyFont="1" applyFill="1" applyBorder="1" applyAlignment="1">
      <alignment horizontal="right"/>
    </xf>
    <xf numFmtId="0" fontId="11" fillId="16" borderId="20" xfId="0" applyNumberFormat="1" applyFont="1" applyFill="1" applyBorder="1" applyAlignment="1">
      <alignment horizontal="right"/>
    </xf>
    <xf numFmtId="167" fontId="11" fillId="16" borderId="5" xfId="0" applyNumberFormat="1" applyFont="1" applyFill="1" applyBorder="1" applyAlignment="1">
      <alignment horizontal="right"/>
    </xf>
    <xf numFmtId="167" fontId="11" fillId="16" borderId="11" xfId="0" applyNumberFormat="1" applyFont="1" applyFill="1" applyBorder="1" applyAlignment="1">
      <alignment horizontal="right"/>
    </xf>
    <xf numFmtId="165" fontId="11" fillId="16" borderId="11" xfId="0" applyNumberFormat="1" applyFont="1" applyFill="1" applyBorder="1" applyAlignment="1">
      <alignment horizontal="right"/>
    </xf>
    <xf numFmtId="165" fontId="11" fillId="16" borderId="6" xfId="0" applyNumberFormat="1" applyFont="1" applyFill="1" applyBorder="1" applyAlignment="1">
      <alignment horizontal="right"/>
    </xf>
    <xf numFmtId="165" fontId="11" fillId="16" borderId="2" xfId="0" applyNumberFormat="1" applyFont="1" applyFill="1" applyBorder="1" applyAlignment="1">
      <alignment horizontal="right"/>
    </xf>
    <xf numFmtId="165" fontId="11" fillId="16" borderId="3" xfId="0" applyNumberFormat="1" applyFont="1" applyFill="1" applyBorder="1" applyAlignment="1">
      <alignment horizontal="right"/>
    </xf>
    <xf numFmtId="167" fontId="11" fillId="4" borderId="5" xfId="0" applyNumberFormat="1" applyFont="1" applyFill="1" applyBorder="1" applyAlignment="1">
      <alignment horizontal="center" vertical="center"/>
    </xf>
    <xf numFmtId="167" fontId="11" fillId="4" borderId="11" xfId="0" applyNumberFormat="1" applyFont="1" applyFill="1" applyBorder="1" applyAlignment="1">
      <alignment horizontal="center" vertical="center"/>
    </xf>
    <xf numFmtId="167" fontId="11" fillId="4" borderId="6" xfId="0" applyNumberFormat="1" applyFont="1" applyFill="1" applyBorder="1" applyAlignment="1">
      <alignment horizontal="center" vertical="center"/>
    </xf>
    <xf numFmtId="165" fontId="11" fillId="16" borderId="20" xfId="0" applyNumberFormat="1" applyFont="1" applyFill="1" applyBorder="1" applyAlignment="1">
      <alignment horizontal="right"/>
    </xf>
    <xf numFmtId="9" fontId="11" fillId="16" borderId="5" xfId="15" applyFont="1" applyFill="1" applyBorder="1" applyAlignment="1">
      <alignment horizontal="right"/>
    </xf>
    <xf numFmtId="9" fontId="11" fillId="16" borderId="11" xfId="15" applyFont="1" applyFill="1" applyBorder="1" applyAlignment="1">
      <alignment horizontal="right"/>
    </xf>
    <xf numFmtId="9" fontId="11" fillId="16" borderId="6" xfId="15" applyFont="1" applyFill="1" applyBorder="1" applyAlignment="1">
      <alignment horizontal="right"/>
    </xf>
    <xf numFmtId="165" fontId="11" fillId="4" borderId="0" xfId="0" applyNumberFormat="1" applyFont="1" applyFill="1" applyBorder="1" applyAlignment="1">
      <alignment horizontal="right"/>
    </xf>
    <xf numFmtId="0" fontId="12" fillId="16" borderId="19" xfId="0" applyFont="1" applyFill="1" applyBorder="1" applyAlignment="1">
      <alignment horizontal="left"/>
    </xf>
    <xf numFmtId="165" fontId="12" fillId="16" borderId="1" xfId="0" applyNumberFormat="1" applyFont="1" applyFill="1" applyBorder="1" applyAlignment="1">
      <alignment horizontal="right"/>
    </xf>
    <xf numFmtId="1" fontId="11" fillId="16" borderId="3" xfId="0" applyNumberFormat="1" applyFont="1" applyFill="1" applyBorder="1" applyAlignment="1">
      <alignment horizontal="right"/>
    </xf>
    <xf numFmtId="165" fontId="12" fillId="16" borderId="3" xfId="0" applyNumberFormat="1" applyFont="1" applyFill="1" applyBorder="1" applyAlignment="1">
      <alignment horizontal="right"/>
    </xf>
    <xf numFmtId="165" fontId="11" fillId="5" borderId="1" xfId="0" applyNumberFormat="1" applyFont="1" applyFill="1" applyBorder="1" applyAlignment="1">
      <alignment horizontal="right"/>
    </xf>
    <xf numFmtId="0" fontId="11" fillId="16" borderId="5" xfId="0" applyFont="1" applyFill="1" applyBorder="1" applyAlignment="1" applyProtection="1">
      <alignment horizontal="center" vertical="center"/>
      <protection locked="0"/>
    </xf>
    <xf numFmtId="0" fontId="7" fillId="4" borderId="0" xfId="0" applyFont="1" applyFill="1" applyBorder="1" applyAlignment="1">
      <alignment horizontal="left" vertical="center"/>
    </xf>
    <xf numFmtId="0" fontId="11" fillId="4" borderId="11" xfId="0" applyFont="1" applyFill="1" applyBorder="1" applyAlignment="1">
      <alignment horizontal="center" vertical="center"/>
    </xf>
    <xf numFmtId="0" fontId="11" fillId="4" borderId="7" xfId="0" applyFont="1" applyFill="1" applyBorder="1" applyAlignment="1">
      <alignment horizontal="center" vertical="center"/>
    </xf>
    <xf numFmtId="0" fontId="11" fillId="6" borderId="0" xfId="0" applyFont="1" applyFill="1" applyAlignment="1">
      <alignment horizontal="center" vertical="center"/>
    </xf>
    <xf numFmtId="0" fontId="11" fillId="5" borderId="1" xfId="0" applyFont="1" applyFill="1" applyBorder="1" applyAlignment="1">
      <alignment horizontal="right"/>
    </xf>
    <xf numFmtId="0" fontId="11" fillId="4" borderId="0" xfId="0" applyFont="1" applyFill="1" applyBorder="1" applyAlignment="1">
      <alignment horizontal="right" vertical="center"/>
    </xf>
    <xf numFmtId="0" fontId="11" fillId="4" borderId="7" xfId="0" applyFont="1" applyFill="1" applyBorder="1" applyAlignment="1">
      <alignment horizontal="right" vertical="center"/>
    </xf>
    <xf numFmtId="0" fontId="11" fillId="4" borderId="0" xfId="0" applyFont="1" applyFill="1" applyAlignment="1">
      <alignment horizontal="left"/>
    </xf>
    <xf numFmtId="0" fontId="11" fillId="6" borderId="0" xfId="0" applyFont="1" applyFill="1" applyAlignment="1">
      <alignment wrapText="1"/>
    </xf>
    <xf numFmtId="0" fontId="11" fillId="0" borderId="0" xfId="0" applyFont="1" applyBorder="1"/>
    <xf numFmtId="0" fontId="43" fillId="4" borderId="0" xfId="0" applyFont="1" applyFill="1" applyBorder="1" applyAlignment="1">
      <alignment horizontal="left" vertical="center"/>
    </xf>
    <xf numFmtId="0" fontId="34" fillId="4" borderId="0" xfId="0" applyFont="1" applyFill="1" applyBorder="1" applyAlignment="1">
      <alignment vertical="center"/>
    </xf>
    <xf numFmtId="0" fontId="43" fillId="4" borderId="0" xfId="0" applyFont="1" applyFill="1" applyBorder="1" applyAlignment="1">
      <alignment vertical="center"/>
    </xf>
    <xf numFmtId="0" fontId="43" fillId="4" borderId="11" xfId="0" applyFont="1" applyFill="1" applyBorder="1" applyAlignment="1">
      <alignment vertical="center"/>
    </xf>
    <xf numFmtId="0" fontId="34" fillId="0" borderId="0" xfId="0" applyFont="1" applyFill="1" applyBorder="1" applyAlignment="1">
      <alignment horizontal="left" vertical="center"/>
    </xf>
    <xf numFmtId="0" fontId="34" fillId="4" borderId="0" xfId="0" applyNumberFormat="1" applyFont="1" applyFill="1" applyBorder="1" applyAlignment="1">
      <alignment horizontal="center" vertical="center"/>
    </xf>
    <xf numFmtId="165" fontId="34" fillId="4" borderId="9" xfId="0" applyNumberFormat="1" applyFont="1" applyFill="1" applyBorder="1" applyAlignment="1">
      <alignment horizontal="center" vertical="center"/>
    </xf>
    <xf numFmtId="9" fontId="11" fillId="5" borderId="1" xfId="15" applyFont="1" applyFill="1" applyBorder="1" applyAlignment="1">
      <alignment horizontal="center"/>
    </xf>
    <xf numFmtId="165" fontId="11" fillId="5" borderId="1" xfId="0" applyNumberFormat="1" applyFont="1" applyFill="1" applyBorder="1" applyAlignment="1">
      <alignment horizontal="center"/>
    </xf>
    <xf numFmtId="165" fontId="38" fillId="16" borderId="4" xfId="0" applyNumberFormat="1" applyFont="1" applyFill="1" applyBorder="1" applyAlignment="1">
      <alignment horizontal="center" vertical="center"/>
    </xf>
    <xf numFmtId="9" fontId="11" fillId="5" borderId="3" xfId="15" applyFont="1" applyFill="1" applyBorder="1" applyAlignment="1">
      <alignment horizontal="center"/>
    </xf>
    <xf numFmtId="165" fontId="38" fillId="16" borderId="5" xfId="0" applyNumberFormat="1" applyFont="1" applyFill="1" applyBorder="1" applyAlignment="1">
      <alignment horizontal="center" vertical="center"/>
    </xf>
    <xf numFmtId="165" fontId="38" fillId="16" borderId="11" xfId="0" applyNumberFormat="1" applyFont="1" applyFill="1" applyBorder="1" applyAlignment="1">
      <alignment horizontal="center" vertical="center"/>
    </xf>
    <xf numFmtId="165" fontId="38" fillId="16" borderId="6" xfId="0" applyNumberFormat="1" applyFont="1" applyFill="1" applyBorder="1" applyAlignment="1">
      <alignment horizontal="center" vertical="center"/>
    </xf>
    <xf numFmtId="0" fontId="34" fillId="0" borderId="9" xfId="0" applyFont="1" applyFill="1" applyBorder="1" applyAlignment="1">
      <alignment horizontal="left" vertical="center"/>
    </xf>
    <xf numFmtId="0" fontId="34" fillId="4" borderId="9" xfId="0" applyNumberFormat="1" applyFont="1" applyFill="1" applyBorder="1" applyAlignment="1">
      <alignment horizontal="center" vertical="center"/>
    </xf>
    <xf numFmtId="0" fontId="34" fillId="4" borderId="0" xfId="0" applyFont="1" applyFill="1" applyBorder="1" applyAlignment="1">
      <alignment horizontal="center" vertical="center" wrapText="1"/>
    </xf>
    <xf numFmtId="9" fontId="38" fillId="3" borderId="5" xfId="15" applyFont="1" applyFill="1" applyBorder="1" applyAlignment="1">
      <alignment horizontal="center" vertical="center"/>
    </xf>
    <xf numFmtId="9" fontId="38" fillId="3" borderId="11" xfId="15" applyFont="1" applyFill="1" applyBorder="1" applyAlignment="1">
      <alignment horizontal="center" vertical="center"/>
    </xf>
    <xf numFmtId="9" fontId="38" fillId="3" borderId="6" xfId="15" applyFont="1" applyFill="1" applyBorder="1" applyAlignment="1">
      <alignment horizontal="center" vertical="center"/>
    </xf>
    <xf numFmtId="0" fontId="34" fillId="4" borderId="0" xfId="0" applyFont="1" applyFill="1" applyBorder="1" applyAlignment="1">
      <alignment horizontal="left" vertical="center" wrapText="1"/>
    </xf>
    <xf numFmtId="165" fontId="38" fillId="4" borderId="4" xfId="0" applyNumberFormat="1" applyFont="1" applyFill="1" applyBorder="1" applyAlignment="1">
      <alignment horizontal="center" vertical="center"/>
    </xf>
    <xf numFmtId="165" fontId="38" fillId="4" borderId="5" xfId="0" applyNumberFormat="1" applyFont="1" applyFill="1" applyBorder="1" applyAlignment="1">
      <alignment horizontal="center" vertical="center"/>
    </xf>
    <xf numFmtId="165" fontId="38" fillId="4" borderId="6" xfId="0" applyNumberFormat="1" applyFont="1" applyFill="1" applyBorder="1" applyAlignment="1">
      <alignment horizontal="center" vertical="center"/>
    </xf>
    <xf numFmtId="0" fontId="37" fillId="4" borderId="0" xfId="0" applyFont="1" applyFill="1" applyBorder="1" applyAlignment="1">
      <alignment horizontal="left" vertical="center"/>
    </xf>
    <xf numFmtId="165" fontId="38" fillId="3" borderId="4" xfId="0" applyNumberFormat="1" applyFont="1" applyFill="1" applyBorder="1" applyAlignment="1">
      <alignment horizontal="center" vertical="center"/>
    </xf>
    <xf numFmtId="165" fontId="38" fillId="3" borderId="6" xfId="0" applyNumberFormat="1" applyFont="1" applyFill="1" applyBorder="1" applyAlignment="1">
      <alignment horizontal="center" vertical="center"/>
    </xf>
    <xf numFmtId="9" fontId="38" fillId="3" borderId="1" xfId="15" applyFont="1" applyFill="1" applyBorder="1" applyAlignment="1">
      <alignment horizontal="center" vertical="center"/>
    </xf>
    <xf numFmtId="0" fontId="37" fillId="4" borderId="0" xfId="0" applyFont="1" applyFill="1" applyBorder="1" applyAlignment="1">
      <alignment horizontal="right" vertical="center"/>
    </xf>
    <xf numFmtId="0" fontId="37" fillId="0" borderId="0" xfId="0" applyFont="1" applyBorder="1"/>
    <xf numFmtId="0" fontId="34" fillId="4" borderId="7" xfId="0" applyFont="1" applyFill="1" applyBorder="1" applyAlignment="1">
      <alignment horizontal="center" vertical="center" wrapText="1"/>
    </xf>
    <xf numFmtId="0" fontId="34" fillId="16" borderId="1" xfId="0" applyFont="1" applyFill="1" applyBorder="1" applyAlignment="1">
      <alignment horizontal="left" vertical="center" wrapText="1"/>
    </xf>
    <xf numFmtId="0" fontId="34" fillId="3" borderId="1" xfId="0" applyFont="1" applyFill="1" applyBorder="1" applyAlignment="1">
      <alignment horizontal="left" vertical="center" wrapText="1"/>
    </xf>
    <xf numFmtId="165" fontId="12" fillId="16" borderId="6" xfId="0" applyNumberFormat="1" applyFont="1" applyFill="1" applyBorder="1" applyAlignment="1">
      <alignment horizontal="right"/>
    </xf>
    <xf numFmtId="0" fontId="7" fillId="16" borderId="2" xfId="0" applyFont="1" applyFill="1" applyBorder="1" applyAlignment="1">
      <alignment horizontal="left"/>
    </xf>
    <xf numFmtId="165" fontId="7" fillId="16" borderId="5" xfId="0" applyNumberFormat="1" applyFont="1" applyFill="1" applyBorder="1" applyAlignment="1">
      <alignment horizontal="right"/>
    </xf>
    <xf numFmtId="0" fontId="7" fillId="16" borderId="20" xfId="0" applyFont="1" applyFill="1" applyBorder="1" applyAlignment="1">
      <alignment horizontal="left"/>
    </xf>
    <xf numFmtId="165" fontId="7" fillId="16" borderId="11" xfId="0" applyNumberFormat="1" applyFont="1" applyFill="1" applyBorder="1" applyAlignment="1">
      <alignment horizontal="right"/>
    </xf>
    <xf numFmtId="0" fontId="7" fillId="16" borderId="3" xfId="0" applyFont="1" applyFill="1" applyBorder="1" applyAlignment="1">
      <alignment horizontal="left"/>
    </xf>
    <xf numFmtId="9" fontId="11" fillId="5" borderId="1" xfId="15" applyFont="1" applyFill="1" applyBorder="1" applyAlignment="1">
      <alignment horizontal="right"/>
    </xf>
    <xf numFmtId="0" fontId="11" fillId="5" borderId="1" xfId="0" applyNumberFormat="1" applyFont="1" applyFill="1" applyBorder="1" applyAlignment="1">
      <alignment horizontal="right"/>
    </xf>
    <xf numFmtId="1" fontId="11" fillId="16" borderId="11" xfId="0" applyNumberFormat="1" applyFont="1" applyFill="1" applyBorder="1" applyAlignment="1">
      <alignment horizontal="right"/>
    </xf>
    <xf numFmtId="0" fontId="7" fillId="16" borderId="1" xfId="0" applyFont="1" applyFill="1" applyBorder="1" applyAlignment="1">
      <alignment horizontal="left"/>
    </xf>
    <xf numFmtId="165" fontId="11" fillId="4" borderId="20" xfId="0" applyNumberFormat="1" applyFont="1" applyFill="1" applyBorder="1" applyAlignment="1">
      <alignment horizontal="center" vertical="center"/>
    </xf>
    <xf numFmtId="165" fontId="11" fillId="4" borderId="11" xfId="0" applyNumberFormat="1" applyFont="1" applyFill="1" applyBorder="1" applyAlignment="1">
      <alignment horizontal="center" vertical="center"/>
    </xf>
    <xf numFmtId="0" fontId="11" fillId="16" borderId="8" xfId="0" applyFont="1" applyFill="1" applyBorder="1" applyAlignment="1">
      <alignment horizontal="center" vertical="center"/>
    </xf>
    <xf numFmtId="0" fontId="11" fillId="16" borderId="5" xfId="0" applyFont="1" applyFill="1" applyBorder="1" applyAlignment="1">
      <alignment horizontal="center" vertical="center"/>
    </xf>
    <xf numFmtId="165" fontId="11" fillId="4" borderId="2" xfId="0" applyNumberFormat="1" applyFont="1" applyFill="1" applyBorder="1" applyAlignment="1">
      <alignment horizontal="center" vertical="center"/>
    </xf>
    <xf numFmtId="165" fontId="11" fillId="4" borderId="5" xfId="0" applyNumberFormat="1" applyFont="1" applyFill="1" applyBorder="1" applyAlignment="1">
      <alignment horizontal="center" vertical="center"/>
    </xf>
    <xf numFmtId="165" fontId="11" fillId="4" borderId="3" xfId="0" applyNumberFormat="1" applyFont="1" applyFill="1" applyBorder="1" applyAlignment="1">
      <alignment horizontal="center" vertical="center"/>
    </xf>
    <xf numFmtId="165" fontId="11" fillId="4" borderId="6" xfId="0" applyNumberFormat="1" applyFont="1" applyFill="1" applyBorder="1" applyAlignment="1">
      <alignment horizontal="center" vertical="center"/>
    </xf>
    <xf numFmtId="0" fontId="7" fillId="17" borderId="8" xfId="0" applyFont="1" applyFill="1" applyBorder="1" applyAlignment="1">
      <alignment horizontal="left" vertical="center" wrapText="1"/>
    </xf>
    <xf numFmtId="0" fontId="7" fillId="17" borderId="9" xfId="0" applyFont="1" applyFill="1" applyBorder="1" applyAlignment="1">
      <alignment horizontal="left" vertical="center" wrapText="1"/>
    </xf>
    <xf numFmtId="0" fontId="7" fillId="17" borderId="5" xfId="0" applyFont="1" applyFill="1" applyBorder="1" applyAlignment="1">
      <alignment horizontal="left" vertical="center" wrapText="1"/>
    </xf>
    <xf numFmtId="0" fontId="7" fillId="17" borderId="10" xfId="0" applyFont="1" applyFill="1" applyBorder="1" applyAlignment="1">
      <alignment horizontal="left" vertical="center" wrapText="1"/>
    </xf>
    <xf numFmtId="0" fontId="7" fillId="17" borderId="0" xfId="0" applyFont="1" applyFill="1" applyBorder="1" applyAlignment="1">
      <alignment horizontal="left" vertical="center" wrapText="1"/>
    </xf>
    <xf numFmtId="0" fontId="7" fillId="17" borderId="11" xfId="0" applyFont="1" applyFill="1" applyBorder="1" applyAlignment="1">
      <alignment horizontal="left" vertical="center" wrapText="1"/>
    </xf>
    <xf numFmtId="0" fontId="7" fillId="17" borderId="12" xfId="0" applyFont="1" applyFill="1" applyBorder="1" applyAlignment="1">
      <alignment horizontal="left" vertical="center" wrapText="1"/>
    </xf>
    <xf numFmtId="0" fontId="7" fillId="17" borderId="7" xfId="0" applyFont="1" applyFill="1" applyBorder="1" applyAlignment="1">
      <alignment horizontal="left" vertical="center" wrapText="1"/>
    </xf>
    <xf numFmtId="0" fontId="7" fillId="17" borderId="6" xfId="0" applyFont="1" applyFill="1" applyBorder="1" applyAlignment="1">
      <alignment horizontal="left" vertical="center" wrapText="1"/>
    </xf>
    <xf numFmtId="0" fontId="11" fillId="4" borderId="8" xfId="0" applyFont="1" applyFill="1" applyBorder="1" applyAlignment="1">
      <alignment horizontal="center"/>
    </xf>
    <xf numFmtId="0" fontId="11" fillId="4" borderId="9" xfId="0" applyFont="1" applyFill="1" applyBorder="1" applyAlignment="1">
      <alignment horizontal="center"/>
    </xf>
    <xf numFmtId="0" fontId="11" fillId="4" borderId="5" xfId="0" applyFont="1" applyFill="1" applyBorder="1" applyAlignment="1">
      <alignment horizontal="center"/>
    </xf>
    <xf numFmtId="0" fontId="7" fillId="4" borderId="8" xfId="0" applyFont="1" applyFill="1" applyBorder="1" applyAlignment="1">
      <alignment horizontal="center"/>
    </xf>
    <xf numFmtId="0" fontId="7" fillId="4" borderId="9" xfId="0" applyFont="1" applyFill="1" applyBorder="1" applyAlignment="1">
      <alignment horizontal="center"/>
    </xf>
    <xf numFmtId="0" fontId="7" fillId="4" borderId="5" xfId="0" applyFont="1" applyFill="1" applyBorder="1" applyAlignment="1">
      <alignment horizontal="center"/>
    </xf>
    <xf numFmtId="0" fontId="15" fillId="4" borderId="0" xfId="0" applyFont="1" applyFill="1" applyBorder="1" applyAlignment="1">
      <alignment horizontal="center" vertical="center"/>
    </xf>
    <xf numFmtId="0" fontId="34" fillId="16" borderId="1" xfId="0" applyFont="1" applyFill="1" applyBorder="1" applyAlignment="1">
      <alignment horizontal="center" vertical="center" wrapText="1"/>
    </xf>
    <xf numFmtId="0" fontId="34" fillId="3" borderId="1" xfId="0" applyFont="1" applyFill="1" applyBorder="1" applyAlignment="1">
      <alignment horizontal="center" vertical="center" wrapText="1"/>
    </xf>
    <xf numFmtId="0" fontId="34" fillId="16" borderId="10" xfId="0" applyFont="1" applyFill="1" applyBorder="1" applyAlignment="1">
      <alignment horizontal="left" vertical="center"/>
    </xf>
    <xf numFmtId="0" fontId="34" fillId="16" borderId="0" xfId="0" applyFont="1" applyFill="1" applyBorder="1" applyAlignment="1">
      <alignment horizontal="left" vertical="center"/>
    </xf>
    <xf numFmtId="0" fontId="34" fillId="16" borderId="11" xfId="0" applyFont="1" applyFill="1" applyBorder="1" applyAlignment="1">
      <alignment horizontal="left" vertical="center"/>
    </xf>
    <xf numFmtId="0" fontId="34" fillId="16" borderId="8" xfId="0" applyFont="1" applyFill="1" applyBorder="1" applyAlignment="1">
      <alignment horizontal="left" vertical="center"/>
    </xf>
    <xf numFmtId="0" fontId="34" fillId="16" borderId="9" xfId="0" applyFont="1" applyFill="1" applyBorder="1" applyAlignment="1">
      <alignment horizontal="left" vertical="center"/>
    </xf>
    <xf numFmtId="0" fontId="34" fillId="16" borderId="5" xfId="0" applyFont="1" applyFill="1" applyBorder="1" applyAlignment="1">
      <alignment horizontal="left" vertical="center"/>
    </xf>
    <xf numFmtId="0" fontId="34" fillId="16" borderId="12" xfId="0" applyFont="1" applyFill="1" applyBorder="1" applyAlignment="1">
      <alignment horizontal="left" vertical="center"/>
    </xf>
    <xf numFmtId="0" fontId="34" fillId="16" borderId="7" xfId="0" applyFont="1" applyFill="1" applyBorder="1" applyAlignment="1">
      <alignment horizontal="left" vertical="center"/>
    </xf>
    <xf numFmtId="0" fontId="34" fillId="16" borderId="6" xfId="0" applyFont="1" applyFill="1" applyBorder="1" applyAlignment="1">
      <alignment horizontal="left" vertical="center"/>
    </xf>
    <xf numFmtId="0" fontId="34" fillId="4" borderId="7" xfId="0" applyFont="1" applyFill="1" applyBorder="1" applyAlignment="1">
      <alignment horizontal="left" vertical="center"/>
    </xf>
    <xf numFmtId="0" fontId="34" fillId="16" borderId="19" xfId="0" applyFont="1" applyFill="1" applyBorder="1" applyAlignment="1">
      <alignment horizontal="center" vertical="center" wrapText="1"/>
    </xf>
    <xf numFmtId="0" fontId="34" fillId="16" borderId="21" xfId="0" applyFont="1" applyFill="1" applyBorder="1" applyAlignment="1">
      <alignment horizontal="center" vertical="center" wrapText="1"/>
    </xf>
    <xf numFmtId="0" fontId="34" fillId="16" borderId="4" xfId="0" applyFont="1" applyFill="1" applyBorder="1" applyAlignment="1">
      <alignment horizontal="center" vertical="center" wrapText="1"/>
    </xf>
    <xf numFmtId="0" fontId="34" fillId="3" borderId="19" xfId="0" applyFont="1" applyFill="1" applyBorder="1" applyAlignment="1">
      <alignment horizontal="center" vertical="center" wrapText="1"/>
    </xf>
    <xf numFmtId="0" fontId="34" fillId="3" borderId="21" xfId="0" applyFont="1" applyFill="1" applyBorder="1" applyAlignment="1">
      <alignment horizontal="center" vertical="center" wrapText="1"/>
    </xf>
    <xf numFmtId="0" fontId="34" fillId="3" borderId="4" xfId="0" applyFont="1" applyFill="1" applyBorder="1" applyAlignment="1">
      <alignment horizontal="center" vertical="center" wrapText="1"/>
    </xf>
    <xf numFmtId="0" fontId="37" fillId="4" borderId="0" xfId="0" applyFont="1" applyFill="1" applyBorder="1" applyAlignment="1">
      <alignment horizontal="left"/>
    </xf>
    <xf numFmtId="0" fontId="37" fillId="4" borderId="11" xfId="0" applyFont="1" applyFill="1" applyBorder="1" applyAlignment="1">
      <alignment horizontal="left"/>
    </xf>
    <xf numFmtId="0" fontId="43" fillId="4" borderId="0" xfId="0" applyFont="1" applyFill="1" applyBorder="1" applyAlignment="1">
      <alignment horizontal="left" vertical="center"/>
    </xf>
    <xf numFmtId="0" fontId="38" fillId="16" borderId="19" xfId="0" applyFont="1" applyFill="1" applyBorder="1" applyAlignment="1">
      <alignment horizontal="left" vertical="center"/>
    </xf>
    <xf numFmtId="0" fontId="38" fillId="16" borderId="21" xfId="0" applyFont="1" applyFill="1" applyBorder="1" applyAlignment="1">
      <alignment horizontal="left" vertical="center"/>
    </xf>
    <xf numFmtId="0" fontId="38" fillId="16" borderId="4" xfId="0" applyFont="1" applyFill="1" applyBorder="1" applyAlignment="1">
      <alignment horizontal="left" vertical="center"/>
    </xf>
    <xf numFmtId="0" fontId="34" fillId="4" borderId="9" xfId="0" applyFont="1" applyFill="1" applyBorder="1" applyAlignment="1">
      <alignment horizontal="left" vertical="center"/>
    </xf>
    <xf numFmtId="0" fontId="34" fillId="4" borderId="0" xfId="0" applyFont="1" applyFill="1" applyBorder="1" applyAlignment="1">
      <alignment horizontal="left" vertical="center"/>
    </xf>
    <xf numFmtId="0" fontId="34" fillId="4" borderId="0" xfId="0" applyFont="1" applyFill="1" applyBorder="1" applyAlignment="1">
      <alignment horizontal="center" vertical="center" wrapText="1"/>
    </xf>
    <xf numFmtId="0" fontId="34" fillId="4" borderId="7" xfId="0" applyFont="1" applyFill="1" applyBorder="1" applyAlignment="1">
      <alignment horizontal="left" vertical="center" wrapText="1"/>
    </xf>
    <xf numFmtId="0" fontId="26" fillId="0" borderId="26" xfId="0" applyFont="1" applyBorder="1" applyAlignment="1">
      <alignment vertical="center" wrapText="1"/>
    </xf>
    <xf numFmtId="0" fontId="26" fillId="0" borderId="28" xfId="0" applyFont="1" applyBorder="1" applyAlignment="1">
      <alignment vertical="center" wrapText="1"/>
    </xf>
    <xf numFmtId="0" fontId="20" fillId="13" borderId="33" xfId="0" applyFont="1" applyFill="1" applyBorder="1" applyAlignment="1">
      <alignment horizontal="left" vertical="center" wrapText="1" indent="4"/>
    </xf>
    <xf numFmtId="0" fontId="20" fillId="13" borderId="23" xfId="0" applyFont="1" applyFill="1" applyBorder="1" applyAlignment="1">
      <alignment horizontal="left" vertical="center" wrapText="1" indent="4"/>
    </xf>
    <xf numFmtId="0" fontId="20" fillId="13" borderId="30" xfId="0" applyFont="1" applyFill="1" applyBorder="1" applyAlignment="1">
      <alignment horizontal="left" vertical="center" wrapText="1" indent="4"/>
    </xf>
    <xf numFmtId="0" fontId="20" fillId="13" borderId="34" xfId="0" applyFont="1" applyFill="1" applyBorder="1" applyAlignment="1">
      <alignment horizontal="left" vertical="center" wrapText="1" indent="4"/>
    </xf>
    <xf numFmtId="0" fontId="20" fillId="13" borderId="24" xfId="0" applyFont="1" applyFill="1" applyBorder="1" applyAlignment="1">
      <alignment horizontal="left" vertical="center" wrapText="1" indent="4"/>
    </xf>
    <xf numFmtId="0" fontId="20" fillId="13" borderId="31" xfId="0" applyFont="1" applyFill="1" applyBorder="1" applyAlignment="1">
      <alignment horizontal="left" vertical="center" wrapText="1" indent="4"/>
    </xf>
    <xf numFmtId="0" fontId="26" fillId="0" borderId="27" xfId="0" applyFont="1" applyBorder="1" applyAlignment="1">
      <alignment vertical="center" wrapText="1"/>
    </xf>
    <xf numFmtId="0" fontId="20" fillId="0" borderId="22" xfId="0" applyFont="1" applyBorder="1" applyAlignment="1">
      <alignment horizontal="center" vertical="center" wrapText="1"/>
    </xf>
    <xf numFmtId="0" fontId="20" fillId="13" borderId="23" xfId="0" applyFont="1" applyFill="1" applyBorder="1" applyAlignment="1">
      <alignment horizontal="center" vertical="center" wrapText="1"/>
    </xf>
    <xf numFmtId="0" fontId="20" fillId="13" borderId="24" xfId="0" applyFont="1" applyFill="1" applyBorder="1" applyAlignment="1">
      <alignment horizontal="center" vertical="center" wrapText="1"/>
    </xf>
    <xf numFmtId="0" fontId="20" fillId="13" borderId="22" xfId="0" applyFont="1" applyFill="1" applyBorder="1" applyAlignment="1">
      <alignment horizontal="center" vertical="center" wrapText="1"/>
    </xf>
  </cellXfs>
  <cellStyles count="538">
    <cellStyle name="ColLevel_2" xfId="345"/>
    <cellStyle name="Comma" xfId="515" builtinId="3"/>
    <cellStyle name="Currency" xfId="7" builtinId="4"/>
    <cellStyle name="Followed Hyperlink" xfId="2" builtinId="9" hidden="1"/>
    <cellStyle name="Followed Hyperlink" xfId="4" builtinId="9" hidden="1"/>
    <cellStyle name="Followed Hyperlink" xfId="6" builtinId="9" hidden="1"/>
    <cellStyle name="Followed Hyperlink" xfId="9" builtinId="9" hidden="1"/>
    <cellStyle name="Followed Hyperlink" xfId="11" builtinId="9" hidden="1"/>
    <cellStyle name="Followed Hyperlink" xfId="13"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4" builtinId="9" hidden="1"/>
    <cellStyle name="Followed Hyperlink" xfId="416" builtinId="9" hidden="1"/>
    <cellStyle name="Followed Hyperlink" xfId="417" builtinId="9" hidden="1"/>
    <cellStyle name="Followed Hyperlink" xfId="418"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6" builtinId="9" hidden="1"/>
    <cellStyle name="Followed Hyperlink" xfId="497" builtinId="9" hidden="1"/>
    <cellStyle name="Followed Hyperlink" xfId="498" builtinId="9" hidden="1"/>
    <cellStyle name="Followed Hyperlink" xfId="499" builtinId="9" hidden="1"/>
    <cellStyle name="Followed Hyperlink" xfId="500" builtinId="9" hidden="1"/>
    <cellStyle name="Followed Hyperlink" xfId="501" builtinId="9" hidden="1"/>
    <cellStyle name="Followed Hyperlink" xfId="502" builtinId="9" hidden="1"/>
    <cellStyle name="Followed Hyperlink" xfId="503" builtinId="9" hidden="1"/>
    <cellStyle name="Followed Hyperlink" xfId="504" builtinId="9" hidden="1"/>
    <cellStyle name="Followed Hyperlink" xfId="505" builtinId="9" hidden="1"/>
    <cellStyle name="Followed Hyperlink" xfId="506" builtinId="9" hidden="1"/>
    <cellStyle name="Followed Hyperlink" xfId="507" builtinId="9" hidden="1"/>
    <cellStyle name="Followed Hyperlink" xfId="508" builtinId="9" hidden="1"/>
    <cellStyle name="Followed Hyperlink" xfId="509" builtinId="9" hidden="1"/>
    <cellStyle name="Followed Hyperlink" xfId="510" builtinId="9" hidden="1"/>
    <cellStyle name="Followed Hyperlink" xfId="511" builtinId="9" hidden="1"/>
    <cellStyle name="Followed Hyperlink" xfId="512" builtinId="9" hidden="1"/>
    <cellStyle name="Followed Hyperlink" xfId="513" builtinId="9" hidden="1"/>
    <cellStyle name="Followed Hyperlink" xfId="514" builtinId="9" hidden="1"/>
    <cellStyle name="Followed Hyperlink" xfId="517" builtinId="9" hidden="1"/>
    <cellStyle name="Followed Hyperlink" xfId="518" builtinId="9" hidden="1"/>
    <cellStyle name="Followed Hyperlink" xfId="519" builtinId="9" hidden="1"/>
    <cellStyle name="Followed Hyperlink" xfId="520" builtinId="9" hidden="1"/>
    <cellStyle name="Followed Hyperlink" xfId="521" builtinId="9" hidden="1"/>
    <cellStyle name="Followed Hyperlink" xfId="522" builtinId="9" hidden="1"/>
    <cellStyle name="Followed Hyperlink" xfId="523" builtinId="9" hidden="1"/>
    <cellStyle name="Followed Hyperlink" xfId="524"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Hyperlink" xfId="1" builtinId="8" hidden="1"/>
    <cellStyle name="Hyperlink" xfId="3" builtinId="8" hidden="1"/>
    <cellStyle name="Hyperlink" xfId="5" builtinId="8" hidden="1"/>
    <cellStyle name="Hyperlink" xfId="8" builtinId="8" hidden="1"/>
    <cellStyle name="Hyperlink" xfId="10" builtinId="8" hidden="1"/>
    <cellStyle name="Hyperlink" xfId="12"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5"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Normal" xfId="0" builtinId="0"/>
    <cellStyle name="Normal 2" xfId="14"/>
    <cellStyle name="Normal 2 2" xfId="16"/>
    <cellStyle name="Normal 3" xfId="27"/>
    <cellStyle name="Normal 4" xfId="344"/>
    <cellStyle name="Normal 5" xfId="516"/>
    <cellStyle name="Percent" xfId="15" builtinId="5"/>
  </cellStyles>
  <dxfs count="7">
    <dxf>
      <font>
        <b/>
        <i val="0"/>
        <color rgb="FFC00000"/>
      </font>
    </dxf>
    <dxf>
      <fill>
        <patternFill>
          <bgColor rgb="FFDDDDDD"/>
        </patternFill>
      </fill>
    </dxf>
    <dxf>
      <fill>
        <patternFill>
          <bgColor rgb="FFFFFFCC"/>
        </patternFill>
      </fill>
    </dxf>
    <dxf>
      <fill>
        <patternFill>
          <bgColor rgb="FFDDDDDD"/>
        </patternFill>
      </fill>
    </dxf>
    <dxf>
      <fill>
        <patternFill>
          <bgColor rgb="FFFFFFCC"/>
        </patternFill>
      </fill>
    </dxf>
    <dxf>
      <fill>
        <patternFill>
          <bgColor rgb="FFDDDDDD"/>
        </patternFill>
      </fill>
    </dxf>
    <dxf>
      <fill>
        <patternFill>
          <bgColor rgb="FFFFFFCC"/>
        </patternFill>
      </fill>
    </dxf>
  </dxfs>
  <tableStyles count="0" defaultTableStyle="TableStyleMedium9" defaultPivotStyle="PivotStyleMedium4"/>
  <colors>
    <mruColors>
      <color rgb="FFFFFFCC"/>
      <color rgb="FFDDDDDD"/>
      <color rgb="FFCCFFCC"/>
      <color rgb="FFFFCC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_rels/chart2.xml.rels><?xml version="1.0" encoding="UTF-8" standalone="yes"?>
<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s>
</file>

<file path=xl/charts/_rels/chart3.xml.rels><?xml version="1.0" encoding="UTF-8" standalone="yes"?>
<Relationships xmlns="http://schemas.openxmlformats.org/package/2006/relationships"><Relationship Id="rId1" Type="http://schemas.microsoft.com/office/2011/relationships/chartStyle" Target="style3.xml"/><Relationship Id="rId2" Type="http://schemas.microsoft.com/office/2011/relationships/chartColorStyle" Target="colors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5400000" spcFirstLastPara="1" vertOverflow="ellipsis"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Spend Comparison</a:t>
            </a:r>
          </a:p>
        </c:rich>
      </c:tx>
      <c:layout>
        <c:manualLayout>
          <c:xMode val="edge"/>
          <c:yMode val="edge"/>
          <c:x val="0.0889335696172255"/>
          <c:y val="0.0705882352941176"/>
        </c:manualLayout>
      </c:layout>
      <c:overlay val="0"/>
      <c:spPr>
        <a:noFill/>
        <a:ln>
          <a:noFill/>
        </a:ln>
        <a:effectLst/>
      </c:spPr>
      <c:txPr>
        <a:bodyPr rot="-5400000" spcFirstLastPara="1" vertOverflow="ellipsis"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34428404286934"/>
          <c:y val="0.109365063443503"/>
          <c:w val="0.637931034482759"/>
          <c:h val="0.647053011685641"/>
        </c:manualLayout>
      </c:layout>
      <c:bar3DChart>
        <c:barDir val="col"/>
        <c:grouping val="clustered"/>
        <c:varyColors val="0"/>
        <c:ser>
          <c:idx val="1"/>
          <c:order val="0"/>
          <c:tx>
            <c:strRef>
              <c:f>Summary!$B$164</c:f>
              <c:strCache>
                <c:ptCount val="1"/>
                <c:pt idx="0">
                  <c:v>Metapod 2 - Customer DC SW + HW</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cat>
            <c:strRef>
              <c:f>Summary!$D$160:$F$160</c:f>
              <c:strCache>
                <c:ptCount val="3"/>
                <c:pt idx="0">
                  <c:v>Monthly</c:v>
                </c:pt>
                <c:pt idx="1">
                  <c:v>1 Year</c:v>
                </c:pt>
                <c:pt idx="2">
                  <c:v>3 Year</c:v>
                </c:pt>
              </c:strCache>
            </c:strRef>
          </c:cat>
          <c:val>
            <c:numRef>
              <c:f>Summary!$D$164:$F$164</c:f>
              <c:numCache>
                <c:formatCode>"$"#,##0.00;[Red]"$"#,##0.00</c:formatCode>
                <c:ptCount val="3"/>
                <c:pt idx="0">
                  <c:v>10184.46166666667</c:v>
                </c:pt>
                <c:pt idx="1">
                  <c:v>122213.54</c:v>
                </c:pt>
                <c:pt idx="2">
                  <c:v>366640.62</c:v>
                </c:pt>
              </c:numCache>
            </c:numRef>
          </c:val>
        </c:ser>
        <c:ser>
          <c:idx val="3"/>
          <c:order val="1"/>
          <c:tx>
            <c:strRef>
              <c:f>Summary!$B$161</c:f>
              <c:strCache>
                <c:ptCount val="1"/>
                <c:pt idx="0">
                  <c:v>AWS</c:v>
                </c:pt>
              </c:strCache>
            </c:strRef>
          </c:tx>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invertIfNegative val="0"/>
          <c:val>
            <c:numRef>
              <c:f>Summary!$D$161:$F$161</c:f>
              <c:numCache>
                <c:formatCode>"$"#,##0.00;[Red]"$"#,##0.00</c:formatCode>
                <c:ptCount val="3"/>
                <c:pt idx="0">
                  <c:v>31562.488578875</c:v>
                </c:pt>
                <c:pt idx="1">
                  <c:v>245325.9948850999</c:v>
                </c:pt>
                <c:pt idx="2">
                  <c:v>520004.42385855</c:v>
                </c:pt>
              </c:numCache>
            </c:numRef>
          </c:val>
        </c:ser>
        <c:dLbls>
          <c:showLegendKey val="0"/>
          <c:showVal val="0"/>
          <c:showCatName val="0"/>
          <c:showSerName val="0"/>
          <c:showPercent val="0"/>
          <c:showBubbleSize val="0"/>
        </c:dLbls>
        <c:gapWidth val="65"/>
        <c:shape val="box"/>
        <c:axId val="-2130731360"/>
        <c:axId val="-2080946992"/>
        <c:axId val="0"/>
      </c:bar3DChart>
      <c:catAx>
        <c:axId val="-2130731360"/>
        <c:scaling>
          <c:orientation val="minMax"/>
        </c:scaling>
        <c:delete val="0"/>
        <c:axPos val="b"/>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080946992"/>
        <c:crosses val="autoZero"/>
        <c:auto val="1"/>
        <c:lblAlgn val="ctr"/>
        <c:lblOffset val="100"/>
        <c:noMultiLvlLbl val="0"/>
      </c:catAx>
      <c:valAx>
        <c:axId val="-2080946992"/>
        <c:scaling>
          <c:orientation val="minMax"/>
        </c:scaling>
        <c:delete val="0"/>
        <c:axPos val="l"/>
        <c:majorGridlines>
          <c:spPr>
            <a:ln w="9525" cap="flat" cmpd="sng" algn="ctr">
              <a:solidFill>
                <a:schemeClr val="dk1">
                  <a:lumMod val="15000"/>
                  <a:lumOff val="85000"/>
                </a:schemeClr>
              </a:solidFill>
              <a:round/>
            </a:ln>
            <a:effectLst/>
          </c:spPr>
        </c:majorGridlines>
        <c:numFmt formatCode="&quot;$&quot;#,##0.00;[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130731360"/>
        <c:crosses val="autoZero"/>
        <c:crossBetween val="between"/>
      </c:val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1.0" l="0.75" r="0.75"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vCPU &amp; Memory Comparison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Summary!$B$104</c:f>
              <c:strCache>
                <c:ptCount val="1"/>
                <c:pt idx="0">
                  <c:v>vCPU</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Summary!$C$103:$D$103</c:f>
              <c:strCache>
                <c:ptCount val="2"/>
                <c:pt idx="0">
                  <c:v>Required</c:v>
                </c:pt>
                <c:pt idx="1">
                  <c:v>Provided</c:v>
                </c:pt>
              </c:strCache>
            </c:strRef>
          </c:cat>
          <c:val>
            <c:numRef>
              <c:f>Summary!$C$104:$D$104</c:f>
              <c:numCache>
                <c:formatCode>0</c:formatCode>
                <c:ptCount val="2"/>
                <c:pt idx="0">
                  <c:v>623.0</c:v>
                </c:pt>
                <c:pt idx="1">
                  <c:v>720.0</c:v>
                </c:pt>
              </c:numCache>
            </c:numRef>
          </c:val>
        </c:ser>
        <c:ser>
          <c:idx val="1"/>
          <c:order val="1"/>
          <c:tx>
            <c:strRef>
              <c:f>Summary!$B$105</c:f>
              <c:strCache>
                <c:ptCount val="1"/>
                <c:pt idx="0">
                  <c:v>Memory</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Summary!$C$103:$D$103</c:f>
              <c:strCache>
                <c:ptCount val="2"/>
                <c:pt idx="0">
                  <c:v>Required</c:v>
                </c:pt>
                <c:pt idx="1">
                  <c:v>Provided</c:v>
                </c:pt>
              </c:strCache>
            </c:strRef>
          </c:cat>
          <c:val>
            <c:numRef>
              <c:f>Summary!$C$105:$D$105</c:f>
              <c:numCache>
                <c:formatCode>0</c:formatCode>
                <c:ptCount val="2"/>
                <c:pt idx="0">
                  <c:v>1331.0</c:v>
                </c:pt>
                <c:pt idx="1">
                  <c:v>1920.0</c:v>
                </c:pt>
              </c:numCache>
            </c:numRef>
          </c:val>
        </c:ser>
        <c:dLbls>
          <c:showLegendKey val="0"/>
          <c:showVal val="1"/>
          <c:showCatName val="0"/>
          <c:showSerName val="0"/>
          <c:showPercent val="0"/>
          <c:showBubbleSize val="0"/>
        </c:dLbls>
        <c:gapWidth val="65"/>
        <c:shape val="box"/>
        <c:axId val="-1264256896"/>
        <c:axId val="-1264253520"/>
        <c:axId val="0"/>
      </c:bar3DChart>
      <c:catAx>
        <c:axId val="-126425689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64253520"/>
        <c:crosses val="autoZero"/>
        <c:auto val="1"/>
        <c:lblAlgn val="ctr"/>
        <c:lblOffset val="100"/>
        <c:noMultiLvlLbl val="0"/>
      </c:catAx>
      <c:valAx>
        <c:axId val="-1264253520"/>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264256896"/>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Storage IO/s &amp; Capacity Comparison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Summary!$B$106</c:f>
              <c:strCache>
                <c:ptCount val="1"/>
                <c:pt idx="0">
                  <c:v>Storage IO/s</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Summary!$C$103:$D$103</c:f>
              <c:strCache>
                <c:ptCount val="2"/>
                <c:pt idx="0">
                  <c:v>Required</c:v>
                </c:pt>
                <c:pt idx="1">
                  <c:v>Provided</c:v>
                </c:pt>
              </c:strCache>
            </c:strRef>
          </c:cat>
          <c:val>
            <c:numRef>
              <c:f>Summary!$C$106:$D$106</c:f>
              <c:numCache>
                <c:formatCode>0</c:formatCode>
                <c:ptCount val="2"/>
                <c:pt idx="0">
                  <c:v>2745.0</c:v>
                </c:pt>
                <c:pt idx="1">
                  <c:v>5300.0</c:v>
                </c:pt>
              </c:numCache>
            </c:numRef>
          </c:val>
        </c:ser>
        <c:ser>
          <c:idx val="1"/>
          <c:order val="1"/>
          <c:tx>
            <c:strRef>
              <c:f>Summary!$B$107</c:f>
              <c:strCache>
                <c:ptCount val="1"/>
                <c:pt idx="0">
                  <c:v>Storage Capacity</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Summary!$C$103:$D$103</c:f>
              <c:strCache>
                <c:ptCount val="2"/>
                <c:pt idx="0">
                  <c:v>Required</c:v>
                </c:pt>
                <c:pt idx="1">
                  <c:v>Provided</c:v>
                </c:pt>
              </c:strCache>
            </c:strRef>
          </c:cat>
          <c:val>
            <c:numRef>
              <c:f>Summary!$C$107:$D$107</c:f>
              <c:numCache>
                <c:formatCode>0</c:formatCode>
                <c:ptCount val="2"/>
                <c:pt idx="0">
                  <c:v>26564.0</c:v>
                </c:pt>
                <c:pt idx="1">
                  <c:v>52326.4</c:v>
                </c:pt>
              </c:numCache>
            </c:numRef>
          </c:val>
        </c:ser>
        <c:dLbls>
          <c:showLegendKey val="0"/>
          <c:showVal val="1"/>
          <c:showCatName val="0"/>
          <c:showSerName val="0"/>
          <c:showPercent val="0"/>
          <c:showBubbleSize val="0"/>
        </c:dLbls>
        <c:gapWidth val="65"/>
        <c:shape val="box"/>
        <c:axId val="-1882079328"/>
        <c:axId val="-1882004432"/>
        <c:axId val="0"/>
      </c:bar3DChart>
      <c:catAx>
        <c:axId val="-188207932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882004432"/>
        <c:crosses val="autoZero"/>
        <c:auto val="1"/>
        <c:lblAlgn val="ctr"/>
        <c:lblOffset val="100"/>
        <c:noMultiLvlLbl val="0"/>
      </c:catAx>
      <c:valAx>
        <c:axId val="-1882004432"/>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882079328"/>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15</xdr:col>
      <xdr:colOff>927100</xdr:colOff>
      <xdr:row>6</xdr:row>
      <xdr:rowOff>50800</xdr:rowOff>
    </xdr:from>
    <xdr:to>
      <xdr:col>15</xdr:col>
      <xdr:colOff>929698</xdr:colOff>
      <xdr:row>9</xdr:row>
      <xdr:rowOff>50800</xdr:rowOff>
    </xdr:to>
    <xdr:cxnSp macro="">
      <xdr:nvCxnSpPr>
        <xdr:cNvPr id="42" name="Straight Arrow Connector 41"/>
        <xdr:cNvCxnSpPr/>
      </xdr:nvCxnSpPr>
      <xdr:spPr>
        <a:xfrm>
          <a:off x="9690100" y="876300"/>
          <a:ext cx="2598" cy="177800"/>
        </a:xfrm>
        <a:prstGeom prst="straightConnector1">
          <a:avLst/>
        </a:prstGeom>
        <a:ln w="19050">
          <a:solidFill>
            <a:srgbClr val="FF0000"/>
          </a:solidFill>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65193</xdr:colOff>
      <xdr:row>2</xdr:row>
      <xdr:rowOff>2540</xdr:rowOff>
    </xdr:from>
    <xdr:to>
      <xdr:col>18</xdr:col>
      <xdr:colOff>471593</xdr:colOff>
      <xdr:row>6</xdr:row>
      <xdr:rowOff>44450</xdr:rowOff>
    </xdr:to>
    <xdr:sp macro="" textlink="">
      <xdr:nvSpPr>
        <xdr:cNvPr id="18" name="Line Callout 2 (No Border) 17"/>
        <xdr:cNvSpPr/>
      </xdr:nvSpPr>
      <xdr:spPr>
        <a:xfrm>
          <a:off x="10860193" y="205740"/>
          <a:ext cx="2743200" cy="676910"/>
        </a:xfrm>
        <a:prstGeom prst="callout2">
          <a:avLst>
            <a:gd name="adj1" fmla="val 13251"/>
            <a:gd name="adj2" fmla="val 21"/>
            <a:gd name="adj3" fmla="val 10389"/>
            <a:gd name="adj4" fmla="val 491"/>
            <a:gd name="adj5" fmla="val 11319"/>
            <a:gd name="adj6" fmla="val 77"/>
          </a:avLst>
        </a:prstGeom>
        <a:solidFill>
          <a:schemeClr val="bg2">
            <a:lumMod val="90000"/>
          </a:schemeClr>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ln>
                <a:noFill/>
              </a:ln>
              <a:solidFill>
                <a:srgbClr val="FF0000"/>
              </a:solidFill>
              <a:latin typeface="+mn-lt"/>
              <a:ea typeface="+mn-ea"/>
              <a:cs typeface="+mn-cs"/>
            </a:rPr>
            <a:t>Optionally provide</a:t>
          </a:r>
        </a:p>
        <a:p>
          <a:pPr marL="0" indent="0" algn="l"/>
          <a:r>
            <a:rPr lang="en-US" sz="1000" i="1">
              <a:ln>
                <a:noFill/>
              </a:ln>
              <a:solidFill>
                <a:schemeClr val="tx1"/>
              </a:solidFill>
              <a:latin typeface="+mn-lt"/>
              <a:ea typeface="+mn-ea"/>
              <a:cs typeface="+mn-cs"/>
            </a:rPr>
            <a:t>&gt; estimated utilization, ex. .75 = 75%</a:t>
          </a:r>
        </a:p>
        <a:p>
          <a:pPr marL="0" indent="0" algn="l"/>
          <a:r>
            <a:rPr lang="en-US" sz="1000" i="1">
              <a:ln>
                <a:noFill/>
              </a:ln>
              <a:solidFill>
                <a:schemeClr val="tx1"/>
              </a:solidFill>
              <a:latin typeface="+mn-lt"/>
              <a:ea typeface="+mn-ea"/>
              <a:cs typeface="+mn-cs"/>
            </a:rPr>
            <a:t>&gt; monthly growth rate, ex. 1.05 = 5% MoM rate</a:t>
          </a:r>
        </a:p>
        <a:p>
          <a:pPr marL="0" indent="0" algn="l"/>
          <a:r>
            <a:rPr lang="en-US" sz="1000" i="1">
              <a:ln>
                <a:noFill/>
              </a:ln>
              <a:solidFill>
                <a:schemeClr val="tx1"/>
              </a:solidFill>
              <a:latin typeface="+mn-lt"/>
              <a:ea typeface="+mn-ea"/>
              <a:cs typeface="+mn-cs"/>
            </a:rPr>
            <a:t>&gt; initial sizing "padding", default 1.2 = 120%</a:t>
          </a:r>
        </a:p>
      </xdr:txBody>
    </xdr:sp>
    <xdr:clientData/>
  </xdr:twoCellAnchor>
  <xdr:twoCellAnchor>
    <xdr:from>
      <xdr:col>17</xdr:col>
      <xdr:colOff>65193</xdr:colOff>
      <xdr:row>11</xdr:row>
      <xdr:rowOff>8890</xdr:rowOff>
    </xdr:from>
    <xdr:to>
      <xdr:col>18</xdr:col>
      <xdr:colOff>471593</xdr:colOff>
      <xdr:row>12</xdr:row>
      <xdr:rowOff>153670</xdr:rowOff>
    </xdr:to>
    <xdr:sp macro="" textlink="">
      <xdr:nvSpPr>
        <xdr:cNvPr id="17" name="Line Callout 2 (No Border) 16"/>
        <xdr:cNvSpPr/>
      </xdr:nvSpPr>
      <xdr:spPr>
        <a:xfrm>
          <a:off x="10860193" y="1583690"/>
          <a:ext cx="2743200" cy="322580"/>
        </a:xfrm>
        <a:prstGeom prst="callout2">
          <a:avLst>
            <a:gd name="adj1" fmla="val 44420"/>
            <a:gd name="adj2" fmla="val -712"/>
            <a:gd name="adj3" fmla="val 43980"/>
            <a:gd name="adj4" fmla="val -2122"/>
            <a:gd name="adj5" fmla="val 42096"/>
            <a:gd name="adj6" fmla="val -1526"/>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Total capacity required</a:t>
          </a:r>
        </a:p>
        <a:p>
          <a:pPr marL="0" indent="0" algn="l"/>
          <a:r>
            <a:rPr lang="en-US" sz="1000" i="1">
              <a:solidFill>
                <a:schemeClr val="tx1"/>
              </a:solidFill>
              <a:latin typeface="+mn-lt"/>
              <a:ea typeface="+mn-ea"/>
              <a:cs typeface="+mn-cs"/>
            </a:rPr>
            <a:t>Sum of instance details x utilization x padding.</a:t>
          </a:r>
        </a:p>
      </xdr:txBody>
    </xdr:sp>
    <xdr:clientData/>
  </xdr:twoCellAnchor>
  <xdr:twoCellAnchor>
    <xdr:from>
      <xdr:col>17</xdr:col>
      <xdr:colOff>65193</xdr:colOff>
      <xdr:row>63</xdr:row>
      <xdr:rowOff>11430</xdr:rowOff>
    </xdr:from>
    <xdr:to>
      <xdr:col>18</xdr:col>
      <xdr:colOff>471593</xdr:colOff>
      <xdr:row>67</xdr:row>
      <xdr:rowOff>111760</xdr:rowOff>
    </xdr:to>
    <xdr:sp macro="" textlink="">
      <xdr:nvSpPr>
        <xdr:cNvPr id="19" name="Line Callout 2 (No Border) 18"/>
        <xdr:cNvSpPr/>
      </xdr:nvSpPr>
      <xdr:spPr>
        <a:xfrm>
          <a:off x="11667913" y="9836150"/>
          <a:ext cx="2733040" cy="831850"/>
        </a:xfrm>
        <a:prstGeom prst="callout2">
          <a:avLst>
            <a:gd name="adj1" fmla="val 40472"/>
            <a:gd name="adj2" fmla="val -1445"/>
            <a:gd name="adj3" fmla="val 43980"/>
            <a:gd name="adj4" fmla="val -2122"/>
            <a:gd name="adj5" fmla="val 47359"/>
            <a:gd name="adj6" fmla="val -1526"/>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Hypervisor</a:t>
          </a:r>
          <a:r>
            <a:rPr lang="en-US" sz="1000" i="1" baseline="0">
              <a:solidFill>
                <a:srgbClr val="FF0000"/>
              </a:solidFill>
              <a:latin typeface="+mn-lt"/>
              <a:ea typeface="+mn-ea"/>
              <a:cs typeface="+mn-cs"/>
            </a:rPr>
            <a:t> &amp; CPU settigns</a:t>
          </a:r>
        </a:p>
        <a:p>
          <a:pPr marL="0" indent="0" algn="l"/>
          <a:r>
            <a:rPr lang="en-US" sz="1000" i="1">
              <a:solidFill>
                <a:srgbClr val="000000"/>
              </a:solidFill>
              <a:latin typeface="+mn-lt"/>
              <a:ea typeface="+mn-ea"/>
              <a:cs typeface="+mn-cs"/>
            </a:rPr>
            <a:t>&gt; Set hypervisor model.</a:t>
          </a:r>
        </a:p>
        <a:p>
          <a:pPr marL="0" indent="0" algn="l"/>
          <a:r>
            <a:rPr lang="en-US" sz="1000" i="1">
              <a:solidFill>
                <a:srgbClr val="000000"/>
              </a:solidFill>
              <a:latin typeface="+mn-lt"/>
              <a:ea typeface="+mn-ea"/>
              <a:cs typeface="+mn-cs"/>
            </a:rPr>
            <a:t>&gt; Set CPU overcommit, ex. 2 - prod, 4 - dev</a:t>
          </a:r>
        </a:p>
        <a:p>
          <a:pPr marL="0" indent="0" algn="l"/>
          <a:r>
            <a:rPr lang="en-US" sz="1000" i="1">
              <a:solidFill>
                <a:srgbClr val="000000"/>
              </a:solidFill>
              <a:latin typeface="+mn-lt"/>
              <a:ea typeface="+mn-ea"/>
              <a:cs typeface="+mn-cs"/>
            </a:rPr>
            <a:t>&gt; Set processor, ex. E5-2690 v3 (default)</a:t>
          </a:r>
        </a:p>
        <a:p>
          <a:pPr marL="0" indent="0" algn="l"/>
          <a:r>
            <a:rPr lang="en-US" sz="1000" i="1">
              <a:solidFill>
                <a:srgbClr val="000000"/>
              </a:solidFill>
              <a:latin typeface="+mn-lt"/>
              <a:ea typeface="+mn-ea"/>
              <a:cs typeface="+mn-cs"/>
            </a:rPr>
            <a:t>&gt; Set hyperthreading enabled or disabled</a:t>
          </a:r>
        </a:p>
      </xdr:txBody>
    </xdr:sp>
    <xdr:clientData/>
  </xdr:twoCellAnchor>
  <xdr:twoCellAnchor>
    <xdr:from>
      <xdr:col>17</xdr:col>
      <xdr:colOff>65193</xdr:colOff>
      <xdr:row>79</xdr:row>
      <xdr:rowOff>19050</xdr:rowOff>
    </xdr:from>
    <xdr:to>
      <xdr:col>18</xdr:col>
      <xdr:colOff>471593</xdr:colOff>
      <xdr:row>81</xdr:row>
      <xdr:rowOff>0</xdr:rowOff>
    </xdr:to>
    <xdr:sp macro="" textlink="">
      <xdr:nvSpPr>
        <xdr:cNvPr id="20" name="Line Callout 2 (No Border) 19"/>
        <xdr:cNvSpPr/>
      </xdr:nvSpPr>
      <xdr:spPr>
        <a:xfrm>
          <a:off x="10860193" y="6750050"/>
          <a:ext cx="2743200" cy="336550"/>
        </a:xfrm>
        <a:prstGeom prst="callout2">
          <a:avLst>
            <a:gd name="adj1" fmla="val 46095"/>
            <a:gd name="adj2" fmla="val -802"/>
            <a:gd name="adj3" fmla="val 43980"/>
            <a:gd name="adj4" fmla="val -2122"/>
            <a:gd name="adj5" fmla="val 39445"/>
            <a:gd name="adj6" fmla="val 31"/>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Memory settings</a:t>
          </a:r>
        </a:p>
        <a:p>
          <a:pPr marL="0" indent="0" algn="l"/>
          <a:r>
            <a:rPr lang="en-US" sz="1000" i="1">
              <a:solidFill>
                <a:srgbClr val="000000"/>
              </a:solidFill>
              <a:latin typeface="+mn-lt"/>
              <a:ea typeface="+mn-ea"/>
              <a:cs typeface="+mn-cs"/>
            </a:rPr>
            <a:t>Set amount of RAM (includes -2 GB for host OS).</a:t>
          </a:r>
        </a:p>
      </xdr:txBody>
    </xdr:sp>
    <xdr:clientData/>
  </xdr:twoCellAnchor>
  <xdr:twoCellAnchor>
    <xdr:from>
      <xdr:col>17</xdr:col>
      <xdr:colOff>65193</xdr:colOff>
      <xdr:row>84</xdr:row>
      <xdr:rowOff>173990</xdr:rowOff>
    </xdr:from>
    <xdr:to>
      <xdr:col>18</xdr:col>
      <xdr:colOff>471593</xdr:colOff>
      <xdr:row>91</xdr:row>
      <xdr:rowOff>60960</xdr:rowOff>
    </xdr:to>
    <xdr:sp macro="" textlink="">
      <xdr:nvSpPr>
        <xdr:cNvPr id="21" name="Line Callout 2 (No Border) 20"/>
        <xdr:cNvSpPr/>
      </xdr:nvSpPr>
      <xdr:spPr>
        <a:xfrm>
          <a:off x="10860193" y="7793990"/>
          <a:ext cx="2743200" cy="1131570"/>
        </a:xfrm>
        <a:prstGeom prst="callout2">
          <a:avLst>
            <a:gd name="adj1" fmla="val 41747"/>
            <a:gd name="adj2" fmla="val -2147"/>
            <a:gd name="adj3" fmla="val 43980"/>
            <a:gd name="adj4" fmla="val -2122"/>
            <a:gd name="adj5" fmla="val 43080"/>
            <a:gd name="adj6" fmla="val -2185"/>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Disk settings</a:t>
          </a:r>
        </a:p>
        <a:p>
          <a:pPr marL="0" indent="0" algn="l"/>
          <a:r>
            <a:rPr lang="en-US" sz="1000" i="1">
              <a:solidFill>
                <a:srgbClr val="000000"/>
              </a:solidFill>
              <a:latin typeface="+mn-lt"/>
              <a:ea typeface="+mn-ea"/>
              <a:cs typeface="+mn-cs"/>
            </a:rPr>
            <a:t>&gt; Set disk count</a:t>
          </a:r>
        </a:p>
        <a:p>
          <a:pPr marL="0" indent="0" algn="l"/>
          <a:r>
            <a:rPr lang="en-US" sz="1000" i="1">
              <a:solidFill>
                <a:srgbClr val="000000"/>
              </a:solidFill>
              <a:latin typeface="+mn-lt"/>
              <a:ea typeface="+mn-ea"/>
              <a:cs typeface="+mn-cs"/>
            </a:rPr>
            <a:t>&gt; Set storage type</a:t>
          </a:r>
        </a:p>
        <a:p>
          <a:pPr marL="0" indent="0" algn="l"/>
          <a:r>
            <a:rPr lang="en-US" sz="1000" i="1">
              <a:solidFill>
                <a:srgbClr val="000000"/>
              </a:solidFill>
              <a:latin typeface="+mn-lt"/>
              <a:ea typeface="+mn-ea"/>
              <a:cs typeface="+mn-cs"/>
            </a:rPr>
            <a:t>&gt; Set disk type</a:t>
          </a:r>
        </a:p>
        <a:p>
          <a:pPr marL="0" indent="0" algn="l"/>
          <a:r>
            <a:rPr lang="en-US" sz="1000" i="1">
              <a:solidFill>
                <a:srgbClr val="000000"/>
              </a:solidFill>
              <a:latin typeface="+mn-lt"/>
              <a:ea typeface="+mn-ea"/>
              <a:cs typeface="+mn-cs"/>
            </a:rPr>
            <a:t>&gt; Set RAID configuration</a:t>
          </a:r>
        </a:p>
        <a:p>
          <a:pPr marL="0" indent="0" algn="l"/>
          <a:r>
            <a:rPr lang="en-US" sz="1000" i="1">
              <a:solidFill>
                <a:srgbClr val="000000"/>
              </a:solidFill>
              <a:latin typeface="+mn-lt"/>
              <a:ea typeface="+mn-ea"/>
              <a:cs typeface="+mn-cs"/>
            </a:rPr>
            <a:t>&gt; Set read / write ratio</a:t>
          </a:r>
        </a:p>
        <a:p>
          <a:pPr marL="0" indent="0" algn="l"/>
          <a:r>
            <a:rPr lang="en-US" sz="1000" i="1">
              <a:solidFill>
                <a:srgbClr val="000000"/>
              </a:solidFill>
              <a:latin typeface="+mn-lt"/>
              <a:ea typeface="+mn-ea"/>
              <a:cs typeface="+mn-cs"/>
            </a:rPr>
            <a:t>&gt; Set required IO/s per instance</a:t>
          </a:r>
        </a:p>
      </xdr:txBody>
    </xdr:sp>
    <xdr:clientData/>
  </xdr:twoCellAnchor>
  <xdr:twoCellAnchor>
    <xdr:from>
      <xdr:col>17</xdr:col>
      <xdr:colOff>65193</xdr:colOff>
      <xdr:row>111</xdr:row>
      <xdr:rowOff>189230</xdr:rowOff>
    </xdr:from>
    <xdr:to>
      <xdr:col>18</xdr:col>
      <xdr:colOff>471593</xdr:colOff>
      <xdr:row>113</xdr:row>
      <xdr:rowOff>48260</xdr:rowOff>
    </xdr:to>
    <xdr:sp macro="" textlink="">
      <xdr:nvSpPr>
        <xdr:cNvPr id="22" name="Line Callout 2 (No Border) 21"/>
        <xdr:cNvSpPr/>
      </xdr:nvSpPr>
      <xdr:spPr>
        <a:xfrm>
          <a:off x="10745893" y="12216130"/>
          <a:ext cx="2730500" cy="227330"/>
        </a:xfrm>
        <a:prstGeom prst="callout2">
          <a:avLst>
            <a:gd name="adj1" fmla="val 41747"/>
            <a:gd name="adj2" fmla="val -2147"/>
            <a:gd name="adj3" fmla="val 43980"/>
            <a:gd name="adj4" fmla="val -2122"/>
            <a:gd name="adj5" fmla="val 43080"/>
            <a:gd name="adj6" fmla="val -2185"/>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Hypervisors required per sizing</a:t>
          </a:r>
          <a:r>
            <a:rPr lang="en-US" sz="1000" i="1" baseline="0">
              <a:solidFill>
                <a:srgbClr val="FF0000"/>
              </a:solidFill>
              <a:latin typeface="+mn-lt"/>
              <a:ea typeface="+mn-ea"/>
              <a:cs typeface="+mn-cs"/>
            </a:rPr>
            <a:t> metric.</a:t>
          </a:r>
          <a:endParaRPr lang="en-US" sz="1000" i="1">
            <a:solidFill>
              <a:srgbClr val="FF0000"/>
            </a:solidFill>
            <a:latin typeface="+mn-lt"/>
            <a:ea typeface="+mn-ea"/>
            <a:cs typeface="+mn-cs"/>
          </a:endParaRPr>
        </a:p>
      </xdr:txBody>
    </xdr:sp>
    <xdr:clientData/>
  </xdr:twoCellAnchor>
  <xdr:twoCellAnchor>
    <xdr:from>
      <xdr:col>17</xdr:col>
      <xdr:colOff>65193</xdr:colOff>
      <xdr:row>106</xdr:row>
      <xdr:rowOff>82550</xdr:rowOff>
    </xdr:from>
    <xdr:to>
      <xdr:col>18</xdr:col>
      <xdr:colOff>471593</xdr:colOff>
      <xdr:row>107</xdr:row>
      <xdr:rowOff>152400</xdr:rowOff>
    </xdr:to>
    <xdr:sp macro="" textlink="">
      <xdr:nvSpPr>
        <xdr:cNvPr id="23" name="Line Callout 2 (No Border) 22"/>
        <xdr:cNvSpPr/>
      </xdr:nvSpPr>
      <xdr:spPr>
        <a:xfrm>
          <a:off x="10860193" y="11614150"/>
          <a:ext cx="2743200" cy="247650"/>
        </a:xfrm>
        <a:prstGeom prst="callout2">
          <a:avLst>
            <a:gd name="adj1" fmla="val 41747"/>
            <a:gd name="adj2" fmla="val -2147"/>
            <a:gd name="adj3" fmla="val 43980"/>
            <a:gd name="adj4" fmla="val -2122"/>
            <a:gd name="adj5" fmla="val 43080"/>
            <a:gd name="adj6" fmla="val -2185"/>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Includes</a:t>
          </a:r>
          <a:r>
            <a:rPr lang="en-US" sz="1000" i="1" baseline="0">
              <a:solidFill>
                <a:srgbClr val="FF0000"/>
              </a:solidFill>
              <a:latin typeface="+mn-lt"/>
              <a:ea typeface="+mn-ea"/>
              <a:cs typeface="+mn-cs"/>
            </a:rPr>
            <a:t> RAID, host and filesystem overhead</a:t>
          </a:r>
          <a:endParaRPr lang="en-US" sz="1000" i="1">
            <a:solidFill>
              <a:srgbClr val="FF0000"/>
            </a:solidFill>
            <a:latin typeface="+mn-lt"/>
            <a:ea typeface="+mn-ea"/>
            <a:cs typeface="+mn-cs"/>
          </a:endParaRPr>
        </a:p>
      </xdr:txBody>
    </xdr:sp>
    <xdr:clientData/>
  </xdr:twoCellAnchor>
  <xdr:twoCellAnchor>
    <xdr:from>
      <xdr:col>17</xdr:col>
      <xdr:colOff>65193</xdr:colOff>
      <xdr:row>75</xdr:row>
      <xdr:rowOff>92710</xdr:rowOff>
    </xdr:from>
    <xdr:to>
      <xdr:col>18</xdr:col>
      <xdr:colOff>471593</xdr:colOff>
      <xdr:row>76</xdr:row>
      <xdr:rowOff>162560</xdr:rowOff>
    </xdr:to>
    <xdr:sp macro="" textlink="">
      <xdr:nvSpPr>
        <xdr:cNvPr id="24" name="Line Callout 2 (No Border) 23"/>
        <xdr:cNvSpPr/>
      </xdr:nvSpPr>
      <xdr:spPr>
        <a:xfrm>
          <a:off x="10860193" y="6112510"/>
          <a:ext cx="2743200" cy="247650"/>
        </a:xfrm>
        <a:prstGeom prst="callout2">
          <a:avLst>
            <a:gd name="adj1" fmla="val 41747"/>
            <a:gd name="adj2" fmla="val -2147"/>
            <a:gd name="adj3" fmla="val 43980"/>
            <a:gd name="adj4" fmla="val -2122"/>
            <a:gd name="adj5" fmla="val 43080"/>
            <a:gd name="adj6" fmla="val -2185"/>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Includes</a:t>
          </a:r>
          <a:r>
            <a:rPr lang="en-US" sz="1000" i="1" baseline="0">
              <a:solidFill>
                <a:srgbClr val="FF0000"/>
              </a:solidFill>
              <a:latin typeface="+mn-lt"/>
              <a:ea typeface="+mn-ea"/>
              <a:cs typeface="+mn-cs"/>
            </a:rPr>
            <a:t> -2 vCPU for host OS.</a:t>
          </a:r>
          <a:endParaRPr lang="en-US" sz="1000" i="1">
            <a:solidFill>
              <a:srgbClr val="FF0000"/>
            </a:solidFill>
            <a:latin typeface="+mn-lt"/>
            <a:ea typeface="+mn-ea"/>
            <a:cs typeface="+mn-cs"/>
          </a:endParaRPr>
        </a:p>
      </xdr:txBody>
    </xdr:sp>
    <xdr:clientData/>
  </xdr:twoCellAnchor>
  <xdr:twoCellAnchor>
    <xdr:from>
      <xdr:col>17</xdr:col>
      <xdr:colOff>65193</xdr:colOff>
      <xdr:row>118</xdr:row>
      <xdr:rowOff>11430</xdr:rowOff>
    </xdr:from>
    <xdr:to>
      <xdr:col>18</xdr:col>
      <xdr:colOff>471593</xdr:colOff>
      <xdr:row>119</xdr:row>
      <xdr:rowOff>60960</xdr:rowOff>
    </xdr:to>
    <xdr:sp macro="" textlink="">
      <xdr:nvSpPr>
        <xdr:cNvPr id="25" name="Line Callout 2 (No Border) 24"/>
        <xdr:cNvSpPr/>
      </xdr:nvSpPr>
      <xdr:spPr>
        <a:xfrm>
          <a:off x="10860193" y="13371830"/>
          <a:ext cx="2743200" cy="227330"/>
        </a:xfrm>
        <a:prstGeom prst="callout2">
          <a:avLst>
            <a:gd name="adj1" fmla="val 41747"/>
            <a:gd name="adj2" fmla="val -2147"/>
            <a:gd name="adj3" fmla="val 43980"/>
            <a:gd name="adj4" fmla="val -2122"/>
            <a:gd name="adj5" fmla="val 43080"/>
            <a:gd name="adj6" fmla="val -2185"/>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Total capcity provided.</a:t>
          </a:r>
        </a:p>
      </xdr:txBody>
    </xdr:sp>
    <xdr:clientData/>
  </xdr:twoCellAnchor>
  <xdr:twoCellAnchor>
    <xdr:from>
      <xdr:col>17</xdr:col>
      <xdr:colOff>65193</xdr:colOff>
      <xdr:row>130</xdr:row>
      <xdr:rowOff>21590</xdr:rowOff>
    </xdr:from>
    <xdr:to>
      <xdr:col>18</xdr:col>
      <xdr:colOff>471593</xdr:colOff>
      <xdr:row>131</xdr:row>
      <xdr:rowOff>71120</xdr:rowOff>
    </xdr:to>
    <xdr:sp macro="" textlink="">
      <xdr:nvSpPr>
        <xdr:cNvPr id="26" name="Line Callout 2 (No Border) 25"/>
        <xdr:cNvSpPr/>
      </xdr:nvSpPr>
      <xdr:spPr>
        <a:xfrm>
          <a:off x="10860193" y="15515590"/>
          <a:ext cx="2743200" cy="227330"/>
        </a:xfrm>
        <a:prstGeom prst="callout2">
          <a:avLst>
            <a:gd name="adj1" fmla="val 41747"/>
            <a:gd name="adj2" fmla="val -2147"/>
            <a:gd name="adj3" fmla="val 43980"/>
            <a:gd name="adj4" fmla="val -2122"/>
            <a:gd name="adj5" fmla="val 43080"/>
            <a:gd name="adj6" fmla="val -2185"/>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Capacity</a:t>
          </a:r>
          <a:r>
            <a:rPr lang="en-US" sz="1000" i="1" baseline="0">
              <a:solidFill>
                <a:srgbClr val="FF0000"/>
              </a:solidFill>
              <a:latin typeface="+mn-lt"/>
              <a:ea typeface="+mn-ea"/>
              <a:cs typeface="+mn-cs"/>
            </a:rPr>
            <a:t> utilized based on current instances.</a:t>
          </a:r>
          <a:endParaRPr lang="en-US" sz="1000" i="1">
            <a:solidFill>
              <a:srgbClr val="FF0000"/>
            </a:solidFill>
            <a:latin typeface="+mn-lt"/>
            <a:ea typeface="+mn-ea"/>
            <a:cs typeface="+mn-cs"/>
          </a:endParaRPr>
        </a:p>
      </xdr:txBody>
    </xdr:sp>
    <xdr:clientData/>
  </xdr:twoCellAnchor>
  <xdr:twoCellAnchor>
    <xdr:from>
      <xdr:col>17</xdr:col>
      <xdr:colOff>65193</xdr:colOff>
      <xdr:row>136</xdr:row>
      <xdr:rowOff>41910</xdr:rowOff>
    </xdr:from>
    <xdr:to>
      <xdr:col>18</xdr:col>
      <xdr:colOff>471593</xdr:colOff>
      <xdr:row>137</xdr:row>
      <xdr:rowOff>91440</xdr:rowOff>
    </xdr:to>
    <xdr:sp macro="" textlink="">
      <xdr:nvSpPr>
        <xdr:cNvPr id="27" name="Line Callout 2 (No Border) 26"/>
        <xdr:cNvSpPr/>
      </xdr:nvSpPr>
      <xdr:spPr>
        <a:xfrm>
          <a:off x="10860193" y="16602710"/>
          <a:ext cx="2743200" cy="227330"/>
        </a:xfrm>
        <a:prstGeom prst="callout2">
          <a:avLst>
            <a:gd name="adj1" fmla="val 41747"/>
            <a:gd name="adj2" fmla="val -2147"/>
            <a:gd name="adj3" fmla="val 43980"/>
            <a:gd name="adj4" fmla="val -2122"/>
            <a:gd name="adj5" fmla="val 43080"/>
            <a:gd name="adj6" fmla="val -2185"/>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Capacity utilized over time based on growth rate.</a:t>
          </a:r>
        </a:p>
      </xdr:txBody>
    </xdr:sp>
    <xdr:clientData/>
  </xdr:twoCellAnchor>
  <xdr:twoCellAnchor>
    <xdr:from>
      <xdr:col>17</xdr:col>
      <xdr:colOff>136313</xdr:colOff>
      <xdr:row>166</xdr:row>
      <xdr:rowOff>1270</xdr:rowOff>
    </xdr:from>
    <xdr:to>
      <xdr:col>18</xdr:col>
      <xdr:colOff>542713</xdr:colOff>
      <xdr:row>170</xdr:row>
      <xdr:rowOff>106680</xdr:rowOff>
    </xdr:to>
    <xdr:sp macro="" textlink="">
      <xdr:nvSpPr>
        <xdr:cNvPr id="28" name="Line Callout 2 (No Border) 27"/>
        <xdr:cNvSpPr/>
      </xdr:nvSpPr>
      <xdr:spPr>
        <a:xfrm>
          <a:off x="10895753" y="29780230"/>
          <a:ext cx="2733040" cy="836930"/>
        </a:xfrm>
        <a:prstGeom prst="callout2">
          <a:avLst>
            <a:gd name="adj1" fmla="val 40472"/>
            <a:gd name="adj2" fmla="val -1445"/>
            <a:gd name="adj3" fmla="val 43980"/>
            <a:gd name="adj4" fmla="val -2122"/>
            <a:gd name="adj5" fmla="val 47359"/>
            <a:gd name="adj6" fmla="val -1526"/>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Cost model settings</a:t>
          </a:r>
          <a:endParaRPr lang="en-US" sz="1000" i="1" baseline="0">
            <a:solidFill>
              <a:srgbClr val="FF0000"/>
            </a:solidFill>
            <a:latin typeface="+mn-lt"/>
            <a:ea typeface="+mn-ea"/>
            <a:cs typeface="+mn-cs"/>
          </a:endParaRPr>
        </a:p>
        <a:p>
          <a:pPr marL="0" indent="0" algn="l"/>
          <a:r>
            <a:rPr lang="en-US" sz="1000" i="1">
              <a:solidFill>
                <a:srgbClr val="000000"/>
              </a:solidFill>
              <a:latin typeface="+mn-lt"/>
              <a:ea typeface="+mn-ea"/>
              <a:cs typeface="+mn-cs"/>
            </a:rPr>
            <a:t>&gt; Set</a:t>
          </a:r>
          <a:r>
            <a:rPr lang="en-US" sz="1000" i="1" baseline="0">
              <a:solidFill>
                <a:srgbClr val="000000"/>
              </a:solidFill>
              <a:latin typeface="+mn-lt"/>
              <a:ea typeface="+mn-ea"/>
              <a:cs typeface="+mn-cs"/>
            </a:rPr>
            <a:t> one time fees</a:t>
          </a:r>
          <a:endParaRPr lang="en-US" sz="1000" i="1">
            <a:solidFill>
              <a:srgbClr val="000000"/>
            </a:solidFill>
            <a:latin typeface="+mn-lt"/>
            <a:ea typeface="+mn-ea"/>
            <a:cs typeface="+mn-cs"/>
          </a:endParaRPr>
        </a:p>
        <a:p>
          <a:pPr marL="0" indent="0" algn="l"/>
          <a:r>
            <a:rPr lang="en-US" sz="1000" i="1">
              <a:solidFill>
                <a:srgbClr val="000000"/>
              </a:solidFill>
              <a:latin typeface="+mn-lt"/>
              <a:ea typeface="+mn-ea"/>
              <a:cs typeface="+mn-cs"/>
            </a:rPr>
            <a:t>&gt; Set HW cost</a:t>
          </a:r>
        </a:p>
        <a:p>
          <a:pPr marL="0" indent="0" algn="l"/>
          <a:r>
            <a:rPr lang="en-US" sz="1000" i="1">
              <a:solidFill>
                <a:srgbClr val="000000"/>
              </a:solidFill>
              <a:latin typeface="+mn-lt"/>
              <a:ea typeface="+mn-ea"/>
              <a:cs typeface="+mn-cs"/>
            </a:rPr>
            <a:t>&gt; Set SW and</a:t>
          </a:r>
          <a:r>
            <a:rPr lang="en-US" sz="1000" i="1" baseline="0">
              <a:solidFill>
                <a:srgbClr val="000000"/>
              </a:solidFill>
              <a:latin typeface="+mn-lt"/>
              <a:ea typeface="+mn-ea"/>
              <a:cs typeface="+mn-cs"/>
            </a:rPr>
            <a:t> storage subscription fees</a:t>
          </a:r>
          <a:endParaRPr lang="en-US" sz="1000" i="1">
            <a:solidFill>
              <a:srgbClr val="000000"/>
            </a:solidFill>
            <a:latin typeface="+mn-lt"/>
            <a:ea typeface="+mn-ea"/>
            <a:cs typeface="+mn-cs"/>
          </a:endParaRPr>
        </a:p>
        <a:p>
          <a:pPr marL="0" indent="0" algn="l"/>
          <a:r>
            <a:rPr lang="en-US" sz="1000" i="1">
              <a:solidFill>
                <a:srgbClr val="000000"/>
              </a:solidFill>
              <a:latin typeface="+mn-lt"/>
              <a:ea typeface="+mn-ea"/>
              <a:cs typeface="+mn-cs"/>
            </a:rPr>
            <a:t>&gt; Set hosting fees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xdr:colOff>
          <xdr:row>2</xdr:row>
          <xdr:rowOff>63500</xdr:rowOff>
        </xdr:from>
        <xdr:to>
          <xdr:col>16</xdr:col>
          <xdr:colOff>520700</xdr:colOff>
          <xdr:row>3</xdr:row>
          <xdr:rowOff>139700</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Assign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1485900</xdr:colOff>
          <xdr:row>2</xdr:row>
          <xdr:rowOff>88900</xdr:rowOff>
        </xdr:from>
        <xdr:to>
          <xdr:col>8</xdr:col>
          <xdr:colOff>2209800</xdr:colOff>
          <xdr:row>3</xdr:row>
          <xdr:rowOff>114300</xdr:rowOff>
        </xdr:to>
        <xdr:sp macro="" textlink="">
          <xdr:nvSpPr>
            <xdr:cNvPr id="8202" name="Button 10" hidden="1">
              <a:extLst>
                <a:ext uri="{63B3BB69-23CF-44E3-9099-C40C66FF867C}">
                  <a14:compatExt spid="_x0000_s8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863600</xdr:colOff>
          <xdr:row>2</xdr:row>
          <xdr:rowOff>63500</xdr:rowOff>
        </xdr:from>
        <xdr:to>
          <xdr:col>13</xdr:col>
          <xdr:colOff>1447800</xdr:colOff>
          <xdr:row>3</xdr:row>
          <xdr:rowOff>114300</xdr:rowOff>
        </xdr:to>
        <xdr:sp macro="" textlink="">
          <xdr:nvSpPr>
            <xdr:cNvPr id="8204" name="Button 12" hidden="1">
              <a:extLst>
                <a:ext uri="{63B3BB69-23CF-44E3-9099-C40C66FF867C}">
                  <a14:compatExt spid="_x0000_s82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Import</a:t>
              </a:r>
            </a:p>
          </xdr:txBody>
        </xdr:sp>
        <xdr:clientData fPrintsWithSheet="0"/>
      </xdr:twoCellAnchor>
    </mc:Choice>
    <mc:Fallback/>
  </mc:AlternateContent>
  <xdr:twoCellAnchor>
    <xdr:from>
      <xdr:col>18</xdr:col>
      <xdr:colOff>142876</xdr:colOff>
      <xdr:row>8</xdr:row>
      <xdr:rowOff>28575</xdr:rowOff>
    </xdr:from>
    <xdr:to>
      <xdr:col>20</xdr:col>
      <xdr:colOff>123826</xdr:colOff>
      <xdr:row>10</xdr:row>
      <xdr:rowOff>133351</xdr:rowOff>
    </xdr:to>
    <xdr:sp macro="" textlink="">
      <xdr:nvSpPr>
        <xdr:cNvPr id="7" name="Rectangular Callout 6"/>
        <xdr:cNvSpPr/>
      </xdr:nvSpPr>
      <xdr:spPr>
        <a:xfrm>
          <a:off x="10029826" y="990600"/>
          <a:ext cx="1333500" cy="428626"/>
        </a:xfrm>
        <a:prstGeom prst="wedgeRectCallout">
          <a:avLst>
            <a:gd name="adj1" fmla="val -60996"/>
            <a:gd name="adj2" fmla="val 27665"/>
          </a:avLst>
        </a:prstGeom>
        <a:solidFill>
          <a:srgbClr val="FFFFCC"/>
        </a:soli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1" i="1" u="none" strike="noStrike" kern="0" cap="none" spc="0" normalizeH="0" baseline="0" noProof="0">
              <a:ln>
                <a:noFill/>
              </a:ln>
              <a:solidFill>
                <a:sysClr val="windowText" lastClr="000000"/>
              </a:solidFill>
              <a:effectLst/>
              <a:uLnTx/>
              <a:uFillTx/>
              <a:latin typeface="Calibri"/>
              <a:ea typeface="+mn-ea"/>
              <a:cs typeface="+mn-cs"/>
            </a:rPr>
            <a:t>(5) Sort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0" i="1" u="none" strike="noStrike" kern="0" cap="none" spc="0" normalizeH="0" baseline="0" noProof="0">
              <a:ln>
                <a:noFill/>
              </a:ln>
              <a:solidFill>
                <a:sysClr val="windowText" lastClr="000000"/>
              </a:solidFill>
              <a:effectLst/>
              <a:uLnTx/>
              <a:uFillTx/>
              <a:latin typeface="Calibri"/>
              <a:ea typeface="+mn-ea"/>
              <a:cs typeface="+mn-cs"/>
            </a:rPr>
            <a:t>Optional</a:t>
          </a:r>
        </a:p>
      </xdr:txBody>
    </xdr:sp>
    <xdr:clientData/>
  </xdr:twoCellAnchor>
  <mc:AlternateContent xmlns:mc="http://schemas.openxmlformats.org/markup-compatibility/2006">
    <mc:Choice xmlns:a14="http://schemas.microsoft.com/office/drawing/2010/main" Requires="a14">
      <xdr:twoCellAnchor>
        <xdr:from>
          <xdr:col>19</xdr:col>
          <xdr:colOff>114300</xdr:colOff>
          <xdr:row>8</xdr:row>
          <xdr:rowOff>139700</xdr:rowOff>
        </xdr:from>
        <xdr:to>
          <xdr:col>20</xdr:col>
          <xdr:colOff>38100</xdr:colOff>
          <xdr:row>10</xdr:row>
          <xdr:rowOff>63500</xdr:rowOff>
        </xdr:to>
        <xdr:sp macro="" textlink="">
          <xdr:nvSpPr>
            <xdr:cNvPr id="8208" name="Button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165</xdr:row>
      <xdr:rowOff>142240</xdr:rowOff>
    </xdr:from>
    <xdr:to>
      <xdr:col>9</xdr:col>
      <xdr:colOff>20320</xdr:colOff>
      <xdr:row>194</xdr:row>
      <xdr:rowOff>40640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13</xdr:col>
          <xdr:colOff>25400</xdr:colOff>
          <xdr:row>21</xdr:row>
          <xdr:rowOff>0</xdr:rowOff>
        </xdr:from>
        <xdr:to>
          <xdr:col>13</xdr:col>
          <xdr:colOff>1854200</xdr:colOff>
          <xdr:row>23</xdr:row>
          <xdr:rowOff>38100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sng" strike="noStrike" baseline="0">
                  <a:solidFill>
                    <a:srgbClr val="C0504D"/>
                  </a:solidFill>
                  <a:latin typeface="Calibri"/>
                  <a:ea typeface="Calibri"/>
                  <a:cs typeface="Calibri"/>
                </a:rPr>
                <a:t>Save as PDF and Email</a:t>
              </a:r>
            </a:p>
          </xdr:txBody>
        </xdr:sp>
        <xdr:clientData fPrintsWithSheet="0"/>
      </xdr:twoCellAnchor>
    </mc:Choice>
    <mc:Fallback/>
  </mc:AlternateContent>
  <xdr:twoCellAnchor>
    <xdr:from>
      <xdr:col>1</xdr:col>
      <xdr:colOff>10160</xdr:colOff>
      <xdr:row>107</xdr:row>
      <xdr:rowOff>35560</xdr:rowOff>
    </xdr:from>
    <xdr:to>
      <xdr:col>4</xdr:col>
      <xdr:colOff>467360</xdr:colOff>
      <xdr:row>125</xdr:row>
      <xdr:rowOff>35560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751840</xdr:colOff>
      <xdr:row>122</xdr:row>
      <xdr:rowOff>111760</xdr:rowOff>
    </xdr:from>
    <xdr:to>
      <xdr:col>8</xdr:col>
      <xdr:colOff>482600</xdr:colOff>
      <xdr:row>140</xdr:row>
      <xdr:rowOff>111760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1" Type="http://schemas.openxmlformats.org/officeDocument/2006/relationships/drawing" Target="../drawings/drawing2.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theme="6" tint="0.39997558519241921"/>
  </sheetPr>
  <dimension ref="B1:X1513"/>
  <sheetViews>
    <sheetView showGridLines="0" tabSelected="1" topLeftCell="A215" zoomScale="125" zoomScaleNormal="125" zoomScalePageLayoutView="125" workbookViewId="0">
      <selection activeCell="N240" sqref="N240:Q254"/>
    </sheetView>
  </sheetViews>
  <sheetFormatPr baseColWidth="10" defaultColWidth="11" defaultRowHeight="14" x14ac:dyDescent="0.2"/>
  <cols>
    <col min="1" max="1" width="1.1640625" style="2" customWidth="1"/>
    <col min="2" max="2" width="1.33203125" style="2" customWidth="1"/>
    <col min="3" max="3" width="13.1640625" style="2" bestFit="1" customWidth="1"/>
    <col min="4" max="4" width="4.1640625" style="3" bestFit="1" customWidth="1"/>
    <col min="5" max="5" width="8.1640625" style="3" bestFit="1" customWidth="1"/>
    <col min="6" max="6" width="6.6640625" style="3" bestFit="1" customWidth="1"/>
    <col min="7" max="7" width="8" style="3" bestFit="1" customWidth="1"/>
    <col min="8" max="8" width="7.5" style="3" bestFit="1" customWidth="1"/>
    <col min="9" max="10" width="8" style="3" customWidth="1"/>
    <col min="11" max="11" width="5.1640625" style="3" bestFit="1" customWidth="1"/>
    <col min="12" max="13" width="1.1640625" style="2" customWidth="1"/>
    <col min="14" max="14" width="1.1640625" style="1" customWidth="1"/>
    <col min="15" max="15" width="42.1640625" style="23" bestFit="1" customWidth="1"/>
    <col min="16" max="16" width="24" style="1" bestFit="1" customWidth="1"/>
    <col min="17" max="17" width="3.1640625" style="1" bestFit="1" customWidth="1"/>
    <col min="18" max="18" width="30.5" style="1" customWidth="1"/>
    <col min="19" max="21" width="11" style="2"/>
    <col min="22" max="22" width="9.1640625" style="2" customWidth="1"/>
    <col min="23" max="16384" width="11" style="2"/>
  </cols>
  <sheetData>
    <row r="1" spans="2:24" ht="7.5" customHeight="1" x14ac:dyDescent="0.2"/>
    <row r="2" spans="2:24" ht="8.25" customHeight="1" x14ac:dyDescent="0.2">
      <c r="B2" s="4"/>
      <c r="C2" s="5"/>
      <c r="D2" s="6"/>
      <c r="E2" s="6"/>
      <c r="F2" s="6"/>
      <c r="G2" s="6"/>
      <c r="H2" s="6"/>
      <c r="I2" s="6"/>
      <c r="J2" s="6"/>
      <c r="K2" s="6"/>
      <c r="L2" s="7"/>
      <c r="N2" s="28"/>
      <c r="O2" s="29"/>
      <c r="P2" s="30"/>
      <c r="Q2" s="31"/>
    </row>
    <row r="3" spans="2:24" ht="12.75" customHeight="1" x14ac:dyDescent="0.2">
      <c r="B3" s="10"/>
      <c r="C3" s="341" t="s">
        <v>27</v>
      </c>
      <c r="D3" s="342"/>
      <c r="E3" s="342"/>
      <c r="F3" s="342"/>
      <c r="G3" s="342"/>
      <c r="H3" s="342"/>
      <c r="I3" s="342"/>
      <c r="J3" s="342"/>
      <c r="K3" s="343"/>
      <c r="L3" s="19"/>
      <c r="N3" s="32"/>
      <c r="O3" s="127" t="s">
        <v>293</v>
      </c>
      <c r="P3" s="279"/>
      <c r="Q3" s="33"/>
    </row>
    <row r="4" spans="2:24" x14ac:dyDescent="0.2">
      <c r="B4" s="10"/>
      <c r="C4" s="344" t="s">
        <v>28</v>
      </c>
      <c r="D4" s="345"/>
      <c r="E4" s="345"/>
      <c r="F4" s="345"/>
      <c r="G4" s="345"/>
      <c r="H4" s="345"/>
      <c r="I4" s="345"/>
      <c r="J4" s="345"/>
      <c r="K4" s="346"/>
      <c r="L4" s="19"/>
      <c r="N4" s="32"/>
      <c r="O4" s="221" t="s">
        <v>294</v>
      </c>
      <c r="P4" s="47">
        <v>1</v>
      </c>
      <c r="Q4" s="33"/>
    </row>
    <row r="5" spans="2:24" ht="12.75" customHeight="1" x14ac:dyDescent="0.2">
      <c r="B5" s="10"/>
      <c r="C5" s="344" t="s">
        <v>29</v>
      </c>
      <c r="D5" s="345"/>
      <c r="E5" s="345"/>
      <c r="F5" s="345"/>
      <c r="G5" s="345"/>
      <c r="H5" s="345"/>
      <c r="I5" s="345"/>
      <c r="J5" s="345"/>
      <c r="K5" s="346"/>
      <c r="L5" s="19"/>
      <c r="N5" s="32"/>
      <c r="O5" s="221" t="s">
        <v>295</v>
      </c>
      <c r="P5" s="47">
        <v>1</v>
      </c>
      <c r="Q5" s="33"/>
    </row>
    <row r="6" spans="2:24" ht="12.75" customHeight="1" x14ac:dyDescent="0.2">
      <c r="B6" s="10"/>
      <c r="C6" s="347" t="s">
        <v>66</v>
      </c>
      <c r="D6" s="348"/>
      <c r="E6" s="348"/>
      <c r="F6" s="348"/>
      <c r="G6" s="348"/>
      <c r="H6" s="348"/>
      <c r="I6" s="348"/>
      <c r="J6" s="348"/>
      <c r="K6" s="349"/>
      <c r="L6" s="48"/>
      <c r="N6" s="32"/>
      <c r="O6" s="222" t="s">
        <v>42</v>
      </c>
      <c r="P6" s="47">
        <v>1</v>
      </c>
      <c r="Q6" s="33"/>
    </row>
    <row r="7" spans="2:24" ht="7.5" customHeight="1" x14ac:dyDescent="0.2">
      <c r="B7" s="12"/>
      <c r="C7" s="13"/>
      <c r="D7" s="13"/>
      <c r="E7" s="13"/>
      <c r="F7" s="13"/>
      <c r="G7" s="13"/>
      <c r="H7" s="13"/>
      <c r="I7" s="13"/>
      <c r="J7" s="13"/>
      <c r="K7" s="13"/>
      <c r="L7" s="15"/>
      <c r="N7" s="34"/>
      <c r="O7" s="35"/>
      <c r="P7" s="36"/>
      <c r="Q7" s="37"/>
    </row>
    <row r="8" spans="2:24" ht="5" customHeight="1" x14ac:dyDescent="0.2">
      <c r="D8" s="2"/>
      <c r="E8" s="2"/>
      <c r="F8" s="2"/>
      <c r="G8" s="2"/>
      <c r="H8" s="2"/>
      <c r="I8" s="2"/>
      <c r="J8" s="2"/>
      <c r="K8" s="2"/>
    </row>
    <row r="9" spans="2:24" ht="2" customHeight="1" x14ac:dyDescent="0.2">
      <c r="D9" s="2"/>
      <c r="E9" s="2"/>
      <c r="F9" s="2"/>
      <c r="G9" s="2"/>
      <c r="H9" s="2"/>
      <c r="I9" s="2"/>
      <c r="J9" s="2"/>
      <c r="K9" s="2"/>
    </row>
    <row r="10" spans="2:24" ht="15" customHeight="1" x14ac:dyDescent="0.2">
      <c r="B10" s="353" t="s">
        <v>23</v>
      </c>
      <c r="C10" s="354"/>
      <c r="D10" s="354"/>
      <c r="E10" s="354"/>
      <c r="F10" s="354"/>
      <c r="G10" s="354"/>
      <c r="H10" s="354"/>
      <c r="I10" s="354"/>
      <c r="J10" s="354"/>
      <c r="K10" s="354"/>
      <c r="L10" s="355"/>
      <c r="N10" s="350" t="str">
        <f>"TOTAL OF ALL INSTANCES w/ PADDING of " &amp; P6*100 &amp; "%"</f>
        <v>TOTAL OF ALL INSTANCES w/ PADDING of 100%</v>
      </c>
      <c r="O10" s="351"/>
      <c r="P10" s="351"/>
      <c r="Q10" s="352"/>
    </row>
    <row r="11" spans="2:24" s="283" customFormat="1" x14ac:dyDescent="0.2">
      <c r="B11" s="234"/>
      <c r="C11" s="280" t="s">
        <v>24</v>
      </c>
      <c r="D11" s="16" t="s">
        <v>21</v>
      </c>
      <c r="E11" s="16" t="s">
        <v>402</v>
      </c>
      <c r="F11" s="16" t="s">
        <v>80</v>
      </c>
      <c r="G11" s="16" t="s">
        <v>403</v>
      </c>
      <c r="H11" s="16" t="s">
        <v>443</v>
      </c>
      <c r="I11" s="16" t="s">
        <v>448</v>
      </c>
      <c r="J11" s="16" t="s">
        <v>447</v>
      </c>
      <c r="K11" s="16" t="s">
        <v>25</v>
      </c>
      <c r="L11" s="281"/>
      <c r="M11" s="2"/>
      <c r="N11" s="234"/>
      <c r="O11" s="240" t="s">
        <v>300</v>
      </c>
      <c r="P11" s="282" t="s">
        <v>79</v>
      </c>
      <c r="Q11" s="281"/>
      <c r="R11" s="1"/>
      <c r="S11" s="2"/>
      <c r="T11" s="2"/>
      <c r="U11" s="2"/>
      <c r="V11" s="2"/>
      <c r="W11" s="2"/>
      <c r="X11" s="2"/>
    </row>
    <row r="12" spans="2:24" x14ac:dyDescent="0.2">
      <c r="B12" s="10"/>
      <c r="C12" s="46" t="s">
        <v>491</v>
      </c>
      <c r="D12" s="47">
        <v>8</v>
      </c>
      <c r="E12" s="47">
        <v>15</v>
      </c>
      <c r="F12" s="47">
        <v>160</v>
      </c>
      <c r="G12" s="47">
        <v>0</v>
      </c>
      <c r="H12" s="47">
        <v>0.42</v>
      </c>
      <c r="I12" s="47">
        <v>0.25</v>
      </c>
      <c r="J12" s="47">
        <v>0.2</v>
      </c>
      <c r="K12" s="47">
        <v>3</v>
      </c>
      <c r="L12" s="11"/>
      <c r="N12" s="8"/>
      <c r="O12" s="121" t="s">
        <v>18</v>
      </c>
      <c r="P12" s="118">
        <f>ROUND((SUM(Inputs!$H2:$H1502)*$P$4*P$6),0)</f>
        <v>623</v>
      </c>
      <c r="Q12" s="9"/>
      <c r="R12" s="283"/>
      <c r="S12" s="283"/>
      <c r="T12" s="283"/>
      <c r="U12" s="283"/>
      <c r="V12" s="283"/>
      <c r="W12" s="283"/>
      <c r="X12" s="283"/>
    </row>
    <row r="13" spans="2:24" x14ac:dyDescent="0.2">
      <c r="B13" s="10"/>
      <c r="C13" s="46" t="s">
        <v>492</v>
      </c>
      <c r="D13" s="47">
        <v>16</v>
      </c>
      <c r="E13" s="47">
        <v>30</v>
      </c>
      <c r="F13" s="47">
        <v>0</v>
      </c>
      <c r="G13" s="47">
        <v>160</v>
      </c>
      <c r="H13" s="47">
        <v>0.88200000000000001</v>
      </c>
      <c r="I13" s="47">
        <v>0.55359999999999998</v>
      </c>
      <c r="J13" s="47">
        <v>0.34370000000000001</v>
      </c>
      <c r="K13" s="47">
        <v>8</v>
      </c>
      <c r="L13" s="11"/>
      <c r="N13" s="8"/>
      <c r="O13" s="122" t="str">
        <f>"Memory ("&amp;P13&amp;" GB / "&amp;(ROUND((P13/1024),2)&amp;" TB)")</f>
        <v>Memory (1331 GB / 1.3 TB)</v>
      </c>
      <c r="P13" s="118">
        <f>ROUND((SUM(Inputs!$I2:$I1502)*$P4*$P$6),0)</f>
        <v>1331</v>
      </c>
      <c r="Q13" s="9"/>
    </row>
    <row r="14" spans="2:24" x14ac:dyDescent="0.2">
      <c r="B14" s="10"/>
      <c r="C14" s="46" t="s">
        <v>490</v>
      </c>
      <c r="D14" s="47">
        <v>4</v>
      </c>
      <c r="E14" s="47">
        <v>7.5</v>
      </c>
      <c r="F14" s="47">
        <v>0</v>
      </c>
      <c r="G14" s="47">
        <v>160</v>
      </c>
      <c r="H14" s="47">
        <v>0.22</v>
      </c>
      <c r="I14" s="47">
        <v>0.1384</v>
      </c>
      <c r="J14" s="47">
        <v>8.5900000000000004E-2</v>
      </c>
      <c r="K14" s="47">
        <v>1</v>
      </c>
      <c r="L14" s="11"/>
      <c r="N14" s="8"/>
      <c r="O14" s="122" t="str">
        <f>"Base Images ("&amp;P14&amp;" GB / "&amp;(ROUND((P14/1024),2)&amp;" TB)")</f>
        <v>Base Images (2744 GB / 2.68 TB)</v>
      </c>
      <c r="P14" s="118">
        <f>ROUND((SUM(Inputs!$J2:$J1502)*$P4*$P$6),0)</f>
        <v>2744</v>
      </c>
      <c r="Q14" s="9"/>
    </row>
    <row r="15" spans="2:24" x14ac:dyDescent="0.2">
      <c r="B15" s="10"/>
      <c r="C15" s="46" t="s">
        <v>488</v>
      </c>
      <c r="D15" s="47">
        <v>2</v>
      </c>
      <c r="E15" s="47">
        <v>3.75</v>
      </c>
      <c r="F15" s="47">
        <v>0</v>
      </c>
      <c r="G15" s="47">
        <v>160</v>
      </c>
      <c r="H15" s="47">
        <v>0.11</v>
      </c>
      <c r="I15" s="47">
        <v>6.9199999999999998E-2</v>
      </c>
      <c r="J15" s="47">
        <v>4.2999999999999997E-2</v>
      </c>
      <c r="K15" s="47">
        <v>12</v>
      </c>
      <c r="L15" s="11"/>
      <c r="N15" s="8"/>
      <c r="O15" s="122" t="str">
        <f>"Cinder Storage ("&amp;P15&amp;" GB / "&amp;(ROUND((P15/1024),2)&amp;" TB)")</f>
        <v>Cinder Storage (23820 GB / 23.26 TB)</v>
      </c>
      <c r="P15" s="118">
        <f>ROUND((SUM(Inputs!$K2:$K1502)*$P4*$P$6),0)</f>
        <v>23820</v>
      </c>
      <c r="Q15" s="9"/>
    </row>
    <row r="16" spans="2:24" x14ac:dyDescent="0.2">
      <c r="B16" s="10"/>
      <c r="C16" s="46" t="s">
        <v>487</v>
      </c>
      <c r="D16" s="47">
        <v>1</v>
      </c>
      <c r="E16" s="47">
        <v>3.75</v>
      </c>
      <c r="F16" s="47">
        <v>4</v>
      </c>
      <c r="G16" s="47">
        <v>0</v>
      </c>
      <c r="H16" s="47">
        <v>6.7000000000000004E-2</v>
      </c>
      <c r="I16" s="47">
        <v>4.0300000000000002E-2</v>
      </c>
      <c r="J16" s="47">
        <v>2.6100000000000002E-2</v>
      </c>
      <c r="K16" s="47">
        <v>3</v>
      </c>
      <c r="L16" s="11"/>
      <c r="N16" s="8"/>
      <c r="O16" s="122" t="str">
        <f>"Total Storage Required ("&amp;P16&amp;" GB / "&amp;(ROUND((P16/1024),2)&amp;" TB / " &amp;ROUND((P16/1024/1024),2)&amp;" PB)")</f>
        <v>Total Storage Required (26564 GB / 25.94 TB / 0.03 PB)</v>
      </c>
      <c r="P16" s="118">
        <f>SUM(P14:P15)</f>
        <v>26564</v>
      </c>
      <c r="Q16" s="9"/>
    </row>
    <row r="17" spans="2:17" x14ac:dyDescent="0.2">
      <c r="B17" s="10"/>
      <c r="C17" s="46" t="s">
        <v>489</v>
      </c>
      <c r="D17" s="47">
        <v>2</v>
      </c>
      <c r="E17" s="47">
        <v>8</v>
      </c>
      <c r="F17" s="47">
        <v>0</v>
      </c>
      <c r="G17" s="47">
        <v>80</v>
      </c>
      <c r="H17" s="47">
        <v>0.126</v>
      </c>
      <c r="I17" s="47">
        <v>7.2499999999999995E-2</v>
      </c>
      <c r="J17" s="47">
        <v>4.7E-2</v>
      </c>
      <c r="K17" s="47">
        <v>1</v>
      </c>
      <c r="L17" s="11"/>
      <c r="M17" s="1"/>
      <c r="N17" s="8"/>
      <c r="O17" s="122" t="s">
        <v>43</v>
      </c>
      <c r="P17" s="118">
        <f>ROUND(((P101*P18)*$P$4*$P$6),0)</f>
        <v>2745</v>
      </c>
      <c r="Q17" s="9"/>
    </row>
    <row r="18" spans="2:17" x14ac:dyDescent="0.2">
      <c r="B18" s="10"/>
      <c r="C18" s="46" t="s">
        <v>486</v>
      </c>
      <c r="D18" s="47">
        <v>1</v>
      </c>
      <c r="E18" s="47">
        <v>1</v>
      </c>
      <c r="F18" s="47">
        <v>0</v>
      </c>
      <c r="G18" s="47">
        <v>20</v>
      </c>
      <c r="H18" s="47">
        <v>1.2999999999999999E-2</v>
      </c>
      <c r="I18" s="47">
        <v>8.6E-3</v>
      </c>
      <c r="J18" s="47">
        <v>5.7000000000000002E-3</v>
      </c>
      <c r="K18" s="47">
        <v>4</v>
      </c>
      <c r="L18" s="11"/>
      <c r="M18" s="1"/>
      <c r="N18" s="8"/>
      <c r="O18" s="123" t="s">
        <v>26</v>
      </c>
      <c r="P18" s="120">
        <f>SUM(K12:K1512)</f>
        <v>183</v>
      </c>
      <c r="Q18" s="9"/>
    </row>
    <row r="19" spans="2:17" x14ac:dyDescent="0.2">
      <c r="B19" s="10"/>
      <c r="C19" s="46"/>
      <c r="D19" s="47"/>
      <c r="E19" s="47"/>
      <c r="F19" s="47"/>
      <c r="G19" s="47"/>
      <c r="H19" s="47"/>
      <c r="I19" s="47"/>
      <c r="J19" s="47"/>
      <c r="K19" s="47"/>
      <c r="L19" s="11"/>
      <c r="N19" s="34"/>
      <c r="O19" s="35"/>
      <c r="P19" s="36"/>
      <c r="Q19" s="37"/>
    </row>
    <row r="20" spans="2:17" x14ac:dyDescent="0.2">
      <c r="B20" s="10"/>
      <c r="C20" s="46" t="s">
        <v>495</v>
      </c>
      <c r="D20" s="47">
        <v>8</v>
      </c>
      <c r="E20" s="47">
        <v>32</v>
      </c>
      <c r="F20" s="47">
        <v>0</v>
      </c>
      <c r="G20" s="47">
        <v>80</v>
      </c>
      <c r="H20" s="47">
        <v>0.504</v>
      </c>
      <c r="I20" s="47">
        <v>0.29010000000000002</v>
      </c>
      <c r="J20" s="47">
        <v>0.18809999999999999</v>
      </c>
      <c r="K20" s="47">
        <v>9</v>
      </c>
      <c r="L20" s="11"/>
    </row>
    <row r="21" spans="2:17" ht="15" customHeight="1" x14ac:dyDescent="0.2">
      <c r="B21" s="10"/>
      <c r="C21" s="46" t="s">
        <v>496</v>
      </c>
      <c r="D21" s="47">
        <v>8</v>
      </c>
      <c r="E21" s="47">
        <v>15</v>
      </c>
      <c r="F21" s="47">
        <v>160</v>
      </c>
      <c r="G21" s="47">
        <v>0</v>
      </c>
      <c r="H21" s="47">
        <v>0.42</v>
      </c>
      <c r="I21" s="47">
        <v>0.25</v>
      </c>
      <c r="J21" s="47">
        <v>0.2</v>
      </c>
      <c r="K21" s="47">
        <v>14</v>
      </c>
      <c r="L21" s="11"/>
      <c r="N21" s="350" t="s">
        <v>389</v>
      </c>
      <c r="O21" s="351"/>
      <c r="P21" s="351"/>
      <c r="Q21" s="352"/>
    </row>
    <row r="22" spans="2:17" x14ac:dyDescent="0.2">
      <c r="B22" s="10"/>
      <c r="C22" s="46" t="s">
        <v>497</v>
      </c>
      <c r="D22" s="47">
        <v>2</v>
      </c>
      <c r="E22" s="47">
        <v>3.75</v>
      </c>
      <c r="F22" s="47">
        <v>0</v>
      </c>
      <c r="G22" s="47">
        <v>160</v>
      </c>
      <c r="H22" s="47">
        <v>0.11</v>
      </c>
      <c r="I22" s="47">
        <v>6.9199999999999998E-2</v>
      </c>
      <c r="J22" s="47">
        <v>4.2999999999999997E-2</v>
      </c>
      <c r="K22" s="47">
        <v>38</v>
      </c>
      <c r="L22" s="11"/>
      <c r="N22" s="8"/>
      <c r="O22" s="21" t="s">
        <v>139</v>
      </c>
      <c r="P22" s="126"/>
      <c r="Q22" s="9"/>
    </row>
    <row r="23" spans="2:17" x14ac:dyDescent="0.2">
      <c r="B23" s="10"/>
      <c r="C23" s="46" t="s">
        <v>494</v>
      </c>
      <c r="D23" s="47">
        <v>1</v>
      </c>
      <c r="E23" s="47">
        <v>3.75</v>
      </c>
      <c r="F23" s="47">
        <v>4</v>
      </c>
      <c r="G23" s="47">
        <v>0</v>
      </c>
      <c r="H23" s="47">
        <v>6.7000000000000004E-2</v>
      </c>
      <c r="I23" s="47">
        <v>4.0300000000000002E-2</v>
      </c>
      <c r="J23" s="47">
        <v>2.6100000000000002E-2</v>
      </c>
      <c r="K23" s="47">
        <v>3</v>
      </c>
      <c r="L23" s="11"/>
      <c r="N23" s="8"/>
      <c r="O23" s="121" t="s">
        <v>138</v>
      </c>
      <c r="P23" s="284" t="s">
        <v>368</v>
      </c>
      <c r="Q23" s="9"/>
    </row>
    <row r="24" spans="2:17" x14ac:dyDescent="0.2">
      <c r="B24" s="10"/>
      <c r="C24" s="46" t="s">
        <v>493</v>
      </c>
      <c r="D24" s="47">
        <v>1</v>
      </c>
      <c r="E24" s="47">
        <v>1</v>
      </c>
      <c r="F24" s="47">
        <v>0</v>
      </c>
      <c r="G24" s="47">
        <v>20</v>
      </c>
      <c r="H24" s="47">
        <v>1.2999999999999999E-2</v>
      </c>
      <c r="I24" s="47">
        <v>8.6E-3</v>
      </c>
      <c r="J24" s="47">
        <v>5.7000000000000002E-3</v>
      </c>
      <c r="K24" s="47">
        <v>3</v>
      </c>
      <c r="L24" s="11"/>
      <c r="N24" s="8"/>
      <c r="O24" s="119" t="s">
        <v>393</v>
      </c>
      <c r="P24" s="125">
        <v>3</v>
      </c>
      <c r="Q24" s="9"/>
    </row>
    <row r="25" spans="2:17" x14ac:dyDescent="0.2">
      <c r="B25" s="10"/>
      <c r="C25" s="46"/>
      <c r="D25" s="47"/>
      <c r="E25" s="47"/>
      <c r="F25" s="47"/>
      <c r="G25" s="47"/>
      <c r="H25" s="47"/>
      <c r="I25" s="47"/>
      <c r="J25" s="47"/>
      <c r="K25" s="47"/>
      <c r="L25" s="11"/>
      <c r="N25" s="8"/>
      <c r="O25" s="21"/>
      <c r="P25" s="24"/>
      <c r="Q25" s="9"/>
    </row>
    <row r="26" spans="2:17" x14ac:dyDescent="0.2">
      <c r="B26" s="10"/>
      <c r="C26" s="46" t="s">
        <v>498</v>
      </c>
      <c r="D26" s="47">
        <v>2</v>
      </c>
      <c r="E26" s="47">
        <v>3.75</v>
      </c>
      <c r="F26" s="47">
        <v>0</v>
      </c>
      <c r="G26" s="47">
        <v>160</v>
      </c>
      <c r="H26" s="47">
        <v>0.11</v>
      </c>
      <c r="I26" s="47">
        <v>6.9199999999999998E-2</v>
      </c>
      <c r="J26" s="47">
        <v>4.2999999999999997E-2</v>
      </c>
      <c r="K26" s="47">
        <v>84</v>
      </c>
      <c r="L26" s="11"/>
      <c r="N26" s="8"/>
      <c r="O26" s="21" t="s">
        <v>81</v>
      </c>
      <c r="P26" s="285"/>
      <c r="Q26" s="22"/>
    </row>
    <row r="27" spans="2:17" x14ac:dyDescent="0.2">
      <c r="B27" s="10"/>
      <c r="C27" s="46"/>
      <c r="D27" s="47"/>
      <c r="E27" s="47"/>
      <c r="F27" s="47"/>
      <c r="G27" s="47"/>
      <c r="H27" s="47"/>
      <c r="I27" s="47"/>
      <c r="J27" s="47"/>
      <c r="K27" s="47"/>
      <c r="L27" s="11"/>
      <c r="N27" s="8"/>
      <c r="O27" s="134" t="s">
        <v>19</v>
      </c>
      <c r="P27" s="284" t="s">
        <v>446</v>
      </c>
      <c r="Q27" s="20"/>
    </row>
    <row r="28" spans="2:17" x14ac:dyDescent="0.2">
      <c r="B28" s="10"/>
      <c r="C28" s="46"/>
      <c r="D28" s="47"/>
      <c r="E28" s="47"/>
      <c r="F28" s="47"/>
      <c r="G28" s="47"/>
      <c r="H28" s="47"/>
      <c r="I28" s="47"/>
      <c r="J28" s="47"/>
      <c r="K28" s="47"/>
      <c r="L28" s="11"/>
      <c r="N28" s="8"/>
      <c r="O28" s="117" t="s">
        <v>14</v>
      </c>
      <c r="P28" s="124">
        <v>2</v>
      </c>
      <c r="Q28" s="9"/>
    </row>
    <row r="29" spans="2:17" x14ac:dyDescent="0.2">
      <c r="B29" s="10"/>
      <c r="C29" s="46"/>
      <c r="D29" s="47"/>
      <c r="E29" s="47"/>
      <c r="F29" s="47"/>
      <c r="G29" s="47"/>
      <c r="H29" s="47"/>
      <c r="I29" s="47"/>
      <c r="J29" s="47"/>
      <c r="K29" s="47"/>
      <c r="L29" s="11"/>
      <c r="N29" s="8"/>
      <c r="O29" s="117" t="s">
        <v>135</v>
      </c>
      <c r="P29" s="124">
        <f>VLOOKUP($P$27,cpulookup, 5, FALSE)</f>
        <v>90</v>
      </c>
      <c r="Q29" s="9"/>
    </row>
    <row r="30" spans="2:17" x14ac:dyDescent="0.2">
      <c r="B30" s="10"/>
      <c r="C30" s="46"/>
      <c r="D30" s="47"/>
      <c r="E30" s="47"/>
      <c r="F30" s="47"/>
      <c r="G30" s="47"/>
      <c r="H30" s="47"/>
      <c r="I30" s="47"/>
      <c r="J30" s="47"/>
      <c r="K30" s="47"/>
      <c r="L30" s="11"/>
      <c r="N30" s="8"/>
      <c r="O30" s="117" t="s">
        <v>136</v>
      </c>
      <c r="P30" s="124">
        <f>VLOOKUP($P$27,cpulookup, 9, FALSE)</f>
        <v>1866</v>
      </c>
      <c r="Q30" s="9"/>
    </row>
    <row r="31" spans="2:17" x14ac:dyDescent="0.2">
      <c r="B31" s="10"/>
      <c r="C31" s="46"/>
      <c r="D31" s="47"/>
      <c r="E31" s="47"/>
      <c r="F31" s="47"/>
      <c r="G31" s="47"/>
      <c r="H31" s="47"/>
      <c r="I31" s="47"/>
      <c r="J31" s="47"/>
      <c r="K31" s="47"/>
      <c r="L31" s="11"/>
      <c r="N31" s="8"/>
      <c r="O31" s="119" t="s">
        <v>59</v>
      </c>
      <c r="P31" s="125">
        <f>VLOOKUP($P$27,cpulookup, 4, FALSE)</f>
        <v>2.6</v>
      </c>
      <c r="Q31" s="9"/>
    </row>
    <row r="32" spans="2:17" x14ac:dyDescent="0.2">
      <c r="B32" s="10"/>
      <c r="C32" s="46"/>
      <c r="D32" s="47"/>
      <c r="E32" s="47"/>
      <c r="F32" s="47"/>
      <c r="G32" s="47"/>
      <c r="H32" s="47"/>
      <c r="I32" s="47"/>
      <c r="J32" s="47"/>
      <c r="K32" s="47"/>
      <c r="L32" s="11"/>
      <c r="N32" s="8"/>
      <c r="O32" s="21"/>
      <c r="P32" s="24"/>
      <c r="Q32" s="9"/>
    </row>
    <row r="33" spans="2:17" x14ac:dyDescent="0.2">
      <c r="B33" s="10"/>
      <c r="C33" s="46"/>
      <c r="D33" s="47"/>
      <c r="E33" s="47"/>
      <c r="F33" s="47"/>
      <c r="G33" s="47"/>
      <c r="H33" s="47"/>
      <c r="I33" s="47"/>
      <c r="J33" s="47"/>
      <c r="K33" s="47"/>
      <c r="L33" s="11"/>
      <c r="N33" s="8"/>
      <c r="O33" s="21" t="s">
        <v>82</v>
      </c>
      <c r="P33" s="285"/>
      <c r="Q33" s="22"/>
    </row>
    <row r="34" spans="2:17" x14ac:dyDescent="0.2">
      <c r="B34" s="10"/>
      <c r="C34" s="46"/>
      <c r="D34" s="47"/>
      <c r="E34" s="47"/>
      <c r="F34" s="47"/>
      <c r="G34" s="47"/>
      <c r="H34" s="47"/>
      <c r="I34" s="47"/>
      <c r="J34" s="47"/>
      <c r="K34" s="47"/>
      <c r="L34" s="11"/>
      <c r="N34" s="8"/>
      <c r="O34" s="134" t="s">
        <v>17</v>
      </c>
      <c r="P34" s="284">
        <v>256</v>
      </c>
      <c r="Q34" s="20"/>
    </row>
    <row r="35" spans="2:17" x14ac:dyDescent="0.2">
      <c r="B35" s="10"/>
      <c r="C35" s="46"/>
      <c r="D35" s="47"/>
      <c r="E35" s="47"/>
      <c r="F35" s="47"/>
      <c r="G35" s="47"/>
      <c r="H35" s="47"/>
      <c r="I35" s="47"/>
      <c r="J35" s="47"/>
      <c r="K35" s="47"/>
      <c r="L35" s="11"/>
      <c r="N35" s="8"/>
      <c r="O35" s="117" t="s">
        <v>184</v>
      </c>
      <c r="P35" s="124">
        <f>VLOOKUP($P$34,memorylookup, 2, FALSE)</f>
        <v>16</v>
      </c>
      <c r="Q35" s="20"/>
    </row>
    <row r="36" spans="2:17" x14ac:dyDescent="0.2">
      <c r="B36" s="10"/>
      <c r="C36" s="46"/>
      <c r="D36" s="47"/>
      <c r="E36" s="47"/>
      <c r="F36" s="47"/>
      <c r="G36" s="47"/>
      <c r="H36" s="47"/>
      <c r="I36" s="47"/>
      <c r="J36" s="47"/>
      <c r="K36" s="47"/>
      <c r="L36" s="11"/>
      <c r="N36" s="8"/>
      <c r="O36" s="117" t="s">
        <v>186</v>
      </c>
      <c r="P36" s="124">
        <f>VLOOKUP($P$34,memorylookup, 3, FALSE)</f>
        <v>16</v>
      </c>
      <c r="Q36" s="9"/>
    </row>
    <row r="37" spans="2:17" x14ac:dyDescent="0.2">
      <c r="B37" s="10"/>
      <c r="C37" s="46"/>
      <c r="D37" s="47"/>
      <c r="E37" s="47"/>
      <c r="F37" s="47"/>
      <c r="G37" s="47"/>
      <c r="H37" s="47"/>
      <c r="I37" s="47"/>
      <c r="J37" s="47"/>
      <c r="K37" s="47"/>
      <c r="L37" s="11"/>
      <c r="N37" s="8"/>
      <c r="O37" s="119" t="s">
        <v>185</v>
      </c>
      <c r="P37" s="125">
        <f>VLOOKUP($P$34,memorylookup, 4, FALSE)</f>
        <v>2133</v>
      </c>
      <c r="Q37" s="9"/>
    </row>
    <row r="38" spans="2:17" x14ac:dyDescent="0.2">
      <c r="B38" s="10"/>
      <c r="C38" s="46"/>
      <c r="D38" s="47"/>
      <c r="E38" s="47"/>
      <c r="F38" s="47"/>
      <c r="G38" s="47"/>
      <c r="H38" s="47"/>
      <c r="I38" s="47"/>
      <c r="J38" s="47"/>
      <c r="K38" s="47"/>
      <c r="L38" s="11"/>
      <c r="N38" s="8"/>
      <c r="O38" s="21"/>
      <c r="P38" s="24"/>
      <c r="Q38" s="9"/>
    </row>
    <row r="39" spans="2:17" x14ac:dyDescent="0.2">
      <c r="B39" s="10"/>
      <c r="C39" s="46"/>
      <c r="D39" s="47"/>
      <c r="E39" s="47"/>
      <c r="F39" s="47"/>
      <c r="G39" s="47"/>
      <c r="H39" s="47"/>
      <c r="I39" s="47"/>
      <c r="J39" s="47"/>
      <c r="K39" s="47"/>
      <c r="L39" s="11"/>
      <c r="N39" s="8"/>
      <c r="O39" s="240" t="s">
        <v>144</v>
      </c>
      <c r="P39" s="286"/>
      <c r="Q39" s="22"/>
    </row>
    <row r="40" spans="2:17" x14ac:dyDescent="0.2">
      <c r="B40" s="10"/>
      <c r="C40" s="46"/>
      <c r="D40" s="47"/>
      <c r="E40" s="47"/>
      <c r="F40" s="47"/>
      <c r="G40" s="47"/>
      <c r="H40" s="47"/>
      <c r="I40" s="47"/>
      <c r="J40" s="47"/>
      <c r="K40" s="47"/>
      <c r="L40" s="11"/>
      <c r="N40" s="8"/>
      <c r="O40" s="117" t="s">
        <v>146</v>
      </c>
      <c r="P40" s="284">
        <v>4</v>
      </c>
      <c r="Q40" s="9"/>
    </row>
    <row r="41" spans="2:17" x14ac:dyDescent="0.2">
      <c r="B41" s="10"/>
      <c r="C41" s="46"/>
      <c r="D41" s="47"/>
      <c r="E41" s="47"/>
      <c r="F41" s="47"/>
      <c r="G41" s="47"/>
      <c r="H41" s="47"/>
      <c r="I41" s="47"/>
      <c r="J41" s="47"/>
      <c r="K41" s="47"/>
      <c r="L41" s="11"/>
      <c r="N41" s="8"/>
      <c r="O41" s="117" t="s">
        <v>145</v>
      </c>
      <c r="P41" s="284" t="s">
        <v>141</v>
      </c>
      <c r="Q41" s="9"/>
    </row>
    <row r="42" spans="2:17" x14ac:dyDescent="0.2">
      <c r="B42" s="10"/>
      <c r="C42" s="46"/>
      <c r="D42" s="47"/>
      <c r="E42" s="47"/>
      <c r="F42" s="47"/>
      <c r="G42" s="47"/>
      <c r="H42" s="47"/>
      <c r="I42" s="47"/>
      <c r="J42" s="47"/>
      <c r="K42" s="47"/>
      <c r="L42" s="11"/>
      <c r="N42" s="8"/>
      <c r="O42" s="117" t="s">
        <v>12</v>
      </c>
      <c r="P42" s="284" t="s">
        <v>392</v>
      </c>
      <c r="Q42" s="9"/>
    </row>
    <row r="43" spans="2:17" x14ac:dyDescent="0.2">
      <c r="B43" s="10"/>
      <c r="C43" s="46"/>
      <c r="D43" s="47"/>
      <c r="E43" s="47"/>
      <c r="F43" s="47"/>
      <c r="G43" s="47"/>
      <c r="H43" s="47"/>
      <c r="I43" s="47"/>
      <c r="J43" s="47"/>
      <c r="K43" s="47"/>
      <c r="L43" s="11"/>
      <c r="N43" s="8"/>
      <c r="O43" s="117" t="s">
        <v>13</v>
      </c>
      <c r="P43" s="284" t="s">
        <v>4</v>
      </c>
      <c r="Q43" s="20"/>
    </row>
    <row r="44" spans="2:17" x14ac:dyDescent="0.2">
      <c r="B44" s="10"/>
      <c r="C44" s="46"/>
      <c r="D44" s="47"/>
      <c r="E44" s="47"/>
      <c r="F44" s="47"/>
      <c r="G44" s="47"/>
      <c r="H44" s="47"/>
      <c r="I44" s="47"/>
      <c r="J44" s="47"/>
      <c r="K44" s="47"/>
      <c r="L44" s="11"/>
      <c r="N44" s="8"/>
      <c r="O44" s="117" t="s">
        <v>287</v>
      </c>
      <c r="P44" s="124">
        <f>VLOOKUP($P$42,disklookup, 6, FALSE)</f>
        <v>480</v>
      </c>
      <c r="Q44" s="20"/>
    </row>
    <row r="45" spans="2:17" x14ac:dyDescent="0.2">
      <c r="B45" s="10"/>
      <c r="C45" s="46"/>
      <c r="D45" s="47"/>
      <c r="E45" s="47"/>
      <c r="F45" s="47"/>
      <c r="G45" s="47"/>
      <c r="H45" s="47"/>
      <c r="I45" s="47"/>
      <c r="J45" s="47"/>
      <c r="K45" s="47"/>
      <c r="L45" s="11"/>
      <c r="N45" s="8"/>
      <c r="O45" s="117" t="s">
        <v>289</v>
      </c>
      <c r="P45" s="124">
        <f>VLOOKUP($P$42,disklookup, 9, FALSE)</f>
        <v>5000</v>
      </c>
      <c r="Q45" s="20"/>
    </row>
    <row r="46" spans="2:17" x14ac:dyDescent="0.2">
      <c r="B46" s="10"/>
      <c r="C46" s="46"/>
      <c r="D46" s="47"/>
      <c r="E46" s="47"/>
      <c r="F46" s="47"/>
      <c r="G46" s="47"/>
      <c r="H46" s="47"/>
      <c r="I46" s="47"/>
      <c r="J46" s="47"/>
      <c r="K46" s="47"/>
      <c r="L46" s="11"/>
      <c r="N46" s="8"/>
      <c r="O46" s="117" t="s">
        <v>53</v>
      </c>
      <c r="P46" s="124">
        <f>IF(P43="JBOD",1,IF(P43="RAID 10",1,IF(P43="RAID 5",1,IF(P43="RAID 5+1",1))))</f>
        <v>1</v>
      </c>
      <c r="Q46" s="20"/>
    </row>
    <row r="47" spans="2:17" x14ac:dyDescent="0.2">
      <c r="B47" s="10"/>
      <c r="C47" s="46"/>
      <c r="D47" s="47"/>
      <c r="E47" s="47"/>
      <c r="F47" s="47"/>
      <c r="G47" s="47"/>
      <c r="H47" s="47"/>
      <c r="I47" s="47"/>
      <c r="J47" s="47"/>
      <c r="K47" s="47"/>
      <c r="L47" s="11"/>
      <c r="N47" s="8"/>
      <c r="O47" s="117" t="s">
        <v>54</v>
      </c>
      <c r="P47" s="124">
        <f>IF(P43="JBOD",3,IF(P43="RAID 10",2,IF(P43="RAID 5",4,IF(P43="RAID 5+1",4))))</f>
        <v>2</v>
      </c>
      <c r="Q47" s="20"/>
    </row>
    <row r="48" spans="2:17" ht="15" customHeight="1" x14ac:dyDescent="0.2">
      <c r="B48" s="10"/>
      <c r="C48" s="46"/>
      <c r="D48" s="47"/>
      <c r="E48" s="47"/>
      <c r="F48" s="47"/>
      <c r="G48" s="47"/>
      <c r="H48" s="47"/>
      <c r="I48" s="47"/>
      <c r="J48" s="47"/>
      <c r="K48" s="47"/>
      <c r="L48" s="11"/>
      <c r="N48" s="8"/>
      <c r="O48" s="117" t="s">
        <v>55</v>
      </c>
      <c r="P48" s="124">
        <f>IF(P43="RAID 5",P45*(P40-1),IF(P43="RAID 5+1",P45*(P30-2),P45*P40))</f>
        <v>20000</v>
      </c>
      <c r="Q48" s="20"/>
    </row>
    <row r="49" spans="2:17" x14ac:dyDescent="0.2">
      <c r="B49" s="10"/>
      <c r="C49" s="46"/>
      <c r="D49" s="47"/>
      <c r="E49" s="47"/>
      <c r="F49" s="47"/>
      <c r="G49" s="47"/>
      <c r="H49" s="47"/>
      <c r="I49" s="47"/>
      <c r="J49" s="47"/>
      <c r="K49" s="47"/>
      <c r="L49" s="11"/>
      <c r="N49" s="8"/>
      <c r="O49" s="117" t="s">
        <v>33</v>
      </c>
      <c r="P49" s="284">
        <v>0.5</v>
      </c>
      <c r="Q49" s="20"/>
    </row>
    <row r="50" spans="2:17" x14ac:dyDescent="0.2">
      <c r="B50" s="10"/>
      <c r="C50" s="46"/>
      <c r="D50" s="47"/>
      <c r="E50" s="47"/>
      <c r="F50" s="47"/>
      <c r="G50" s="47"/>
      <c r="H50" s="47"/>
      <c r="I50" s="47"/>
      <c r="J50" s="47"/>
      <c r="K50" s="47"/>
      <c r="L50" s="11"/>
      <c r="N50" s="8"/>
      <c r="O50" s="117" t="s">
        <v>34</v>
      </c>
      <c r="P50" s="124">
        <f>1-P49</f>
        <v>0.5</v>
      </c>
      <c r="Q50" s="20"/>
    </row>
    <row r="51" spans="2:17" x14ac:dyDescent="0.2">
      <c r="B51" s="10"/>
      <c r="C51" s="46"/>
      <c r="D51" s="47"/>
      <c r="E51" s="47"/>
      <c r="F51" s="47"/>
      <c r="G51" s="47"/>
      <c r="H51" s="47"/>
      <c r="I51" s="47"/>
      <c r="J51" s="47"/>
      <c r="K51" s="47"/>
      <c r="L51" s="11"/>
      <c r="N51" s="32"/>
      <c r="O51" s="117" t="s">
        <v>56</v>
      </c>
      <c r="P51" s="124">
        <f>ROUND((P53*P49),0)</f>
        <v>6667</v>
      </c>
      <c r="Q51" s="33"/>
    </row>
    <row r="52" spans="2:17" x14ac:dyDescent="0.2">
      <c r="B52" s="10"/>
      <c r="C52" s="46"/>
      <c r="D52" s="47"/>
      <c r="E52" s="47"/>
      <c r="F52" s="47"/>
      <c r="G52" s="47"/>
      <c r="H52" s="47"/>
      <c r="I52" s="47"/>
      <c r="J52" s="47"/>
      <c r="K52" s="47"/>
      <c r="L52" s="11"/>
      <c r="N52" s="32"/>
      <c r="O52" s="117" t="s">
        <v>57</v>
      </c>
      <c r="P52" s="124">
        <f>ROUND((P53*P50),0)</f>
        <v>6667</v>
      </c>
      <c r="Q52" s="33"/>
    </row>
    <row r="53" spans="2:17" x14ac:dyDescent="0.2">
      <c r="B53" s="10"/>
      <c r="C53" s="46"/>
      <c r="D53" s="47"/>
      <c r="E53" s="47"/>
      <c r="F53" s="47"/>
      <c r="G53" s="47"/>
      <c r="H53" s="47"/>
      <c r="I53" s="47"/>
      <c r="J53" s="47"/>
      <c r="K53" s="47"/>
      <c r="L53" s="11"/>
      <c r="N53" s="32"/>
      <c r="O53" s="117" t="s">
        <v>58</v>
      </c>
      <c r="P53" s="124">
        <f>ROUND(P48/((P49*P46)+(P50*P47)),0)</f>
        <v>13333</v>
      </c>
      <c r="Q53" s="33"/>
    </row>
    <row r="54" spans="2:17" x14ac:dyDescent="0.2">
      <c r="B54" s="10"/>
      <c r="C54" s="46"/>
      <c r="D54" s="47"/>
      <c r="E54" s="47"/>
      <c r="F54" s="47"/>
      <c r="G54" s="47"/>
      <c r="H54" s="47"/>
      <c r="I54" s="47"/>
      <c r="J54" s="47"/>
      <c r="K54" s="47"/>
      <c r="L54" s="11"/>
      <c r="N54" s="32"/>
      <c r="O54" s="117" t="s">
        <v>291</v>
      </c>
      <c r="P54" s="124">
        <f>P40*P44</f>
        <v>1920</v>
      </c>
      <c r="Q54" s="33"/>
    </row>
    <row r="55" spans="2:17" x14ac:dyDescent="0.2">
      <c r="B55" s="10"/>
      <c r="C55" s="46"/>
      <c r="D55" s="47"/>
      <c r="E55" s="47"/>
      <c r="F55" s="47"/>
      <c r="G55" s="47"/>
      <c r="H55" s="47"/>
      <c r="I55" s="47"/>
      <c r="J55" s="47"/>
      <c r="K55" s="47"/>
      <c r="L55" s="11"/>
      <c r="N55" s="32"/>
      <c r="O55" s="119" t="s">
        <v>290</v>
      </c>
      <c r="P55" s="125">
        <f>ROUND(IF(P43="JBOD",(P44*P40*0.33),IF(P43="RAID 10",(P44*P40*0.5),IF(P43="RAID 5",(P44*(P40-1)),IF(P43="RAID 5+1",(P44*(P40-2))))))*0.968/1024,2)</f>
        <v>0.91</v>
      </c>
      <c r="Q55" s="33"/>
    </row>
    <row r="56" spans="2:17" x14ac:dyDescent="0.2">
      <c r="B56" s="10"/>
      <c r="C56" s="46"/>
      <c r="D56" s="47"/>
      <c r="E56" s="47"/>
      <c r="F56" s="47"/>
      <c r="G56" s="47"/>
      <c r="H56" s="47"/>
      <c r="I56" s="47"/>
      <c r="J56" s="47"/>
      <c r="K56" s="47"/>
      <c r="L56" s="11"/>
      <c r="N56" s="34"/>
      <c r="O56" s="35"/>
      <c r="P56" s="36"/>
      <c r="Q56" s="37"/>
    </row>
    <row r="57" spans="2:17" x14ac:dyDescent="0.2">
      <c r="B57" s="10"/>
      <c r="C57" s="46"/>
      <c r="D57" s="47"/>
      <c r="E57" s="47"/>
      <c r="F57" s="47"/>
      <c r="G57" s="47"/>
      <c r="H57" s="47"/>
      <c r="I57" s="47"/>
      <c r="J57" s="47"/>
      <c r="K57" s="47"/>
      <c r="L57" s="11"/>
    </row>
    <row r="58" spans="2:17" x14ac:dyDescent="0.2">
      <c r="B58" s="10"/>
      <c r="C58" s="46"/>
      <c r="D58" s="47"/>
      <c r="E58" s="47"/>
      <c r="F58" s="47"/>
      <c r="G58" s="47"/>
      <c r="H58" s="47"/>
      <c r="I58" s="47"/>
      <c r="J58" s="47"/>
      <c r="K58" s="47"/>
      <c r="L58" s="11"/>
      <c r="N58" s="350" t="s">
        <v>137</v>
      </c>
      <c r="O58" s="351"/>
      <c r="P58" s="351"/>
      <c r="Q58" s="352"/>
    </row>
    <row r="59" spans="2:17" x14ac:dyDescent="0.2">
      <c r="B59" s="10"/>
      <c r="C59" s="46"/>
      <c r="D59" s="47"/>
      <c r="E59" s="47"/>
      <c r="F59" s="47"/>
      <c r="G59" s="47"/>
      <c r="H59" s="47"/>
      <c r="I59" s="47"/>
      <c r="J59" s="47"/>
      <c r="K59" s="47"/>
      <c r="L59" s="11"/>
      <c r="N59" s="8"/>
      <c r="O59" s="287" t="s">
        <v>139</v>
      </c>
      <c r="P59" s="94"/>
      <c r="Q59" s="9"/>
    </row>
    <row r="60" spans="2:17" x14ac:dyDescent="0.2">
      <c r="B60" s="10"/>
      <c r="C60" s="46"/>
      <c r="D60" s="47"/>
      <c r="E60" s="47"/>
      <c r="F60" s="47"/>
      <c r="G60" s="47"/>
      <c r="H60" s="47"/>
      <c r="I60" s="47"/>
      <c r="J60" s="47"/>
      <c r="K60" s="47"/>
      <c r="L60" s="11"/>
      <c r="N60" s="8"/>
      <c r="O60" s="121" t="s">
        <v>138</v>
      </c>
      <c r="P60" s="284" t="s">
        <v>324</v>
      </c>
      <c r="Q60" s="9"/>
    </row>
    <row r="61" spans="2:17" x14ac:dyDescent="0.2">
      <c r="B61" s="10"/>
      <c r="C61" s="46"/>
      <c r="D61" s="47"/>
      <c r="E61" s="47"/>
      <c r="F61" s="47"/>
      <c r="G61" s="47"/>
      <c r="H61" s="47"/>
      <c r="I61" s="47"/>
      <c r="J61" s="47"/>
      <c r="K61" s="47"/>
      <c r="L61" s="11"/>
      <c r="N61" s="8"/>
      <c r="O61" s="119" t="s">
        <v>393</v>
      </c>
      <c r="P61" s="125">
        <f>MAX(P113:P116)</f>
        <v>5</v>
      </c>
      <c r="Q61" s="9"/>
    </row>
    <row r="62" spans="2:17" x14ac:dyDescent="0.2">
      <c r="B62" s="10"/>
      <c r="C62" s="46"/>
      <c r="D62" s="47"/>
      <c r="E62" s="47"/>
      <c r="F62" s="47"/>
      <c r="G62" s="47"/>
      <c r="H62" s="47"/>
      <c r="I62" s="47"/>
      <c r="J62" s="47"/>
      <c r="K62" s="47"/>
      <c r="L62" s="11"/>
      <c r="N62" s="8"/>
      <c r="O62" s="21"/>
      <c r="P62" s="21"/>
      <c r="Q62" s="9"/>
    </row>
    <row r="63" spans="2:17" x14ac:dyDescent="0.2">
      <c r="B63" s="10"/>
      <c r="C63" s="46"/>
      <c r="D63" s="47"/>
      <c r="E63" s="47"/>
      <c r="F63" s="47"/>
      <c r="G63" s="47"/>
      <c r="H63" s="47"/>
      <c r="I63" s="47"/>
      <c r="J63" s="47"/>
      <c r="K63" s="47"/>
      <c r="L63" s="11"/>
      <c r="N63" s="8"/>
      <c r="O63" s="21" t="s">
        <v>81</v>
      </c>
      <c r="P63" s="285"/>
      <c r="Q63" s="22"/>
    </row>
    <row r="64" spans="2:17" x14ac:dyDescent="0.2">
      <c r="B64" s="10"/>
      <c r="C64" s="46"/>
      <c r="D64" s="47"/>
      <c r="E64" s="47"/>
      <c r="F64" s="47"/>
      <c r="G64" s="47"/>
      <c r="H64" s="47"/>
      <c r="I64" s="47"/>
      <c r="J64" s="47"/>
      <c r="K64" s="47"/>
      <c r="L64" s="11"/>
      <c r="N64" s="8"/>
      <c r="O64" s="134" t="s">
        <v>20</v>
      </c>
      <c r="P64" s="284">
        <v>3</v>
      </c>
      <c r="Q64" s="9"/>
    </row>
    <row r="65" spans="2:17" x14ac:dyDescent="0.2">
      <c r="B65" s="10"/>
      <c r="C65" s="46"/>
      <c r="D65" s="47"/>
      <c r="E65" s="47"/>
      <c r="F65" s="47"/>
      <c r="G65" s="47"/>
      <c r="H65" s="47"/>
      <c r="I65" s="47"/>
      <c r="J65" s="47"/>
      <c r="K65" s="47"/>
      <c r="L65" s="11"/>
      <c r="N65" s="8"/>
      <c r="O65" s="117" t="s">
        <v>19</v>
      </c>
      <c r="P65" s="284" t="s">
        <v>460</v>
      </c>
      <c r="Q65" s="20"/>
    </row>
    <row r="66" spans="2:17" x14ac:dyDescent="0.2">
      <c r="B66" s="10"/>
      <c r="C66" s="46"/>
      <c r="D66" s="47"/>
      <c r="E66" s="47"/>
      <c r="F66" s="47"/>
      <c r="G66" s="47"/>
      <c r="H66" s="47"/>
      <c r="I66" s="47"/>
      <c r="J66" s="47"/>
      <c r="K66" s="47"/>
      <c r="L66" s="11"/>
      <c r="N66" s="8"/>
      <c r="O66" s="117" t="s">
        <v>14</v>
      </c>
      <c r="P66" s="124">
        <v>2</v>
      </c>
      <c r="Q66" s="9"/>
    </row>
    <row r="67" spans="2:17" x14ac:dyDescent="0.2">
      <c r="B67" s="10"/>
      <c r="C67" s="46"/>
      <c r="D67" s="47"/>
      <c r="E67" s="47"/>
      <c r="F67" s="47"/>
      <c r="G67" s="47"/>
      <c r="H67" s="47"/>
      <c r="I67" s="47"/>
      <c r="J67" s="47"/>
      <c r="K67" s="47"/>
      <c r="L67" s="11"/>
      <c r="N67" s="8"/>
      <c r="O67" s="117" t="s">
        <v>135</v>
      </c>
      <c r="P67" s="124">
        <f>VLOOKUP($P$65,cpulookup, 5, FALSE)</f>
        <v>135</v>
      </c>
      <c r="Q67" s="9"/>
    </row>
    <row r="68" spans="2:17" x14ac:dyDescent="0.2">
      <c r="B68" s="10"/>
      <c r="C68" s="46"/>
      <c r="D68" s="47"/>
      <c r="E68" s="47"/>
      <c r="F68" s="47"/>
      <c r="G68" s="47"/>
      <c r="H68" s="47"/>
      <c r="I68" s="47"/>
      <c r="J68" s="47"/>
      <c r="K68" s="47"/>
      <c r="L68" s="11"/>
      <c r="N68" s="8"/>
      <c r="O68" s="117" t="s">
        <v>136</v>
      </c>
      <c r="P68" s="124">
        <f>VLOOKUP($P$65,cpulookup, 9, FALSE)</f>
        <v>2133</v>
      </c>
      <c r="Q68" s="9"/>
    </row>
    <row r="69" spans="2:17" x14ac:dyDescent="0.2">
      <c r="B69" s="10"/>
      <c r="C69" s="46"/>
      <c r="D69" s="47"/>
      <c r="E69" s="47"/>
      <c r="F69" s="47"/>
      <c r="G69" s="47"/>
      <c r="H69" s="47"/>
      <c r="I69" s="47"/>
      <c r="J69" s="47"/>
      <c r="K69" s="47"/>
      <c r="L69" s="11"/>
      <c r="N69" s="8"/>
      <c r="O69" s="117" t="s">
        <v>63</v>
      </c>
      <c r="P69" s="124" t="str">
        <f>VLOOKUP($P$65,cpulookup, 8, FALSE)</f>
        <v>9.6 GT/s</v>
      </c>
      <c r="Q69" s="9"/>
    </row>
    <row r="70" spans="2:17" x14ac:dyDescent="0.2">
      <c r="B70" s="10"/>
      <c r="C70" s="46"/>
      <c r="D70" s="47"/>
      <c r="E70" s="47"/>
      <c r="F70" s="47"/>
      <c r="G70" s="47"/>
      <c r="H70" s="47"/>
      <c r="I70" s="47"/>
      <c r="J70" s="47"/>
      <c r="K70" s="47"/>
      <c r="L70" s="11"/>
      <c r="N70" s="8"/>
      <c r="O70" s="117" t="s">
        <v>59</v>
      </c>
      <c r="P70" s="124">
        <f>VLOOKUP($P$65,cpulookup, 4, FALSE)</f>
        <v>2.6</v>
      </c>
      <c r="Q70" s="9"/>
    </row>
    <row r="71" spans="2:17" x14ac:dyDescent="0.2">
      <c r="B71" s="10"/>
      <c r="C71" s="46"/>
      <c r="D71" s="47"/>
      <c r="E71" s="47"/>
      <c r="F71" s="47"/>
      <c r="G71" s="47"/>
      <c r="H71" s="47"/>
      <c r="I71" s="47"/>
      <c r="J71" s="47"/>
      <c r="K71" s="47"/>
      <c r="L71" s="11"/>
      <c r="N71" s="8"/>
      <c r="O71" s="117" t="s">
        <v>61</v>
      </c>
      <c r="P71" s="124">
        <f>VLOOKUP($P$65,cpulookup, 6, FALSE)</f>
        <v>30</v>
      </c>
      <c r="Q71" s="9"/>
    </row>
    <row r="72" spans="2:17" x14ac:dyDescent="0.2">
      <c r="B72" s="10"/>
      <c r="C72" s="46"/>
      <c r="D72" s="47"/>
      <c r="E72" s="47"/>
      <c r="F72" s="47"/>
      <c r="G72" s="47"/>
      <c r="H72" s="47"/>
      <c r="I72" s="47"/>
      <c r="J72" s="47"/>
      <c r="K72" s="47"/>
      <c r="L72" s="11"/>
      <c r="N72" s="8"/>
      <c r="O72" s="117" t="s">
        <v>16</v>
      </c>
      <c r="P72" s="124">
        <f>VLOOKUP($P$65,cpulookup, 7, FALSE)</f>
        <v>12</v>
      </c>
      <c r="Q72" s="9"/>
    </row>
    <row r="73" spans="2:17" x14ac:dyDescent="0.2">
      <c r="B73" s="10"/>
      <c r="C73" s="46"/>
      <c r="D73" s="47"/>
      <c r="E73" s="47"/>
      <c r="F73" s="47"/>
      <c r="G73" s="47"/>
      <c r="H73" s="47"/>
      <c r="I73" s="47"/>
      <c r="J73" s="47"/>
      <c r="K73" s="47"/>
      <c r="L73" s="11"/>
      <c r="N73" s="8"/>
      <c r="O73" s="117" t="s">
        <v>60</v>
      </c>
      <c r="P73" s="124">
        <f>IF($P$65="E5-2609 v3 (6)",0,P72)</f>
        <v>12</v>
      </c>
      <c r="Q73" s="9"/>
    </row>
    <row r="74" spans="2:17" x14ac:dyDescent="0.2">
      <c r="B74" s="10"/>
      <c r="C74" s="46"/>
      <c r="D74" s="47"/>
      <c r="E74" s="47"/>
      <c r="F74" s="47"/>
      <c r="G74" s="47"/>
      <c r="H74" s="47"/>
      <c r="I74" s="47"/>
      <c r="J74" s="47"/>
      <c r="K74" s="47"/>
      <c r="L74" s="11"/>
      <c r="N74" s="8"/>
      <c r="O74" s="117" t="s">
        <v>15</v>
      </c>
      <c r="P74" s="124">
        <f>P72*P66</f>
        <v>24</v>
      </c>
      <c r="Q74" s="9"/>
    </row>
    <row r="75" spans="2:17" x14ac:dyDescent="0.2">
      <c r="B75" s="10"/>
      <c r="C75" s="46"/>
      <c r="D75" s="47"/>
      <c r="E75" s="47"/>
      <c r="F75" s="47"/>
      <c r="G75" s="47"/>
      <c r="H75" s="47"/>
      <c r="I75" s="47"/>
      <c r="J75" s="47"/>
      <c r="K75" s="47"/>
      <c r="L75" s="11"/>
      <c r="N75" s="8"/>
      <c r="O75" s="117" t="s">
        <v>10</v>
      </c>
      <c r="P75" s="284" t="b">
        <v>1</v>
      </c>
      <c r="Q75" s="20"/>
    </row>
    <row r="76" spans="2:17" x14ac:dyDescent="0.2">
      <c r="B76" s="10"/>
      <c r="C76" s="46"/>
      <c r="D76" s="47"/>
      <c r="E76" s="47"/>
      <c r="F76" s="47"/>
      <c r="G76" s="47"/>
      <c r="H76" s="47"/>
      <c r="I76" s="47"/>
      <c r="J76" s="47"/>
      <c r="K76" s="47"/>
      <c r="L76" s="11"/>
      <c r="N76" s="8"/>
      <c r="O76" s="117" t="s">
        <v>64</v>
      </c>
      <c r="P76" s="124">
        <f>IF(P75=TRUE,(P74*2),P74)</f>
        <v>48</v>
      </c>
      <c r="Q76" s="9"/>
    </row>
    <row r="77" spans="2:17" x14ac:dyDescent="0.2">
      <c r="B77" s="10"/>
      <c r="C77" s="46"/>
      <c r="D77" s="47"/>
      <c r="E77" s="47"/>
      <c r="F77" s="47"/>
      <c r="G77" s="47"/>
      <c r="H77" s="47"/>
      <c r="I77" s="47"/>
      <c r="J77" s="47"/>
      <c r="K77" s="47"/>
      <c r="L77" s="11"/>
      <c r="N77" s="8"/>
      <c r="O77" s="119" t="s">
        <v>65</v>
      </c>
      <c r="P77" s="125">
        <f>(P76*P64)</f>
        <v>144</v>
      </c>
      <c r="Q77" s="9"/>
    </row>
    <row r="78" spans="2:17" x14ac:dyDescent="0.2">
      <c r="B78" s="10"/>
      <c r="C78" s="46"/>
      <c r="D78" s="47"/>
      <c r="E78" s="47"/>
      <c r="F78" s="47"/>
      <c r="G78" s="47"/>
      <c r="H78" s="47"/>
      <c r="I78" s="47"/>
      <c r="J78" s="47"/>
      <c r="K78" s="47"/>
      <c r="L78" s="11"/>
      <c r="N78" s="8"/>
      <c r="O78" s="21"/>
      <c r="P78" s="24"/>
      <c r="Q78" s="9"/>
    </row>
    <row r="79" spans="2:17" x14ac:dyDescent="0.2">
      <c r="B79" s="10"/>
      <c r="C79" s="46"/>
      <c r="D79" s="47"/>
      <c r="E79" s="47"/>
      <c r="F79" s="47"/>
      <c r="G79" s="47"/>
      <c r="H79" s="47"/>
      <c r="I79" s="47"/>
      <c r="J79" s="47"/>
      <c r="K79" s="47"/>
      <c r="L79" s="11"/>
      <c r="N79" s="8"/>
      <c r="O79" s="21" t="s">
        <v>82</v>
      </c>
      <c r="P79" s="285"/>
      <c r="Q79" s="22"/>
    </row>
    <row r="80" spans="2:17" x14ac:dyDescent="0.2">
      <c r="B80" s="10"/>
      <c r="C80" s="46"/>
      <c r="D80" s="47"/>
      <c r="E80" s="47"/>
      <c r="F80" s="47"/>
      <c r="G80" s="47"/>
      <c r="H80" s="47"/>
      <c r="I80" s="47"/>
      <c r="J80" s="47"/>
      <c r="K80" s="47"/>
      <c r="L80" s="11"/>
      <c r="N80" s="8"/>
      <c r="O80" s="134" t="s">
        <v>17</v>
      </c>
      <c r="P80" s="284">
        <v>384</v>
      </c>
      <c r="Q80" s="20"/>
    </row>
    <row r="81" spans="2:17" x14ac:dyDescent="0.2">
      <c r="B81" s="10"/>
      <c r="C81" s="46"/>
      <c r="D81" s="47"/>
      <c r="E81" s="47"/>
      <c r="F81" s="47"/>
      <c r="G81" s="47"/>
      <c r="H81" s="47"/>
      <c r="I81" s="47"/>
      <c r="J81" s="47"/>
      <c r="K81" s="47"/>
      <c r="L81" s="11"/>
      <c r="N81" s="8"/>
      <c r="O81" s="117" t="s">
        <v>184</v>
      </c>
      <c r="P81" s="124">
        <f>VLOOKUP($P$80,memorylookup, 2, FALSE)</f>
        <v>24</v>
      </c>
      <c r="Q81" s="20"/>
    </row>
    <row r="82" spans="2:17" x14ac:dyDescent="0.2">
      <c r="B82" s="10"/>
      <c r="C82" s="46"/>
      <c r="D82" s="47"/>
      <c r="E82" s="47"/>
      <c r="F82" s="47"/>
      <c r="G82" s="47"/>
      <c r="H82" s="47"/>
      <c r="I82" s="47"/>
      <c r="J82" s="47"/>
      <c r="K82" s="47"/>
      <c r="L82" s="11"/>
      <c r="N82" s="8"/>
      <c r="O82" s="117" t="s">
        <v>186</v>
      </c>
      <c r="P82" s="124">
        <f>VLOOKUP($P$80,memorylookup, 3, FALSE)</f>
        <v>16</v>
      </c>
      <c r="Q82" s="9"/>
    </row>
    <row r="83" spans="2:17" x14ac:dyDescent="0.2">
      <c r="B83" s="10"/>
      <c r="C83" s="46"/>
      <c r="D83" s="47"/>
      <c r="E83" s="47"/>
      <c r="F83" s="47"/>
      <c r="G83" s="47"/>
      <c r="H83" s="47"/>
      <c r="I83" s="47"/>
      <c r="J83" s="47"/>
      <c r="K83" s="47"/>
      <c r="L83" s="11"/>
      <c r="N83" s="8"/>
      <c r="O83" s="119" t="s">
        <v>185</v>
      </c>
      <c r="P83" s="125">
        <f>VLOOKUP($P$80,memorylookup, 4, FALSE)</f>
        <v>1866</v>
      </c>
      <c r="Q83" s="9"/>
    </row>
    <row r="84" spans="2:17" x14ac:dyDescent="0.2">
      <c r="B84" s="10"/>
      <c r="C84" s="46"/>
      <c r="D84" s="47"/>
      <c r="E84" s="47"/>
      <c r="F84" s="47"/>
      <c r="G84" s="47"/>
      <c r="H84" s="47"/>
      <c r="I84" s="47"/>
      <c r="J84" s="47"/>
      <c r="K84" s="47"/>
      <c r="L84" s="11"/>
      <c r="N84" s="8"/>
      <c r="O84" s="21"/>
      <c r="P84" s="24"/>
      <c r="Q84" s="9"/>
    </row>
    <row r="85" spans="2:17" x14ac:dyDescent="0.2">
      <c r="B85" s="10"/>
      <c r="C85" s="46"/>
      <c r="D85" s="47"/>
      <c r="E85" s="47"/>
      <c r="F85" s="47"/>
      <c r="G85" s="47"/>
      <c r="H85" s="47"/>
      <c r="I85" s="47"/>
      <c r="J85" s="47"/>
      <c r="K85" s="47"/>
      <c r="L85" s="11"/>
      <c r="N85" s="8"/>
      <c r="O85" s="240" t="s">
        <v>144</v>
      </c>
      <c r="P85" s="286"/>
      <c r="Q85" s="22"/>
    </row>
    <row r="86" spans="2:17" x14ac:dyDescent="0.2">
      <c r="B86" s="10"/>
      <c r="C86" s="46"/>
      <c r="D86" s="47"/>
      <c r="E86" s="47"/>
      <c r="F86" s="47"/>
      <c r="G86" s="47"/>
      <c r="H86" s="47"/>
      <c r="I86" s="47"/>
      <c r="J86" s="47"/>
      <c r="K86" s="47"/>
      <c r="L86" s="11"/>
      <c r="N86" s="8"/>
      <c r="O86" s="117" t="s">
        <v>146</v>
      </c>
      <c r="P86" s="284">
        <v>8</v>
      </c>
      <c r="Q86" s="9"/>
    </row>
    <row r="87" spans="2:17" x14ac:dyDescent="0.2">
      <c r="B87" s="10"/>
      <c r="C87" s="46"/>
      <c r="D87" s="47"/>
      <c r="E87" s="47"/>
      <c r="F87" s="47"/>
      <c r="G87" s="47"/>
      <c r="H87" s="47"/>
      <c r="I87" s="47"/>
      <c r="J87" s="47"/>
      <c r="K87" s="47"/>
      <c r="L87" s="11"/>
      <c r="N87" s="8"/>
      <c r="O87" s="117" t="s">
        <v>145</v>
      </c>
      <c r="P87" s="284" t="s">
        <v>142</v>
      </c>
      <c r="Q87" s="9"/>
    </row>
    <row r="88" spans="2:17" x14ac:dyDescent="0.2">
      <c r="B88" s="10"/>
      <c r="C88" s="46"/>
      <c r="D88" s="47"/>
      <c r="E88" s="47"/>
      <c r="F88" s="47"/>
      <c r="G88" s="47"/>
      <c r="H88" s="47"/>
      <c r="I88" s="47"/>
      <c r="J88" s="47"/>
      <c r="K88" s="47"/>
      <c r="L88" s="11"/>
      <c r="N88" s="8"/>
      <c r="O88" s="117" t="s">
        <v>12</v>
      </c>
      <c r="P88" s="284" t="s">
        <v>461</v>
      </c>
      <c r="Q88" s="9"/>
    </row>
    <row r="89" spans="2:17" x14ac:dyDescent="0.2">
      <c r="B89" s="10"/>
      <c r="C89" s="46"/>
      <c r="D89" s="47"/>
      <c r="E89" s="47"/>
      <c r="F89" s="47"/>
      <c r="G89" s="47"/>
      <c r="H89" s="47"/>
      <c r="I89" s="47"/>
      <c r="J89" s="47"/>
      <c r="K89" s="47"/>
      <c r="L89" s="11"/>
      <c r="N89" s="8"/>
      <c r="O89" s="117" t="s">
        <v>296</v>
      </c>
      <c r="P89" s="124">
        <f>VLOOKUP($P$88,disklookup, 2, FALSE)</f>
        <v>3.5</v>
      </c>
      <c r="Q89" s="20"/>
    </row>
    <row r="90" spans="2:17" x14ac:dyDescent="0.2">
      <c r="B90" s="10"/>
      <c r="C90" s="46"/>
      <c r="D90" s="47"/>
      <c r="E90" s="47"/>
      <c r="F90" s="47"/>
      <c r="G90" s="47"/>
      <c r="H90" s="47"/>
      <c r="I90" s="47"/>
      <c r="J90" s="47"/>
      <c r="K90" s="47"/>
      <c r="L90" s="11"/>
      <c r="N90" s="8"/>
      <c r="O90" s="117" t="s">
        <v>77</v>
      </c>
      <c r="P90" s="124" t="str">
        <f>VLOOKUP($P$88,disklookup, 3, FALSE)</f>
        <v>LFF</v>
      </c>
      <c r="Q90" s="20"/>
    </row>
    <row r="91" spans="2:17" x14ac:dyDescent="0.2">
      <c r="B91" s="10"/>
      <c r="C91" s="46"/>
      <c r="D91" s="47"/>
      <c r="E91" s="47"/>
      <c r="F91" s="47"/>
      <c r="G91" s="47"/>
      <c r="H91" s="47"/>
      <c r="I91" s="47"/>
      <c r="J91" s="47"/>
      <c r="K91" s="47"/>
      <c r="L91" s="11"/>
      <c r="N91" s="8"/>
      <c r="O91" s="117" t="s">
        <v>12</v>
      </c>
      <c r="P91" s="124" t="str">
        <f>VLOOKUP($P$88,disklookup, 4, FALSE)</f>
        <v>Spindle</v>
      </c>
      <c r="Q91" s="20"/>
    </row>
    <row r="92" spans="2:17" x14ac:dyDescent="0.2">
      <c r="B92" s="10"/>
      <c r="C92" s="46"/>
      <c r="D92" s="47"/>
      <c r="E92" s="47"/>
      <c r="F92" s="47"/>
      <c r="G92" s="47"/>
      <c r="H92" s="47"/>
      <c r="I92" s="47"/>
      <c r="J92" s="47"/>
      <c r="K92" s="47"/>
      <c r="L92" s="11"/>
      <c r="N92" s="8"/>
      <c r="O92" s="117" t="s">
        <v>285</v>
      </c>
      <c r="P92" s="124" t="str">
        <f>VLOOKUP($P$88,disklookup, 5, FALSE)</f>
        <v>SAS</v>
      </c>
      <c r="Q92" s="20"/>
    </row>
    <row r="93" spans="2:17" x14ac:dyDescent="0.2">
      <c r="B93" s="10"/>
      <c r="C93" s="46"/>
      <c r="D93" s="47"/>
      <c r="E93" s="47"/>
      <c r="F93" s="47"/>
      <c r="G93" s="47"/>
      <c r="H93" s="47"/>
      <c r="I93" s="47"/>
      <c r="J93" s="47"/>
      <c r="K93" s="47"/>
      <c r="L93" s="11"/>
      <c r="N93" s="8"/>
      <c r="O93" s="117" t="s">
        <v>287</v>
      </c>
      <c r="P93" s="124">
        <f>VLOOKUP($P$88,disklookup, 6, FALSE)</f>
        <v>4096</v>
      </c>
      <c r="Q93" s="20"/>
    </row>
    <row r="94" spans="2:17" x14ac:dyDescent="0.2">
      <c r="B94" s="10"/>
      <c r="C94" s="46"/>
      <c r="D94" s="47"/>
      <c r="E94" s="47"/>
      <c r="F94" s="47"/>
      <c r="G94" s="47"/>
      <c r="H94" s="47"/>
      <c r="I94" s="47"/>
      <c r="J94" s="47"/>
      <c r="K94" s="47"/>
      <c r="L94" s="11"/>
      <c r="N94" s="8"/>
      <c r="O94" s="117" t="s">
        <v>286</v>
      </c>
      <c r="P94" s="124" t="str">
        <f>VLOOKUP($P$88,disklookup, 7, FALSE)</f>
        <v>7.2K</v>
      </c>
      <c r="Q94" s="20"/>
    </row>
    <row r="95" spans="2:17" x14ac:dyDescent="0.2">
      <c r="B95" s="10"/>
      <c r="C95" s="46"/>
      <c r="D95" s="47"/>
      <c r="E95" s="47"/>
      <c r="F95" s="47"/>
      <c r="G95" s="47"/>
      <c r="H95" s="47"/>
      <c r="I95" s="47"/>
      <c r="J95" s="47"/>
      <c r="K95" s="47"/>
      <c r="L95" s="11"/>
      <c r="N95" s="8"/>
      <c r="O95" s="117" t="s">
        <v>288</v>
      </c>
      <c r="P95" s="124">
        <f>VLOOKUP($P$88,disklookup, 8, FALSE)</f>
        <v>6</v>
      </c>
      <c r="Q95" s="20"/>
    </row>
    <row r="96" spans="2:17" x14ac:dyDescent="0.2">
      <c r="B96" s="10"/>
      <c r="C96" s="46"/>
      <c r="D96" s="47"/>
      <c r="E96" s="47"/>
      <c r="F96" s="47"/>
      <c r="G96" s="47"/>
      <c r="H96" s="47"/>
      <c r="I96" s="47"/>
      <c r="J96" s="47"/>
      <c r="K96" s="47"/>
      <c r="L96" s="11"/>
      <c r="N96" s="8"/>
      <c r="O96" s="117" t="s">
        <v>289</v>
      </c>
      <c r="P96" s="124">
        <f>VLOOKUP($P$88,disklookup, 9, FALSE)</f>
        <v>100</v>
      </c>
      <c r="Q96" s="20"/>
    </row>
    <row r="97" spans="2:17" x14ac:dyDescent="0.2">
      <c r="B97" s="10"/>
      <c r="C97" s="46"/>
      <c r="D97" s="47"/>
      <c r="E97" s="47"/>
      <c r="F97" s="47"/>
      <c r="G97" s="47"/>
      <c r="H97" s="47"/>
      <c r="I97" s="47"/>
      <c r="J97" s="47"/>
      <c r="K97" s="47"/>
      <c r="L97" s="11"/>
      <c r="N97" s="8"/>
      <c r="O97" s="117" t="s">
        <v>13</v>
      </c>
      <c r="P97" s="284" t="s">
        <v>292</v>
      </c>
      <c r="Q97" s="20"/>
    </row>
    <row r="98" spans="2:17" x14ac:dyDescent="0.2">
      <c r="B98" s="10"/>
      <c r="C98" s="46"/>
      <c r="D98" s="47"/>
      <c r="E98" s="47"/>
      <c r="F98" s="47"/>
      <c r="G98" s="47"/>
      <c r="H98" s="47"/>
      <c r="I98" s="47"/>
      <c r="J98" s="47"/>
      <c r="K98" s="47"/>
      <c r="L98" s="11"/>
      <c r="N98" s="8"/>
      <c r="O98" s="117" t="s">
        <v>53</v>
      </c>
      <c r="P98" s="124">
        <f>IF(P97="JBOD",1,IF(P97="RAID 10",1,IF(P97="RAID 5",1,IF(P97="RAID 5+1",1))))</f>
        <v>1</v>
      </c>
      <c r="Q98" s="9"/>
    </row>
    <row r="99" spans="2:17" x14ac:dyDescent="0.2">
      <c r="B99" s="10"/>
      <c r="C99" s="46"/>
      <c r="D99" s="47"/>
      <c r="E99" s="47"/>
      <c r="F99" s="47"/>
      <c r="G99" s="47"/>
      <c r="H99" s="47"/>
      <c r="I99" s="47"/>
      <c r="J99" s="47"/>
      <c r="K99" s="47"/>
      <c r="L99" s="11"/>
      <c r="N99" s="8"/>
      <c r="O99" s="117" t="s">
        <v>54</v>
      </c>
      <c r="P99" s="124">
        <f>IF(P97="JBOD",3,IF(P97="RAID 10",2,IF(P97="RAID 5",4,IF(P97="RAID 5+1",4))))</f>
        <v>3</v>
      </c>
      <c r="Q99" s="9"/>
    </row>
    <row r="100" spans="2:17" x14ac:dyDescent="0.2">
      <c r="B100" s="10"/>
      <c r="C100" s="46"/>
      <c r="D100" s="47"/>
      <c r="E100" s="47"/>
      <c r="F100" s="47"/>
      <c r="G100" s="47"/>
      <c r="H100" s="47"/>
      <c r="I100" s="47"/>
      <c r="J100" s="47"/>
      <c r="K100" s="47"/>
      <c r="L100" s="11"/>
      <c r="N100" s="8"/>
      <c r="O100" s="117" t="s">
        <v>55</v>
      </c>
      <c r="P100" s="124">
        <f>IF(P97="RAID 5",P96*(P86-1),IF(P97="RAID 5+1",P96*(P86-2),P96*P86))</f>
        <v>800</v>
      </c>
      <c r="Q100" s="9"/>
    </row>
    <row r="101" spans="2:17" x14ac:dyDescent="0.2">
      <c r="B101" s="10"/>
      <c r="C101" s="46"/>
      <c r="D101" s="47"/>
      <c r="E101" s="47"/>
      <c r="F101" s="47"/>
      <c r="G101" s="47"/>
      <c r="H101" s="47"/>
      <c r="I101" s="47"/>
      <c r="J101" s="47"/>
      <c r="K101" s="47"/>
      <c r="L101" s="11"/>
      <c r="N101" s="8"/>
      <c r="O101" s="117" t="s">
        <v>38</v>
      </c>
      <c r="P101" s="284">
        <v>15</v>
      </c>
      <c r="Q101" s="9"/>
    </row>
    <row r="102" spans="2:17" x14ac:dyDescent="0.2">
      <c r="B102" s="10"/>
      <c r="C102" s="46"/>
      <c r="D102" s="47"/>
      <c r="E102" s="47"/>
      <c r="F102" s="47"/>
      <c r="G102" s="47"/>
      <c r="H102" s="47"/>
      <c r="I102" s="47"/>
      <c r="J102" s="47"/>
      <c r="K102" s="47"/>
      <c r="L102" s="11"/>
      <c r="N102" s="8"/>
      <c r="O102" s="117" t="s">
        <v>33</v>
      </c>
      <c r="P102" s="284">
        <v>0.5</v>
      </c>
      <c r="Q102" s="9"/>
    </row>
    <row r="103" spans="2:17" x14ac:dyDescent="0.2">
      <c r="B103" s="10"/>
      <c r="C103" s="46"/>
      <c r="D103" s="47"/>
      <c r="E103" s="47"/>
      <c r="F103" s="47"/>
      <c r="G103" s="47"/>
      <c r="H103" s="47"/>
      <c r="I103" s="47"/>
      <c r="J103" s="47"/>
      <c r="K103" s="47"/>
      <c r="L103" s="11"/>
      <c r="N103" s="8"/>
      <c r="O103" s="117" t="s">
        <v>34</v>
      </c>
      <c r="P103" s="124">
        <f>1-P102</f>
        <v>0.5</v>
      </c>
      <c r="Q103" s="9"/>
    </row>
    <row r="104" spans="2:17" x14ac:dyDescent="0.2">
      <c r="B104" s="10"/>
      <c r="C104" s="46"/>
      <c r="D104" s="47"/>
      <c r="E104" s="47"/>
      <c r="F104" s="47"/>
      <c r="G104" s="47"/>
      <c r="H104" s="47"/>
      <c r="I104" s="47"/>
      <c r="J104" s="47"/>
      <c r="K104" s="47"/>
      <c r="L104" s="11"/>
      <c r="N104" s="8"/>
      <c r="O104" s="117" t="s">
        <v>56</v>
      </c>
      <c r="P104" s="124">
        <f>ROUND((P106*P102),0)</f>
        <v>530</v>
      </c>
      <c r="Q104" s="9"/>
    </row>
    <row r="105" spans="2:17" x14ac:dyDescent="0.2">
      <c r="B105" s="10"/>
      <c r="C105" s="46"/>
      <c r="D105" s="47"/>
      <c r="E105" s="47"/>
      <c r="F105" s="47"/>
      <c r="G105" s="47"/>
      <c r="H105" s="47"/>
      <c r="I105" s="47"/>
      <c r="J105" s="47"/>
      <c r="K105" s="47"/>
      <c r="L105" s="11"/>
      <c r="N105" s="8"/>
      <c r="O105" s="117" t="s">
        <v>57</v>
      </c>
      <c r="P105" s="124">
        <f>ROUND((P106*P103),0)</f>
        <v>530</v>
      </c>
      <c r="Q105" s="9"/>
    </row>
    <row r="106" spans="2:17" x14ac:dyDescent="0.2">
      <c r="B106" s="10"/>
      <c r="C106" s="46"/>
      <c r="D106" s="47"/>
      <c r="E106" s="47"/>
      <c r="F106" s="47"/>
      <c r="G106" s="47"/>
      <c r="H106" s="47"/>
      <c r="I106" s="47"/>
      <c r="J106" s="47"/>
      <c r="K106" s="47"/>
      <c r="L106" s="11"/>
      <c r="N106" s="8"/>
      <c r="O106" s="117" t="s">
        <v>58</v>
      </c>
      <c r="P106" s="124">
        <f>IF(P87="Ceph",(ROUND(P100/((P102*P98)+(P103*P99)),0)*2.65),ROUND(P100/((P102*P98)+(P103*P99)),0))</f>
        <v>1060</v>
      </c>
      <c r="Q106" s="9"/>
    </row>
    <row r="107" spans="2:17" x14ac:dyDescent="0.2">
      <c r="B107" s="10"/>
      <c r="C107" s="46"/>
      <c r="D107" s="47"/>
      <c r="E107" s="47"/>
      <c r="F107" s="47"/>
      <c r="G107" s="47"/>
      <c r="H107" s="47"/>
      <c r="I107" s="47"/>
      <c r="J107" s="47"/>
      <c r="K107" s="47"/>
      <c r="L107" s="11"/>
      <c r="N107" s="8"/>
      <c r="O107" s="117" t="s">
        <v>291</v>
      </c>
      <c r="P107" s="124">
        <f>P86*P93</f>
        <v>32768</v>
      </c>
      <c r="Q107" s="9"/>
    </row>
    <row r="108" spans="2:17" x14ac:dyDescent="0.2">
      <c r="B108" s="10"/>
      <c r="C108" s="46"/>
      <c r="D108" s="47"/>
      <c r="E108" s="47"/>
      <c r="F108" s="47"/>
      <c r="G108" s="47"/>
      <c r="H108" s="47"/>
      <c r="I108" s="47"/>
      <c r="J108" s="47"/>
      <c r="K108" s="47"/>
      <c r="L108" s="11"/>
      <c r="N108" s="8"/>
      <c r="O108" s="119" t="s">
        <v>290</v>
      </c>
      <c r="P108" s="125">
        <f>ROUND(IF(P97="JBOD",(P93*P86*0.33),IF(P97="RAID 10",(P93*P86*0.5),IF(P97="RAID 5",(P93*(P86-1)),IF(P97="RAID 5+1",(P93*(P86-2))))))*0.968/1024,2)</f>
        <v>10.220000000000001</v>
      </c>
      <c r="Q108" s="20"/>
    </row>
    <row r="109" spans="2:17" x14ac:dyDescent="0.2">
      <c r="B109" s="10"/>
      <c r="C109" s="46"/>
      <c r="D109" s="47"/>
      <c r="E109" s="47"/>
      <c r="F109" s="47"/>
      <c r="G109" s="47"/>
      <c r="H109" s="47"/>
      <c r="I109" s="47"/>
      <c r="J109" s="47"/>
      <c r="K109" s="47"/>
      <c r="L109" s="11"/>
      <c r="N109" s="34"/>
      <c r="O109" s="35"/>
      <c r="P109" s="36"/>
      <c r="Q109" s="37"/>
    </row>
    <row r="110" spans="2:17" x14ac:dyDescent="0.2">
      <c r="B110" s="10"/>
      <c r="C110" s="46"/>
      <c r="D110" s="47"/>
      <c r="E110" s="47"/>
      <c r="F110" s="47"/>
      <c r="G110" s="47"/>
      <c r="H110" s="47"/>
      <c r="I110" s="47"/>
      <c r="J110" s="47"/>
      <c r="K110" s="47"/>
      <c r="L110" s="11"/>
    </row>
    <row r="111" spans="2:17" x14ac:dyDescent="0.2">
      <c r="B111" s="10"/>
      <c r="C111" s="46"/>
      <c r="D111" s="47"/>
      <c r="E111" s="47"/>
      <c r="F111" s="47"/>
      <c r="G111" s="47"/>
      <c r="H111" s="47"/>
      <c r="I111" s="47"/>
      <c r="J111" s="47"/>
      <c r="K111" s="47"/>
      <c r="L111" s="11"/>
      <c r="N111" s="350" t="s">
        <v>394</v>
      </c>
      <c r="O111" s="351"/>
      <c r="P111" s="351"/>
      <c r="Q111" s="352"/>
    </row>
    <row r="112" spans="2:17" ht="15" thickBot="1" x14ac:dyDescent="0.25">
      <c r="B112" s="10"/>
      <c r="C112" s="46"/>
      <c r="D112" s="47"/>
      <c r="E112" s="47"/>
      <c r="F112" s="47"/>
      <c r="G112" s="47"/>
      <c r="H112" s="47"/>
      <c r="I112" s="47"/>
      <c r="J112" s="47"/>
      <c r="K112" s="47"/>
      <c r="L112" s="11"/>
      <c r="N112" s="8"/>
      <c r="O112" s="21" t="s">
        <v>378</v>
      </c>
      <c r="P112" s="285"/>
      <c r="Q112" s="9"/>
    </row>
    <row r="113" spans="2:17" x14ac:dyDescent="0.2">
      <c r="B113" s="10"/>
      <c r="C113" s="46"/>
      <c r="D113" s="47"/>
      <c r="E113" s="47"/>
      <c r="F113" s="47"/>
      <c r="G113" s="47"/>
      <c r="H113" s="47"/>
      <c r="I113" s="47"/>
      <c r="J113" s="47"/>
      <c r="K113" s="47"/>
      <c r="L113" s="11"/>
      <c r="N113" s="8"/>
      <c r="O113" s="128" t="s">
        <v>404</v>
      </c>
      <c r="P113" s="129">
        <f>ROUNDUP(($P$12/P77),0)</f>
        <v>5</v>
      </c>
      <c r="Q113" s="9"/>
    </row>
    <row r="114" spans="2:17" x14ac:dyDescent="0.2">
      <c r="B114" s="10"/>
      <c r="C114" s="46"/>
      <c r="D114" s="47"/>
      <c r="E114" s="47"/>
      <c r="F114" s="47"/>
      <c r="G114" s="47"/>
      <c r="H114" s="47"/>
      <c r="I114" s="47"/>
      <c r="J114" s="47"/>
      <c r="K114" s="47"/>
      <c r="L114" s="11"/>
      <c r="N114" s="8"/>
      <c r="O114" s="130" t="s">
        <v>405</v>
      </c>
      <c r="P114" s="131">
        <f>ROUNDUP(($P$13/P80),0)</f>
        <v>4</v>
      </c>
      <c r="Q114" s="9"/>
    </row>
    <row r="115" spans="2:17" x14ac:dyDescent="0.2">
      <c r="B115" s="10"/>
      <c r="C115" s="46"/>
      <c r="D115" s="47"/>
      <c r="E115" s="47"/>
      <c r="F115" s="47"/>
      <c r="G115" s="47"/>
      <c r="H115" s="47"/>
      <c r="I115" s="47"/>
      <c r="J115" s="47"/>
      <c r="K115" s="47"/>
      <c r="L115" s="11"/>
      <c r="N115" s="8"/>
      <c r="O115" s="130" t="s">
        <v>406</v>
      </c>
      <c r="P115" s="131">
        <f>ROUNDUP((($P$14+$P$15)/1024/P108),0)</f>
        <v>3</v>
      </c>
      <c r="Q115" s="9"/>
    </row>
    <row r="116" spans="2:17" ht="15" thickBot="1" x14ac:dyDescent="0.25">
      <c r="B116" s="10"/>
      <c r="C116" s="46"/>
      <c r="D116" s="47"/>
      <c r="E116" s="47"/>
      <c r="F116" s="47"/>
      <c r="G116" s="47"/>
      <c r="H116" s="47"/>
      <c r="I116" s="47"/>
      <c r="J116" s="47"/>
      <c r="K116" s="47"/>
      <c r="L116" s="11"/>
      <c r="N116" s="8"/>
      <c r="O116" s="132" t="s">
        <v>407</v>
      </c>
      <c r="P116" s="133">
        <f>ROUNDUP((((P101*$P$18)/P106)),0)</f>
        <v>3</v>
      </c>
      <c r="Q116" s="9"/>
    </row>
    <row r="117" spans="2:17" x14ac:dyDescent="0.2">
      <c r="B117" s="10"/>
      <c r="C117" s="46"/>
      <c r="D117" s="47"/>
      <c r="E117" s="47"/>
      <c r="F117" s="47"/>
      <c r="G117" s="47"/>
      <c r="H117" s="47"/>
      <c r="I117" s="47"/>
      <c r="J117" s="47"/>
      <c r="K117" s="47"/>
      <c r="L117" s="11"/>
      <c r="N117" s="8"/>
      <c r="O117" s="21"/>
      <c r="P117" s="82">
        <f>MAX(P113:P116)</f>
        <v>5</v>
      </c>
      <c r="Q117" s="9"/>
    </row>
    <row r="118" spans="2:17" x14ac:dyDescent="0.2">
      <c r="B118" s="10"/>
      <c r="C118" s="46"/>
      <c r="D118" s="47"/>
      <c r="E118" s="47"/>
      <c r="F118" s="47"/>
      <c r="G118" s="47"/>
      <c r="H118" s="47"/>
      <c r="I118" s="47"/>
      <c r="J118" s="47"/>
      <c r="K118" s="47"/>
      <c r="L118" s="11"/>
      <c r="N118" s="8"/>
      <c r="O118" s="21" t="s">
        <v>379</v>
      </c>
      <c r="P118" s="285"/>
      <c r="Q118" s="9"/>
    </row>
    <row r="119" spans="2:17" x14ac:dyDescent="0.2">
      <c r="B119" s="10"/>
      <c r="C119" s="46"/>
      <c r="D119" s="47"/>
      <c r="E119" s="47"/>
      <c r="F119" s="47"/>
      <c r="G119" s="47"/>
      <c r="H119" s="47"/>
      <c r="I119" s="47"/>
      <c r="J119" s="47"/>
      <c r="K119" s="47"/>
      <c r="L119" s="11"/>
      <c r="N119" s="8"/>
      <c r="O119" s="134" t="s">
        <v>36</v>
      </c>
      <c r="P119" s="135">
        <f>MAX(P113:P116)*P66</f>
        <v>10</v>
      </c>
      <c r="Q119" s="9"/>
    </row>
    <row r="120" spans="2:17" x14ac:dyDescent="0.2">
      <c r="B120" s="10"/>
      <c r="C120" s="46"/>
      <c r="D120" s="47"/>
      <c r="E120" s="47"/>
      <c r="F120" s="47"/>
      <c r="G120" s="47"/>
      <c r="H120" s="47"/>
      <c r="I120" s="47"/>
      <c r="J120" s="47"/>
      <c r="K120" s="47"/>
      <c r="L120" s="11"/>
      <c r="N120" s="8"/>
      <c r="O120" s="117" t="s">
        <v>62</v>
      </c>
      <c r="P120" s="124">
        <f>ROUND((MAX(P113:P116)*P74*P70),0)</f>
        <v>312</v>
      </c>
      <c r="Q120" s="9"/>
    </row>
    <row r="121" spans="2:17" x14ac:dyDescent="0.2">
      <c r="B121" s="10"/>
      <c r="C121" s="46"/>
      <c r="D121" s="47"/>
      <c r="E121" s="47"/>
      <c r="F121" s="47"/>
      <c r="G121" s="47"/>
      <c r="H121" s="47"/>
      <c r="I121" s="47"/>
      <c r="J121" s="47"/>
      <c r="K121" s="47"/>
      <c r="L121" s="11"/>
      <c r="N121" s="8"/>
      <c r="O121" s="117" t="s">
        <v>37</v>
      </c>
      <c r="P121" s="124">
        <f>MAX(P113:P116)*P76</f>
        <v>240</v>
      </c>
      <c r="Q121" s="9"/>
    </row>
    <row r="122" spans="2:17" x14ac:dyDescent="0.2">
      <c r="B122" s="10"/>
      <c r="C122" s="46"/>
      <c r="D122" s="47"/>
      <c r="E122" s="47"/>
      <c r="F122" s="47"/>
      <c r="G122" s="47"/>
      <c r="H122" s="47"/>
      <c r="I122" s="47"/>
      <c r="J122" s="47"/>
      <c r="K122" s="47"/>
      <c r="L122" s="11"/>
      <c r="N122" s="8"/>
      <c r="O122" s="117" t="s">
        <v>18</v>
      </c>
      <c r="P122" s="124">
        <f>MAX(P113:P115)*P77</f>
        <v>720</v>
      </c>
      <c r="Q122" s="9"/>
    </row>
    <row r="123" spans="2:17" x14ac:dyDescent="0.2">
      <c r="B123" s="10"/>
      <c r="C123" s="46"/>
      <c r="D123" s="47"/>
      <c r="E123" s="47"/>
      <c r="F123" s="47"/>
      <c r="G123" s="47"/>
      <c r="H123" s="47"/>
      <c r="I123" s="47"/>
      <c r="J123" s="47"/>
      <c r="K123" s="47"/>
      <c r="L123" s="11"/>
      <c r="N123" s="8"/>
      <c r="O123" s="117" t="str">
        <f>"Memory (" &amp; (ROUND((P123),2)) &amp; " GB / " &amp; (ROUND((P123/1024),2)) &amp; " TB)"</f>
        <v>Memory (1920 GB / 1.88 TB)</v>
      </c>
      <c r="P123" s="124">
        <f>MAX(P113:P115)*P80</f>
        <v>1920</v>
      </c>
      <c r="Q123" s="9"/>
    </row>
    <row r="124" spans="2:17" x14ac:dyDescent="0.2">
      <c r="B124" s="10"/>
      <c r="C124" s="46"/>
      <c r="D124" s="47"/>
      <c r="E124" s="47"/>
      <c r="F124" s="47"/>
      <c r="G124" s="47"/>
      <c r="H124" s="47"/>
      <c r="I124" s="47"/>
      <c r="J124" s="47"/>
      <c r="K124" s="47"/>
      <c r="L124" s="11"/>
      <c r="N124" s="8"/>
      <c r="O124" s="117" t="str">
        <f>"Disk Capacity (" &amp; (ROUND((P124/1024),2)) &amp; " TB)"</f>
        <v>Disk Capacity (51.1 TB)</v>
      </c>
      <c r="P124" s="124">
        <f>MAX(P113:P116)*P108*1024</f>
        <v>52326.400000000001</v>
      </c>
      <c r="Q124" s="9"/>
    </row>
    <row r="125" spans="2:17" x14ac:dyDescent="0.2">
      <c r="B125" s="10"/>
      <c r="C125" s="46"/>
      <c r="D125" s="47"/>
      <c r="E125" s="47"/>
      <c r="F125" s="47"/>
      <c r="G125" s="47"/>
      <c r="H125" s="47"/>
      <c r="I125" s="47"/>
      <c r="J125" s="47"/>
      <c r="K125" s="47"/>
      <c r="L125" s="11"/>
      <c r="N125" s="8"/>
      <c r="O125" s="117" t="s">
        <v>39</v>
      </c>
      <c r="P125" s="124">
        <f>MAX(P113:P116)*P106</f>
        <v>5300</v>
      </c>
      <c r="Q125" s="9"/>
    </row>
    <row r="126" spans="2:17" x14ac:dyDescent="0.2">
      <c r="B126" s="10"/>
      <c r="C126" s="46"/>
      <c r="D126" s="47"/>
      <c r="E126" s="47"/>
      <c r="F126" s="47"/>
      <c r="G126" s="47"/>
      <c r="H126" s="47"/>
      <c r="I126" s="47"/>
      <c r="J126" s="47"/>
      <c r="K126" s="47"/>
      <c r="L126" s="11"/>
      <c r="N126" s="8"/>
      <c r="O126" s="117" t="s">
        <v>40</v>
      </c>
      <c r="P126" s="124">
        <f>P106</f>
        <v>1060</v>
      </c>
      <c r="Q126" s="9"/>
    </row>
    <row r="127" spans="2:17" x14ac:dyDescent="0.2">
      <c r="B127" s="10"/>
      <c r="C127" s="46"/>
      <c r="D127" s="47"/>
      <c r="E127" s="47"/>
      <c r="F127" s="47"/>
      <c r="G127" s="47"/>
      <c r="H127" s="47"/>
      <c r="I127" s="47"/>
      <c r="J127" s="47"/>
      <c r="K127" s="47"/>
      <c r="L127" s="11"/>
      <c r="N127" s="8"/>
      <c r="O127" s="136" t="s">
        <v>41</v>
      </c>
      <c r="P127" s="137">
        <f>IF(P18=0,0,(ROUNDUP((P125/P18),2)))</f>
        <v>28.970000000000002</v>
      </c>
      <c r="Q127" s="9"/>
    </row>
    <row r="128" spans="2:17" x14ac:dyDescent="0.2">
      <c r="B128" s="10"/>
      <c r="C128" s="46"/>
      <c r="D128" s="47"/>
      <c r="E128" s="47"/>
      <c r="F128" s="47"/>
      <c r="G128" s="47"/>
      <c r="H128" s="47"/>
      <c r="I128" s="47"/>
      <c r="J128" s="47"/>
      <c r="K128" s="47"/>
      <c r="L128" s="11"/>
      <c r="N128" s="8"/>
      <c r="O128" s="138" t="str">
        <f>"Consolidation Ratio (" &amp; P128 &amp; ":1)"</f>
        <v>Consolidation Ratio (37:1)</v>
      </c>
      <c r="P128" s="139">
        <f>IF(P18=0,0,(ROUNDUP(P18/(MAX(P113:P116)),0)))</f>
        <v>37</v>
      </c>
      <c r="Q128" s="20"/>
    </row>
    <row r="129" spans="2:18" x14ac:dyDescent="0.2">
      <c r="B129" s="10"/>
      <c r="C129" s="46"/>
      <c r="D129" s="47"/>
      <c r="E129" s="47"/>
      <c r="F129" s="47"/>
      <c r="G129" s="47"/>
      <c r="H129" s="47"/>
      <c r="I129" s="47"/>
      <c r="J129" s="47"/>
      <c r="K129" s="47"/>
      <c r="L129" s="11"/>
      <c r="N129" s="8"/>
      <c r="O129" s="21"/>
      <c r="P129" s="24"/>
      <c r="Q129" s="9"/>
      <c r="R129" s="288"/>
    </row>
    <row r="130" spans="2:18" x14ac:dyDescent="0.2">
      <c r="B130" s="10"/>
      <c r="C130" s="46"/>
      <c r="D130" s="47"/>
      <c r="E130" s="47"/>
      <c r="F130" s="47"/>
      <c r="G130" s="47"/>
      <c r="H130" s="47"/>
      <c r="I130" s="47"/>
      <c r="J130" s="47"/>
      <c r="K130" s="47"/>
      <c r="L130" s="11"/>
      <c r="N130" s="8"/>
      <c r="O130" s="21" t="s">
        <v>380</v>
      </c>
      <c r="P130" s="24"/>
      <c r="Q130" s="9"/>
    </row>
    <row r="131" spans="2:18" x14ac:dyDescent="0.2">
      <c r="B131" s="10"/>
      <c r="C131" s="46"/>
      <c r="D131" s="47"/>
      <c r="E131" s="47"/>
      <c r="F131" s="47"/>
      <c r="G131" s="47"/>
      <c r="H131" s="47"/>
      <c r="I131" s="47"/>
      <c r="J131" s="47"/>
      <c r="K131" s="47"/>
      <c r="L131" s="11"/>
      <c r="N131" s="8"/>
      <c r="O131" s="134" t="s">
        <v>30</v>
      </c>
      <c r="P131" s="270">
        <f>IF($P$12&gt;0,$P$12/P122/P6,0)</f>
        <v>0.86527777777777781</v>
      </c>
      <c r="Q131" s="33"/>
    </row>
    <row r="132" spans="2:18" x14ac:dyDescent="0.2">
      <c r="B132" s="10"/>
      <c r="C132" s="46"/>
      <c r="D132" s="47"/>
      <c r="E132" s="47"/>
      <c r="F132" s="47"/>
      <c r="G132" s="47"/>
      <c r="H132" s="47"/>
      <c r="I132" s="47"/>
      <c r="J132" s="47"/>
      <c r="K132" s="47"/>
      <c r="L132" s="11"/>
      <c r="N132" s="8"/>
      <c r="O132" s="117" t="s">
        <v>31</v>
      </c>
      <c r="P132" s="271">
        <f>IF($P$13&gt;0,$P$13/P123/P6,0)</f>
        <v>0.69322916666666667</v>
      </c>
      <c r="Q132" s="33"/>
    </row>
    <row r="133" spans="2:18" x14ac:dyDescent="0.2">
      <c r="B133" s="10"/>
      <c r="C133" s="46"/>
      <c r="D133" s="47"/>
      <c r="E133" s="47"/>
      <c r="F133" s="47"/>
      <c r="G133" s="47"/>
      <c r="H133" s="47"/>
      <c r="I133" s="47"/>
      <c r="J133" s="47"/>
      <c r="K133" s="47"/>
      <c r="L133" s="11"/>
      <c r="N133" s="8"/>
      <c r="O133" s="117" t="s">
        <v>32</v>
      </c>
      <c r="P133" s="271">
        <f>IF(P16&gt;0,P16/P124/P6,0)</f>
        <v>0.50765961350293543</v>
      </c>
      <c r="Q133" s="33"/>
    </row>
    <row r="134" spans="2:18" x14ac:dyDescent="0.2">
      <c r="B134" s="10"/>
      <c r="C134" s="46"/>
      <c r="D134" s="47"/>
      <c r="E134" s="47"/>
      <c r="F134" s="47"/>
      <c r="G134" s="47"/>
      <c r="H134" s="47"/>
      <c r="I134" s="47"/>
      <c r="J134" s="47"/>
      <c r="K134" s="47"/>
      <c r="L134" s="11"/>
      <c r="N134" s="8"/>
      <c r="O134" s="119" t="s">
        <v>330</v>
      </c>
      <c r="P134" s="272">
        <f>IF(P17&gt;0,P17/P125/P6,0)</f>
        <v>0.51792452830188684</v>
      </c>
      <c r="Q134" s="33"/>
    </row>
    <row r="135" spans="2:18" x14ac:dyDescent="0.2">
      <c r="B135" s="10"/>
      <c r="C135" s="46"/>
      <c r="D135" s="47"/>
      <c r="E135" s="47"/>
      <c r="F135" s="47"/>
      <c r="G135" s="47"/>
      <c r="H135" s="47"/>
      <c r="I135" s="47"/>
      <c r="J135" s="47"/>
      <c r="K135" s="47"/>
      <c r="L135" s="11"/>
      <c r="N135" s="8"/>
      <c r="O135" s="38"/>
      <c r="P135" s="39"/>
      <c r="Q135" s="33"/>
    </row>
    <row r="136" spans="2:18" x14ac:dyDescent="0.2">
      <c r="B136" s="10"/>
      <c r="C136" s="46"/>
      <c r="D136" s="47"/>
      <c r="E136" s="47"/>
      <c r="F136" s="47"/>
      <c r="G136" s="47"/>
      <c r="H136" s="47"/>
      <c r="I136" s="47"/>
      <c r="J136" s="47"/>
      <c r="K136" s="47"/>
      <c r="L136" s="11"/>
      <c r="N136" s="8"/>
      <c r="O136" s="289" t="s">
        <v>381</v>
      </c>
      <c r="P136" s="39"/>
      <c r="Q136" s="33"/>
    </row>
    <row r="137" spans="2:18" x14ac:dyDescent="0.2">
      <c r="B137" s="10"/>
      <c r="C137" s="46"/>
      <c r="D137" s="47"/>
      <c r="E137" s="47"/>
      <c r="F137" s="47"/>
      <c r="G137" s="47"/>
      <c r="H137" s="47"/>
      <c r="I137" s="47"/>
      <c r="J137" s="47"/>
      <c r="K137" s="47"/>
      <c r="L137" s="11"/>
      <c r="N137" s="8"/>
      <c r="O137" s="143" t="s">
        <v>331</v>
      </c>
      <c r="P137" s="135">
        <f>IF(P5=1,1.01,P5)</f>
        <v>1.01</v>
      </c>
      <c r="Q137" s="33"/>
    </row>
    <row r="138" spans="2:18" x14ac:dyDescent="0.2">
      <c r="B138" s="10"/>
      <c r="C138" s="46"/>
      <c r="D138" s="47"/>
      <c r="E138" s="47"/>
      <c r="F138" s="47"/>
      <c r="G138" s="47"/>
      <c r="H138" s="47"/>
      <c r="I138" s="47"/>
      <c r="J138" s="47"/>
      <c r="K138" s="47"/>
      <c r="L138" s="11"/>
      <c r="N138" s="32"/>
      <c r="O138" s="140" t="str">
        <f>IF(P138="","","Month 0")</f>
        <v>Month 0</v>
      </c>
      <c r="P138" s="49">
        <f>IF(P131&gt;0,MAX(P131:P134),"")</f>
        <v>0.86527777777777781</v>
      </c>
      <c r="Q138" s="33">
        <v>0</v>
      </c>
    </row>
    <row r="139" spans="2:18" x14ac:dyDescent="0.2">
      <c r="B139" s="10"/>
      <c r="C139" s="46"/>
      <c r="D139" s="47"/>
      <c r="E139" s="47"/>
      <c r="F139" s="47"/>
      <c r="G139" s="47"/>
      <c r="H139" s="47"/>
      <c r="I139" s="47"/>
      <c r="J139" s="47"/>
      <c r="K139" s="47"/>
      <c r="L139" s="11"/>
      <c r="N139" s="32"/>
      <c r="O139" s="141" t="str">
        <f t="shared" ref="O139:O162" si="0">IF(P139&lt;1,("Month " &amp; Q139),"")</f>
        <v>Month 1</v>
      </c>
      <c r="P139" s="40">
        <f>IF(P138&lt;1,P138*$P$137,"")</f>
        <v>0.87393055555555554</v>
      </c>
      <c r="Q139" s="33">
        <v>1</v>
      </c>
    </row>
    <row r="140" spans="2:18" x14ac:dyDescent="0.2">
      <c r="B140" s="10"/>
      <c r="C140" s="46"/>
      <c r="D140" s="47"/>
      <c r="E140" s="47"/>
      <c r="F140" s="47"/>
      <c r="G140" s="47"/>
      <c r="H140" s="47"/>
      <c r="I140" s="47"/>
      <c r="J140" s="47"/>
      <c r="K140" s="47"/>
      <c r="L140" s="11"/>
      <c r="N140" s="32"/>
      <c r="O140" s="141" t="str">
        <f t="shared" si="0"/>
        <v>Month 2</v>
      </c>
      <c r="P140" s="40">
        <f t="shared" ref="P140:P162" si="1">IF(P139&lt;1,P139*$P$137,"")</f>
        <v>0.88266986111111112</v>
      </c>
      <c r="Q140" s="33">
        <v>2</v>
      </c>
    </row>
    <row r="141" spans="2:18" x14ac:dyDescent="0.2">
      <c r="B141" s="10"/>
      <c r="C141" s="46"/>
      <c r="D141" s="47"/>
      <c r="E141" s="47"/>
      <c r="F141" s="47"/>
      <c r="G141" s="47"/>
      <c r="H141" s="47"/>
      <c r="I141" s="47"/>
      <c r="J141" s="47"/>
      <c r="K141" s="47"/>
      <c r="L141" s="11"/>
      <c r="N141" s="32"/>
      <c r="O141" s="141" t="str">
        <f t="shared" si="0"/>
        <v>Month 3</v>
      </c>
      <c r="P141" s="40">
        <f t="shared" si="1"/>
        <v>0.89149655972222219</v>
      </c>
      <c r="Q141" s="33">
        <v>3</v>
      </c>
    </row>
    <row r="142" spans="2:18" x14ac:dyDescent="0.2">
      <c r="B142" s="10"/>
      <c r="C142" s="46"/>
      <c r="D142" s="47"/>
      <c r="E142" s="47"/>
      <c r="F142" s="47"/>
      <c r="G142" s="47"/>
      <c r="H142" s="47"/>
      <c r="I142" s="47"/>
      <c r="J142" s="47"/>
      <c r="K142" s="47"/>
      <c r="L142" s="11"/>
      <c r="N142" s="32"/>
      <c r="O142" s="141" t="str">
        <f t="shared" si="0"/>
        <v>Month 4</v>
      </c>
      <c r="P142" s="40">
        <f t="shared" si="1"/>
        <v>0.90041152531944446</v>
      </c>
      <c r="Q142" s="33">
        <v>4</v>
      </c>
    </row>
    <row r="143" spans="2:18" x14ac:dyDescent="0.2">
      <c r="B143" s="10"/>
      <c r="C143" s="46"/>
      <c r="D143" s="47"/>
      <c r="E143" s="47"/>
      <c r="F143" s="47"/>
      <c r="G143" s="47"/>
      <c r="H143" s="47"/>
      <c r="I143" s="47"/>
      <c r="J143" s="47"/>
      <c r="K143" s="47"/>
      <c r="L143" s="11"/>
      <c r="N143" s="32"/>
      <c r="O143" s="141" t="str">
        <f t="shared" si="0"/>
        <v>Month 5</v>
      </c>
      <c r="P143" s="40">
        <f t="shared" si="1"/>
        <v>0.90941564057263891</v>
      </c>
      <c r="Q143" s="33">
        <v>5</v>
      </c>
    </row>
    <row r="144" spans="2:18" x14ac:dyDescent="0.2">
      <c r="B144" s="10"/>
      <c r="C144" s="46"/>
      <c r="D144" s="47"/>
      <c r="E144" s="47"/>
      <c r="F144" s="47"/>
      <c r="G144" s="47"/>
      <c r="H144" s="47"/>
      <c r="I144" s="47"/>
      <c r="J144" s="47"/>
      <c r="K144" s="47"/>
      <c r="L144" s="11"/>
      <c r="N144" s="32"/>
      <c r="O144" s="141" t="str">
        <f t="shared" si="0"/>
        <v>Month 6</v>
      </c>
      <c r="P144" s="40">
        <f t="shared" si="1"/>
        <v>0.91850979697836532</v>
      </c>
      <c r="Q144" s="33">
        <v>6</v>
      </c>
    </row>
    <row r="145" spans="2:17" x14ac:dyDescent="0.2">
      <c r="B145" s="10"/>
      <c r="C145" s="46"/>
      <c r="D145" s="47"/>
      <c r="E145" s="47"/>
      <c r="F145" s="47"/>
      <c r="G145" s="47"/>
      <c r="H145" s="47"/>
      <c r="I145" s="47"/>
      <c r="J145" s="47"/>
      <c r="K145" s="47"/>
      <c r="L145" s="11"/>
      <c r="N145" s="32"/>
      <c r="O145" s="141" t="str">
        <f t="shared" si="0"/>
        <v>Month 7</v>
      </c>
      <c r="P145" s="40">
        <f t="shared" si="1"/>
        <v>0.92769489494814894</v>
      </c>
      <c r="Q145" s="33">
        <v>7</v>
      </c>
    </row>
    <row r="146" spans="2:17" x14ac:dyDescent="0.2">
      <c r="B146" s="10"/>
      <c r="C146" s="46"/>
      <c r="D146" s="47"/>
      <c r="E146" s="47"/>
      <c r="F146" s="47"/>
      <c r="G146" s="47"/>
      <c r="H146" s="47"/>
      <c r="I146" s="47"/>
      <c r="J146" s="47"/>
      <c r="K146" s="47"/>
      <c r="L146" s="11"/>
      <c r="N146" s="32"/>
      <c r="O146" s="141" t="str">
        <f t="shared" si="0"/>
        <v>Month 8</v>
      </c>
      <c r="P146" s="40">
        <f t="shared" si="1"/>
        <v>0.93697184389763044</v>
      </c>
      <c r="Q146" s="33">
        <v>8</v>
      </c>
    </row>
    <row r="147" spans="2:17" x14ac:dyDescent="0.2">
      <c r="B147" s="10"/>
      <c r="C147" s="46"/>
      <c r="D147" s="47"/>
      <c r="E147" s="47"/>
      <c r="F147" s="47"/>
      <c r="G147" s="47"/>
      <c r="H147" s="47"/>
      <c r="I147" s="47"/>
      <c r="J147" s="47"/>
      <c r="K147" s="47"/>
      <c r="L147" s="11"/>
      <c r="N147" s="32"/>
      <c r="O147" s="141" t="str">
        <f t="shared" si="0"/>
        <v>Month 9</v>
      </c>
      <c r="P147" s="40">
        <f t="shared" si="1"/>
        <v>0.94634156233660671</v>
      </c>
      <c r="Q147" s="33">
        <v>9</v>
      </c>
    </row>
    <row r="148" spans="2:17" x14ac:dyDescent="0.2">
      <c r="B148" s="10"/>
      <c r="C148" s="46"/>
      <c r="D148" s="47"/>
      <c r="E148" s="47"/>
      <c r="F148" s="47"/>
      <c r="G148" s="47"/>
      <c r="H148" s="47"/>
      <c r="I148" s="47"/>
      <c r="J148" s="47"/>
      <c r="K148" s="47"/>
      <c r="L148" s="11"/>
      <c r="N148" s="32"/>
      <c r="O148" s="141" t="str">
        <f t="shared" si="0"/>
        <v>Month 10</v>
      </c>
      <c r="P148" s="40">
        <f t="shared" si="1"/>
        <v>0.95580497795997277</v>
      </c>
      <c r="Q148" s="33">
        <v>10</v>
      </c>
    </row>
    <row r="149" spans="2:17" x14ac:dyDescent="0.2">
      <c r="B149" s="10"/>
      <c r="C149" s="46"/>
      <c r="D149" s="47"/>
      <c r="E149" s="47"/>
      <c r="F149" s="47"/>
      <c r="G149" s="47"/>
      <c r="H149" s="47"/>
      <c r="I149" s="47"/>
      <c r="J149" s="47"/>
      <c r="K149" s="47"/>
      <c r="L149" s="11"/>
      <c r="N149" s="32"/>
      <c r="O149" s="141" t="str">
        <f t="shared" si="0"/>
        <v>Month 11</v>
      </c>
      <c r="P149" s="40">
        <f t="shared" si="1"/>
        <v>0.9653630277395725</v>
      </c>
      <c r="Q149" s="33">
        <v>11</v>
      </c>
    </row>
    <row r="150" spans="2:17" x14ac:dyDescent="0.2">
      <c r="B150" s="10"/>
      <c r="C150" s="46"/>
      <c r="D150" s="47"/>
      <c r="E150" s="47"/>
      <c r="F150" s="47"/>
      <c r="G150" s="47"/>
      <c r="H150" s="47"/>
      <c r="I150" s="47"/>
      <c r="J150" s="47"/>
      <c r="K150" s="47"/>
      <c r="L150" s="11"/>
      <c r="N150" s="32"/>
      <c r="O150" s="141" t="str">
        <f t="shared" si="0"/>
        <v>Month 12</v>
      </c>
      <c r="P150" s="40">
        <f t="shared" si="1"/>
        <v>0.97501665801696824</v>
      </c>
      <c r="Q150" s="33">
        <v>12</v>
      </c>
    </row>
    <row r="151" spans="2:17" x14ac:dyDescent="0.2">
      <c r="B151" s="10"/>
      <c r="C151" s="46"/>
      <c r="D151" s="47"/>
      <c r="E151" s="47"/>
      <c r="F151" s="47"/>
      <c r="G151" s="47"/>
      <c r="H151" s="47"/>
      <c r="I151" s="47"/>
      <c r="J151" s="47"/>
      <c r="K151" s="47"/>
      <c r="L151" s="11"/>
      <c r="N151" s="32"/>
      <c r="O151" s="141" t="str">
        <f t="shared" si="0"/>
        <v>Month 13</v>
      </c>
      <c r="P151" s="40">
        <f t="shared" si="1"/>
        <v>0.98476682459713794</v>
      </c>
      <c r="Q151" s="33">
        <v>13</v>
      </c>
    </row>
    <row r="152" spans="2:17" x14ac:dyDescent="0.2">
      <c r="B152" s="10"/>
      <c r="C152" s="46"/>
      <c r="D152" s="47"/>
      <c r="E152" s="47"/>
      <c r="F152" s="47"/>
      <c r="G152" s="47"/>
      <c r="H152" s="47"/>
      <c r="I152" s="47"/>
      <c r="J152" s="47"/>
      <c r="K152" s="47"/>
      <c r="L152" s="11"/>
      <c r="N152" s="32"/>
      <c r="O152" s="141" t="str">
        <f t="shared" si="0"/>
        <v>Month 14</v>
      </c>
      <c r="P152" s="40">
        <f t="shared" si="1"/>
        <v>0.99461449284310932</v>
      </c>
      <c r="Q152" s="33">
        <v>14</v>
      </c>
    </row>
    <row r="153" spans="2:17" x14ac:dyDescent="0.2">
      <c r="B153" s="10"/>
      <c r="C153" s="46"/>
      <c r="D153" s="47"/>
      <c r="E153" s="47"/>
      <c r="F153" s="47"/>
      <c r="G153" s="47"/>
      <c r="H153" s="47"/>
      <c r="I153" s="47"/>
      <c r="J153" s="47"/>
      <c r="K153" s="47"/>
      <c r="L153" s="11"/>
      <c r="N153" s="32"/>
      <c r="O153" s="141" t="str">
        <f t="shared" si="0"/>
        <v/>
      </c>
      <c r="P153" s="40">
        <f t="shared" si="1"/>
        <v>1.0045606377715404</v>
      </c>
      <c r="Q153" s="33">
        <v>15</v>
      </c>
    </row>
    <row r="154" spans="2:17" x14ac:dyDescent="0.2">
      <c r="B154" s="10"/>
      <c r="C154" s="46"/>
      <c r="D154" s="47"/>
      <c r="E154" s="47"/>
      <c r="F154" s="47"/>
      <c r="G154" s="47"/>
      <c r="H154" s="47"/>
      <c r="I154" s="47"/>
      <c r="J154" s="47"/>
      <c r="K154" s="47"/>
      <c r="L154" s="11"/>
      <c r="N154" s="32"/>
      <c r="O154" s="141" t="str">
        <f t="shared" si="0"/>
        <v/>
      </c>
      <c r="P154" s="40" t="str">
        <f t="shared" si="1"/>
        <v/>
      </c>
      <c r="Q154" s="33">
        <v>16</v>
      </c>
    </row>
    <row r="155" spans="2:17" x14ac:dyDescent="0.2">
      <c r="B155" s="10"/>
      <c r="C155" s="46"/>
      <c r="D155" s="47"/>
      <c r="E155" s="47"/>
      <c r="F155" s="47"/>
      <c r="G155" s="47"/>
      <c r="H155" s="47"/>
      <c r="I155" s="47"/>
      <c r="J155" s="47"/>
      <c r="K155" s="47"/>
      <c r="L155" s="11"/>
      <c r="N155" s="32"/>
      <c r="O155" s="141" t="str">
        <f t="shared" si="0"/>
        <v/>
      </c>
      <c r="P155" s="40" t="str">
        <f t="shared" si="1"/>
        <v/>
      </c>
      <c r="Q155" s="33">
        <v>17</v>
      </c>
    </row>
    <row r="156" spans="2:17" x14ac:dyDescent="0.2">
      <c r="B156" s="10"/>
      <c r="C156" s="46"/>
      <c r="D156" s="47"/>
      <c r="E156" s="47"/>
      <c r="F156" s="47"/>
      <c r="G156" s="47"/>
      <c r="H156" s="47"/>
      <c r="I156" s="47"/>
      <c r="J156" s="47"/>
      <c r="K156" s="47"/>
      <c r="L156" s="11"/>
      <c r="N156" s="32"/>
      <c r="O156" s="141" t="str">
        <f t="shared" si="0"/>
        <v/>
      </c>
      <c r="P156" s="40" t="str">
        <f t="shared" si="1"/>
        <v/>
      </c>
      <c r="Q156" s="33">
        <v>18</v>
      </c>
    </row>
    <row r="157" spans="2:17" x14ac:dyDescent="0.2">
      <c r="B157" s="10"/>
      <c r="C157" s="46"/>
      <c r="D157" s="47"/>
      <c r="E157" s="47"/>
      <c r="F157" s="47"/>
      <c r="G157" s="47"/>
      <c r="H157" s="47"/>
      <c r="I157" s="47"/>
      <c r="J157" s="47"/>
      <c r="K157" s="47"/>
      <c r="L157" s="11"/>
      <c r="N157" s="32"/>
      <c r="O157" s="141" t="str">
        <f t="shared" si="0"/>
        <v/>
      </c>
      <c r="P157" s="40" t="str">
        <f t="shared" si="1"/>
        <v/>
      </c>
      <c r="Q157" s="33">
        <v>19</v>
      </c>
    </row>
    <row r="158" spans="2:17" x14ac:dyDescent="0.2">
      <c r="B158" s="10"/>
      <c r="C158" s="46"/>
      <c r="D158" s="47"/>
      <c r="E158" s="47"/>
      <c r="F158" s="47"/>
      <c r="G158" s="47"/>
      <c r="H158" s="47"/>
      <c r="I158" s="47"/>
      <c r="J158" s="47"/>
      <c r="K158" s="47"/>
      <c r="L158" s="11"/>
      <c r="N158" s="32"/>
      <c r="O158" s="141" t="str">
        <f t="shared" si="0"/>
        <v/>
      </c>
      <c r="P158" s="40" t="str">
        <f t="shared" si="1"/>
        <v/>
      </c>
      <c r="Q158" s="33">
        <v>20</v>
      </c>
    </row>
    <row r="159" spans="2:17" x14ac:dyDescent="0.2">
      <c r="B159" s="10"/>
      <c r="C159" s="46"/>
      <c r="D159" s="47"/>
      <c r="E159" s="47"/>
      <c r="F159" s="47"/>
      <c r="G159" s="47"/>
      <c r="H159" s="47"/>
      <c r="I159" s="47"/>
      <c r="J159" s="47"/>
      <c r="K159" s="47"/>
      <c r="L159" s="11"/>
      <c r="N159" s="32"/>
      <c r="O159" s="141" t="str">
        <f t="shared" si="0"/>
        <v/>
      </c>
      <c r="P159" s="40" t="str">
        <f t="shared" si="1"/>
        <v/>
      </c>
      <c r="Q159" s="33">
        <v>21</v>
      </c>
    </row>
    <row r="160" spans="2:17" x14ac:dyDescent="0.2">
      <c r="B160" s="10"/>
      <c r="C160" s="46"/>
      <c r="D160" s="47"/>
      <c r="E160" s="47"/>
      <c r="F160" s="47"/>
      <c r="G160" s="47"/>
      <c r="H160" s="47"/>
      <c r="I160" s="47"/>
      <c r="J160" s="47"/>
      <c r="K160" s="47"/>
      <c r="L160" s="11"/>
      <c r="N160" s="32"/>
      <c r="O160" s="141" t="str">
        <f t="shared" si="0"/>
        <v/>
      </c>
      <c r="P160" s="40" t="str">
        <f t="shared" si="1"/>
        <v/>
      </c>
      <c r="Q160" s="33">
        <v>22</v>
      </c>
    </row>
    <row r="161" spans="2:17" x14ac:dyDescent="0.2">
      <c r="B161" s="10"/>
      <c r="C161" s="46"/>
      <c r="D161" s="47"/>
      <c r="E161" s="47"/>
      <c r="F161" s="47"/>
      <c r="G161" s="47"/>
      <c r="H161" s="47"/>
      <c r="I161" s="47"/>
      <c r="J161" s="47"/>
      <c r="K161" s="47"/>
      <c r="L161" s="11"/>
      <c r="N161" s="32"/>
      <c r="O161" s="142" t="str">
        <f t="shared" si="0"/>
        <v/>
      </c>
      <c r="P161" s="41" t="str">
        <f t="shared" si="1"/>
        <v/>
      </c>
      <c r="Q161" s="33">
        <v>23</v>
      </c>
    </row>
    <row r="162" spans="2:17" x14ac:dyDescent="0.2">
      <c r="B162" s="10"/>
      <c r="C162" s="46"/>
      <c r="D162" s="47"/>
      <c r="E162" s="47"/>
      <c r="F162" s="47"/>
      <c r="G162" s="47"/>
      <c r="H162" s="47"/>
      <c r="I162" s="47"/>
      <c r="J162" s="47"/>
      <c r="K162" s="47"/>
      <c r="L162" s="11"/>
      <c r="N162" s="34"/>
      <c r="O162" s="35" t="str">
        <f t="shared" si="0"/>
        <v/>
      </c>
      <c r="P162" s="36" t="str">
        <f t="shared" si="1"/>
        <v/>
      </c>
      <c r="Q162" s="37">
        <v>24</v>
      </c>
    </row>
    <row r="163" spans="2:17" x14ac:dyDescent="0.2">
      <c r="B163" s="10"/>
      <c r="C163" s="46"/>
      <c r="D163" s="47"/>
      <c r="E163" s="47"/>
      <c r="F163" s="47"/>
      <c r="G163" s="47"/>
      <c r="H163" s="47"/>
      <c r="I163" s="47"/>
      <c r="J163" s="47"/>
      <c r="K163" s="47"/>
      <c r="L163" s="11"/>
    </row>
    <row r="164" spans="2:17" x14ac:dyDescent="0.2">
      <c r="B164" s="10"/>
      <c r="C164" s="46"/>
      <c r="D164" s="47"/>
      <c r="E164" s="47"/>
      <c r="F164" s="47"/>
      <c r="G164" s="47"/>
      <c r="H164" s="47"/>
      <c r="I164" s="47"/>
      <c r="J164" s="47"/>
      <c r="K164" s="47"/>
      <c r="L164" s="11"/>
      <c r="N164" s="350" t="s">
        <v>396</v>
      </c>
      <c r="O164" s="351"/>
      <c r="P164" s="351"/>
      <c r="Q164" s="352"/>
    </row>
    <row r="165" spans="2:17" x14ac:dyDescent="0.2">
      <c r="B165" s="10"/>
      <c r="C165" s="46"/>
      <c r="D165" s="47"/>
      <c r="E165" s="47"/>
      <c r="F165" s="47"/>
      <c r="G165" s="47"/>
      <c r="H165" s="47"/>
      <c r="I165" s="47"/>
      <c r="J165" s="47"/>
      <c r="K165" s="47"/>
      <c r="L165" s="11"/>
      <c r="N165" s="32"/>
      <c r="O165" s="289"/>
      <c r="P165" s="39"/>
      <c r="Q165" s="33"/>
    </row>
    <row r="166" spans="2:17" x14ac:dyDescent="0.2">
      <c r="B166" s="10"/>
      <c r="C166" s="46"/>
      <c r="D166" s="47"/>
      <c r="E166" s="47"/>
      <c r="F166" s="47"/>
      <c r="G166" s="47"/>
      <c r="H166" s="47"/>
      <c r="I166" s="47"/>
      <c r="J166" s="47"/>
      <c r="K166" s="47"/>
      <c r="L166" s="11"/>
      <c r="N166" s="32"/>
      <c r="O166" s="289" t="s">
        <v>399</v>
      </c>
      <c r="P166" s="39"/>
      <c r="Q166" s="33"/>
    </row>
    <row r="167" spans="2:17" x14ac:dyDescent="0.2">
      <c r="B167" s="10"/>
      <c r="C167" s="46"/>
      <c r="D167" s="47"/>
      <c r="E167" s="47"/>
      <c r="F167" s="47"/>
      <c r="G167" s="47"/>
      <c r="H167" s="47"/>
      <c r="I167" s="47"/>
      <c r="J167" s="47"/>
      <c r="K167" s="47"/>
      <c r="L167" s="11"/>
      <c r="N167" s="32"/>
      <c r="O167" s="121" t="s">
        <v>465</v>
      </c>
      <c r="P167" s="256">
        <v>0</v>
      </c>
      <c r="Q167" s="33"/>
    </row>
    <row r="168" spans="2:17" x14ac:dyDescent="0.2">
      <c r="B168" s="10"/>
      <c r="C168" s="46"/>
      <c r="D168" s="47"/>
      <c r="E168" s="47"/>
      <c r="F168" s="47"/>
      <c r="G168" s="47"/>
      <c r="H168" s="47"/>
      <c r="I168" s="47"/>
      <c r="J168" s="47"/>
      <c r="K168" s="47"/>
      <c r="L168" s="11"/>
      <c r="N168" s="32"/>
      <c r="O168" s="122" t="s">
        <v>408</v>
      </c>
      <c r="P168" s="257">
        <v>3200</v>
      </c>
      <c r="Q168" s="33"/>
    </row>
    <row r="169" spans="2:17" x14ac:dyDescent="0.2">
      <c r="B169" s="10"/>
      <c r="C169" s="46"/>
      <c r="D169" s="47"/>
      <c r="E169" s="47"/>
      <c r="F169" s="47"/>
      <c r="G169" s="47"/>
      <c r="H169" s="47"/>
      <c r="I169" s="47"/>
      <c r="J169" s="47"/>
      <c r="K169" s="47"/>
      <c r="L169" s="11"/>
      <c r="N169" s="32"/>
      <c r="O169" s="123" t="s">
        <v>409</v>
      </c>
      <c r="P169" s="258">
        <v>2650</v>
      </c>
      <c r="Q169" s="33"/>
    </row>
    <row r="170" spans="2:17" x14ac:dyDescent="0.2">
      <c r="B170" s="10"/>
      <c r="C170" s="46"/>
      <c r="D170" s="47"/>
      <c r="E170" s="47"/>
      <c r="F170" s="47"/>
      <c r="G170" s="47"/>
      <c r="H170" s="47"/>
      <c r="I170" s="47"/>
      <c r="J170" s="47"/>
      <c r="K170" s="47"/>
      <c r="L170" s="11"/>
      <c r="N170" s="32"/>
      <c r="O170" s="21"/>
      <c r="P170" s="273"/>
      <c r="Q170" s="33"/>
    </row>
    <row r="171" spans="2:17" x14ac:dyDescent="0.2">
      <c r="B171" s="10"/>
      <c r="C171" s="46"/>
      <c r="D171" s="47"/>
      <c r="E171" s="47"/>
      <c r="F171" s="47"/>
      <c r="G171" s="47"/>
      <c r="H171" s="47"/>
      <c r="I171" s="47"/>
      <c r="J171" s="47"/>
      <c r="K171" s="47"/>
      <c r="L171" s="11"/>
      <c r="N171" s="32"/>
      <c r="O171" s="289" t="s">
        <v>397</v>
      </c>
      <c r="P171" s="39"/>
      <c r="Q171" s="33"/>
    </row>
    <row r="172" spans="2:17" x14ac:dyDescent="0.2">
      <c r="B172" s="10"/>
      <c r="C172" s="46"/>
      <c r="D172" s="47"/>
      <c r="E172" s="47"/>
      <c r="F172" s="47"/>
      <c r="G172" s="47"/>
      <c r="H172" s="47"/>
      <c r="I172" s="47"/>
      <c r="J172" s="47"/>
      <c r="K172" s="47"/>
      <c r="L172" s="11"/>
      <c r="N172" s="32"/>
      <c r="O172" s="134" t="s">
        <v>410</v>
      </c>
      <c r="P172" s="256">
        <f>(P194+P193)*2</f>
        <v>20</v>
      </c>
      <c r="Q172" s="33"/>
    </row>
    <row r="173" spans="2:17" x14ac:dyDescent="0.2">
      <c r="B173" s="10"/>
      <c r="C173" s="46"/>
      <c r="D173" s="47"/>
      <c r="E173" s="47"/>
      <c r="F173" s="47"/>
      <c r="G173" s="47"/>
      <c r="H173" s="47"/>
      <c r="I173" s="47"/>
      <c r="J173" s="47"/>
      <c r="K173" s="47"/>
      <c r="L173" s="11"/>
      <c r="N173" s="32"/>
      <c r="O173" s="117" t="s">
        <v>398</v>
      </c>
      <c r="P173" s="257">
        <f>ROUNDUP((IF(P87="Ceph",P124,0)*3),0)</f>
        <v>156980</v>
      </c>
      <c r="Q173" s="33"/>
    </row>
    <row r="174" spans="2:17" x14ac:dyDescent="0.2">
      <c r="B174" s="10"/>
      <c r="C174" s="46"/>
      <c r="D174" s="47"/>
      <c r="E174" s="47"/>
      <c r="F174" s="47"/>
      <c r="G174" s="47"/>
      <c r="H174" s="47"/>
      <c r="I174" s="47"/>
      <c r="J174" s="47"/>
      <c r="K174" s="47"/>
      <c r="L174" s="11"/>
      <c r="N174" s="32"/>
      <c r="O174" s="119" t="str">
        <f>"Total usable Ceph storage available in GB (" &amp; ROUNDUP(P174/1024,2) &amp; " TB)"</f>
        <v>Total usable Ceph storage available in GB (51.11 TB)</v>
      </c>
      <c r="P174" s="258">
        <f>ROUNDUP(IF(P87="Ceph",P124,0),0)</f>
        <v>52327</v>
      </c>
      <c r="Q174" s="33"/>
    </row>
    <row r="175" spans="2:17" x14ac:dyDescent="0.2">
      <c r="B175" s="10"/>
      <c r="C175" s="46"/>
      <c r="D175" s="47"/>
      <c r="E175" s="47"/>
      <c r="F175" s="47"/>
      <c r="G175" s="47"/>
      <c r="H175" s="47"/>
      <c r="I175" s="47"/>
      <c r="J175" s="47"/>
      <c r="K175" s="47"/>
      <c r="L175" s="11"/>
      <c r="N175" s="32"/>
      <c r="O175" s="21"/>
      <c r="P175" s="273"/>
      <c r="Q175" s="33"/>
    </row>
    <row r="176" spans="2:17" x14ac:dyDescent="0.2">
      <c r="B176" s="10"/>
      <c r="C176" s="46"/>
      <c r="D176" s="47"/>
      <c r="E176" s="47"/>
      <c r="F176" s="47"/>
      <c r="G176" s="47"/>
      <c r="H176" s="47"/>
      <c r="I176" s="47"/>
      <c r="J176" s="47"/>
      <c r="K176" s="47"/>
      <c r="L176" s="11"/>
      <c r="N176" s="32"/>
      <c r="O176" s="289" t="s">
        <v>500</v>
      </c>
      <c r="P176" s="39"/>
      <c r="Q176" s="33"/>
    </row>
    <row r="177" spans="2:17" x14ac:dyDescent="0.2">
      <c r="B177" s="10"/>
      <c r="C177" s="46"/>
      <c r="D177" s="47"/>
      <c r="E177" s="47"/>
      <c r="F177" s="47"/>
      <c r="G177" s="47"/>
      <c r="H177" s="47"/>
      <c r="I177" s="47"/>
      <c r="J177" s="47"/>
      <c r="K177" s="47"/>
      <c r="L177" s="11"/>
      <c r="N177" s="32"/>
      <c r="O177" s="121" t="s">
        <v>503</v>
      </c>
      <c r="P177" s="260">
        <f>R267</f>
        <v>1.66015625E-2</v>
      </c>
      <c r="Q177" s="33"/>
    </row>
    <row r="178" spans="2:17" x14ac:dyDescent="0.2">
      <c r="B178" s="10"/>
      <c r="C178" s="46"/>
      <c r="D178" s="47"/>
      <c r="E178" s="47"/>
      <c r="F178" s="47"/>
      <c r="G178" s="47"/>
      <c r="H178" s="47"/>
      <c r="I178" s="47"/>
      <c r="J178" s="47"/>
      <c r="K178" s="47"/>
      <c r="L178" s="11"/>
      <c r="N178" s="32"/>
      <c r="O178" s="122" t="s">
        <v>504</v>
      </c>
      <c r="P178" s="261">
        <f>R268</f>
        <v>1.611328125E-2</v>
      </c>
      <c r="Q178" s="33"/>
    </row>
    <row r="179" spans="2:17" x14ac:dyDescent="0.2">
      <c r="B179" s="10"/>
      <c r="C179" s="46"/>
      <c r="D179" s="47"/>
      <c r="E179" s="47"/>
      <c r="F179" s="47"/>
      <c r="G179" s="47"/>
      <c r="H179" s="47"/>
      <c r="I179" s="47"/>
      <c r="J179" s="47"/>
      <c r="K179" s="47"/>
      <c r="L179" s="11"/>
      <c r="N179" s="32"/>
      <c r="O179" s="122" t="s">
        <v>505</v>
      </c>
      <c r="P179" s="261">
        <f>R269</f>
        <v>1.46484375E-2</v>
      </c>
      <c r="Q179" s="33"/>
    </row>
    <row r="180" spans="2:17" x14ac:dyDescent="0.2">
      <c r="B180" s="10"/>
      <c r="C180" s="46"/>
      <c r="D180" s="47"/>
      <c r="E180" s="47"/>
      <c r="F180" s="47"/>
      <c r="G180" s="47"/>
      <c r="H180" s="47"/>
      <c r="I180" s="47"/>
      <c r="J180" s="47"/>
      <c r="K180" s="47"/>
      <c r="L180" s="11"/>
      <c r="N180" s="32"/>
      <c r="O180" s="122" t="s">
        <v>455</v>
      </c>
      <c r="P180" s="269">
        <v>2600</v>
      </c>
      <c r="Q180" s="33"/>
    </row>
    <row r="181" spans="2:17" x14ac:dyDescent="0.2">
      <c r="B181" s="10"/>
      <c r="C181" s="46"/>
      <c r="D181" s="47"/>
      <c r="E181" s="47"/>
      <c r="F181" s="47"/>
      <c r="G181" s="47"/>
      <c r="H181" s="47"/>
      <c r="I181" s="47"/>
      <c r="J181" s="47"/>
      <c r="K181" s="47"/>
      <c r="L181" s="11"/>
      <c r="N181" s="32"/>
      <c r="O181" s="122" t="s">
        <v>456</v>
      </c>
      <c r="P181" s="331">
        <f>ROUNDUP((P172/2)/15,0)</f>
        <v>1</v>
      </c>
      <c r="Q181" s="33"/>
    </row>
    <row r="182" spans="2:17" x14ac:dyDescent="0.2">
      <c r="B182" s="10"/>
      <c r="C182" s="46"/>
      <c r="D182" s="47"/>
      <c r="E182" s="47"/>
      <c r="F182" s="47"/>
      <c r="G182" s="47"/>
      <c r="H182" s="47"/>
      <c r="I182" s="47"/>
      <c r="J182" s="47"/>
      <c r="K182" s="47"/>
      <c r="L182" s="11"/>
      <c r="N182" s="32"/>
      <c r="O182" s="122" t="s">
        <v>457</v>
      </c>
      <c r="P182" s="269">
        <f>P180*P181</f>
        <v>2600</v>
      </c>
      <c r="Q182" s="33"/>
    </row>
    <row r="183" spans="2:17" x14ac:dyDescent="0.2">
      <c r="B183" s="10"/>
      <c r="C183" s="46"/>
      <c r="D183" s="47"/>
      <c r="E183" s="47"/>
      <c r="F183" s="47"/>
      <c r="G183" s="47"/>
      <c r="H183" s="47"/>
      <c r="I183" s="47"/>
      <c r="J183" s="47"/>
      <c r="K183" s="47"/>
      <c r="L183" s="11"/>
      <c r="N183" s="32"/>
      <c r="O183" s="122" t="s">
        <v>501</v>
      </c>
      <c r="P183" s="262">
        <f>IF(P172&lt;=100,P259,IF(P172&lt;=200,P260,IF(P172&lt;=400,P261,IF(P172&lt;=1000,P262,P263))))</f>
        <v>250</v>
      </c>
      <c r="Q183" s="33"/>
    </row>
    <row r="184" spans="2:17" x14ac:dyDescent="0.2">
      <c r="B184" s="10"/>
      <c r="C184" s="46"/>
      <c r="D184" s="47"/>
      <c r="E184" s="47"/>
      <c r="F184" s="47"/>
      <c r="G184" s="47"/>
      <c r="H184" s="47"/>
      <c r="I184" s="47"/>
      <c r="J184" s="47"/>
      <c r="K184" s="47"/>
      <c r="L184" s="11"/>
      <c r="N184" s="32"/>
      <c r="O184" s="123" t="s">
        <v>502</v>
      </c>
      <c r="P184" s="263">
        <f>IF(P172&lt;=100,R259,IF(P172&lt;=200,R260,IF(P172&lt;=400,R261,IF(P172&lt;=1000,R262,R263))))</f>
        <v>230</v>
      </c>
      <c r="Q184" s="33"/>
    </row>
    <row r="185" spans="2:17" x14ac:dyDescent="0.2">
      <c r="B185" s="10"/>
      <c r="C185" s="46"/>
      <c r="D185" s="47"/>
      <c r="E185" s="47"/>
      <c r="F185" s="47"/>
      <c r="G185" s="47"/>
      <c r="H185" s="47"/>
      <c r="I185" s="47"/>
      <c r="J185" s="47"/>
      <c r="K185" s="47"/>
      <c r="L185" s="11"/>
      <c r="N185" s="32"/>
      <c r="O185" s="21"/>
      <c r="P185" s="273"/>
      <c r="Q185" s="33"/>
    </row>
    <row r="186" spans="2:17" x14ac:dyDescent="0.2">
      <c r="B186" s="10"/>
      <c r="C186" s="46"/>
      <c r="D186" s="47"/>
      <c r="E186" s="47"/>
      <c r="F186" s="47"/>
      <c r="G186" s="47"/>
      <c r="H186" s="47"/>
      <c r="I186" s="47"/>
      <c r="J186" s="47"/>
      <c r="K186" s="47"/>
      <c r="L186" s="11"/>
      <c r="N186" s="32"/>
      <c r="O186" s="289" t="s">
        <v>509</v>
      </c>
      <c r="P186" s="39"/>
      <c r="Q186" s="33"/>
    </row>
    <row r="187" spans="2:17" x14ac:dyDescent="0.2">
      <c r="B187" s="10"/>
      <c r="C187" s="46"/>
      <c r="D187" s="47"/>
      <c r="E187" s="47"/>
      <c r="F187" s="47"/>
      <c r="G187" s="47"/>
      <c r="H187" s="47"/>
      <c r="I187" s="47"/>
      <c r="J187" s="47"/>
      <c r="K187" s="47"/>
      <c r="L187" s="11"/>
      <c r="N187" s="32"/>
      <c r="O187" s="134" t="s">
        <v>511</v>
      </c>
      <c r="P187" s="264">
        <f>P183*P172*12</f>
        <v>60000</v>
      </c>
      <c r="Q187" s="33"/>
    </row>
    <row r="188" spans="2:17" x14ac:dyDescent="0.2">
      <c r="B188" s="10"/>
      <c r="C188" s="46"/>
      <c r="D188" s="47"/>
      <c r="E188" s="47"/>
      <c r="F188" s="47"/>
      <c r="G188" s="47"/>
      <c r="H188" s="47"/>
      <c r="I188" s="47"/>
      <c r="J188" s="47"/>
      <c r="K188" s="47"/>
      <c r="L188" s="11"/>
      <c r="N188" s="32"/>
      <c r="O188" s="117" t="s">
        <v>510</v>
      </c>
      <c r="P188" s="269">
        <f>P173*P177*12</f>
        <v>31273.359375</v>
      </c>
      <c r="Q188" s="33"/>
    </row>
    <row r="189" spans="2:17" x14ac:dyDescent="0.2">
      <c r="B189" s="10"/>
      <c r="C189" s="46"/>
      <c r="D189" s="47"/>
      <c r="E189" s="47"/>
      <c r="F189" s="47"/>
      <c r="G189" s="47"/>
      <c r="H189" s="47"/>
      <c r="I189" s="47"/>
      <c r="J189" s="47"/>
      <c r="K189" s="47"/>
      <c r="L189" s="11"/>
      <c r="N189" s="32"/>
      <c r="O189" s="117" t="s">
        <v>512</v>
      </c>
      <c r="P189" s="269">
        <f>P184*P172*36</f>
        <v>165600</v>
      </c>
      <c r="Q189" s="33"/>
    </row>
    <row r="190" spans="2:17" x14ac:dyDescent="0.2">
      <c r="B190" s="10"/>
      <c r="C190" s="46"/>
      <c r="D190" s="47"/>
      <c r="E190" s="47"/>
      <c r="F190" s="47"/>
      <c r="G190" s="47"/>
      <c r="H190" s="47"/>
      <c r="I190" s="47"/>
      <c r="J190" s="47"/>
      <c r="K190" s="47"/>
      <c r="L190" s="11"/>
      <c r="N190" s="32"/>
      <c r="O190" s="119" t="s">
        <v>513</v>
      </c>
      <c r="P190" s="265">
        <f>P173*P179*36</f>
        <v>82782.421875</v>
      </c>
      <c r="Q190" s="33"/>
    </row>
    <row r="191" spans="2:17" x14ac:dyDescent="0.2">
      <c r="B191" s="10"/>
      <c r="C191" s="46"/>
      <c r="D191" s="47"/>
      <c r="E191" s="47"/>
      <c r="F191" s="47"/>
      <c r="G191" s="47"/>
      <c r="H191" s="47"/>
      <c r="I191" s="47"/>
      <c r="J191" s="47"/>
      <c r="K191" s="47"/>
      <c r="L191" s="11"/>
      <c r="N191" s="32"/>
      <c r="O191" s="21"/>
      <c r="P191" s="273"/>
      <c r="Q191" s="33"/>
    </row>
    <row r="192" spans="2:17" x14ac:dyDescent="0.2">
      <c r="B192" s="10"/>
      <c r="C192" s="46"/>
      <c r="D192" s="47"/>
      <c r="E192" s="47"/>
      <c r="F192" s="47"/>
      <c r="G192" s="47"/>
      <c r="H192" s="47"/>
      <c r="I192" s="47"/>
      <c r="J192" s="47"/>
      <c r="K192" s="47"/>
      <c r="L192" s="11"/>
      <c r="N192" s="32"/>
      <c r="O192" s="289" t="s">
        <v>395</v>
      </c>
      <c r="P192" s="39"/>
      <c r="Q192" s="33"/>
    </row>
    <row r="193" spans="2:17" x14ac:dyDescent="0.2">
      <c r="B193" s="10"/>
      <c r="C193" s="46"/>
      <c r="D193" s="47"/>
      <c r="E193" s="47"/>
      <c r="F193" s="47"/>
      <c r="G193" s="47"/>
      <c r="H193" s="47"/>
      <c r="I193" s="47"/>
      <c r="J193" s="47"/>
      <c r="K193" s="47"/>
      <c r="L193" s="11"/>
      <c r="N193" s="32"/>
      <c r="O193" s="134" t="s">
        <v>411</v>
      </c>
      <c r="P193" s="255">
        <v>3</v>
      </c>
      <c r="Q193" s="33"/>
    </row>
    <row r="194" spans="2:17" x14ac:dyDescent="0.2">
      <c r="B194" s="10"/>
      <c r="C194" s="46"/>
      <c r="D194" s="47"/>
      <c r="E194" s="47"/>
      <c r="F194" s="47"/>
      <c r="G194" s="47"/>
      <c r="H194" s="47"/>
      <c r="I194" s="47"/>
      <c r="J194" s="47"/>
      <c r="K194" s="47"/>
      <c r="L194" s="11"/>
      <c r="N194" s="32"/>
      <c r="O194" s="117" t="s">
        <v>528</v>
      </c>
      <c r="P194" s="259">
        <f>IF(MAX(P113:P116)&lt;7,7,MAX(P113:P116))</f>
        <v>7</v>
      </c>
      <c r="Q194" s="33"/>
    </row>
    <row r="195" spans="2:17" x14ac:dyDescent="0.2">
      <c r="B195" s="10"/>
      <c r="C195" s="46"/>
      <c r="D195" s="47"/>
      <c r="E195" s="47"/>
      <c r="F195" s="47"/>
      <c r="G195" s="47"/>
      <c r="H195" s="47"/>
      <c r="I195" s="47"/>
      <c r="J195" s="47"/>
      <c r="K195" s="47"/>
      <c r="L195" s="11"/>
      <c r="N195" s="32"/>
      <c r="O195" s="117" t="s">
        <v>529</v>
      </c>
      <c r="P195" s="330">
        <v>1</v>
      </c>
      <c r="Q195" s="33"/>
    </row>
    <row r="196" spans="2:17" x14ac:dyDescent="0.2">
      <c r="B196" s="10"/>
      <c r="C196" s="46"/>
      <c r="D196" s="47"/>
      <c r="E196" s="47"/>
      <c r="F196" s="47"/>
      <c r="G196" s="47"/>
      <c r="H196" s="47"/>
      <c r="I196" s="47"/>
      <c r="J196" s="47"/>
      <c r="K196" s="47"/>
      <c r="L196" s="11"/>
      <c r="N196" s="32"/>
      <c r="O196" s="117" t="s">
        <v>530</v>
      </c>
      <c r="P196" s="330">
        <v>0</v>
      </c>
      <c r="Q196" s="33"/>
    </row>
    <row r="197" spans="2:17" x14ac:dyDescent="0.2">
      <c r="B197" s="10"/>
      <c r="C197" s="46"/>
      <c r="D197" s="47"/>
      <c r="E197" s="47"/>
      <c r="F197" s="47"/>
      <c r="G197" s="47"/>
      <c r="H197" s="47"/>
      <c r="I197" s="47"/>
      <c r="J197" s="47"/>
      <c r="K197" s="47"/>
      <c r="L197" s="11"/>
      <c r="N197" s="32"/>
      <c r="O197" s="117" t="s">
        <v>531</v>
      </c>
      <c r="P197" s="330">
        <v>0</v>
      </c>
      <c r="Q197" s="33"/>
    </row>
    <row r="198" spans="2:17" x14ac:dyDescent="0.2">
      <c r="B198" s="10"/>
      <c r="C198" s="46"/>
      <c r="D198" s="47"/>
      <c r="E198" s="47"/>
      <c r="F198" s="47"/>
      <c r="G198" s="47"/>
      <c r="H198" s="47"/>
      <c r="I198" s="47"/>
      <c r="J198" s="47"/>
      <c r="K198" s="47"/>
      <c r="L198" s="11"/>
      <c r="N198" s="32"/>
      <c r="O198" s="117" t="s">
        <v>451</v>
      </c>
      <c r="P198" s="330">
        <v>0</v>
      </c>
      <c r="Q198" s="33"/>
    </row>
    <row r="199" spans="2:17" x14ac:dyDescent="0.2">
      <c r="B199" s="10"/>
      <c r="C199" s="46"/>
      <c r="D199" s="47"/>
      <c r="E199" s="47"/>
      <c r="F199" s="47"/>
      <c r="G199" s="47"/>
      <c r="H199" s="47"/>
      <c r="I199" s="47"/>
      <c r="J199" s="47"/>
      <c r="K199" s="47"/>
      <c r="L199" s="11"/>
      <c r="N199" s="32"/>
      <c r="O199" s="117" t="s">
        <v>449</v>
      </c>
      <c r="P199" s="330">
        <v>0</v>
      </c>
      <c r="Q199" s="33"/>
    </row>
    <row r="200" spans="2:17" x14ac:dyDescent="0.2">
      <c r="B200" s="10"/>
      <c r="C200" s="46"/>
      <c r="D200" s="47"/>
      <c r="E200" s="47"/>
      <c r="F200" s="47"/>
      <c r="G200" s="47"/>
      <c r="H200" s="47"/>
      <c r="I200" s="47"/>
      <c r="J200" s="47"/>
      <c r="K200" s="47"/>
      <c r="L200" s="11"/>
      <c r="N200" s="32"/>
      <c r="O200" s="119" t="s">
        <v>458</v>
      </c>
      <c r="P200" s="330">
        <v>0</v>
      </c>
      <c r="Q200" s="33"/>
    </row>
    <row r="201" spans="2:17" x14ac:dyDescent="0.2">
      <c r="B201" s="10"/>
      <c r="C201" s="46"/>
      <c r="D201" s="47"/>
      <c r="E201" s="47"/>
      <c r="F201" s="47"/>
      <c r="G201" s="47"/>
      <c r="H201" s="47"/>
      <c r="I201" s="47"/>
      <c r="J201" s="47"/>
      <c r="K201" s="47"/>
      <c r="L201" s="11"/>
      <c r="N201" s="32"/>
      <c r="O201" s="21"/>
      <c r="P201" s="273"/>
      <c r="Q201" s="33"/>
    </row>
    <row r="202" spans="2:17" x14ac:dyDescent="0.2">
      <c r="B202" s="10"/>
      <c r="C202" s="46"/>
      <c r="D202" s="47"/>
      <c r="E202" s="47"/>
      <c r="F202" s="47"/>
      <c r="G202" s="47"/>
      <c r="H202" s="47"/>
      <c r="I202" s="47"/>
      <c r="J202" s="47"/>
      <c r="K202" s="47"/>
      <c r="L202" s="11"/>
      <c r="N202" s="32"/>
      <c r="O202" s="289" t="s">
        <v>499</v>
      </c>
      <c r="P202" s="39"/>
      <c r="Q202" s="33"/>
    </row>
    <row r="203" spans="2:17" x14ac:dyDescent="0.2">
      <c r="B203" s="10"/>
      <c r="C203" s="46"/>
      <c r="D203" s="47"/>
      <c r="E203" s="47"/>
      <c r="F203" s="47"/>
      <c r="G203" s="47"/>
      <c r="H203" s="47"/>
      <c r="I203" s="47"/>
      <c r="J203" s="47"/>
      <c r="K203" s="47"/>
      <c r="L203" s="11"/>
      <c r="N203" s="32"/>
      <c r="O203" s="121" t="s">
        <v>412</v>
      </c>
      <c r="P203" s="278">
        <v>18950.439999999999</v>
      </c>
      <c r="Q203" s="33"/>
    </row>
    <row r="204" spans="2:17" x14ac:dyDescent="0.2">
      <c r="B204" s="10"/>
      <c r="C204" s="46"/>
      <c r="D204" s="47"/>
      <c r="E204" s="47"/>
      <c r="F204" s="47"/>
      <c r="G204" s="47"/>
      <c r="H204" s="47"/>
      <c r="I204" s="47"/>
      <c r="J204" s="47"/>
      <c r="K204" s="47"/>
      <c r="L204" s="11"/>
      <c r="N204" s="32"/>
      <c r="O204" s="122" t="s">
        <v>413</v>
      </c>
      <c r="P204" s="278">
        <v>9539.81</v>
      </c>
      <c r="Q204" s="33"/>
    </row>
    <row r="205" spans="2:17" x14ac:dyDescent="0.2">
      <c r="B205" s="10"/>
      <c r="C205" s="46"/>
      <c r="D205" s="47"/>
      <c r="E205" s="47"/>
      <c r="F205" s="47"/>
      <c r="G205" s="47"/>
      <c r="H205" s="47"/>
      <c r="I205" s="47"/>
      <c r="J205" s="47"/>
      <c r="K205" s="47"/>
      <c r="L205" s="11"/>
      <c r="N205" s="32"/>
      <c r="O205" s="117" t="s">
        <v>532</v>
      </c>
      <c r="P205" s="278">
        <v>90000</v>
      </c>
      <c r="Q205" s="33"/>
    </row>
    <row r="206" spans="2:17" x14ac:dyDescent="0.2">
      <c r="B206" s="10"/>
      <c r="C206" s="46"/>
      <c r="D206" s="47"/>
      <c r="E206" s="47"/>
      <c r="F206" s="47"/>
      <c r="G206" s="47"/>
      <c r="H206" s="47"/>
      <c r="I206" s="47"/>
      <c r="J206" s="47"/>
      <c r="K206" s="47"/>
      <c r="L206" s="11"/>
      <c r="N206" s="32"/>
      <c r="O206" s="117" t="s">
        <v>533</v>
      </c>
      <c r="P206" s="278">
        <v>120000</v>
      </c>
      <c r="Q206" s="33"/>
    </row>
    <row r="207" spans="2:17" x14ac:dyDescent="0.2">
      <c r="B207" s="10"/>
      <c r="C207" s="46"/>
      <c r="D207" s="47"/>
      <c r="E207" s="47"/>
      <c r="F207" s="47"/>
      <c r="G207" s="47"/>
      <c r="H207" s="47"/>
      <c r="I207" s="47"/>
      <c r="J207" s="47"/>
      <c r="K207" s="47"/>
      <c r="L207" s="11"/>
      <c r="N207" s="32"/>
      <c r="O207" s="117" t="s">
        <v>534</v>
      </c>
      <c r="P207" s="278">
        <v>150000</v>
      </c>
      <c r="Q207" s="33"/>
    </row>
    <row r="208" spans="2:17" x14ac:dyDescent="0.2">
      <c r="B208" s="10"/>
      <c r="C208" s="46"/>
      <c r="D208" s="47"/>
      <c r="E208" s="47"/>
      <c r="F208" s="47"/>
      <c r="G208" s="47"/>
      <c r="H208" s="47"/>
      <c r="I208" s="47"/>
      <c r="J208" s="47"/>
      <c r="K208" s="47"/>
      <c r="L208" s="11"/>
      <c r="N208" s="32"/>
      <c r="O208" s="122" t="s">
        <v>462</v>
      </c>
      <c r="P208" s="278">
        <v>16400</v>
      </c>
      <c r="Q208" s="33"/>
    </row>
    <row r="209" spans="2:17" x14ac:dyDescent="0.2">
      <c r="B209" s="10"/>
      <c r="C209" s="46"/>
      <c r="D209" s="47"/>
      <c r="E209" s="47"/>
      <c r="F209" s="47"/>
      <c r="G209" s="47"/>
      <c r="H209" s="47"/>
      <c r="I209" s="47"/>
      <c r="J209" s="47"/>
      <c r="K209" s="47"/>
      <c r="L209" s="11"/>
      <c r="N209" s="32"/>
      <c r="O209" s="122" t="s">
        <v>450</v>
      </c>
      <c r="P209" s="278">
        <v>23000</v>
      </c>
      <c r="Q209" s="33"/>
    </row>
    <row r="210" spans="2:17" x14ac:dyDescent="0.2">
      <c r="B210" s="10"/>
      <c r="C210" s="46"/>
      <c r="D210" s="47"/>
      <c r="E210" s="47"/>
      <c r="F210" s="47"/>
      <c r="G210" s="47"/>
      <c r="H210" s="47"/>
      <c r="I210" s="47"/>
      <c r="J210" s="47"/>
      <c r="K210" s="47"/>
      <c r="L210" s="11"/>
      <c r="N210" s="32"/>
      <c r="O210" s="123" t="s">
        <v>463</v>
      </c>
      <c r="P210" s="278">
        <v>26400</v>
      </c>
      <c r="Q210" s="33"/>
    </row>
    <row r="211" spans="2:17" x14ac:dyDescent="0.2">
      <c r="B211" s="10"/>
      <c r="C211" s="46"/>
      <c r="D211" s="47"/>
      <c r="E211" s="47"/>
      <c r="F211" s="47"/>
      <c r="G211" s="47"/>
      <c r="H211" s="47"/>
      <c r="I211" s="47"/>
      <c r="J211" s="47"/>
      <c r="K211" s="47"/>
      <c r="L211" s="11"/>
      <c r="N211" s="32"/>
      <c r="O211" s="21"/>
      <c r="P211" s="273"/>
      <c r="Q211" s="33"/>
    </row>
    <row r="212" spans="2:17" x14ac:dyDescent="0.2">
      <c r="B212" s="10"/>
      <c r="C212" s="46"/>
      <c r="D212" s="47"/>
      <c r="E212" s="47"/>
      <c r="F212" s="47"/>
      <c r="G212" s="47"/>
      <c r="H212" s="47"/>
      <c r="I212" s="47"/>
      <c r="J212" s="47"/>
      <c r="K212" s="47"/>
      <c r="L212" s="11"/>
      <c r="N212" s="32"/>
      <c r="O212" s="289" t="s">
        <v>400</v>
      </c>
      <c r="P212" s="39"/>
      <c r="Q212" s="33"/>
    </row>
    <row r="213" spans="2:17" x14ac:dyDescent="0.2">
      <c r="B213" s="10"/>
      <c r="C213" s="46"/>
      <c r="D213" s="47"/>
      <c r="E213" s="47"/>
      <c r="F213" s="47"/>
      <c r="G213" s="47"/>
      <c r="H213" s="47"/>
      <c r="I213" s="47"/>
      <c r="J213" s="47"/>
      <c r="K213" s="47"/>
      <c r="L213" s="11"/>
      <c r="N213" s="32"/>
      <c r="O213" s="134" t="s">
        <v>414</v>
      </c>
      <c r="P213" s="264">
        <f>P203*P193</f>
        <v>56851.319999999992</v>
      </c>
      <c r="Q213" s="33"/>
    </row>
    <row r="214" spans="2:17" x14ac:dyDescent="0.2">
      <c r="B214" s="10"/>
      <c r="C214" s="46"/>
      <c r="D214" s="47"/>
      <c r="E214" s="47"/>
      <c r="F214" s="47"/>
      <c r="G214" s="47"/>
      <c r="H214" s="47"/>
      <c r="I214" s="47"/>
      <c r="J214" s="47"/>
      <c r="K214" s="47"/>
      <c r="L214" s="11"/>
      <c r="N214" s="32"/>
      <c r="O214" s="117" t="s">
        <v>415</v>
      </c>
      <c r="P214" s="269">
        <f>P204*P194</f>
        <v>66778.67</v>
      </c>
      <c r="Q214" s="33"/>
    </row>
    <row r="215" spans="2:17" x14ac:dyDescent="0.2">
      <c r="B215" s="10"/>
      <c r="C215" s="46"/>
      <c r="D215" s="47"/>
      <c r="E215" s="47"/>
      <c r="F215" s="47"/>
      <c r="G215" s="47"/>
      <c r="H215" s="47"/>
      <c r="I215" s="47"/>
      <c r="J215" s="47"/>
      <c r="K215" s="47"/>
      <c r="L215" s="11"/>
      <c r="N215" s="32"/>
      <c r="O215" s="117" t="s">
        <v>535</v>
      </c>
      <c r="P215" s="269">
        <f>SUM((P195*P205)+(P196*P206)+(P197*P207)+(P198*P208)+(P199*P209)+(P200*P210))</f>
        <v>90000</v>
      </c>
      <c r="Q215" s="33"/>
    </row>
    <row r="216" spans="2:17" x14ac:dyDescent="0.2">
      <c r="B216" s="10"/>
      <c r="C216" s="46"/>
      <c r="D216" s="47"/>
      <c r="E216" s="47"/>
      <c r="F216" s="47"/>
      <c r="G216" s="47"/>
      <c r="H216" s="47"/>
      <c r="I216" s="47"/>
      <c r="J216" s="47"/>
      <c r="K216" s="47"/>
      <c r="L216" s="11"/>
      <c r="N216" s="32"/>
      <c r="O216" s="274" t="s">
        <v>454</v>
      </c>
      <c r="P216" s="275">
        <f>SUM(P213:P215)</f>
        <v>213629.99</v>
      </c>
      <c r="Q216" s="33"/>
    </row>
    <row r="217" spans="2:17" x14ac:dyDescent="0.2">
      <c r="B217" s="10"/>
      <c r="C217" s="46"/>
      <c r="D217" s="47"/>
      <c r="E217" s="47"/>
      <c r="F217" s="47"/>
      <c r="G217" s="47"/>
      <c r="H217" s="47"/>
      <c r="I217" s="47"/>
      <c r="J217" s="47"/>
      <c r="K217" s="47"/>
      <c r="L217" s="11"/>
      <c r="N217" s="32"/>
      <c r="O217" s="21"/>
      <c r="P217" s="273"/>
      <c r="Q217" s="33"/>
    </row>
    <row r="218" spans="2:17" x14ac:dyDescent="0.2">
      <c r="B218" s="10"/>
      <c r="C218" s="46"/>
      <c r="D218" s="47"/>
      <c r="E218" s="47"/>
      <c r="F218" s="47"/>
      <c r="G218" s="47"/>
      <c r="H218" s="47"/>
      <c r="I218" s="47"/>
      <c r="J218" s="47"/>
      <c r="K218" s="47"/>
      <c r="L218" s="11"/>
      <c r="N218" s="32"/>
      <c r="O218" s="289" t="s">
        <v>437</v>
      </c>
      <c r="P218" s="39"/>
      <c r="Q218" s="33"/>
    </row>
    <row r="219" spans="2:17" x14ac:dyDescent="0.2">
      <c r="B219" s="10"/>
      <c r="C219" s="46"/>
      <c r="D219" s="47"/>
      <c r="E219" s="47"/>
      <c r="F219" s="47"/>
      <c r="G219" s="47"/>
      <c r="H219" s="47"/>
      <c r="I219" s="47"/>
      <c r="J219" s="47"/>
      <c r="K219" s="47"/>
      <c r="L219" s="11"/>
      <c r="N219" s="32"/>
      <c r="O219" s="134" t="s">
        <v>439</v>
      </c>
      <c r="P219" s="278">
        <v>11495</v>
      </c>
      <c r="Q219" s="33"/>
    </row>
    <row r="220" spans="2:17" x14ac:dyDescent="0.2">
      <c r="B220" s="10"/>
      <c r="C220" s="46"/>
      <c r="D220" s="47"/>
      <c r="E220" s="47"/>
      <c r="F220" s="47"/>
      <c r="G220" s="47"/>
      <c r="H220" s="47"/>
      <c r="I220" s="47"/>
      <c r="J220" s="47"/>
      <c r="K220" s="47"/>
      <c r="L220" s="11"/>
      <c r="N220" s="32"/>
      <c r="O220" s="117" t="s">
        <v>438</v>
      </c>
      <c r="P220" s="269">
        <f>P219/12</f>
        <v>957.91666666666663</v>
      </c>
      <c r="Q220" s="33"/>
    </row>
    <row r="221" spans="2:17" x14ac:dyDescent="0.2">
      <c r="B221" s="10"/>
      <c r="C221" s="46"/>
      <c r="D221" s="47"/>
      <c r="E221" s="47"/>
      <c r="F221" s="47"/>
      <c r="G221" s="47"/>
      <c r="H221" s="47"/>
      <c r="I221" s="47"/>
      <c r="J221" s="47"/>
      <c r="K221" s="47"/>
      <c r="L221" s="11"/>
      <c r="N221" s="32"/>
      <c r="O221" s="119" t="s">
        <v>440</v>
      </c>
      <c r="P221" s="276">
        <f>P172</f>
        <v>20</v>
      </c>
      <c r="Q221" s="33"/>
    </row>
    <row r="222" spans="2:17" x14ac:dyDescent="0.2">
      <c r="B222" s="10"/>
      <c r="C222" s="46"/>
      <c r="D222" s="47"/>
      <c r="E222" s="47"/>
      <c r="F222" s="47"/>
      <c r="G222" s="47"/>
      <c r="H222" s="47"/>
      <c r="I222" s="47"/>
      <c r="J222" s="47"/>
      <c r="K222" s="47"/>
      <c r="L222" s="11"/>
      <c r="N222" s="32"/>
      <c r="O222" s="274" t="s">
        <v>441</v>
      </c>
      <c r="P222" s="277">
        <f>P220*P221</f>
        <v>19158.333333333332</v>
      </c>
      <c r="Q222" s="33"/>
    </row>
    <row r="223" spans="2:17" x14ac:dyDescent="0.2">
      <c r="B223" s="10"/>
      <c r="C223" s="46"/>
      <c r="D223" s="47"/>
      <c r="E223" s="47"/>
      <c r="F223" s="47"/>
      <c r="G223" s="47"/>
      <c r="H223" s="47"/>
      <c r="I223" s="47"/>
      <c r="J223" s="47"/>
      <c r="K223" s="47"/>
      <c r="L223" s="11"/>
      <c r="N223" s="32"/>
      <c r="O223" s="21"/>
      <c r="P223" s="273"/>
      <c r="Q223" s="33"/>
    </row>
    <row r="224" spans="2:17" x14ac:dyDescent="0.2">
      <c r="B224" s="10"/>
      <c r="C224" s="46"/>
      <c r="D224" s="47"/>
      <c r="E224" s="47"/>
      <c r="F224" s="47"/>
      <c r="G224" s="47"/>
      <c r="H224" s="47"/>
      <c r="I224" s="47"/>
      <c r="J224" s="47"/>
      <c r="K224" s="47"/>
      <c r="L224" s="11"/>
      <c r="N224" s="32"/>
      <c r="O224" s="21" t="s">
        <v>518</v>
      </c>
      <c r="P224" s="273"/>
      <c r="Q224" s="33"/>
    </row>
    <row r="225" spans="2:17" x14ac:dyDescent="0.2">
      <c r="B225" s="10"/>
      <c r="C225" s="46"/>
      <c r="D225" s="47"/>
      <c r="E225" s="47"/>
      <c r="F225" s="47"/>
      <c r="G225" s="47"/>
      <c r="H225" s="47"/>
      <c r="I225" s="47"/>
      <c r="J225" s="47"/>
      <c r="K225" s="47"/>
      <c r="L225" s="11"/>
      <c r="N225" s="32"/>
      <c r="O225" s="134" t="s">
        <v>507</v>
      </c>
      <c r="P225" s="264">
        <f>P216</f>
        <v>213629.99</v>
      </c>
      <c r="Q225" s="33"/>
    </row>
    <row r="226" spans="2:17" x14ac:dyDescent="0.2">
      <c r="B226" s="10"/>
      <c r="C226" s="46"/>
      <c r="D226" s="47"/>
      <c r="E226" s="47"/>
      <c r="F226" s="47"/>
      <c r="G226" s="47"/>
      <c r="H226" s="47"/>
      <c r="I226" s="47"/>
      <c r="J226" s="47"/>
      <c r="K226" s="47"/>
      <c r="L226" s="11"/>
      <c r="N226" s="32"/>
      <c r="O226" s="117" t="str">
        <f t="shared" ref="O226:P227" si="2">O187</f>
        <v>Total Metapod Subscripription Cost (1 Year Term)</v>
      </c>
      <c r="P226" s="269">
        <f t="shared" si="2"/>
        <v>60000</v>
      </c>
      <c r="Q226" s="33"/>
    </row>
    <row r="227" spans="2:17" x14ac:dyDescent="0.2">
      <c r="B227" s="10"/>
      <c r="C227" s="46"/>
      <c r="D227" s="47"/>
      <c r="E227" s="47"/>
      <c r="F227" s="47"/>
      <c r="G227" s="47"/>
      <c r="H227" s="47"/>
      <c r="I227" s="47"/>
      <c r="J227" s="47"/>
      <c r="K227" s="47"/>
      <c r="L227" s="11"/>
      <c r="N227" s="32"/>
      <c r="O227" s="117" t="str">
        <f t="shared" si="2"/>
        <v>Total Managed Ceph Storage Cost (1 Year Term)</v>
      </c>
      <c r="P227" s="269">
        <f t="shared" si="2"/>
        <v>31273.359375</v>
      </c>
      <c r="Q227" s="33"/>
    </row>
    <row r="228" spans="2:17" x14ac:dyDescent="0.2">
      <c r="B228" s="10"/>
      <c r="C228" s="46"/>
      <c r="D228" s="47"/>
      <c r="E228" s="47"/>
      <c r="F228" s="47"/>
      <c r="G228" s="47"/>
      <c r="H228" s="47"/>
      <c r="I228" s="47"/>
      <c r="J228" s="47"/>
      <c r="K228" s="47"/>
      <c r="L228" s="11"/>
      <c r="N228" s="32"/>
      <c r="O228" s="117" t="s">
        <v>508</v>
      </c>
      <c r="P228" s="269">
        <f>SUM(P226:P227)</f>
        <v>91273.359375</v>
      </c>
      <c r="Q228" s="33"/>
    </row>
    <row r="229" spans="2:17" x14ac:dyDescent="0.2">
      <c r="B229" s="10"/>
      <c r="C229" s="46"/>
      <c r="D229" s="47"/>
      <c r="E229" s="47"/>
      <c r="F229" s="47"/>
      <c r="G229" s="47"/>
      <c r="H229" s="47"/>
      <c r="I229" s="47"/>
      <c r="J229" s="47"/>
      <c r="K229" s="47"/>
      <c r="L229" s="11"/>
      <c r="N229" s="32"/>
      <c r="O229" s="119" t="s">
        <v>515</v>
      </c>
      <c r="P229" s="265">
        <f>P225+P228</f>
        <v>304903.34937499999</v>
      </c>
      <c r="Q229" s="33"/>
    </row>
    <row r="230" spans="2:17" x14ac:dyDescent="0.2">
      <c r="B230" s="10"/>
      <c r="C230" s="46"/>
      <c r="D230" s="47"/>
      <c r="E230" s="47"/>
      <c r="F230" s="47"/>
      <c r="G230" s="47"/>
      <c r="H230" s="47"/>
      <c r="I230" s="47"/>
      <c r="J230" s="47"/>
      <c r="K230" s="47"/>
      <c r="L230" s="11"/>
      <c r="N230" s="32"/>
      <c r="O230" s="138" t="s">
        <v>506</v>
      </c>
      <c r="P230" s="277">
        <f>P229/12</f>
        <v>25408.612447916665</v>
      </c>
      <c r="Q230" s="33"/>
    </row>
    <row r="231" spans="2:17" x14ac:dyDescent="0.2">
      <c r="B231" s="10"/>
      <c r="C231" s="46"/>
      <c r="D231" s="47"/>
      <c r="E231" s="47"/>
      <c r="F231" s="47"/>
      <c r="G231" s="47"/>
      <c r="H231" s="47"/>
      <c r="I231" s="47"/>
      <c r="J231" s="47"/>
      <c r="K231" s="47"/>
      <c r="L231" s="11"/>
      <c r="N231" s="32"/>
      <c r="O231" s="21"/>
      <c r="P231" s="273"/>
      <c r="Q231" s="33"/>
    </row>
    <row r="232" spans="2:17" x14ac:dyDescent="0.2">
      <c r="B232" s="10"/>
      <c r="C232" s="46"/>
      <c r="D232" s="47"/>
      <c r="E232" s="47"/>
      <c r="F232" s="47"/>
      <c r="G232" s="47"/>
      <c r="H232" s="47"/>
      <c r="I232" s="47"/>
      <c r="J232" s="47"/>
      <c r="K232" s="47"/>
      <c r="L232" s="11"/>
      <c r="N232" s="32"/>
      <c r="O232" s="21" t="s">
        <v>519</v>
      </c>
      <c r="P232" s="273"/>
      <c r="Q232" s="33"/>
    </row>
    <row r="233" spans="2:17" x14ac:dyDescent="0.2">
      <c r="B233" s="10"/>
      <c r="C233" s="46"/>
      <c r="D233" s="47"/>
      <c r="E233" s="47"/>
      <c r="F233" s="47"/>
      <c r="G233" s="47"/>
      <c r="H233" s="47"/>
      <c r="I233" s="47"/>
      <c r="J233" s="47"/>
      <c r="K233" s="47"/>
      <c r="L233" s="11"/>
      <c r="N233" s="32"/>
      <c r="O233" s="134" t="s">
        <v>507</v>
      </c>
      <c r="P233" s="264">
        <f>P216</f>
        <v>213629.99</v>
      </c>
      <c r="Q233" s="33"/>
    </row>
    <row r="234" spans="2:17" x14ac:dyDescent="0.2">
      <c r="B234" s="10"/>
      <c r="C234" s="46"/>
      <c r="D234" s="47"/>
      <c r="E234" s="47"/>
      <c r="F234" s="47"/>
      <c r="G234" s="47"/>
      <c r="H234" s="47"/>
      <c r="I234" s="47"/>
      <c r="J234" s="47"/>
      <c r="K234" s="47"/>
      <c r="L234" s="11"/>
      <c r="N234" s="32"/>
      <c r="O234" s="117" t="str">
        <f t="shared" ref="O234:P235" si="3">O189</f>
        <v>Total Metapod Subscripription Cost (3 Year Term)</v>
      </c>
      <c r="P234" s="269">
        <f t="shared" si="3"/>
        <v>165600</v>
      </c>
      <c r="Q234" s="33"/>
    </row>
    <row r="235" spans="2:17" x14ac:dyDescent="0.2">
      <c r="B235" s="10"/>
      <c r="C235" s="46"/>
      <c r="D235" s="47"/>
      <c r="E235" s="47"/>
      <c r="F235" s="47"/>
      <c r="G235" s="47"/>
      <c r="H235" s="47"/>
      <c r="I235" s="47"/>
      <c r="J235" s="47"/>
      <c r="K235" s="47"/>
      <c r="L235" s="11"/>
      <c r="N235" s="32"/>
      <c r="O235" s="117" t="str">
        <f t="shared" si="3"/>
        <v>Total Managed Ceph Storage Cost (3 Year Term)</v>
      </c>
      <c r="P235" s="269">
        <f t="shared" si="3"/>
        <v>82782.421875</v>
      </c>
      <c r="Q235" s="33"/>
    </row>
    <row r="236" spans="2:17" x14ac:dyDescent="0.2">
      <c r="B236" s="10"/>
      <c r="C236" s="46"/>
      <c r="D236" s="47"/>
      <c r="E236" s="47"/>
      <c r="F236" s="47"/>
      <c r="G236" s="47"/>
      <c r="H236" s="47"/>
      <c r="I236" s="47"/>
      <c r="J236" s="47"/>
      <c r="K236" s="47"/>
      <c r="L236" s="11"/>
      <c r="N236" s="32"/>
      <c r="O236" s="117" t="s">
        <v>516</v>
      </c>
      <c r="P236" s="269">
        <f>SUM(P234:P235)</f>
        <v>248382.421875</v>
      </c>
      <c r="Q236" s="33"/>
    </row>
    <row r="237" spans="2:17" x14ac:dyDescent="0.2">
      <c r="B237" s="10"/>
      <c r="C237" s="46"/>
      <c r="D237" s="47"/>
      <c r="E237" s="47"/>
      <c r="F237" s="47"/>
      <c r="G237" s="47"/>
      <c r="H237" s="47"/>
      <c r="I237" s="47"/>
      <c r="J237" s="47"/>
      <c r="K237" s="47"/>
      <c r="L237" s="11"/>
      <c r="N237" s="32"/>
      <c r="O237" s="119" t="s">
        <v>517</v>
      </c>
      <c r="P237" s="265">
        <f>P233+P236</f>
        <v>462012.41187499999</v>
      </c>
      <c r="Q237" s="33"/>
    </row>
    <row r="238" spans="2:17" x14ac:dyDescent="0.2">
      <c r="B238" s="10"/>
      <c r="C238" s="46"/>
      <c r="D238" s="47"/>
      <c r="E238" s="47"/>
      <c r="F238" s="47"/>
      <c r="G238" s="47"/>
      <c r="H238" s="47"/>
      <c r="I238" s="47"/>
      <c r="J238" s="47"/>
      <c r="K238" s="47"/>
      <c r="L238" s="11"/>
      <c r="N238" s="32"/>
      <c r="O238" s="138" t="s">
        <v>481</v>
      </c>
      <c r="P238" s="277">
        <f>P237/36</f>
        <v>12833.678107638889</v>
      </c>
      <c r="Q238" s="33"/>
    </row>
    <row r="239" spans="2:17" x14ac:dyDescent="0.2">
      <c r="B239" s="10"/>
      <c r="C239" s="46"/>
      <c r="D239" s="47"/>
      <c r="E239" s="47"/>
      <c r="F239" s="47"/>
      <c r="G239" s="47"/>
      <c r="H239" s="47"/>
      <c r="I239" s="47"/>
      <c r="J239" s="47"/>
      <c r="K239" s="47"/>
      <c r="L239" s="11"/>
      <c r="N239" s="32"/>
      <c r="O239" s="21"/>
      <c r="P239" s="273"/>
      <c r="Q239" s="33"/>
    </row>
    <row r="240" spans="2:17" x14ac:dyDescent="0.2">
      <c r="B240" s="10"/>
      <c r="C240" s="46"/>
      <c r="D240" s="47"/>
      <c r="E240" s="47"/>
      <c r="F240" s="47"/>
      <c r="G240" s="47"/>
      <c r="H240" s="47"/>
      <c r="I240" s="47"/>
      <c r="J240" s="47"/>
      <c r="K240" s="47"/>
      <c r="L240" s="11"/>
      <c r="N240" s="32"/>
      <c r="O240" s="21" t="s">
        <v>520</v>
      </c>
      <c r="P240" s="273"/>
      <c r="Q240" s="33"/>
    </row>
    <row r="241" spans="2:19" x14ac:dyDescent="0.2">
      <c r="B241" s="10"/>
      <c r="C241" s="46"/>
      <c r="D241" s="47"/>
      <c r="E241" s="47"/>
      <c r="F241" s="47"/>
      <c r="G241" s="47"/>
      <c r="H241" s="47"/>
      <c r="I241" s="47"/>
      <c r="J241" s="47"/>
      <c r="K241" s="47"/>
      <c r="L241" s="11"/>
      <c r="N241" s="32"/>
      <c r="O241" s="324" t="s">
        <v>521</v>
      </c>
      <c r="P241" s="329">
        <v>0.15</v>
      </c>
      <c r="Q241" s="33"/>
    </row>
    <row r="242" spans="2:19" x14ac:dyDescent="0.2">
      <c r="B242" s="10"/>
      <c r="C242" s="46"/>
      <c r="D242" s="47"/>
      <c r="E242" s="47"/>
      <c r="F242" s="47"/>
      <c r="G242" s="47"/>
      <c r="H242" s="47"/>
      <c r="I242" s="47"/>
      <c r="J242" s="47"/>
      <c r="K242" s="47"/>
      <c r="L242" s="11"/>
      <c r="N242" s="32"/>
      <c r="O242" s="326" t="s">
        <v>522</v>
      </c>
      <c r="P242" s="327">
        <f>Summary!E60</f>
        <v>25063.642242500002</v>
      </c>
      <c r="Q242" s="33"/>
    </row>
    <row r="243" spans="2:19" x14ac:dyDescent="0.2">
      <c r="B243" s="10"/>
      <c r="C243" s="46"/>
      <c r="D243" s="47"/>
      <c r="E243" s="47"/>
      <c r="F243" s="47"/>
      <c r="G243" s="47"/>
      <c r="H243" s="47"/>
      <c r="I243" s="47"/>
      <c r="J243" s="47"/>
      <c r="K243" s="47"/>
      <c r="L243" s="11"/>
      <c r="N243" s="32"/>
      <c r="O243" s="326" t="s">
        <v>523</v>
      </c>
      <c r="P243" s="327">
        <f>Summary!E61*12</f>
        <v>184742.952074</v>
      </c>
      <c r="Q243" s="33"/>
    </row>
    <row r="244" spans="2:19" x14ac:dyDescent="0.2">
      <c r="B244" s="10"/>
      <c r="C244" s="46"/>
      <c r="D244" s="47"/>
      <c r="E244" s="47"/>
      <c r="F244" s="47"/>
      <c r="G244" s="47"/>
      <c r="H244" s="47"/>
      <c r="I244" s="47"/>
      <c r="J244" s="47"/>
      <c r="K244" s="47"/>
      <c r="L244" s="11"/>
      <c r="N244" s="32"/>
      <c r="O244" s="326" t="s">
        <v>524</v>
      </c>
      <c r="P244" s="327">
        <f>P243/12</f>
        <v>15395.246006166666</v>
      </c>
      <c r="Q244" s="33"/>
    </row>
    <row r="245" spans="2:19" x14ac:dyDescent="0.2">
      <c r="B245" s="10"/>
      <c r="C245" s="46"/>
      <c r="D245" s="47"/>
      <c r="E245" s="47"/>
      <c r="F245" s="47"/>
      <c r="G245" s="47"/>
      <c r="H245" s="47"/>
      <c r="I245" s="47"/>
      <c r="J245" s="47"/>
      <c r="K245" s="47"/>
      <c r="L245" s="11"/>
      <c r="N245" s="32"/>
      <c r="O245" s="326" t="s">
        <v>525</v>
      </c>
      <c r="P245" s="327">
        <f>Summary!E62*36</f>
        <v>366425.759877</v>
      </c>
      <c r="Q245" s="33"/>
    </row>
    <row r="246" spans="2:19" x14ac:dyDescent="0.2">
      <c r="B246" s="10"/>
      <c r="C246" s="46"/>
      <c r="D246" s="47"/>
      <c r="E246" s="47"/>
      <c r="F246" s="47"/>
      <c r="G246" s="47"/>
      <c r="H246" s="47"/>
      <c r="I246" s="47"/>
      <c r="J246" s="47"/>
      <c r="K246" s="47"/>
      <c r="L246" s="11"/>
      <c r="N246" s="32"/>
      <c r="O246" s="326" t="s">
        <v>526</v>
      </c>
      <c r="P246" s="327">
        <f>P245/36</f>
        <v>10178.493329916666</v>
      </c>
      <c r="Q246" s="33"/>
    </row>
    <row r="247" spans="2:19" x14ac:dyDescent="0.2">
      <c r="B247" s="10"/>
      <c r="C247" s="46"/>
      <c r="D247" s="47"/>
      <c r="E247" s="47"/>
      <c r="F247" s="47"/>
      <c r="G247" s="47"/>
      <c r="H247" s="47"/>
      <c r="I247" s="47"/>
      <c r="J247" s="47"/>
      <c r="K247" s="47"/>
      <c r="L247" s="11"/>
      <c r="N247" s="32"/>
      <c r="O247" s="332" t="s">
        <v>527</v>
      </c>
      <c r="P247" s="275">
        <f>Summary!E69</f>
        <v>2382</v>
      </c>
      <c r="Q247" s="33"/>
    </row>
    <row r="248" spans="2:19" x14ac:dyDescent="0.2">
      <c r="B248" s="10"/>
      <c r="C248" s="46"/>
      <c r="D248" s="47"/>
      <c r="E248" s="47"/>
      <c r="F248" s="47"/>
      <c r="G248" s="47"/>
      <c r="H248" s="47"/>
      <c r="I248" s="47"/>
      <c r="J248" s="47"/>
      <c r="K248" s="47"/>
      <c r="L248" s="11"/>
      <c r="N248" s="32"/>
      <c r="O248" s="324" t="s">
        <v>540</v>
      </c>
      <c r="P248" s="325">
        <f>((P242+P247)+((P242+P247)*P241))*12</f>
        <v>378749.86294650007</v>
      </c>
      <c r="Q248" s="33"/>
    </row>
    <row r="249" spans="2:19" x14ac:dyDescent="0.2">
      <c r="B249" s="10"/>
      <c r="C249" s="46"/>
      <c r="D249" s="47"/>
      <c r="E249" s="47"/>
      <c r="F249" s="47"/>
      <c r="G249" s="47"/>
      <c r="H249" s="47"/>
      <c r="I249" s="47"/>
      <c r="J249" s="47"/>
      <c r="K249" s="47"/>
      <c r="L249" s="11"/>
      <c r="N249" s="32"/>
      <c r="O249" s="328" t="s">
        <v>541</v>
      </c>
      <c r="P249" s="323">
        <f>P248/12</f>
        <v>31562.488578875007</v>
      </c>
      <c r="Q249" s="33"/>
    </row>
    <row r="250" spans="2:19" x14ac:dyDescent="0.2">
      <c r="B250" s="10"/>
      <c r="C250" s="46"/>
      <c r="D250" s="47"/>
      <c r="E250" s="47"/>
      <c r="F250" s="47"/>
      <c r="G250" s="47"/>
      <c r="H250" s="47"/>
      <c r="I250" s="47"/>
      <c r="J250" s="47"/>
      <c r="K250" s="47"/>
      <c r="L250" s="11"/>
      <c r="N250" s="32"/>
      <c r="O250" s="324" t="s">
        <v>536</v>
      </c>
      <c r="P250" s="325">
        <f>P243+(P243*P241)+(P247*12)</f>
        <v>241038.39488509999</v>
      </c>
      <c r="Q250" s="33"/>
    </row>
    <row r="251" spans="2:19" x14ac:dyDescent="0.2">
      <c r="B251" s="10"/>
      <c r="C251" s="46"/>
      <c r="D251" s="47"/>
      <c r="E251" s="47"/>
      <c r="F251" s="47"/>
      <c r="G251" s="47"/>
      <c r="H251" s="47"/>
      <c r="I251" s="47"/>
      <c r="J251" s="47"/>
      <c r="K251" s="47"/>
      <c r="L251" s="11"/>
      <c r="N251" s="32"/>
      <c r="O251" s="328" t="s">
        <v>537</v>
      </c>
      <c r="P251" s="323">
        <f>P250/12</f>
        <v>20086.532907091667</v>
      </c>
      <c r="Q251" s="33"/>
    </row>
    <row r="252" spans="2:19" x14ac:dyDescent="0.2">
      <c r="B252" s="10"/>
      <c r="C252" s="46"/>
      <c r="D252" s="47"/>
      <c r="E252" s="47"/>
      <c r="F252" s="47"/>
      <c r="G252" s="47"/>
      <c r="H252" s="47"/>
      <c r="I252" s="47"/>
      <c r="J252" s="47"/>
      <c r="K252" s="47"/>
      <c r="L252" s="11"/>
      <c r="N252" s="32"/>
      <c r="O252" s="326" t="s">
        <v>538</v>
      </c>
      <c r="P252" s="327">
        <f>P245+(P245*P241)+(P251*12)</f>
        <v>662428.01874365006</v>
      </c>
      <c r="Q252" s="33"/>
    </row>
    <row r="253" spans="2:19" x14ac:dyDescent="0.2">
      <c r="B253" s="10"/>
      <c r="C253" s="46"/>
      <c r="D253" s="47"/>
      <c r="E253" s="47"/>
      <c r="F253" s="47"/>
      <c r="G253" s="47"/>
      <c r="H253" s="47"/>
      <c r="I253" s="47"/>
      <c r="J253" s="47"/>
      <c r="K253" s="47"/>
      <c r="L253" s="11"/>
      <c r="N253" s="32"/>
      <c r="O253" s="328" t="s">
        <v>539</v>
      </c>
      <c r="P253" s="323">
        <f>P252/36</f>
        <v>18400.778298434725</v>
      </c>
      <c r="Q253" s="33"/>
    </row>
    <row r="254" spans="2:19" x14ac:dyDescent="0.2">
      <c r="B254" s="10"/>
      <c r="C254" s="46"/>
      <c r="D254" s="47"/>
      <c r="E254" s="47"/>
      <c r="F254" s="47"/>
      <c r="G254" s="47"/>
      <c r="H254" s="47"/>
      <c r="I254" s="47"/>
      <c r="J254" s="47"/>
      <c r="K254" s="47"/>
      <c r="L254" s="11"/>
      <c r="N254" s="34"/>
      <c r="O254" s="42"/>
      <c r="P254" s="43"/>
      <c r="Q254" s="44"/>
    </row>
    <row r="255" spans="2:19" x14ac:dyDescent="0.2">
      <c r="B255" s="10"/>
      <c r="C255" s="46"/>
      <c r="D255" s="47"/>
      <c r="E255" s="47"/>
      <c r="F255" s="47"/>
      <c r="G255" s="47"/>
      <c r="H255" s="47"/>
      <c r="I255" s="47"/>
      <c r="J255" s="47"/>
      <c r="K255" s="47"/>
      <c r="L255" s="11"/>
      <c r="N255" s="23"/>
    </row>
    <row r="256" spans="2:19" x14ac:dyDescent="0.2">
      <c r="B256" s="10"/>
      <c r="C256" s="46"/>
      <c r="D256" s="47"/>
      <c r="E256" s="47"/>
      <c r="F256" s="47"/>
      <c r="G256" s="47"/>
      <c r="H256" s="47"/>
      <c r="I256" s="47"/>
      <c r="J256" s="47"/>
      <c r="K256" s="47"/>
      <c r="L256" s="11"/>
      <c r="N256" s="229"/>
      <c r="O256" s="230"/>
      <c r="P256" s="231"/>
      <c r="Q256" s="231"/>
      <c r="R256" s="231"/>
      <c r="S256" s="7"/>
    </row>
    <row r="257" spans="2:19" x14ac:dyDescent="0.2">
      <c r="B257" s="10"/>
      <c r="C257" s="46"/>
      <c r="D257" s="47"/>
      <c r="E257" s="47"/>
      <c r="F257" s="47"/>
      <c r="G257" s="47"/>
      <c r="H257" s="47"/>
      <c r="I257" s="47"/>
      <c r="J257" s="47"/>
      <c r="K257" s="47"/>
      <c r="L257" s="11"/>
      <c r="N257" s="8"/>
      <c r="O257" s="21" t="s">
        <v>466</v>
      </c>
      <c r="P257" s="126"/>
      <c r="Q257" s="126"/>
      <c r="R257" s="126"/>
      <c r="S257" s="11"/>
    </row>
    <row r="258" spans="2:19" x14ac:dyDescent="0.2">
      <c r="B258" s="10"/>
      <c r="C258" s="46"/>
      <c r="D258" s="47"/>
      <c r="E258" s="47"/>
      <c r="F258" s="47"/>
      <c r="G258" s="47"/>
      <c r="H258" s="47"/>
      <c r="I258" s="47"/>
      <c r="J258" s="47"/>
      <c r="K258" s="47"/>
      <c r="L258" s="11"/>
      <c r="N258" s="8"/>
      <c r="O258" s="232" t="s">
        <v>467</v>
      </c>
      <c r="P258" s="335" t="s">
        <v>468</v>
      </c>
      <c r="Q258" s="336"/>
      <c r="R258" s="232" t="s">
        <v>469</v>
      </c>
      <c r="S258" s="11"/>
    </row>
    <row r="259" spans="2:19" x14ac:dyDescent="0.2">
      <c r="B259" s="10"/>
      <c r="C259" s="46"/>
      <c r="D259" s="47"/>
      <c r="E259" s="47"/>
      <c r="F259" s="47"/>
      <c r="G259" s="47"/>
      <c r="H259" s="47"/>
      <c r="I259" s="47"/>
      <c r="J259" s="47"/>
      <c r="K259" s="47"/>
      <c r="L259" s="11"/>
      <c r="N259" s="8"/>
      <c r="O259" s="233" t="s">
        <v>470</v>
      </c>
      <c r="P259" s="337">
        <v>250</v>
      </c>
      <c r="Q259" s="338"/>
      <c r="R259" s="249">
        <v>230</v>
      </c>
      <c r="S259" s="11"/>
    </row>
    <row r="260" spans="2:19" x14ac:dyDescent="0.2">
      <c r="B260" s="10"/>
      <c r="C260" s="46"/>
      <c r="D260" s="47"/>
      <c r="E260" s="47"/>
      <c r="F260" s="47"/>
      <c r="G260" s="47"/>
      <c r="H260" s="47"/>
      <c r="I260" s="47"/>
      <c r="J260" s="47"/>
      <c r="K260" s="47"/>
      <c r="L260" s="11"/>
      <c r="N260" s="8"/>
      <c r="O260" s="234" t="s">
        <v>471</v>
      </c>
      <c r="P260" s="333">
        <v>200</v>
      </c>
      <c r="Q260" s="334"/>
      <c r="R260" s="248">
        <v>184</v>
      </c>
      <c r="S260" s="11"/>
    </row>
    <row r="261" spans="2:19" x14ac:dyDescent="0.2">
      <c r="B261" s="10"/>
      <c r="C261" s="46"/>
      <c r="D261" s="47"/>
      <c r="E261" s="47"/>
      <c r="F261" s="47"/>
      <c r="G261" s="47"/>
      <c r="H261" s="47"/>
      <c r="I261" s="47"/>
      <c r="J261" s="47"/>
      <c r="K261" s="47"/>
      <c r="L261" s="11"/>
      <c r="N261" s="8"/>
      <c r="O261" s="234" t="s">
        <v>472</v>
      </c>
      <c r="P261" s="333">
        <v>160</v>
      </c>
      <c r="Q261" s="334"/>
      <c r="R261" s="248">
        <v>147</v>
      </c>
      <c r="S261" s="11"/>
    </row>
    <row r="262" spans="2:19" x14ac:dyDescent="0.2">
      <c r="B262" s="10"/>
      <c r="C262" s="46"/>
      <c r="D262" s="47"/>
      <c r="E262" s="47"/>
      <c r="F262" s="47"/>
      <c r="G262" s="47"/>
      <c r="H262" s="47"/>
      <c r="I262" s="47"/>
      <c r="J262" s="47"/>
      <c r="K262" s="47"/>
      <c r="L262" s="11"/>
      <c r="N262" s="8"/>
      <c r="O262" s="234" t="s">
        <v>473</v>
      </c>
      <c r="P262" s="333">
        <v>128</v>
      </c>
      <c r="Q262" s="334"/>
      <c r="R262" s="248">
        <v>118</v>
      </c>
      <c r="S262" s="11"/>
    </row>
    <row r="263" spans="2:19" x14ac:dyDescent="0.2">
      <c r="B263" s="10"/>
      <c r="C263" s="46"/>
      <c r="D263" s="47"/>
      <c r="E263" s="47"/>
      <c r="F263" s="47"/>
      <c r="G263" s="47"/>
      <c r="H263" s="47"/>
      <c r="I263" s="47"/>
      <c r="J263" s="47"/>
      <c r="K263" s="47"/>
      <c r="L263" s="11"/>
      <c r="N263" s="8"/>
      <c r="O263" s="234" t="s">
        <v>474</v>
      </c>
      <c r="P263" s="333">
        <v>102</v>
      </c>
      <c r="Q263" s="334"/>
      <c r="R263" s="248">
        <v>94</v>
      </c>
      <c r="S263" s="11"/>
    </row>
    <row r="264" spans="2:19" x14ac:dyDescent="0.2">
      <c r="B264" s="10"/>
      <c r="C264" s="46"/>
      <c r="D264" s="47"/>
      <c r="E264" s="47"/>
      <c r="F264" s="47"/>
      <c r="G264" s="47"/>
      <c r="H264" s="47"/>
      <c r="I264" s="47"/>
      <c r="J264" s="47"/>
      <c r="K264" s="47"/>
      <c r="L264" s="11"/>
      <c r="N264" s="8"/>
      <c r="O264" s="235"/>
      <c r="P264" s="236"/>
      <c r="Q264" s="236"/>
      <c r="R264" s="236"/>
      <c r="S264" s="11"/>
    </row>
    <row r="265" spans="2:19" x14ac:dyDescent="0.2">
      <c r="B265" s="10"/>
      <c r="C265" s="46"/>
      <c r="D265" s="47"/>
      <c r="E265" s="47"/>
      <c r="F265" s="47"/>
      <c r="G265" s="47"/>
      <c r="H265" s="47"/>
      <c r="I265" s="47"/>
      <c r="J265" s="47"/>
      <c r="K265" s="47"/>
      <c r="L265" s="11"/>
      <c r="N265" s="8"/>
      <c r="O265" s="21" t="s">
        <v>475</v>
      </c>
      <c r="P265" s="126"/>
      <c r="Q265" s="126"/>
      <c r="R265" s="237"/>
      <c r="S265" s="11"/>
    </row>
    <row r="266" spans="2:19" x14ac:dyDescent="0.2">
      <c r="B266" s="10"/>
      <c r="C266" s="46"/>
      <c r="D266" s="47"/>
      <c r="E266" s="47"/>
      <c r="F266" s="47"/>
      <c r="G266" s="47"/>
      <c r="H266" s="47"/>
      <c r="I266" s="47"/>
      <c r="J266" s="47"/>
      <c r="K266" s="47"/>
      <c r="L266" s="11"/>
      <c r="N266" s="8"/>
      <c r="O266" s="232" t="s">
        <v>476</v>
      </c>
      <c r="P266" s="335" t="s">
        <v>477</v>
      </c>
      <c r="Q266" s="336"/>
      <c r="R266" s="232" t="s">
        <v>514</v>
      </c>
      <c r="S266" s="11"/>
    </row>
    <row r="267" spans="2:19" x14ac:dyDescent="0.2">
      <c r="B267" s="10"/>
      <c r="C267" s="46"/>
      <c r="D267" s="47"/>
      <c r="E267" s="47"/>
      <c r="F267" s="47"/>
      <c r="G267" s="47"/>
      <c r="H267" s="47"/>
      <c r="I267" s="47"/>
      <c r="J267" s="47"/>
      <c r="K267" s="47"/>
      <c r="L267" s="11"/>
      <c r="N267" s="8"/>
      <c r="O267" s="233" t="s">
        <v>478</v>
      </c>
      <c r="P267" s="337">
        <v>17</v>
      </c>
      <c r="Q267" s="338"/>
      <c r="R267" s="266">
        <f>P267/1024</f>
        <v>1.66015625E-2</v>
      </c>
      <c r="S267" s="11"/>
    </row>
    <row r="268" spans="2:19" x14ac:dyDescent="0.2">
      <c r="B268" s="10"/>
      <c r="C268" s="46"/>
      <c r="D268" s="47"/>
      <c r="E268" s="47"/>
      <c r="F268" s="47"/>
      <c r="G268" s="47"/>
      <c r="H268" s="47"/>
      <c r="I268" s="47"/>
      <c r="J268" s="47"/>
      <c r="K268" s="47"/>
      <c r="L268" s="11"/>
      <c r="N268" s="8"/>
      <c r="O268" s="234" t="s">
        <v>479</v>
      </c>
      <c r="P268" s="333">
        <v>16.5</v>
      </c>
      <c r="Q268" s="334"/>
      <c r="R268" s="267">
        <f>P268/1024</f>
        <v>1.611328125E-2</v>
      </c>
      <c r="S268" s="11"/>
    </row>
    <row r="269" spans="2:19" x14ac:dyDescent="0.2">
      <c r="B269" s="10"/>
      <c r="C269" s="46"/>
      <c r="D269" s="47"/>
      <c r="E269" s="47"/>
      <c r="F269" s="47"/>
      <c r="G269" s="47"/>
      <c r="H269" s="47"/>
      <c r="I269" s="47"/>
      <c r="J269" s="47"/>
      <c r="K269" s="47"/>
      <c r="L269" s="11"/>
      <c r="N269" s="8"/>
      <c r="O269" s="238" t="s">
        <v>480</v>
      </c>
      <c r="P269" s="339">
        <v>15</v>
      </c>
      <c r="Q269" s="340"/>
      <c r="R269" s="268">
        <f>P269/1024</f>
        <v>1.46484375E-2</v>
      </c>
      <c r="S269" s="11"/>
    </row>
    <row r="270" spans="2:19" x14ac:dyDescent="0.2">
      <c r="B270" s="10"/>
      <c r="C270" s="46"/>
      <c r="D270" s="47"/>
      <c r="E270" s="47"/>
      <c r="F270" s="47"/>
      <c r="G270" s="47"/>
      <c r="H270" s="47"/>
      <c r="I270" s="47"/>
      <c r="J270" s="47"/>
      <c r="K270" s="47"/>
      <c r="L270" s="11"/>
      <c r="N270" s="239"/>
      <c r="O270" s="240"/>
      <c r="P270" s="241"/>
      <c r="Q270" s="241"/>
      <c r="R270" s="241"/>
      <c r="S270" s="14"/>
    </row>
    <row r="271" spans="2:19" x14ac:dyDescent="0.2">
      <c r="B271" s="10"/>
      <c r="C271" s="46"/>
      <c r="D271" s="47"/>
      <c r="E271" s="47"/>
      <c r="F271" s="47"/>
      <c r="G271" s="47"/>
      <c r="H271" s="47"/>
      <c r="I271" s="47"/>
      <c r="J271" s="47"/>
      <c r="K271" s="47"/>
      <c r="L271" s="11"/>
    </row>
    <row r="272" spans="2:19" x14ac:dyDescent="0.2">
      <c r="B272" s="10"/>
      <c r="C272" s="46"/>
      <c r="D272" s="47"/>
      <c r="E272" s="47"/>
      <c r="F272" s="47"/>
      <c r="G272" s="47"/>
      <c r="H272" s="47"/>
      <c r="I272" s="47"/>
      <c r="J272" s="47"/>
      <c r="K272" s="47"/>
      <c r="L272" s="11"/>
    </row>
    <row r="273" spans="2:12" x14ac:dyDescent="0.2">
      <c r="B273" s="10"/>
      <c r="C273" s="46"/>
      <c r="D273" s="47"/>
      <c r="E273" s="47"/>
      <c r="F273" s="47"/>
      <c r="G273" s="47"/>
      <c r="H273" s="47"/>
      <c r="I273" s="47"/>
      <c r="J273" s="47"/>
      <c r="K273" s="47"/>
      <c r="L273" s="11"/>
    </row>
    <row r="274" spans="2:12" x14ac:dyDescent="0.2">
      <c r="B274" s="10"/>
      <c r="C274" s="46"/>
      <c r="D274" s="47"/>
      <c r="E274" s="47"/>
      <c r="F274" s="47"/>
      <c r="G274" s="47"/>
      <c r="H274" s="47"/>
      <c r="I274" s="47"/>
      <c r="J274" s="47"/>
      <c r="K274" s="47"/>
      <c r="L274" s="11"/>
    </row>
    <row r="275" spans="2:12" x14ac:dyDescent="0.2">
      <c r="B275" s="10"/>
      <c r="C275" s="46"/>
      <c r="D275" s="47"/>
      <c r="E275" s="47"/>
      <c r="F275" s="47"/>
      <c r="G275" s="47"/>
      <c r="H275" s="47"/>
      <c r="I275" s="47"/>
      <c r="J275" s="47"/>
      <c r="K275" s="47"/>
      <c r="L275" s="11"/>
    </row>
    <row r="276" spans="2:12" x14ac:dyDescent="0.2">
      <c r="B276" s="10"/>
      <c r="C276" s="46"/>
      <c r="D276" s="47"/>
      <c r="E276" s="47"/>
      <c r="F276" s="47"/>
      <c r="G276" s="47"/>
      <c r="H276" s="47"/>
      <c r="I276" s="47"/>
      <c r="J276" s="47"/>
      <c r="K276" s="47"/>
      <c r="L276" s="11"/>
    </row>
    <row r="277" spans="2:12" x14ac:dyDescent="0.2">
      <c r="B277" s="10"/>
      <c r="C277" s="46"/>
      <c r="D277" s="47"/>
      <c r="E277" s="47"/>
      <c r="F277" s="47"/>
      <c r="G277" s="47"/>
      <c r="H277" s="47"/>
      <c r="I277" s="47"/>
      <c r="J277" s="47"/>
      <c r="K277" s="47"/>
      <c r="L277" s="11"/>
    </row>
    <row r="278" spans="2:12" x14ac:dyDescent="0.2">
      <c r="B278" s="10"/>
      <c r="C278" s="46"/>
      <c r="D278" s="47"/>
      <c r="E278" s="47"/>
      <c r="F278" s="47"/>
      <c r="G278" s="47"/>
      <c r="H278" s="47"/>
      <c r="I278" s="47"/>
      <c r="J278" s="47"/>
      <c r="K278" s="47"/>
      <c r="L278" s="11"/>
    </row>
    <row r="279" spans="2:12" x14ac:dyDescent="0.2">
      <c r="B279" s="10"/>
      <c r="C279" s="46"/>
      <c r="D279" s="47"/>
      <c r="E279" s="47"/>
      <c r="F279" s="47"/>
      <c r="G279" s="47"/>
      <c r="H279" s="47"/>
      <c r="I279" s="47"/>
      <c r="J279" s="47"/>
      <c r="K279" s="47"/>
      <c r="L279" s="11"/>
    </row>
    <row r="280" spans="2:12" x14ac:dyDescent="0.2">
      <c r="B280" s="10"/>
      <c r="C280" s="46"/>
      <c r="D280" s="47"/>
      <c r="E280" s="47"/>
      <c r="F280" s="47"/>
      <c r="G280" s="47"/>
      <c r="H280" s="47"/>
      <c r="I280" s="47"/>
      <c r="J280" s="47"/>
      <c r="K280" s="47"/>
      <c r="L280" s="11"/>
    </row>
    <row r="281" spans="2:12" x14ac:dyDescent="0.2">
      <c r="B281" s="10"/>
      <c r="C281" s="46"/>
      <c r="D281" s="47"/>
      <c r="E281" s="47"/>
      <c r="F281" s="47"/>
      <c r="G281" s="47"/>
      <c r="H281" s="47"/>
      <c r="I281" s="47"/>
      <c r="J281" s="47"/>
      <c r="K281" s="47"/>
      <c r="L281" s="11"/>
    </row>
    <row r="282" spans="2:12" x14ac:dyDescent="0.2">
      <c r="B282" s="10"/>
      <c r="C282" s="46"/>
      <c r="D282" s="47"/>
      <c r="E282" s="47"/>
      <c r="F282" s="47"/>
      <c r="G282" s="47"/>
      <c r="H282" s="47"/>
      <c r="I282" s="47"/>
      <c r="J282" s="47"/>
      <c r="K282" s="47"/>
      <c r="L282" s="11"/>
    </row>
    <row r="283" spans="2:12" x14ac:dyDescent="0.2">
      <c r="B283" s="10"/>
      <c r="C283" s="46"/>
      <c r="D283" s="47"/>
      <c r="E283" s="47"/>
      <c r="F283" s="47"/>
      <c r="G283" s="47"/>
      <c r="H283" s="47"/>
      <c r="I283" s="47"/>
      <c r="J283" s="47"/>
      <c r="K283" s="47"/>
      <c r="L283" s="11"/>
    </row>
    <row r="284" spans="2:12" x14ac:dyDescent="0.2">
      <c r="B284" s="10"/>
      <c r="C284" s="46"/>
      <c r="D284" s="47"/>
      <c r="E284" s="47"/>
      <c r="F284" s="47"/>
      <c r="G284" s="47"/>
      <c r="H284" s="47"/>
      <c r="I284" s="47"/>
      <c r="J284" s="47"/>
      <c r="K284" s="47"/>
      <c r="L284" s="11"/>
    </row>
    <row r="285" spans="2:12" x14ac:dyDescent="0.2">
      <c r="B285" s="10"/>
      <c r="C285" s="46"/>
      <c r="D285" s="47"/>
      <c r="E285" s="47"/>
      <c r="F285" s="47"/>
      <c r="G285" s="47"/>
      <c r="H285" s="47"/>
      <c r="I285" s="47"/>
      <c r="J285" s="47"/>
      <c r="K285" s="47"/>
      <c r="L285" s="11"/>
    </row>
    <row r="286" spans="2:12" x14ac:dyDescent="0.2">
      <c r="B286" s="10"/>
      <c r="C286" s="46"/>
      <c r="D286" s="47"/>
      <c r="E286" s="47"/>
      <c r="F286" s="47"/>
      <c r="G286" s="47"/>
      <c r="H286" s="47"/>
      <c r="I286" s="47"/>
      <c r="J286" s="47"/>
      <c r="K286" s="47"/>
      <c r="L286" s="11"/>
    </row>
    <row r="287" spans="2:12" x14ac:dyDescent="0.2">
      <c r="B287" s="10"/>
      <c r="C287" s="46"/>
      <c r="D287" s="47"/>
      <c r="E287" s="47"/>
      <c r="F287" s="47"/>
      <c r="G287" s="47"/>
      <c r="H287" s="47"/>
      <c r="I287" s="47"/>
      <c r="J287" s="47"/>
      <c r="K287" s="47"/>
      <c r="L287" s="11"/>
    </row>
    <row r="288" spans="2:12" x14ac:dyDescent="0.2">
      <c r="B288" s="10"/>
      <c r="C288" s="46"/>
      <c r="D288" s="47"/>
      <c r="E288" s="47"/>
      <c r="F288" s="47"/>
      <c r="G288" s="47"/>
      <c r="H288" s="47"/>
      <c r="I288" s="47"/>
      <c r="J288" s="47"/>
      <c r="K288" s="47"/>
      <c r="L288" s="11"/>
    </row>
    <row r="289" spans="2:12" x14ac:dyDescent="0.2">
      <c r="B289" s="10"/>
      <c r="C289" s="46"/>
      <c r="D289" s="47"/>
      <c r="E289" s="47"/>
      <c r="F289" s="47"/>
      <c r="G289" s="47"/>
      <c r="H289" s="47"/>
      <c r="I289" s="47"/>
      <c r="J289" s="47"/>
      <c r="K289" s="47"/>
      <c r="L289" s="11"/>
    </row>
    <row r="290" spans="2:12" x14ac:dyDescent="0.2">
      <c r="B290" s="10"/>
      <c r="C290" s="46"/>
      <c r="D290" s="47"/>
      <c r="E290" s="47"/>
      <c r="F290" s="47"/>
      <c r="G290" s="47"/>
      <c r="H290" s="47"/>
      <c r="I290" s="47"/>
      <c r="J290" s="47"/>
      <c r="K290" s="47"/>
      <c r="L290" s="11"/>
    </row>
    <row r="291" spans="2:12" x14ac:dyDescent="0.2">
      <c r="B291" s="10"/>
      <c r="C291" s="46"/>
      <c r="D291" s="47"/>
      <c r="E291" s="47"/>
      <c r="F291" s="47"/>
      <c r="G291" s="47"/>
      <c r="H291" s="47"/>
      <c r="I291" s="47"/>
      <c r="J291" s="47"/>
      <c r="K291" s="47"/>
      <c r="L291" s="11"/>
    </row>
    <row r="292" spans="2:12" x14ac:dyDescent="0.2">
      <c r="B292" s="10"/>
      <c r="C292" s="46"/>
      <c r="D292" s="47"/>
      <c r="E292" s="47"/>
      <c r="F292" s="47"/>
      <c r="G292" s="47"/>
      <c r="H292" s="47"/>
      <c r="I292" s="47"/>
      <c r="J292" s="47"/>
      <c r="K292" s="47"/>
      <c r="L292" s="11"/>
    </row>
    <row r="293" spans="2:12" x14ac:dyDescent="0.2">
      <c r="B293" s="10"/>
      <c r="C293" s="46"/>
      <c r="D293" s="47"/>
      <c r="E293" s="47"/>
      <c r="F293" s="47"/>
      <c r="G293" s="47"/>
      <c r="H293" s="47"/>
      <c r="I293" s="47"/>
      <c r="J293" s="47"/>
      <c r="K293" s="47"/>
      <c r="L293" s="11"/>
    </row>
    <row r="294" spans="2:12" x14ac:dyDescent="0.2">
      <c r="B294" s="10"/>
      <c r="C294" s="46"/>
      <c r="D294" s="47"/>
      <c r="E294" s="47"/>
      <c r="F294" s="47"/>
      <c r="G294" s="47"/>
      <c r="H294" s="47"/>
      <c r="I294" s="47"/>
      <c r="J294" s="47"/>
      <c r="K294" s="47"/>
      <c r="L294" s="11"/>
    </row>
    <row r="295" spans="2:12" x14ac:dyDescent="0.2">
      <c r="B295" s="10"/>
      <c r="C295" s="46"/>
      <c r="D295" s="47"/>
      <c r="E295" s="47"/>
      <c r="F295" s="47"/>
      <c r="G295" s="47"/>
      <c r="H295" s="47"/>
      <c r="I295" s="47"/>
      <c r="J295" s="47"/>
      <c r="K295" s="47"/>
      <c r="L295" s="11"/>
    </row>
    <row r="296" spans="2:12" x14ac:dyDescent="0.2">
      <c r="B296" s="10"/>
      <c r="C296" s="46"/>
      <c r="D296" s="47"/>
      <c r="E296" s="47"/>
      <c r="F296" s="47"/>
      <c r="G296" s="47"/>
      <c r="H296" s="47"/>
      <c r="I296" s="47"/>
      <c r="J296" s="47"/>
      <c r="K296" s="47"/>
      <c r="L296" s="11"/>
    </row>
    <row r="297" spans="2:12" x14ac:dyDescent="0.2">
      <c r="B297" s="10"/>
      <c r="C297" s="46"/>
      <c r="D297" s="47"/>
      <c r="E297" s="47"/>
      <c r="F297" s="47"/>
      <c r="G297" s="47"/>
      <c r="H297" s="47"/>
      <c r="I297" s="47"/>
      <c r="J297" s="47"/>
      <c r="K297" s="47"/>
      <c r="L297" s="11"/>
    </row>
    <row r="298" spans="2:12" x14ac:dyDescent="0.2">
      <c r="B298" s="10"/>
      <c r="C298" s="46"/>
      <c r="D298" s="47"/>
      <c r="E298" s="47"/>
      <c r="F298" s="47"/>
      <c r="G298" s="47"/>
      <c r="H298" s="47"/>
      <c r="I298" s="47"/>
      <c r="J298" s="47"/>
      <c r="K298" s="47"/>
      <c r="L298" s="11"/>
    </row>
    <row r="299" spans="2:12" x14ac:dyDescent="0.2">
      <c r="B299" s="10"/>
      <c r="C299" s="46"/>
      <c r="D299" s="47"/>
      <c r="E299" s="47"/>
      <c r="F299" s="47"/>
      <c r="G299" s="47"/>
      <c r="H299" s="47"/>
      <c r="I299" s="47"/>
      <c r="J299" s="47"/>
      <c r="K299" s="47"/>
      <c r="L299" s="11"/>
    </row>
    <row r="300" spans="2:12" x14ac:dyDescent="0.2">
      <c r="B300" s="10"/>
      <c r="C300" s="46"/>
      <c r="D300" s="47"/>
      <c r="E300" s="47"/>
      <c r="F300" s="47"/>
      <c r="G300" s="47"/>
      <c r="H300" s="47"/>
      <c r="I300" s="47"/>
      <c r="J300" s="47"/>
      <c r="K300" s="47"/>
      <c r="L300" s="11"/>
    </row>
    <row r="301" spans="2:12" x14ac:dyDescent="0.2">
      <c r="B301" s="10"/>
      <c r="C301" s="46"/>
      <c r="D301" s="47"/>
      <c r="E301" s="47"/>
      <c r="F301" s="47"/>
      <c r="G301" s="47"/>
      <c r="H301" s="47"/>
      <c r="I301" s="47"/>
      <c r="J301" s="47"/>
      <c r="K301" s="47"/>
      <c r="L301" s="11"/>
    </row>
    <row r="302" spans="2:12" x14ac:dyDescent="0.2">
      <c r="B302" s="10"/>
      <c r="C302" s="46"/>
      <c r="D302" s="47"/>
      <c r="E302" s="47"/>
      <c r="F302" s="47"/>
      <c r="G302" s="47"/>
      <c r="H302" s="47"/>
      <c r="I302" s="47"/>
      <c r="J302" s="47"/>
      <c r="K302" s="47"/>
      <c r="L302" s="11"/>
    </row>
    <row r="303" spans="2:12" x14ac:dyDescent="0.2">
      <c r="B303" s="10"/>
      <c r="C303" s="46"/>
      <c r="D303" s="47"/>
      <c r="E303" s="47"/>
      <c r="F303" s="47"/>
      <c r="G303" s="47"/>
      <c r="H303" s="47"/>
      <c r="I303" s="47"/>
      <c r="J303" s="47"/>
      <c r="K303" s="47"/>
      <c r="L303" s="11"/>
    </row>
    <row r="304" spans="2:12" x14ac:dyDescent="0.2">
      <c r="B304" s="10"/>
      <c r="C304" s="46"/>
      <c r="D304" s="47"/>
      <c r="E304" s="47"/>
      <c r="F304" s="47"/>
      <c r="G304" s="47"/>
      <c r="H304" s="47"/>
      <c r="I304" s="47"/>
      <c r="J304" s="47"/>
      <c r="K304" s="47"/>
      <c r="L304" s="11"/>
    </row>
    <row r="305" spans="2:12" x14ac:dyDescent="0.2">
      <c r="B305" s="10"/>
      <c r="C305" s="46"/>
      <c r="D305" s="47"/>
      <c r="E305" s="47"/>
      <c r="F305" s="47"/>
      <c r="G305" s="47"/>
      <c r="H305" s="47"/>
      <c r="I305" s="47"/>
      <c r="J305" s="47"/>
      <c r="K305" s="47"/>
      <c r="L305" s="11"/>
    </row>
    <row r="306" spans="2:12" x14ac:dyDescent="0.2">
      <c r="B306" s="10"/>
      <c r="C306" s="46"/>
      <c r="D306" s="47"/>
      <c r="E306" s="47"/>
      <c r="F306" s="47"/>
      <c r="G306" s="47"/>
      <c r="H306" s="47"/>
      <c r="I306" s="47"/>
      <c r="J306" s="47"/>
      <c r="K306" s="47"/>
      <c r="L306" s="11"/>
    </row>
    <row r="307" spans="2:12" x14ac:dyDescent="0.2">
      <c r="B307" s="10"/>
      <c r="C307" s="46"/>
      <c r="D307" s="47"/>
      <c r="E307" s="47"/>
      <c r="F307" s="47"/>
      <c r="G307" s="47"/>
      <c r="H307" s="47"/>
      <c r="I307" s="47"/>
      <c r="J307" s="47"/>
      <c r="K307" s="47"/>
      <c r="L307" s="11"/>
    </row>
    <row r="308" spans="2:12" x14ac:dyDescent="0.2">
      <c r="B308" s="10"/>
      <c r="C308" s="46"/>
      <c r="D308" s="47"/>
      <c r="E308" s="47"/>
      <c r="F308" s="47"/>
      <c r="G308" s="47"/>
      <c r="H308" s="47"/>
      <c r="I308" s="47"/>
      <c r="J308" s="47"/>
      <c r="K308" s="47"/>
      <c r="L308" s="11"/>
    </row>
    <row r="309" spans="2:12" x14ac:dyDescent="0.2">
      <c r="B309" s="10"/>
      <c r="C309" s="46"/>
      <c r="D309" s="47"/>
      <c r="E309" s="47"/>
      <c r="F309" s="47"/>
      <c r="G309" s="47"/>
      <c r="H309" s="47"/>
      <c r="I309" s="47"/>
      <c r="J309" s="47"/>
      <c r="K309" s="47"/>
      <c r="L309" s="11"/>
    </row>
    <row r="310" spans="2:12" x14ac:dyDescent="0.2">
      <c r="B310" s="10"/>
      <c r="C310" s="46"/>
      <c r="D310" s="47"/>
      <c r="E310" s="47"/>
      <c r="F310" s="47"/>
      <c r="G310" s="47"/>
      <c r="H310" s="47"/>
      <c r="I310" s="47"/>
      <c r="J310" s="47"/>
      <c r="K310" s="47"/>
      <c r="L310" s="11"/>
    </row>
    <row r="311" spans="2:12" x14ac:dyDescent="0.2">
      <c r="B311" s="10"/>
      <c r="C311" s="46"/>
      <c r="D311" s="47"/>
      <c r="E311" s="47"/>
      <c r="F311" s="47"/>
      <c r="G311" s="47"/>
      <c r="H311" s="47"/>
      <c r="I311" s="47"/>
      <c r="J311" s="47"/>
      <c r="K311" s="47"/>
      <c r="L311" s="11"/>
    </row>
    <row r="312" spans="2:12" x14ac:dyDescent="0.2">
      <c r="B312" s="10"/>
      <c r="C312" s="46"/>
      <c r="D312" s="47"/>
      <c r="E312" s="47"/>
      <c r="F312" s="47"/>
      <c r="G312" s="47"/>
      <c r="H312" s="47"/>
      <c r="I312" s="47"/>
      <c r="J312" s="47"/>
      <c r="K312" s="47"/>
      <c r="L312" s="11"/>
    </row>
    <row r="313" spans="2:12" x14ac:dyDescent="0.2">
      <c r="B313" s="10"/>
      <c r="C313" s="46"/>
      <c r="D313" s="47"/>
      <c r="E313" s="47"/>
      <c r="F313" s="47"/>
      <c r="G313" s="47"/>
      <c r="H313" s="47"/>
      <c r="I313" s="47"/>
      <c r="J313" s="47"/>
      <c r="K313" s="47"/>
      <c r="L313" s="11"/>
    </row>
    <row r="314" spans="2:12" x14ac:dyDescent="0.2">
      <c r="B314" s="10"/>
      <c r="C314" s="46"/>
      <c r="D314" s="47"/>
      <c r="E314" s="47"/>
      <c r="F314" s="47"/>
      <c r="G314" s="47"/>
      <c r="H314" s="47"/>
      <c r="I314" s="47"/>
      <c r="J314" s="47"/>
      <c r="K314" s="47"/>
      <c r="L314" s="11"/>
    </row>
    <row r="315" spans="2:12" x14ac:dyDescent="0.2">
      <c r="B315" s="10"/>
      <c r="C315" s="46"/>
      <c r="D315" s="47"/>
      <c r="E315" s="47"/>
      <c r="F315" s="47"/>
      <c r="G315" s="47"/>
      <c r="H315" s="47"/>
      <c r="I315" s="47"/>
      <c r="J315" s="47"/>
      <c r="K315" s="47"/>
      <c r="L315" s="11"/>
    </row>
    <row r="316" spans="2:12" x14ac:dyDescent="0.2">
      <c r="B316" s="10"/>
      <c r="C316" s="46"/>
      <c r="D316" s="47"/>
      <c r="E316" s="47"/>
      <c r="F316" s="47"/>
      <c r="G316" s="47"/>
      <c r="H316" s="47"/>
      <c r="I316" s="47"/>
      <c r="J316" s="47"/>
      <c r="K316" s="47"/>
      <c r="L316" s="11"/>
    </row>
    <row r="317" spans="2:12" x14ac:dyDescent="0.2">
      <c r="B317" s="10"/>
      <c r="C317" s="46"/>
      <c r="D317" s="47"/>
      <c r="E317" s="47"/>
      <c r="F317" s="47"/>
      <c r="G317" s="47"/>
      <c r="H317" s="47"/>
      <c r="I317" s="47"/>
      <c r="J317" s="47"/>
      <c r="K317" s="47"/>
      <c r="L317" s="11"/>
    </row>
    <row r="318" spans="2:12" x14ac:dyDescent="0.2">
      <c r="B318" s="10"/>
      <c r="C318" s="46"/>
      <c r="D318" s="47"/>
      <c r="E318" s="47"/>
      <c r="F318" s="47"/>
      <c r="G318" s="47"/>
      <c r="H318" s="47"/>
      <c r="I318" s="47"/>
      <c r="J318" s="47"/>
      <c r="K318" s="47"/>
      <c r="L318" s="11"/>
    </row>
    <row r="319" spans="2:12" x14ac:dyDescent="0.2">
      <c r="B319" s="10"/>
      <c r="C319" s="46"/>
      <c r="D319" s="47"/>
      <c r="E319" s="47"/>
      <c r="F319" s="47"/>
      <c r="G319" s="47"/>
      <c r="H319" s="47"/>
      <c r="I319" s="47"/>
      <c r="J319" s="47"/>
      <c r="K319" s="47"/>
      <c r="L319" s="11"/>
    </row>
    <row r="320" spans="2:12" x14ac:dyDescent="0.2">
      <c r="B320" s="10"/>
      <c r="C320" s="46"/>
      <c r="D320" s="47"/>
      <c r="E320" s="47"/>
      <c r="F320" s="47"/>
      <c r="G320" s="47"/>
      <c r="H320" s="47"/>
      <c r="I320" s="47"/>
      <c r="J320" s="47"/>
      <c r="K320" s="47"/>
      <c r="L320" s="11"/>
    </row>
    <row r="321" spans="2:12" x14ac:dyDescent="0.2">
      <c r="B321" s="10"/>
      <c r="C321" s="46"/>
      <c r="D321" s="47"/>
      <c r="E321" s="47"/>
      <c r="F321" s="47"/>
      <c r="G321" s="47"/>
      <c r="H321" s="47"/>
      <c r="I321" s="47"/>
      <c r="J321" s="47"/>
      <c r="K321" s="47"/>
      <c r="L321" s="11"/>
    </row>
    <row r="322" spans="2:12" x14ac:dyDescent="0.2">
      <c r="B322" s="10"/>
      <c r="C322" s="46"/>
      <c r="D322" s="47"/>
      <c r="E322" s="47"/>
      <c r="F322" s="47"/>
      <c r="G322" s="47"/>
      <c r="H322" s="47"/>
      <c r="I322" s="47"/>
      <c r="J322" s="47"/>
      <c r="K322" s="47"/>
      <c r="L322" s="11"/>
    </row>
    <row r="323" spans="2:12" x14ac:dyDescent="0.2">
      <c r="B323" s="10"/>
      <c r="C323" s="46"/>
      <c r="D323" s="47"/>
      <c r="E323" s="47"/>
      <c r="F323" s="47"/>
      <c r="G323" s="47"/>
      <c r="H323" s="47"/>
      <c r="I323" s="47"/>
      <c r="J323" s="47"/>
      <c r="K323" s="47"/>
      <c r="L323" s="11"/>
    </row>
    <row r="324" spans="2:12" x14ac:dyDescent="0.2">
      <c r="B324" s="10"/>
      <c r="C324" s="46"/>
      <c r="D324" s="47"/>
      <c r="E324" s="47"/>
      <c r="F324" s="47"/>
      <c r="G324" s="47"/>
      <c r="H324" s="47"/>
      <c r="I324" s="47"/>
      <c r="J324" s="47"/>
      <c r="K324" s="47"/>
      <c r="L324" s="11"/>
    </row>
    <row r="325" spans="2:12" x14ac:dyDescent="0.2">
      <c r="B325" s="10"/>
      <c r="C325" s="46"/>
      <c r="D325" s="47"/>
      <c r="E325" s="47"/>
      <c r="F325" s="47"/>
      <c r="G325" s="47"/>
      <c r="H325" s="47"/>
      <c r="I325" s="47"/>
      <c r="J325" s="47"/>
      <c r="K325" s="47"/>
      <c r="L325" s="11"/>
    </row>
    <row r="326" spans="2:12" x14ac:dyDescent="0.2">
      <c r="B326" s="10"/>
      <c r="C326" s="46"/>
      <c r="D326" s="47"/>
      <c r="E326" s="47"/>
      <c r="F326" s="47"/>
      <c r="G326" s="47"/>
      <c r="H326" s="47"/>
      <c r="I326" s="47"/>
      <c r="J326" s="47"/>
      <c r="K326" s="47"/>
      <c r="L326" s="11"/>
    </row>
    <row r="327" spans="2:12" x14ac:dyDescent="0.2">
      <c r="B327" s="10"/>
      <c r="C327" s="46"/>
      <c r="D327" s="47"/>
      <c r="E327" s="47"/>
      <c r="F327" s="47"/>
      <c r="G327" s="47"/>
      <c r="H327" s="47"/>
      <c r="I327" s="47"/>
      <c r="J327" s="47"/>
      <c r="K327" s="47"/>
      <c r="L327" s="11"/>
    </row>
    <row r="328" spans="2:12" x14ac:dyDescent="0.2">
      <c r="B328" s="10"/>
      <c r="C328" s="46"/>
      <c r="D328" s="47"/>
      <c r="E328" s="47"/>
      <c r="F328" s="47"/>
      <c r="G328" s="47"/>
      <c r="H328" s="47"/>
      <c r="I328" s="47"/>
      <c r="J328" s="47"/>
      <c r="K328" s="47"/>
      <c r="L328" s="11"/>
    </row>
    <row r="329" spans="2:12" x14ac:dyDescent="0.2">
      <c r="B329" s="10"/>
      <c r="C329" s="46"/>
      <c r="D329" s="47"/>
      <c r="E329" s="47"/>
      <c r="F329" s="47"/>
      <c r="G329" s="47"/>
      <c r="H329" s="47"/>
      <c r="I329" s="47"/>
      <c r="J329" s="47"/>
      <c r="K329" s="47"/>
      <c r="L329" s="11"/>
    </row>
    <row r="330" spans="2:12" x14ac:dyDescent="0.2">
      <c r="B330" s="10"/>
      <c r="C330" s="46"/>
      <c r="D330" s="47"/>
      <c r="E330" s="47"/>
      <c r="F330" s="47"/>
      <c r="G330" s="47"/>
      <c r="H330" s="47"/>
      <c r="I330" s="47"/>
      <c r="J330" s="47"/>
      <c r="K330" s="47"/>
      <c r="L330" s="11"/>
    </row>
    <row r="331" spans="2:12" x14ac:dyDescent="0.2">
      <c r="B331" s="10"/>
      <c r="C331" s="46"/>
      <c r="D331" s="47"/>
      <c r="E331" s="47"/>
      <c r="F331" s="47"/>
      <c r="G331" s="47"/>
      <c r="H331" s="47"/>
      <c r="I331" s="47"/>
      <c r="J331" s="47"/>
      <c r="K331" s="47"/>
      <c r="L331" s="11"/>
    </row>
    <row r="332" spans="2:12" x14ac:dyDescent="0.2">
      <c r="B332" s="10"/>
      <c r="C332" s="46"/>
      <c r="D332" s="47"/>
      <c r="E332" s="47"/>
      <c r="F332" s="47"/>
      <c r="G332" s="47"/>
      <c r="H332" s="47"/>
      <c r="I332" s="47"/>
      <c r="J332" s="47"/>
      <c r="K332" s="47"/>
      <c r="L332" s="11"/>
    </row>
    <row r="333" spans="2:12" x14ac:dyDescent="0.2">
      <c r="B333" s="10"/>
      <c r="C333" s="46"/>
      <c r="D333" s="47"/>
      <c r="E333" s="47"/>
      <c r="F333" s="47"/>
      <c r="G333" s="47"/>
      <c r="H333" s="47"/>
      <c r="I333" s="47"/>
      <c r="J333" s="47"/>
      <c r="K333" s="47"/>
      <c r="L333" s="11"/>
    </row>
    <row r="334" spans="2:12" x14ac:dyDescent="0.2">
      <c r="B334" s="10"/>
      <c r="C334" s="46"/>
      <c r="D334" s="47"/>
      <c r="E334" s="47"/>
      <c r="F334" s="47"/>
      <c r="G334" s="47"/>
      <c r="H334" s="47"/>
      <c r="I334" s="47"/>
      <c r="J334" s="47"/>
      <c r="K334" s="47"/>
      <c r="L334" s="11"/>
    </row>
    <row r="335" spans="2:12" x14ac:dyDescent="0.2">
      <c r="B335" s="10"/>
      <c r="C335" s="46"/>
      <c r="D335" s="47"/>
      <c r="E335" s="47"/>
      <c r="F335" s="47"/>
      <c r="G335" s="47"/>
      <c r="H335" s="47"/>
      <c r="I335" s="47"/>
      <c r="J335" s="47"/>
      <c r="K335" s="47"/>
      <c r="L335" s="11"/>
    </row>
    <row r="336" spans="2:12" x14ac:dyDescent="0.2">
      <c r="B336" s="10"/>
      <c r="C336" s="46"/>
      <c r="D336" s="47"/>
      <c r="E336" s="47"/>
      <c r="F336" s="47"/>
      <c r="G336" s="47"/>
      <c r="H336" s="47"/>
      <c r="I336" s="47"/>
      <c r="J336" s="47"/>
      <c r="K336" s="47"/>
      <c r="L336" s="11"/>
    </row>
    <row r="337" spans="2:12" x14ac:dyDescent="0.2">
      <c r="B337" s="10"/>
      <c r="C337" s="46"/>
      <c r="D337" s="47"/>
      <c r="E337" s="47"/>
      <c r="F337" s="47"/>
      <c r="G337" s="47"/>
      <c r="H337" s="47"/>
      <c r="I337" s="47"/>
      <c r="J337" s="47"/>
      <c r="K337" s="47"/>
      <c r="L337" s="11"/>
    </row>
    <row r="338" spans="2:12" x14ac:dyDescent="0.2">
      <c r="B338" s="10"/>
      <c r="C338" s="46"/>
      <c r="D338" s="47"/>
      <c r="E338" s="47"/>
      <c r="F338" s="47"/>
      <c r="G338" s="47"/>
      <c r="H338" s="47"/>
      <c r="I338" s="47"/>
      <c r="J338" s="47"/>
      <c r="K338" s="47"/>
      <c r="L338" s="11"/>
    </row>
    <row r="339" spans="2:12" x14ac:dyDescent="0.2">
      <c r="B339" s="10"/>
      <c r="C339" s="46"/>
      <c r="D339" s="47"/>
      <c r="E339" s="47"/>
      <c r="F339" s="47"/>
      <c r="G339" s="47"/>
      <c r="H339" s="47"/>
      <c r="I339" s="47"/>
      <c r="J339" s="47"/>
      <c r="K339" s="47"/>
      <c r="L339" s="11"/>
    </row>
    <row r="340" spans="2:12" x14ac:dyDescent="0.2">
      <c r="B340" s="10"/>
      <c r="C340" s="46"/>
      <c r="D340" s="47"/>
      <c r="E340" s="47"/>
      <c r="F340" s="47"/>
      <c r="G340" s="47"/>
      <c r="H340" s="47"/>
      <c r="I340" s="47"/>
      <c r="J340" s="47"/>
      <c r="K340" s="47"/>
      <c r="L340" s="11"/>
    </row>
    <row r="341" spans="2:12" x14ac:dyDescent="0.2">
      <c r="B341" s="10"/>
      <c r="C341" s="46"/>
      <c r="D341" s="47"/>
      <c r="E341" s="47"/>
      <c r="F341" s="47"/>
      <c r="G341" s="47"/>
      <c r="H341" s="47"/>
      <c r="I341" s="47"/>
      <c r="J341" s="47"/>
      <c r="K341" s="47"/>
      <c r="L341" s="11"/>
    </row>
    <row r="342" spans="2:12" x14ac:dyDescent="0.2">
      <c r="B342" s="10"/>
      <c r="C342" s="46"/>
      <c r="D342" s="47"/>
      <c r="E342" s="47"/>
      <c r="F342" s="47"/>
      <c r="G342" s="47"/>
      <c r="H342" s="47"/>
      <c r="I342" s="47"/>
      <c r="J342" s="47"/>
      <c r="K342" s="47"/>
      <c r="L342" s="11"/>
    </row>
    <row r="343" spans="2:12" x14ac:dyDescent="0.2">
      <c r="B343" s="10"/>
      <c r="C343" s="46"/>
      <c r="D343" s="47"/>
      <c r="E343" s="47"/>
      <c r="F343" s="47"/>
      <c r="G343" s="47"/>
      <c r="H343" s="47"/>
      <c r="I343" s="47"/>
      <c r="J343" s="47"/>
      <c r="K343" s="47"/>
      <c r="L343" s="11"/>
    </row>
    <row r="344" spans="2:12" x14ac:dyDescent="0.2">
      <c r="B344" s="10"/>
      <c r="C344" s="46"/>
      <c r="D344" s="47"/>
      <c r="E344" s="47"/>
      <c r="F344" s="47"/>
      <c r="G344" s="47"/>
      <c r="H344" s="47"/>
      <c r="I344" s="47"/>
      <c r="J344" s="47"/>
      <c r="K344" s="47"/>
      <c r="L344" s="11"/>
    </row>
    <row r="345" spans="2:12" x14ac:dyDescent="0.2">
      <c r="B345" s="10"/>
      <c r="C345" s="46"/>
      <c r="D345" s="47"/>
      <c r="E345" s="47"/>
      <c r="F345" s="47"/>
      <c r="G345" s="47"/>
      <c r="H345" s="47"/>
      <c r="I345" s="47"/>
      <c r="J345" s="47"/>
      <c r="K345" s="47"/>
      <c r="L345" s="11"/>
    </row>
    <row r="346" spans="2:12" x14ac:dyDescent="0.2">
      <c r="B346" s="10"/>
      <c r="C346" s="46"/>
      <c r="D346" s="47"/>
      <c r="E346" s="47"/>
      <c r="F346" s="47"/>
      <c r="G346" s="47"/>
      <c r="H346" s="47"/>
      <c r="I346" s="47"/>
      <c r="J346" s="47"/>
      <c r="K346" s="47"/>
      <c r="L346" s="11"/>
    </row>
    <row r="347" spans="2:12" x14ac:dyDescent="0.2">
      <c r="B347" s="10"/>
      <c r="C347" s="46"/>
      <c r="D347" s="47"/>
      <c r="E347" s="47"/>
      <c r="F347" s="47"/>
      <c r="G347" s="47"/>
      <c r="H347" s="47"/>
      <c r="I347" s="47"/>
      <c r="J347" s="47"/>
      <c r="K347" s="47"/>
      <c r="L347" s="11"/>
    </row>
    <row r="348" spans="2:12" x14ac:dyDescent="0.2">
      <c r="B348" s="10"/>
      <c r="C348" s="46"/>
      <c r="D348" s="47"/>
      <c r="E348" s="47"/>
      <c r="F348" s="47"/>
      <c r="G348" s="47"/>
      <c r="H348" s="47"/>
      <c r="I348" s="47"/>
      <c r="J348" s="47"/>
      <c r="K348" s="47"/>
      <c r="L348" s="11"/>
    </row>
    <row r="349" spans="2:12" x14ac:dyDescent="0.2">
      <c r="B349" s="10"/>
      <c r="C349" s="46"/>
      <c r="D349" s="47"/>
      <c r="E349" s="47"/>
      <c r="F349" s="47"/>
      <c r="G349" s="47"/>
      <c r="H349" s="47"/>
      <c r="I349" s="47"/>
      <c r="J349" s="47"/>
      <c r="K349" s="47"/>
      <c r="L349" s="11"/>
    </row>
    <row r="350" spans="2:12" x14ac:dyDescent="0.2">
      <c r="B350" s="10"/>
      <c r="C350" s="46"/>
      <c r="D350" s="47"/>
      <c r="E350" s="47"/>
      <c r="F350" s="47"/>
      <c r="G350" s="47"/>
      <c r="H350" s="47"/>
      <c r="I350" s="47"/>
      <c r="J350" s="47"/>
      <c r="K350" s="47"/>
      <c r="L350" s="11"/>
    </row>
    <row r="351" spans="2:12" x14ac:dyDescent="0.2">
      <c r="B351" s="10"/>
      <c r="C351" s="46"/>
      <c r="D351" s="47"/>
      <c r="E351" s="47"/>
      <c r="F351" s="47"/>
      <c r="G351" s="47"/>
      <c r="H351" s="47"/>
      <c r="I351" s="47"/>
      <c r="J351" s="47"/>
      <c r="K351" s="47"/>
      <c r="L351" s="11"/>
    </row>
    <row r="352" spans="2:12" x14ac:dyDescent="0.2">
      <c r="B352" s="10"/>
      <c r="C352" s="46"/>
      <c r="D352" s="47"/>
      <c r="E352" s="47"/>
      <c r="F352" s="47"/>
      <c r="G352" s="47"/>
      <c r="H352" s="47"/>
      <c r="I352" s="47"/>
      <c r="J352" s="47"/>
      <c r="K352" s="47"/>
      <c r="L352" s="11"/>
    </row>
    <row r="353" spans="2:12" x14ac:dyDescent="0.2">
      <c r="B353" s="10"/>
      <c r="C353" s="46"/>
      <c r="D353" s="47"/>
      <c r="E353" s="47"/>
      <c r="F353" s="47"/>
      <c r="G353" s="47"/>
      <c r="H353" s="47"/>
      <c r="I353" s="47"/>
      <c r="J353" s="47"/>
      <c r="K353" s="47"/>
      <c r="L353" s="11"/>
    </row>
    <row r="354" spans="2:12" x14ac:dyDescent="0.2">
      <c r="B354" s="10"/>
      <c r="C354" s="46"/>
      <c r="D354" s="47"/>
      <c r="E354" s="47"/>
      <c r="F354" s="47"/>
      <c r="G354" s="47"/>
      <c r="H354" s="47"/>
      <c r="I354" s="47"/>
      <c r="J354" s="47"/>
      <c r="K354" s="47"/>
      <c r="L354" s="11"/>
    </row>
    <row r="355" spans="2:12" x14ac:dyDescent="0.2">
      <c r="B355" s="10"/>
      <c r="C355" s="46"/>
      <c r="D355" s="47"/>
      <c r="E355" s="47"/>
      <c r="F355" s="47"/>
      <c r="G355" s="47"/>
      <c r="H355" s="47"/>
      <c r="I355" s="47"/>
      <c r="J355" s="47"/>
      <c r="K355" s="47"/>
      <c r="L355" s="11"/>
    </row>
    <row r="356" spans="2:12" x14ac:dyDescent="0.2">
      <c r="B356" s="10"/>
      <c r="C356" s="46"/>
      <c r="D356" s="47"/>
      <c r="E356" s="47"/>
      <c r="F356" s="47"/>
      <c r="G356" s="47"/>
      <c r="H356" s="47"/>
      <c r="I356" s="47"/>
      <c r="J356" s="47"/>
      <c r="K356" s="47"/>
      <c r="L356" s="11"/>
    </row>
    <row r="357" spans="2:12" x14ac:dyDescent="0.2">
      <c r="B357" s="10"/>
      <c r="C357" s="46"/>
      <c r="D357" s="47"/>
      <c r="E357" s="47"/>
      <c r="F357" s="47"/>
      <c r="G357" s="47"/>
      <c r="H357" s="47"/>
      <c r="I357" s="47"/>
      <c r="J357" s="47"/>
      <c r="K357" s="47"/>
      <c r="L357" s="11"/>
    </row>
    <row r="358" spans="2:12" x14ac:dyDescent="0.2">
      <c r="B358" s="10"/>
      <c r="C358" s="46"/>
      <c r="D358" s="47"/>
      <c r="E358" s="47"/>
      <c r="F358" s="47"/>
      <c r="G358" s="47"/>
      <c r="H358" s="47"/>
      <c r="I358" s="47"/>
      <c r="J358" s="47"/>
      <c r="K358" s="47"/>
      <c r="L358" s="11"/>
    </row>
    <row r="359" spans="2:12" x14ac:dyDescent="0.2">
      <c r="B359" s="10"/>
      <c r="C359" s="46"/>
      <c r="D359" s="47"/>
      <c r="E359" s="47"/>
      <c r="F359" s="47"/>
      <c r="G359" s="47"/>
      <c r="H359" s="47"/>
      <c r="I359" s="47"/>
      <c r="J359" s="47"/>
      <c r="K359" s="47"/>
      <c r="L359" s="11"/>
    </row>
    <row r="360" spans="2:12" x14ac:dyDescent="0.2">
      <c r="B360" s="10"/>
      <c r="C360" s="46"/>
      <c r="D360" s="47"/>
      <c r="E360" s="47"/>
      <c r="F360" s="47"/>
      <c r="G360" s="47"/>
      <c r="H360" s="47"/>
      <c r="I360" s="47"/>
      <c r="J360" s="47"/>
      <c r="K360" s="47"/>
      <c r="L360" s="11"/>
    </row>
    <row r="361" spans="2:12" x14ac:dyDescent="0.2">
      <c r="B361" s="10"/>
      <c r="C361" s="46"/>
      <c r="D361" s="47"/>
      <c r="E361" s="47"/>
      <c r="F361" s="47"/>
      <c r="G361" s="47"/>
      <c r="H361" s="47"/>
      <c r="I361" s="47"/>
      <c r="J361" s="47"/>
      <c r="K361" s="47"/>
      <c r="L361" s="11"/>
    </row>
    <row r="362" spans="2:12" x14ac:dyDescent="0.2">
      <c r="B362" s="10"/>
      <c r="C362" s="46"/>
      <c r="D362" s="47"/>
      <c r="E362" s="47"/>
      <c r="F362" s="47"/>
      <c r="G362" s="47"/>
      <c r="H362" s="47"/>
      <c r="I362" s="47"/>
      <c r="J362" s="47"/>
      <c r="K362" s="47"/>
      <c r="L362" s="11"/>
    </row>
    <row r="363" spans="2:12" x14ac:dyDescent="0.2">
      <c r="B363" s="10"/>
      <c r="C363" s="46"/>
      <c r="D363" s="47"/>
      <c r="E363" s="47"/>
      <c r="F363" s="47"/>
      <c r="G363" s="47"/>
      <c r="H363" s="47"/>
      <c r="I363" s="47"/>
      <c r="J363" s="47"/>
      <c r="K363" s="47"/>
      <c r="L363" s="11"/>
    </row>
    <row r="364" spans="2:12" x14ac:dyDescent="0.2">
      <c r="B364" s="10"/>
      <c r="C364" s="46"/>
      <c r="D364" s="47"/>
      <c r="E364" s="47"/>
      <c r="F364" s="47"/>
      <c r="G364" s="47"/>
      <c r="H364" s="47"/>
      <c r="I364" s="47"/>
      <c r="J364" s="47"/>
      <c r="K364" s="47"/>
      <c r="L364" s="11"/>
    </row>
    <row r="365" spans="2:12" x14ac:dyDescent="0.2">
      <c r="B365" s="10"/>
      <c r="C365" s="46"/>
      <c r="D365" s="47"/>
      <c r="E365" s="47"/>
      <c r="F365" s="47"/>
      <c r="G365" s="47"/>
      <c r="H365" s="47"/>
      <c r="I365" s="47"/>
      <c r="J365" s="47"/>
      <c r="K365" s="47"/>
      <c r="L365" s="11"/>
    </row>
    <row r="366" spans="2:12" x14ac:dyDescent="0.2">
      <c r="B366" s="10"/>
      <c r="C366" s="46"/>
      <c r="D366" s="47"/>
      <c r="E366" s="47"/>
      <c r="F366" s="47"/>
      <c r="G366" s="47"/>
      <c r="H366" s="47"/>
      <c r="I366" s="47"/>
      <c r="J366" s="47"/>
      <c r="K366" s="47"/>
      <c r="L366" s="11"/>
    </row>
    <row r="367" spans="2:12" x14ac:dyDescent="0.2">
      <c r="B367" s="10"/>
      <c r="C367" s="46"/>
      <c r="D367" s="47"/>
      <c r="E367" s="47"/>
      <c r="F367" s="47"/>
      <c r="G367" s="47"/>
      <c r="H367" s="47"/>
      <c r="I367" s="47"/>
      <c r="J367" s="47"/>
      <c r="K367" s="47"/>
      <c r="L367" s="11"/>
    </row>
    <row r="368" spans="2:12" x14ac:dyDescent="0.2">
      <c r="B368" s="10"/>
      <c r="C368" s="46"/>
      <c r="D368" s="47"/>
      <c r="E368" s="47"/>
      <c r="F368" s="47"/>
      <c r="G368" s="47"/>
      <c r="H368" s="47"/>
      <c r="I368" s="47"/>
      <c r="J368" s="47"/>
      <c r="K368" s="47"/>
      <c r="L368" s="11"/>
    </row>
    <row r="369" spans="2:12" x14ac:dyDescent="0.2">
      <c r="B369" s="10"/>
      <c r="C369" s="46"/>
      <c r="D369" s="47"/>
      <c r="E369" s="47"/>
      <c r="F369" s="47"/>
      <c r="G369" s="47"/>
      <c r="H369" s="47"/>
      <c r="I369" s="47"/>
      <c r="J369" s="47"/>
      <c r="K369" s="47"/>
      <c r="L369" s="11"/>
    </row>
    <row r="370" spans="2:12" x14ac:dyDescent="0.2">
      <c r="B370" s="10"/>
      <c r="C370" s="46"/>
      <c r="D370" s="47"/>
      <c r="E370" s="47"/>
      <c r="F370" s="47"/>
      <c r="G370" s="47"/>
      <c r="H370" s="47"/>
      <c r="I370" s="47"/>
      <c r="J370" s="47"/>
      <c r="K370" s="47"/>
      <c r="L370" s="11"/>
    </row>
    <row r="371" spans="2:12" x14ac:dyDescent="0.2">
      <c r="B371" s="10"/>
      <c r="C371" s="46"/>
      <c r="D371" s="47"/>
      <c r="E371" s="47"/>
      <c r="F371" s="47"/>
      <c r="G371" s="47"/>
      <c r="H371" s="47"/>
      <c r="I371" s="47"/>
      <c r="J371" s="47"/>
      <c r="K371" s="47"/>
      <c r="L371" s="11"/>
    </row>
    <row r="372" spans="2:12" x14ac:dyDescent="0.2">
      <c r="B372" s="10"/>
      <c r="C372" s="46"/>
      <c r="D372" s="47"/>
      <c r="E372" s="47"/>
      <c r="F372" s="47"/>
      <c r="G372" s="47"/>
      <c r="H372" s="47"/>
      <c r="I372" s="47"/>
      <c r="J372" s="47"/>
      <c r="K372" s="47"/>
      <c r="L372" s="11"/>
    </row>
    <row r="373" spans="2:12" x14ac:dyDescent="0.2">
      <c r="B373" s="10"/>
      <c r="C373" s="46"/>
      <c r="D373" s="47"/>
      <c r="E373" s="47"/>
      <c r="F373" s="47"/>
      <c r="G373" s="47"/>
      <c r="H373" s="47"/>
      <c r="I373" s="47"/>
      <c r="J373" s="47"/>
      <c r="K373" s="47"/>
      <c r="L373" s="11"/>
    </row>
    <row r="374" spans="2:12" x14ac:dyDescent="0.2">
      <c r="B374" s="10"/>
      <c r="C374" s="46"/>
      <c r="D374" s="47"/>
      <c r="E374" s="47"/>
      <c r="F374" s="47"/>
      <c r="G374" s="47"/>
      <c r="H374" s="47"/>
      <c r="I374" s="47"/>
      <c r="J374" s="47"/>
      <c r="K374" s="47"/>
      <c r="L374" s="11"/>
    </row>
    <row r="375" spans="2:12" x14ac:dyDescent="0.2">
      <c r="B375" s="10"/>
      <c r="C375" s="46"/>
      <c r="D375" s="47"/>
      <c r="E375" s="47"/>
      <c r="F375" s="47"/>
      <c r="G375" s="47"/>
      <c r="H375" s="47"/>
      <c r="I375" s="47"/>
      <c r="J375" s="47"/>
      <c r="K375" s="47"/>
      <c r="L375" s="11"/>
    </row>
    <row r="376" spans="2:12" x14ac:dyDescent="0.2">
      <c r="B376" s="10"/>
      <c r="C376" s="46"/>
      <c r="D376" s="47"/>
      <c r="E376" s="47"/>
      <c r="F376" s="47"/>
      <c r="G376" s="47"/>
      <c r="H376" s="47"/>
      <c r="I376" s="47"/>
      <c r="J376" s="47"/>
      <c r="K376" s="47"/>
      <c r="L376" s="11"/>
    </row>
    <row r="377" spans="2:12" x14ac:dyDescent="0.2">
      <c r="B377" s="10"/>
      <c r="C377" s="46"/>
      <c r="D377" s="47"/>
      <c r="E377" s="47"/>
      <c r="F377" s="47"/>
      <c r="G377" s="47"/>
      <c r="H377" s="47"/>
      <c r="I377" s="47"/>
      <c r="J377" s="47"/>
      <c r="K377" s="47"/>
      <c r="L377" s="11"/>
    </row>
    <row r="378" spans="2:12" x14ac:dyDescent="0.2">
      <c r="B378" s="10"/>
      <c r="C378" s="46"/>
      <c r="D378" s="47"/>
      <c r="E378" s="47"/>
      <c r="F378" s="47"/>
      <c r="G378" s="47"/>
      <c r="H378" s="47"/>
      <c r="I378" s="47"/>
      <c r="J378" s="47"/>
      <c r="K378" s="47"/>
      <c r="L378" s="11"/>
    </row>
    <row r="379" spans="2:12" x14ac:dyDescent="0.2">
      <c r="B379" s="10"/>
      <c r="C379" s="46"/>
      <c r="D379" s="47"/>
      <c r="E379" s="47"/>
      <c r="F379" s="47"/>
      <c r="G379" s="47"/>
      <c r="H379" s="47"/>
      <c r="I379" s="47"/>
      <c r="J379" s="47"/>
      <c r="K379" s="47"/>
      <c r="L379" s="11"/>
    </row>
    <row r="380" spans="2:12" x14ac:dyDescent="0.2">
      <c r="B380" s="10"/>
      <c r="C380" s="46"/>
      <c r="D380" s="47"/>
      <c r="E380" s="47"/>
      <c r="F380" s="47"/>
      <c r="G380" s="47"/>
      <c r="H380" s="47"/>
      <c r="I380" s="47"/>
      <c r="J380" s="47"/>
      <c r="K380" s="47"/>
      <c r="L380" s="11"/>
    </row>
    <row r="381" spans="2:12" x14ac:dyDescent="0.2">
      <c r="B381" s="10"/>
      <c r="C381" s="46"/>
      <c r="D381" s="47"/>
      <c r="E381" s="47"/>
      <c r="F381" s="47"/>
      <c r="G381" s="47"/>
      <c r="H381" s="47"/>
      <c r="I381" s="47"/>
      <c r="J381" s="47"/>
      <c r="K381" s="47"/>
      <c r="L381" s="11"/>
    </row>
    <row r="382" spans="2:12" x14ac:dyDescent="0.2">
      <c r="B382" s="10"/>
      <c r="C382" s="46"/>
      <c r="D382" s="47"/>
      <c r="E382" s="47"/>
      <c r="F382" s="47"/>
      <c r="G382" s="47"/>
      <c r="H382" s="47"/>
      <c r="I382" s="47"/>
      <c r="J382" s="47"/>
      <c r="K382" s="47"/>
      <c r="L382" s="11"/>
    </row>
    <row r="383" spans="2:12" x14ac:dyDescent="0.2">
      <c r="B383" s="10"/>
      <c r="C383" s="46"/>
      <c r="D383" s="47"/>
      <c r="E383" s="47"/>
      <c r="F383" s="47"/>
      <c r="G383" s="47"/>
      <c r="H383" s="47"/>
      <c r="I383" s="47"/>
      <c r="J383" s="47"/>
      <c r="K383" s="47"/>
      <c r="L383" s="11"/>
    </row>
    <row r="384" spans="2:12" x14ac:dyDescent="0.2">
      <c r="B384" s="10"/>
      <c r="C384" s="46"/>
      <c r="D384" s="47"/>
      <c r="E384" s="47"/>
      <c r="F384" s="47"/>
      <c r="G384" s="47"/>
      <c r="H384" s="47"/>
      <c r="I384" s="47"/>
      <c r="J384" s="47"/>
      <c r="K384" s="47"/>
      <c r="L384" s="11"/>
    </row>
    <row r="385" spans="2:12" x14ac:dyDescent="0.2">
      <c r="B385" s="10"/>
      <c r="C385" s="46"/>
      <c r="D385" s="47"/>
      <c r="E385" s="47"/>
      <c r="F385" s="47"/>
      <c r="G385" s="47"/>
      <c r="H385" s="47"/>
      <c r="I385" s="47"/>
      <c r="J385" s="47"/>
      <c r="K385" s="47"/>
      <c r="L385" s="11"/>
    </row>
    <row r="386" spans="2:12" x14ac:dyDescent="0.2">
      <c r="B386" s="10"/>
      <c r="C386" s="46"/>
      <c r="D386" s="47"/>
      <c r="E386" s="47"/>
      <c r="F386" s="47"/>
      <c r="G386" s="47"/>
      <c r="H386" s="47"/>
      <c r="I386" s="47"/>
      <c r="J386" s="47"/>
      <c r="K386" s="47"/>
      <c r="L386" s="11"/>
    </row>
    <row r="387" spans="2:12" x14ac:dyDescent="0.2">
      <c r="B387" s="10"/>
      <c r="C387" s="46"/>
      <c r="D387" s="47"/>
      <c r="E387" s="47"/>
      <c r="F387" s="47"/>
      <c r="G387" s="47"/>
      <c r="H387" s="47"/>
      <c r="I387" s="47"/>
      <c r="J387" s="47"/>
      <c r="K387" s="47"/>
      <c r="L387" s="11"/>
    </row>
    <row r="388" spans="2:12" x14ac:dyDescent="0.2">
      <c r="B388" s="10"/>
      <c r="C388" s="46"/>
      <c r="D388" s="47"/>
      <c r="E388" s="47"/>
      <c r="F388" s="47"/>
      <c r="G388" s="47"/>
      <c r="H388" s="47"/>
      <c r="I388" s="47"/>
      <c r="J388" s="47"/>
      <c r="K388" s="47"/>
      <c r="L388" s="11"/>
    </row>
    <row r="389" spans="2:12" x14ac:dyDescent="0.2">
      <c r="B389" s="10"/>
      <c r="C389" s="46"/>
      <c r="D389" s="47"/>
      <c r="E389" s="47"/>
      <c r="F389" s="47"/>
      <c r="G389" s="47"/>
      <c r="H389" s="47"/>
      <c r="I389" s="47"/>
      <c r="J389" s="47"/>
      <c r="K389" s="47"/>
      <c r="L389" s="11"/>
    </row>
    <row r="390" spans="2:12" x14ac:dyDescent="0.2">
      <c r="B390" s="10"/>
      <c r="C390" s="46"/>
      <c r="D390" s="47"/>
      <c r="E390" s="47"/>
      <c r="F390" s="47"/>
      <c r="G390" s="47"/>
      <c r="H390" s="47"/>
      <c r="I390" s="47"/>
      <c r="J390" s="47"/>
      <c r="K390" s="47"/>
      <c r="L390" s="11"/>
    </row>
    <row r="391" spans="2:12" x14ac:dyDescent="0.2">
      <c r="B391" s="10"/>
      <c r="C391" s="46"/>
      <c r="D391" s="47"/>
      <c r="E391" s="47"/>
      <c r="F391" s="47"/>
      <c r="G391" s="47"/>
      <c r="H391" s="47"/>
      <c r="I391" s="47"/>
      <c r="J391" s="47"/>
      <c r="K391" s="47"/>
      <c r="L391" s="11"/>
    </row>
    <row r="392" spans="2:12" x14ac:dyDescent="0.2">
      <c r="B392" s="10"/>
      <c r="C392" s="46"/>
      <c r="D392" s="47"/>
      <c r="E392" s="47"/>
      <c r="F392" s="47"/>
      <c r="G392" s="47"/>
      <c r="H392" s="47"/>
      <c r="I392" s="47"/>
      <c r="J392" s="47"/>
      <c r="K392" s="47"/>
      <c r="L392" s="11"/>
    </row>
    <row r="393" spans="2:12" x14ac:dyDescent="0.2">
      <c r="B393" s="10"/>
      <c r="C393" s="46"/>
      <c r="D393" s="47"/>
      <c r="E393" s="47"/>
      <c r="F393" s="47"/>
      <c r="G393" s="47"/>
      <c r="H393" s="47"/>
      <c r="I393" s="47"/>
      <c r="J393" s="47"/>
      <c r="K393" s="47"/>
      <c r="L393" s="11"/>
    </row>
    <row r="394" spans="2:12" x14ac:dyDescent="0.2">
      <c r="B394" s="10"/>
      <c r="C394" s="46"/>
      <c r="D394" s="47"/>
      <c r="E394" s="47"/>
      <c r="F394" s="47"/>
      <c r="G394" s="47"/>
      <c r="H394" s="47"/>
      <c r="I394" s="47"/>
      <c r="J394" s="47"/>
      <c r="K394" s="47"/>
      <c r="L394" s="11"/>
    </row>
    <row r="395" spans="2:12" x14ac:dyDescent="0.2">
      <c r="B395" s="10"/>
      <c r="C395" s="46"/>
      <c r="D395" s="47"/>
      <c r="E395" s="47"/>
      <c r="F395" s="47"/>
      <c r="G395" s="47"/>
      <c r="H395" s="47"/>
      <c r="I395" s="47"/>
      <c r="J395" s="47"/>
      <c r="K395" s="47"/>
      <c r="L395" s="11"/>
    </row>
    <row r="396" spans="2:12" x14ac:dyDescent="0.2">
      <c r="B396" s="10"/>
      <c r="C396" s="46"/>
      <c r="D396" s="47"/>
      <c r="E396" s="47"/>
      <c r="F396" s="47"/>
      <c r="G396" s="47"/>
      <c r="H396" s="47"/>
      <c r="I396" s="47"/>
      <c r="J396" s="47"/>
      <c r="K396" s="47"/>
      <c r="L396" s="11"/>
    </row>
    <row r="397" spans="2:12" x14ac:dyDescent="0.2">
      <c r="B397" s="10"/>
      <c r="C397" s="46"/>
      <c r="D397" s="47"/>
      <c r="E397" s="47"/>
      <c r="F397" s="47"/>
      <c r="G397" s="47"/>
      <c r="H397" s="47"/>
      <c r="I397" s="47"/>
      <c r="J397" s="47"/>
      <c r="K397" s="47"/>
      <c r="L397" s="11"/>
    </row>
    <row r="398" spans="2:12" x14ac:dyDescent="0.2">
      <c r="B398" s="10"/>
      <c r="C398" s="46"/>
      <c r="D398" s="47"/>
      <c r="E398" s="47"/>
      <c r="F398" s="47"/>
      <c r="G398" s="47"/>
      <c r="H398" s="47"/>
      <c r="I398" s="47"/>
      <c r="J398" s="47"/>
      <c r="K398" s="47"/>
      <c r="L398" s="11"/>
    </row>
    <row r="399" spans="2:12" x14ac:dyDescent="0.2">
      <c r="B399" s="10"/>
      <c r="C399" s="46"/>
      <c r="D399" s="47"/>
      <c r="E399" s="47"/>
      <c r="F399" s="47"/>
      <c r="G399" s="47"/>
      <c r="H399" s="47"/>
      <c r="I399" s="47"/>
      <c r="J399" s="47"/>
      <c r="K399" s="47"/>
      <c r="L399" s="11"/>
    </row>
    <row r="400" spans="2:12" x14ac:dyDescent="0.2">
      <c r="B400" s="10"/>
      <c r="C400" s="46"/>
      <c r="D400" s="47"/>
      <c r="E400" s="47"/>
      <c r="F400" s="47"/>
      <c r="G400" s="47"/>
      <c r="H400" s="47"/>
      <c r="I400" s="47"/>
      <c r="J400" s="47"/>
      <c r="K400" s="47"/>
      <c r="L400" s="11"/>
    </row>
    <row r="401" spans="2:12" x14ac:dyDescent="0.2">
      <c r="B401" s="10"/>
      <c r="C401" s="46"/>
      <c r="D401" s="47"/>
      <c r="E401" s="47"/>
      <c r="F401" s="47"/>
      <c r="G401" s="47"/>
      <c r="H401" s="47"/>
      <c r="I401" s="47"/>
      <c r="J401" s="47"/>
      <c r="K401" s="47"/>
      <c r="L401" s="11"/>
    </row>
    <row r="402" spans="2:12" x14ac:dyDescent="0.2">
      <c r="B402" s="10"/>
      <c r="C402" s="46"/>
      <c r="D402" s="47"/>
      <c r="E402" s="47"/>
      <c r="F402" s="47"/>
      <c r="G402" s="47"/>
      <c r="H402" s="47"/>
      <c r="I402" s="47"/>
      <c r="J402" s="47"/>
      <c r="K402" s="47"/>
      <c r="L402" s="11"/>
    </row>
    <row r="403" spans="2:12" x14ac:dyDescent="0.2">
      <c r="B403" s="10"/>
      <c r="C403" s="46"/>
      <c r="D403" s="47"/>
      <c r="E403" s="47"/>
      <c r="F403" s="47"/>
      <c r="G403" s="47"/>
      <c r="H403" s="47"/>
      <c r="I403" s="47"/>
      <c r="J403" s="47"/>
      <c r="K403" s="47"/>
      <c r="L403" s="11"/>
    </row>
    <row r="404" spans="2:12" x14ac:dyDescent="0.2">
      <c r="B404" s="10"/>
      <c r="C404" s="46"/>
      <c r="D404" s="47"/>
      <c r="E404" s="47"/>
      <c r="F404" s="47"/>
      <c r="G404" s="47"/>
      <c r="H404" s="47"/>
      <c r="I404" s="47"/>
      <c r="J404" s="47"/>
      <c r="K404" s="47"/>
      <c r="L404" s="11"/>
    </row>
    <row r="405" spans="2:12" x14ac:dyDescent="0.2">
      <c r="B405" s="10"/>
      <c r="C405" s="46"/>
      <c r="D405" s="47"/>
      <c r="E405" s="47"/>
      <c r="F405" s="47"/>
      <c r="G405" s="47"/>
      <c r="H405" s="47"/>
      <c r="I405" s="47"/>
      <c r="J405" s="47"/>
      <c r="K405" s="47"/>
      <c r="L405" s="11"/>
    </row>
    <row r="406" spans="2:12" x14ac:dyDescent="0.2">
      <c r="B406" s="10"/>
      <c r="C406" s="46"/>
      <c r="D406" s="47"/>
      <c r="E406" s="47"/>
      <c r="F406" s="47"/>
      <c r="G406" s="47"/>
      <c r="H406" s="47"/>
      <c r="I406" s="47"/>
      <c r="J406" s="47"/>
      <c r="K406" s="47"/>
      <c r="L406" s="11"/>
    </row>
    <row r="407" spans="2:12" x14ac:dyDescent="0.2">
      <c r="B407" s="10"/>
      <c r="C407" s="46"/>
      <c r="D407" s="47"/>
      <c r="E407" s="47"/>
      <c r="F407" s="47"/>
      <c r="G407" s="47"/>
      <c r="H407" s="47"/>
      <c r="I407" s="47"/>
      <c r="J407" s="47"/>
      <c r="K407" s="47"/>
      <c r="L407" s="11"/>
    </row>
    <row r="408" spans="2:12" x14ac:dyDescent="0.2">
      <c r="B408" s="10"/>
      <c r="C408" s="46"/>
      <c r="D408" s="47"/>
      <c r="E408" s="47"/>
      <c r="F408" s="47"/>
      <c r="G408" s="47"/>
      <c r="H408" s="47"/>
      <c r="I408" s="47"/>
      <c r="J408" s="47"/>
      <c r="K408" s="47"/>
      <c r="L408" s="11"/>
    </row>
    <row r="409" spans="2:12" x14ac:dyDescent="0.2">
      <c r="B409" s="10"/>
      <c r="C409" s="46"/>
      <c r="D409" s="47"/>
      <c r="E409" s="47"/>
      <c r="F409" s="47"/>
      <c r="G409" s="47"/>
      <c r="H409" s="47"/>
      <c r="I409" s="47"/>
      <c r="J409" s="47"/>
      <c r="K409" s="47"/>
      <c r="L409" s="11"/>
    </row>
    <row r="410" spans="2:12" x14ac:dyDescent="0.2">
      <c r="B410" s="10"/>
      <c r="C410" s="46"/>
      <c r="D410" s="47"/>
      <c r="E410" s="47"/>
      <c r="F410" s="47"/>
      <c r="G410" s="47"/>
      <c r="H410" s="47"/>
      <c r="I410" s="47"/>
      <c r="J410" s="47"/>
      <c r="K410" s="47"/>
      <c r="L410" s="11"/>
    </row>
    <row r="411" spans="2:12" x14ac:dyDescent="0.2">
      <c r="B411" s="10"/>
      <c r="C411" s="46"/>
      <c r="D411" s="47"/>
      <c r="E411" s="47"/>
      <c r="F411" s="47"/>
      <c r="G411" s="47"/>
      <c r="H411" s="47"/>
      <c r="I411" s="47"/>
      <c r="J411" s="47"/>
      <c r="K411" s="47"/>
      <c r="L411" s="11"/>
    </row>
    <row r="412" spans="2:12" x14ac:dyDescent="0.2">
      <c r="B412" s="10"/>
      <c r="C412" s="46"/>
      <c r="D412" s="47"/>
      <c r="E412" s="47"/>
      <c r="F412" s="47"/>
      <c r="G412" s="47"/>
      <c r="H412" s="47"/>
      <c r="I412" s="47"/>
      <c r="J412" s="47"/>
      <c r="K412" s="47"/>
      <c r="L412" s="11"/>
    </row>
    <row r="413" spans="2:12" x14ac:dyDescent="0.2">
      <c r="B413" s="10"/>
      <c r="C413" s="46"/>
      <c r="D413" s="47"/>
      <c r="E413" s="47"/>
      <c r="F413" s="47"/>
      <c r="G413" s="47"/>
      <c r="H413" s="47"/>
      <c r="I413" s="47"/>
      <c r="J413" s="47"/>
      <c r="K413" s="47"/>
      <c r="L413" s="11"/>
    </row>
    <row r="414" spans="2:12" x14ac:dyDescent="0.2">
      <c r="B414" s="10"/>
      <c r="C414" s="46"/>
      <c r="D414" s="47"/>
      <c r="E414" s="47"/>
      <c r="F414" s="47"/>
      <c r="G414" s="47"/>
      <c r="H414" s="47"/>
      <c r="I414" s="47"/>
      <c r="J414" s="47"/>
      <c r="K414" s="47"/>
      <c r="L414" s="11"/>
    </row>
    <row r="415" spans="2:12" x14ac:dyDescent="0.2">
      <c r="B415" s="10"/>
      <c r="C415" s="46"/>
      <c r="D415" s="47"/>
      <c r="E415" s="47"/>
      <c r="F415" s="47"/>
      <c r="G415" s="47"/>
      <c r="H415" s="47"/>
      <c r="I415" s="47"/>
      <c r="J415" s="47"/>
      <c r="K415" s="47"/>
      <c r="L415" s="11"/>
    </row>
    <row r="416" spans="2:12" x14ac:dyDescent="0.2">
      <c r="B416" s="10"/>
      <c r="C416" s="46"/>
      <c r="D416" s="47"/>
      <c r="E416" s="47"/>
      <c r="F416" s="47"/>
      <c r="G416" s="47"/>
      <c r="H416" s="47"/>
      <c r="I416" s="47"/>
      <c r="J416" s="47"/>
      <c r="K416" s="47"/>
      <c r="L416" s="11"/>
    </row>
    <row r="417" spans="2:12" x14ac:dyDescent="0.2">
      <c r="B417" s="10"/>
      <c r="C417" s="46"/>
      <c r="D417" s="47"/>
      <c r="E417" s="47"/>
      <c r="F417" s="47"/>
      <c r="G417" s="47"/>
      <c r="H417" s="47"/>
      <c r="I417" s="47"/>
      <c r="J417" s="47"/>
      <c r="K417" s="47"/>
      <c r="L417" s="11"/>
    </row>
    <row r="418" spans="2:12" x14ac:dyDescent="0.2">
      <c r="B418" s="10"/>
      <c r="C418" s="46"/>
      <c r="D418" s="47"/>
      <c r="E418" s="47"/>
      <c r="F418" s="47"/>
      <c r="G418" s="47"/>
      <c r="H418" s="47"/>
      <c r="I418" s="47"/>
      <c r="J418" s="47"/>
      <c r="K418" s="47"/>
      <c r="L418" s="11"/>
    </row>
    <row r="419" spans="2:12" x14ac:dyDescent="0.2">
      <c r="B419" s="10"/>
      <c r="C419" s="46"/>
      <c r="D419" s="47"/>
      <c r="E419" s="47"/>
      <c r="F419" s="47"/>
      <c r="G419" s="47"/>
      <c r="H419" s="47"/>
      <c r="I419" s="47"/>
      <c r="J419" s="47"/>
      <c r="K419" s="47"/>
      <c r="L419" s="11"/>
    </row>
    <row r="420" spans="2:12" x14ac:dyDescent="0.2">
      <c r="B420" s="10"/>
      <c r="C420" s="46"/>
      <c r="D420" s="47"/>
      <c r="E420" s="47"/>
      <c r="F420" s="47"/>
      <c r="G420" s="47"/>
      <c r="H420" s="47"/>
      <c r="I420" s="47"/>
      <c r="J420" s="47"/>
      <c r="K420" s="47"/>
      <c r="L420" s="11"/>
    </row>
    <row r="421" spans="2:12" x14ac:dyDescent="0.2">
      <c r="B421" s="10"/>
      <c r="C421" s="46"/>
      <c r="D421" s="47"/>
      <c r="E421" s="47"/>
      <c r="F421" s="47"/>
      <c r="G421" s="47"/>
      <c r="H421" s="47"/>
      <c r="I421" s="47"/>
      <c r="J421" s="47"/>
      <c r="K421" s="47"/>
      <c r="L421" s="11"/>
    </row>
    <row r="422" spans="2:12" x14ac:dyDescent="0.2">
      <c r="B422" s="10"/>
      <c r="C422" s="46"/>
      <c r="D422" s="47"/>
      <c r="E422" s="47"/>
      <c r="F422" s="47"/>
      <c r="G422" s="47"/>
      <c r="H422" s="47"/>
      <c r="I422" s="47"/>
      <c r="J422" s="47"/>
      <c r="K422" s="47"/>
      <c r="L422" s="11"/>
    </row>
    <row r="423" spans="2:12" x14ac:dyDescent="0.2">
      <c r="B423" s="10"/>
      <c r="C423" s="46"/>
      <c r="D423" s="47"/>
      <c r="E423" s="47"/>
      <c r="F423" s="47"/>
      <c r="G423" s="47"/>
      <c r="H423" s="47"/>
      <c r="I423" s="47"/>
      <c r="J423" s="47"/>
      <c r="K423" s="47"/>
      <c r="L423" s="11"/>
    </row>
    <row r="424" spans="2:12" x14ac:dyDescent="0.2">
      <c r="B424" s="10"/>
      <c r="C424" s="46"/>
      <c r="D424" s="47"/>
      <c r="E424" s="47"/>
      <c r="F424" s="47"/>
      <c r="G424" s="47"/>
      <c r="H424" s="47"/>
      <c r="I424" s="47"/>
      <c r="J424" s="47"/>
      <c r="K424" s="47"/>
      <c r="L424" s="11"/>
    </row>
    <row r="425" spans="2:12" x14ac:dyDescent="0.2">
      <c r="B425" s="10"/>
      <c r="C425" s="46"/>
      <c r="D425" s="47"/>
      <c r="E425" s="47"/>
      <c r="F425" s="47"/>
      <c r="G425" s="47"/>
      <c r="H425" s="47"/>
      <c r="I425" s="47"/>
      <c r="J425" s="47"/>
      <c r="K425" s="47"/>
      <c r="L425" s="11"/>
    </row>
    <row r="426" spans="2:12" x14ac:dyDescent="0.2">
      <c r="B426" s="10"/>
      <c r="C426" s="46"/>
      <c r="D426" s="47"/>
      <c r="E426" s="47"/>
      <c r="F426" s="47"/>
      <c r="G426" s="47"/>
      <c r="H426" s="47"/>
      <c r="I426" s="47"/>
      <c r="J426" s="47"/>
      <c r="K426" s="47"/>
      <c r="L426" s="11"/>
    </row>
    <row r="427" spans="2:12" x14ac:dyDescent="0.2">
      <c r="B427" s="10"/>
      <c r="C427" s="46"/>
      <c r="D427" s="47"/>
      <c r="E427" s="47"/>
      <c r="F427" s="47"/>
      <c r="G427" s="47"/>
      <c r="H427" s="47"/>
      <c r="I427" s="47"/>
      <c r="J427" s="47"/>
      <c r="K427" s="47"/>
      <c r="L427" s="11"/>
    </row>
    <row r="428" spans="2:12" x14ac:dyDescent="0.2">
      <c r="B428" s="10"/>
      <c r="C428" s="46"/>
      <c r="D428" s="47"/>
      <c r="E428" s="47"/>
      <c r="F428" s="47"/>
      <c r="G428" s="47"/>
      <c r="H428" s="47"/>
      <c r="I428" s="47"/>
      <c r="J428" s="47"/>
      <c r="K428" s="47"/>
      <c r="L428" s="11"/>
    </row>
    <row r="429" spans="2:12" x14ac:dyDescent="0.2">
      <c r="B429" s="10"/>
      <c r="C429" s="46"/>
      <c r="D429" s="47"/>
      <c r="E429" s="47"/>
      <c r="F429" s="47"/>
      <c r="G429" s="47"/>
      <c r="H429" s="47"/>
      <c r="I429" s="47"/>
      <c r="J429" s="47"/>
      <c r="K429" s="47"/>
      <c r="L429" s="11"/>
    </row>
    <row r="430" spans="2:12" x14ac:dyDescent="0.2">
      <c r="B430" s="10"/>
      <c r="C430" s="46"/>
      <c r="D430" s="47"/>
      <c r="E430" s="47"/>
      <c r="F430" s="47"/>
      <c r="G430" s="47"/>
      <c r="H430" s="47"/>
      <c r="I430" s="47"/>
      <c r="J430" s="47"/>
      <c r="K430" s="47"/>
      <c r="L430" s="11"/>
    </row>
    <row r="431" spans="2:12" x14ac:dyDescent="0.2">
      <c r="B431" s="10"/>
      <c r="C431" s="46"/>
      <c r="D431" s="47"/>
      <c r="E431" s="47"/>
      <c r="F431" s="47"/>
      <c r="G431" s="47"/>
      <c r="H431" s="47"/>
      <c r="I431" s="47"/>
      <c r="J431" s="47"/>
      <c r="K431" s="47"/>
      <c r="L431" s="11"/>
    </row>
    <row r="432" spans="2:12" x14ac:dyDescent="0.2">
      <c r="B432" s="10"/>
      <c r="C432" s="46"/>
      <c r="D432" s="47"/>
      <c r="E432" s="47"/>
      <c r="F432" s="47"/>
      <c r="G432" s="47"/>
      <c r="H432" s="47"/>
      <c r="I432" s="47"/>
      <c r="J432" s="47"/>
      <c r="K432" s="47"/>
      <c r="L432" s="11"/>
    </row>
    <row r="433" spans="2:12" x14ac:dyDescent="0.2">
      <c r="B433" s="10"/>
      <c r="C433" s="46"/>
      <c r="D433" s="47"/>
      <c r="E433" s="47"/>
      <c r="F433" s="47"/>
      <c r="G433" s="47"/>
      <c r="H433" s="47"/>
      <c r="I433" s="47"/>
      <c r="J433" s="47"/>
      <c r="K433" s="47"/>
      <c r="L433" s="11"/>
    </row>
    <row r="434" spans="2:12" x14ac:dyDescent="0.2">
      <c r="B434" s="10"/>
      <c r="C434" s="46"/>
      <c r="D434" s="47"/>
      <c r="E434" s="47"/>
      <c r="F434" s="47"/>
      <c r="G434" s="47"/>
      <c r="H434" s="47"/>
      <c r="I434" s="47"/>
      <c r="J434" s="47"/>
      <c r="K434" s="47"/>
      <c r="L434" s="11"/>
    </row>
    <row r="435" spans="2:12" x14ac:dyDescent="0.2">
      <c r="B435" s="10"/>
      <c r="C435" s="46"/>
      <c r="D435" s="47"/>
      <c r="E435" s="47"/>
      <c r="F435" s="47"/>
      <c r="G435" s="47"/>
      <c r="H435" s="47"/>
      <c r="I435" s="47"/>
      <c r="J435" s="47"/>
      <c r="K435" s="47"/>
      <c r="L435" s="11"/>
    </row>
    <row r="436" spans="2:12" x14ac:dyDescent="0.2">
      <c r="B436" s="10"/>
      <c r="C436" s="46"/>
      <c r="D436" s="47"/>
      <c r="E436" s="47"/>
      <c r="F436" s="47"/>
      <c r="G436" s="47"/>
      <c r="H436" s="47"/>
      <c r="I436" s="47"/>
      <c r="J436" s="47"/>
      <c r="K436" s="47"/>
      <c r="L436" s="11"/>
    </row>
    <row r="437" spans="2:12" x14ac:dyDescent="0.2">
      <c r="B437" s="10"/>
      <c r="C437" s="46"/>
      <c r="D437" s="47"/>
      <c r="E437" s="47"/>
      <c r="F437" s="47"/>
      <c r="G437" s="47"/>
      <c r="H437" s="47"/>
      <c r="I437" s="47"/>
      <c r="J437" s="47"/>
      <c r="K437" s="47"/>
      <c r="L437" s="11"/>
    </row>
    <row r="438" spans="2:12" x14ac:dyDescent="0.2">
      <c r="B438" s="10"/>
      <c r="C438" s="46"/>
      <c r="D438" s="47"/>
      <c r="E438" s="47"/>
      <c r="F438" s="47"/>
      <c r="G438" s="47"/>
      <c r="H438" s="47"/>
      <c r="I438" s="47"/>
      <c r="J438" s="47"/>
      <c r="K438" s="47"/>
      <c r="L438" s="11"/>
    </row>
    <row r="439" spans="2:12" x14ac:dyDescent="0.2">
      <c r="B439" s="10"/>
      <c r="C439" s="46"/>
      <c r="D439" s="47"/>
      <c r="E439" s="47"/>
      <c r="F439" s="47"/>
      <c r="G439" s="47"/>
      <c r="H439" s="47"/>
      <c r="I439" s="47"/>
      <c r="J439" s="47"/>
      <c r="K439" s="47"/>
      <c r="L439" s="11"/>
    </row>
    <row r="440" spans="2:12" x14ac:dyDescent="0.2">
      <c r="B440" s="10"/>
      <c r="C440" s="46"/>
      <c r="D440" s="47"/>
      <c r="E440" s="47"/>
      <c r="F440" s="47"/>
      <c r="G440" s="47"/>
      <c r="H440" s="47"/>
      <c r="I440" s="47"/>
      <c r="J440" s="47"/>
      <c r="K440" s="47"/>
      <c r="L440" s="11"/>
    </row>
    <row r="441" spans="2:12" x14ac:dyDescent="0.2">
      <c r="B441" s="10"/>
      <c r="C441" s="46"/>
      <c r="D441" s="47"/>
      <c r="E441" s="47"/>
      <c r="F441" s="47"/>
      <c r="G441" s="47"/>
      <c r="H441" s="47"/>
      <c r="I441" s="47"/>
      <c r="J441" s="47"/>
      <c r="K441" s="47"/>
      <c r="L441" s="11"/>
    </row>
    <row r="442" spans="2:12" x14ac:dyDescent="0.2">
      <c r="B442" s="10"/>
      <c r="C442" s="46"/>
      <c r="D442" s="47"/>
      <c r="E442" s="47"/>
      <c r="F442" s="47"/>
      <c r="G442" s="47"/>
      <c r="H442" s="47"/>
      <c r="I442" s="47"/>
      <c r="J442" s="47"/>
      <c r="K442" s="47"/>
      <c r="L442" s="11"/>
    </row>
    <row r="443" spans="2:12" x14ac:dyDescent="0.2">
      <c r="B443" s="10"/>
      <c r="C443" s="46"/>
      <c r="D443" s="47"/>
      <c r="E443" s="47"/>
      <c r="F443" s="47"/>
      <c r="G443" s="47"/>
      <c r="H443" s="47"/>
      <c r="I443" s="47"/>
      <c r="J443" s="47"/>
      <c r="K443" s="47"/>
      <c r="L443" s="11"/>
    </row>
    <row r="444" spans="2:12" x14ac:dyDescent="0.2">
      <c r="B444" s="10"/>
      <c r="C444" s="46"/>
      <c r="D444" s="47"/>
      <c r="E444" s="47"/>
      <c r="F444" s="47"/>
      <c r="G444" s="47"/>
      <c r="H444" s="47"/>
      <c r="I444" s="47"/>
      <c r="J444" s="47"/>
      <c r="K444" s="47"/>
      <c r="L444" s="11"/>
    </row>
    <row r="445" spans="2:12" x14ac:dyDescent="0.2">
      <c r="B445" s="10"/>
      <c r="C445" s="46"/>
      <c r="D445" s="47"/>
      <c r="E445" s="47"/>
      <c r="F445" s="47"/>
      <c r="G445" s="47"/>
      <c r="H445" s="47"/>
      <c r="I445" s="47"/>
      <c r="J445" s="47"/>
      <c r="K445" s="47"/>
      <c r="L445" s="11"/>
    </row>
    <row r="446" spans="2:12" x14ac:dyDescent="0.2">
      <c r="B446" s="10"/>
      <c r="C446" s="46"/>
      <c r="D446" s="47"/>
      <c r="E446" s="47"/>
      <c r="F446" s="47"/>
      <c r="G446" s="47"/>
      <c r="H446" s="47"/>
      <c r="I446" s="47"/>
      <c r="J446" s="47"/>
      <c r="K446" s="47"/>
      <c r="L446" s="11"/>
    </row>
    <row r="447" spans="2:12" x14ac:dyDescent="0.2">
      <c r="B447" s="10"/>
      <c r="C447" s="46"/>
      <c r="D447" s="47"/>
      <c r="E447" s="47"/>
      <c r="F447" s="47"/>
      <c r="G447" s="47"/>
      <c r="H447" s="47"/>
      <c r="I447" s="47"/>
      <c r="J447" s="47"/>
      <c r="K447" s="47"/>
      <c r="L447" s="11"/>
    </row>
    <row r="448" spans="2:12" x14ac:dyDescent="0.2">
      <c r="B448" s="10"/>
      <c r="C448" s="46"/>
      <c r="D448" s="47"/>
      <c r="E448" s="47"/>
      <c r="F448" s="47"/>
      <c r="G448" s="47"/>
      <c r="H448" s="47"/>
      <c r="I448" s="47"/>
      <c r="J448" s="47"/>
      <c r="K448" s="47"/>
      <c r="L448" s="11"/>
    </row>
    <row r="449" spans="2:12" x14ac:dyDescent="0.2">
      <c r="B449" s="10"/>
      <c r="C449" s="46"/>
      <c r="D449" s="47"/>
      <c r="E449" s="47"/>
      <c r="F449" s="47"/>
      <c r="G449" s="47"/>
      <c r="H449" s="47"/>
      <c r="I449" s="47"/>
      <c r="J449" s="47"/>
      <c r="K449" s="47"/>
      <c r="L449" s="11"/>
    </row>
    <row r="450" spans="2:12" x14ac:dyDescent="0.2">
      <c r="B450" s="10"/>
      <c r="C450" s="46"/>
      <c r="D450" s="47"/>
      <c r="E450" s="47"/>
      <c r="F450" s="47"/>
      <c r="G450" s="47"/>
      <c r="H450" s="47"/>
      <c r="I450" s="47"/>
      <c r="J450" s="47"/>
      <c r="K450" s="47"/>
      <c r="L450" s="11"/>
    </row>
    <row r="451" spans="2:12" x14ac:dyDescent="0.2">
      <c r="B451" s="10"/>
      <c r="C451" s="46"/>
      <c r="D451" s="47"/>
      <c r="E451" s="47"/>
      <c r="F451" s="47"/>
      <c r="G451" s="47"/>
      <c r="H451" s="47"/>
      <c r="I451" s="47"/>
      <c r="J451" s="47"/>
      <c r="K451" s="47"/>
      <c r="L451" s="11"/>
    </row>
    <row r="452" spans="2:12" x14ac:dyDescent="0.2">
      <c r="B452" s="10"/>
      <c r="C452" s="46"/>
      <c r="D452" s="47"/>
      <c r="E452" s="47"/>
      <c r="F452" s="47"/>
      <c r="G452" s="47"/>
      <c r="H452" s="47"/>
      <c r="I452" s="47"/>
      <c r="J452" s="47"/>
      <c r="K452" s="47"/>
      <c r="L452" s="11"/>
    </row>
    <row r="453" spans="2:12" x14ac:dyDescent="0.2">
      <c r="B453" s="10"/>
      <c r="C453" s="46"/>
      <c r="D453" s="47"/>
      <c r="E453" s="47"/>
      <c r="F453" s="47"/>
      <c r="G453" s="47"/>
      <c r="H453" s="47"/>
      <c r="I453" s="47"/>
      <c r="J453" s="47"/>
      <c r="K453" s="47"/>
      <c r="L453" s="11"/>
    </row>
    <row r="454" spans="2:12" x14ac:dyDescent="0.2">
      <c r="B454" s="10"/>
      <c r="C454" s="46"/>
      <c r="D454" s="47"/>
      <c r="E454" s="47"/>
      <c r="F454" s="47"/>
      <c r="G454" s="47"/>
      <c r="H454" s="47"/>
      <c r="I454" s="47"/>
      <c r="J454" s="47"/>
      <c r="K454" s="47"/>
      <c r="L454" s="11"/>
    </row>
    <row r="455" spans="2:12" x14ac:dyDescent="0.2">
      <c r="B455" s="10"/>
      <c r="C455" s="46"/>
      <c r="D455" s="47"/>
      <c r="E455" s="47"/>
      <c r="F455" s="47"/>
      <c r="G455" s="47"/>
      <c r="H455" s="47"/>
      <c r="I455" s="47"/>
      <c r="J455" s="47"/>
      <c r="K455" s="47"/>
      <c r="L455" s="11"/>
    </row>
    <row r="456" spans="2:12" x14ac:dyDescent="0.2">
      <c r="B456" s="10"/>
      <c r="C456" s="46"/>
      <c r="D456" s="47"/>
      <c r="E456" s="47"/>
      <c r="F456" s="47"/>
      <c r="G456" s="47"/>
      <c r="H456" s="47"/>
      <c r="I456" s="47"/>
      <c r="J456" s="47"/>
      <c r="K456" s="47"/>
      <c r="L456" s="11"/>
    </row>
    <row r="457" spans="2:12" x14ac:dyDescent="0.2">
      <c r="B457" s="10"/>
      <c r="C457" s="46"/>
      <c r="D457" s="47"/>
      <c r="E457" s="47"/>
      <c r="F457" s="47"/>
      <c r="G457" s="47"/>
      <c r="H457" s="47"/>
      <c r="I457" s="47"/>
      <c r="J457" s="47"/>
      <c r="K457" s="47"/>
      <c r="L457" s="11"/>
    </row>
    <row r="458" spans="2:12" x14ac:dyDescent="0.2">
      <c r="B458" s="10"/>
      <c r="C458" s="46"/>
      <c r="D458" s="47"/>
      <c r="E458" s="47"/>
      <c r="F458" s="47"/>
      <c r="G458" s="47"/>
      <c r="H458" s="47"/>
      <c r="I458" s="47"/>
      <c r="J458" s="47"/>
      <c r="K458" s="47"/>
      <c r="L458" s="11"/>
    </row>
    <row r="459" spans="2:12" x14ac:dyDescent="0.2">
      <c r="B459" s="10"/>
      <c r="C459" s="46"/>
      <c r="D459" s="47"/>
      <c r="E459" s="47"/>
      <c r="F459" s="47"/>
      <c r="G459" s="47"/>
      <c r="H459" s="47"/>
      <c r="I459" s="47"/>
      <c r="J459" s="47"/>
      <c r="K459" s="47"/>
      <c r="L459" s="11"/>
    </row>
    <row r="460" spans="2:12" x14ac:dyDescent="0.2">
      <c r="B460" s="10"/>
      <c r="C460" s="46"/>
      <c r="D460" s="47"/>
      <c r="E460" s="47"/>
      <c r="F460" s="47"/>
      <c r="G460" s="47"/>
      <c r="H460" s="47"/>
      <c r="I460" s="47"/>
      <c r="J460" s="47"/>
      <c r="K460" s="47"/>
      <c r="L460" s="11"/>
    </row>
    <row r="461" spans="2:12" x14ac:dyDescent="0.2">
      <c r="B461" s="10"/>
      <c r="C461" s="46"/>
      <c r="D461" s="47"/>
      <c r="E461" s="47"/>
      <c r="F461" s="47"/>
      <c r="G461" s="47"/>
      <c r="H461" s="47"/>
      <c r="I461" s="47"/>
      <c r="J461" s="47"/>
      <c r="K461" s="47"/>
      <c r="L461" s="11"/>
    </row>
    <row r="462" spans="2:12" x14ac:dyDescent="0.2">
      <c r="B462" s="10"/>
      <c r="C462" s="46"/>
      <c r="D462" s="47"/>
      <c r="E462" s="47"/>
      <c r="F462" s="47"/>
      <c r="G462" s="47"/>
      <c r="H462" s="47"/>
      <c r="I462" s="47"/>
      <c r="J462" s="47"/>
      <c r="K462" s="47"/>
      <c r="L462" s="11"/>
    </row>
    <row r="463" spans="2:12" x14ac:dyDescent="0.2">
      <c r="B463" s="10"/>
      <c r="C463" s="46"/>
      <c r="D463" s="47"/>
      <c r="E463" s="47"/>
      <c r="F463" s="47"/>
      <c r="G463" s="47"/>
      <c r="H463" s="47"/>
      <c r="I463" s="47"/>
      <c r="J463" s="47"/>
      <c r="K463" s="47"/>
      <c r="L463" s="11"/>
    </row>
    <row r="464" spans="2:12" x14ac:dyDescent="0.2">
      <c r="B464" s="10"/>
      <c r="C464" s="46"/>
      <c r="D464" s="47"/>
      <c r="E464" s="47"/>
      <c r="F464" s="47"/>
      <c r="G464" s="47"/>
      <c r="H464" s="47"/>
      <c r="I464" s="47"/>
      <c r="J464" s="47"/>
      <c r="K464" s="47"/>
      <c r="L464" s="11"/>
    </row>
    <row r="465" spans="2:12" x14ac:dyDescent="0.2">
      <c r="B465" s="10"/>
      <c r="C465" s="46"/>
      <c r="D465" s="47"/>
      <c r="E465" s="47"/>
      <c r="F465" s="47"/>
      <c r="G465" s="47"/>
      <c r="H465" s="47"/>
      <c r="I465" s="47"/>
      <c r="J465" s="47"/>
      <c r="K465" s="47"/>
      <c r="L465" s="11"/>
    </row>
    <row r="466" spans="2:12" x14ac:dyDescent="0.2">
      <c r="B466" s="10"/>
      <c r="C466" s="46"/>
      <c r="D466" s="47"/>
      <c r="E466" s="47"/>
      <c r="F466" s="47"/>
      <c r="G466" s="47"/>
      <c r="H466" s="47"/>
      <c r="I466" s="47"/>
      <c r="J466" s="47"/>
      <c r="K466" s="47"/>
      <c r="L466" s="11"/>
    </row>
    <row r="467" spans="2:12" x14ac:dyDescent="0.2">
      <c r="B467" s="10"/>
      <c r="C467" s="46"/>
      <c r="D467" s="47"/>
      <c r="E467" s="47"/>
      <c r="F467" s="47"/>
      <c r="G467" s="47"/>
      <c r="H467" s="47"/>
      <c r="I467" s="47"/>
      <c r="J467" s="47"/>
      <c r="K467" s="47"/>
      <c r="L467" s="11"/>
    </row>
    <row r="468" spans="2:12" x14ac:dyDescent="0.2">
      <c r="B468" s="10"/>
      <c r="C468" s="46"/>
      <c r="D468" s="47"/>
      <c r="E468" s="47"/>
      <c r="F468" s="47"/>
      <c r="G468" s="47"/>
      <c r="H468" s="47"/>
      <c r="I468" s="47"/>
      <c r="J468" s="47"/>
      <c r="K468" s="47"/>
      <c r="L468" s="11"/>
    </row>
    <row r="469" spans="2:12" x14ac:dyDescent="0.2">
      <c r="B469" s="10"/>
      <c r="C469" s="46"/>
      <c r="D469" s="47"/>
      <c r="E469" s="47"/>
      <c r="F469" s="47"/>
      <c r="G469" s="47"/>
      <c r="H469" s="47"/>
      <c r="I469" s="47"/>
      <c r="J469" s="47"/>
      <c r="K469" s="47"/>
      <c r="L469" s="11"/>
    </row>
    <row r="470" spans="2:12" x14ac:dyDescent="0.2">
      <c r="B470" s="10"/>
      <c r="C470" s="46"/>
      <c r="D470" s="47"/>
      <c r="E470" s="47"/>
      <c r="F470" s="47"/>
      <c r="G470" s="47"/>
      <c r="H470" s="47"/>
      <c r="I470" s="47"/>
      <c r="J470" s="47"/>
      <c r="K470" s="47"/>
      <c r="L470" s="11"/>
    </row>
    <row r="471" spans="2:12" x14ac:dyDescent="0.2">
      <c r="B471" s="10"/>
      <c r="C471" s="46"/>
      <c r="D471" s="47"/>
      <c r="E471" s="47"/>
      <c r="F471" s="47"/>
      <c r="G471" s="47"/>
      <c r="H471" s="47"/>
      <c r="I471" s="47"/>
      <c r="J471" s="47"/>
      <c r="K471" s="47"/>
      <c r="L471" s="11"/>
    </row>
    <row r="472" spans="2:12" x14ac:dyDescent="0.2">
      <c r="B472" s="10"/>
      <c r="C472" s="46"/>
      <c r="D472" s="47"/>
      <c r="E472" s="47"/>
      <c r="F472" s="47"/>
      <c r="G472" s="47"/>
      <c r="H472" s="47"/>
      <c r="I472" s="47"/>
      <c r="J472" s="47"/>
      <c r="K472" s="47"/>
      <c r="L472" s="11"/>
    </row>
    <row r="473" spans="2:12" x14ac:dyDescent="0.2">
      <c r="B473" s="10"/>
      <c r="C473" s="46"/>
      <c r="D473" s="47"/>
      <c r="E473" s="47"/>
      <c r="F473" s="47"/>
      <c r="G473" s="47"/>
      <c r="H473" s="47"/>
      <c r="I473" s="47"/>
      <c r="J473" s="47"/>
      <c r="K473" s="47"/>
      <c r="L473" s="11"/>
    </row>
    <row r="474" spans="2:12" x14ac:dyDescent="0.2">
      <c r="B474" s="10"/>
      <c r="C474" s="46"/>
      <c r="D474" s="47"/>
      <c r="E474" s="47"/>
      <c r="F474" s="47"/>
      <c r="G474" s="47"/>
      <c r="H474" s="47"/>
      <c r="I474" s="47"/>
      <c r="J474" s="47"/>
      <c r="K474" s="47"/>
      <c r="L474" s="11"/>
    </row>
    <row r="475" spans="2:12" x14ac:dyDescent="0.2">
      <c r="B475" s="10"/>
      <c r="C475" s="46"/>
      <c r="D475" s="47"/>
      <c r="E475" s="47"/>
      <c r="F475" s="47"/>
      <c r="G475" s="47"/>
      <c r="H475" s="47"/>
      <c r="I475" s="47"/>
      <c r="J475" s="47"/>
      <c r="K475" s="47"/>
      <c r="L475" s="11"/>
    </row>
    <row r="476" spans="2:12" x14ac:dyDescent="0.2">
      <c r="B476" s="10"/>
      <c r="C476" s="46"/>
      <c r="D476" s="47"/>
      <c r="E476" s="47"/>
      <c r="F476" s="47"/>
      <c r="G476" s="47"/>
      <c r="H476" s="47"/>
      <c r="I476" s="47"/>
      <c r="J476" s="47"/>
      <c r="K476" s="47"/>
      <c r="L476" s="11"/>
    </row>
    <row r="477" spans="2:12" x14ac:dyDescent="0.2">
      <c r="B477" s="10"/>
      <c r="C477" s="46"/>
      <c r="D477" s="47"/>
      <c r="E477" s="47"/>
      <c r="F477" s="47"/>
      <c r="G477" s="47"/>
      <c r="H477" s="47"/>
      <c r="I477" s="47"/>
      <c r="J477" s="47"/>
      <c r="K477" s="47"/>
      <c r="L477" s="11"/>
    </row>
    <row r="478" spans="2:12" x14ac:dyDescent="0.2">
      <c r="B478" s="10"/>
      <c r="C478" s="46"/>
      <c r="D478" s="47"/>
      <c r="E478" s="47"/>
      <c r="F478" s="47"/>
      <c r="G478" s="47"/>
      <c r="H478" s="47"/>
      <c r="I478" s="47"/>
      <c r="J478" s="47"/>
      <c r="K478" s="47"/>
      <c r="L478" s="11"/>
    </row>
    <row r="479" spans="2:12" x14ac:dyDescent="0.2">
      <c r="B479" s="10"/>
      <c r="C479" s="46"/>
      <c r="D479" s="47"/>
      <c r="E479" s="47"/>
      <c r="F479" s="47"/>
      <c r="G479" s="47"/>
      <c r="H479" s="47"/>
      <c r="I479" s="47"/>
      <c r="J479" s="47"/>
      <c r="K479" s="47"/>
      <c r="L479" s="11"/>
    </row>
    <row r="480" spans="2:12" x14ac:dyDescent="0.2">
      <c r="B480" s="10"/>
      <c r="C480" s="46"/>
      <c r="D480" s="47"/>
      <c r="E480" s="47"/>
      <c r="F480" s="47"/>
      <c r="G480" s="47"/>
      <c r="H480" s="47"/>
      <c r="I480" s="47"/>
      <c r="J480" s="47"/>
      <c r="K480" s="47"/>
      <c r="L480" s="11"/>
    </row>
    <row r="481" spans="2:12" x14ac:dyDescent="0.2">
      <c r="B481" s="10"/>
      <c r="C481" s="46"/>
      <c r="D481" s="47"/>
      <c r="E481" s="47"/>
      <c r="F481" s="47"/>
      <c r="G481" s="47"/>
      <c r="H481" s="47"/>
      <c r="I481" s="47"/>
      <c r="J481" s="47"/>
      <c r="K481" s="47"/>
      <c r="L481" s="11"/>
    </row>
    <row r="482" spans="2:12" x14ac:dyDescent="0.2">
      <c r="B482" s="10"/>
      <c r="C482" s="46"/>
      <c r="D482" s="47"/>
      <c r="E482" s="47"/>
      <c r="F482" s="47"/>
      <c r="G482" s="47"/>
      <c r="H482" s="47"/>
      <c r="I482" s="47"/>
      <c r="J482" s="47"/>
      <c r="K482" s="47"/>
      <c r="L482" s="11"/>
    </row>
    <row r="483" spans="2:12" x14ac:dyDescent="0.2">
      <c r="B483" s="10"/>
      <c r="C483" s="46"/>
      <c r="D483" s="47"/>
      <c r="E483" s="47"/>
      <c r="F483" s="47"/>
      <c r="G483" s="47"/>
      <c r="H483" s="47"/>
      <c r="I483" s="47"/>
      <c r="J483" s="47"/>
      <c r="K483" s="47"/>
      <c r="L483" s="11"/>
    </row>
    <row r="484" spans="2:12" x14ac:dyDescent="0.2">
      <c r="B484" s="10"/>
      <c r="C484" s="46"/>
      <c r="D484" s="47"/>
      <c r="E484" s="47"/>
      <c r="F484" s="47"/>
      <c r="G484" s="47"/>
      <c r="H484" s="47"/>
      <c r="I484" s="47"/>
      <c r="J484" s="47"/>
      <c r="K484" s="47"/>
      <c r="L484" s="11"/>
    </row>
    <row r="485" spans="2:12" x14ac:dyDescent="0.2">
      <c r="B485" s="10"/>
      <c r="C485" s="46"/>
      <c r="D485" s="47"/>
      <c r="E485" s="47"/>
      <c r="F485" s="47"/>
      <c r="G485" s="47"/>
      <c r="H485" s="47"/>
      <c r="I485" s="47"/>
      <c r="J485" s="47"/>
      <c r="K485" s="47"/>
      <c r="L485" s="11"/>
    </row>
    <row r="486" spans="2:12" x14ac:dyDescent="0.2">
      <c r="B486" s="10"/>
      <c r="C486" s="46"/>
      <c r="D486" s="47"/>
      <c r="E486" s="47"/>
      <c r="F486" s="47"/>
      <c r="G486" s="47"/>
      <c r="H486" s="47"/>
      <c r="I486" s="47"/>
      <c r="J486" s="47"/>
      <c r="K486" s="47"/>
      <c r="L486" s="11"/>
    </row>
    <row r="487" spans="2:12" x14ac:dyDescent="0.2">
      <c r="B487" s="10"/>
      <c r="C487" s="46"/>
      <c r="D487" s="47"/>
      <c r="E487" s="47"/>
      <c r="F487" s="47"/>
      <c r="G487" s="47"/>
      <c r="H487" s="47"/>
      <c r="I487" s="47"/>
      <c r="J487" s="47"/>
      <c r="K487" s="47"/>
      <c r="L487" s="11"/>
    </row>
    <row r="488" spans="2:12" x14ac:dyDescent="0.2">
      <c r="B488" s="10"/>
      <c r="C488" s="46"/>
      <c r="D488" s="47"/>
      <c r="E488" s="47"/>
      <c r="F488" s="47"/>
      <c r="G488" s="47"/>
      <c r="H488" s="47"/>
      <c r="I488" s="47"/>
      <c r="J488" s="47"/>
      <c r="K488" s="47"/>
      <c r="L488" s="11"/>
    </row>
    <row r="489" spans="2:12" x14ac:dyDescent="0.2">
      <c r="B489" s="10"/>
      <c r="C489" s="46"/>
      <c r="D489" s="47"/>
      <c r="E489" s="47"/>
      <c r="F489" s="47"/>
      <c r="G489" s="47"/>
      <c r="H489" s="47"/>
      <c r="I489" s="47"/>
      <c r="J489" s="47"/>
      <c r="K489" s="47"/>
      <c r="L489" s="11"/>
    </row>
    <row r="490" spans="2:12" x14ac:dyDescent="0.2">
      <c r="B490" s="10"/>
      <c r="C490" s="46"/>
      <c r="D490" s="47"/>
      <c r="E490" s="47"/>
      <c r="F490" s="47"/>
      <c r="G490" s="47"/>
      <c r="H490" s="47"/>
      <c r="I490" s="47"/>
      <c r="J490" s="47"/>
      <c r="K490" s="47"/>
      <c r="L490" s="11"/>
    </row>
    <row r="491" spans="2:12" x14ac:dyDescent="0.2">
      <c r="B491" s="10"/>
      <c r="C491" s="46"/>
      <c r="D491" s="47"/>
      <c r="E491" s="47"/>
      <c r="F491" s="47"/>
      <c r="G491" s="47"/>
      <c r="H491" s="47"/>
      <c r="I491" s="47"/>
      <c r="J491" s="47"/>
      <c r="K491" s="47"/>
      <c r="L491" s="11"/>
    </row>
    <row r="492" spans="2:12" x14ac:dyDescent="0.2">
      <c r="B492" s="10"/>
      <c r="C492" s="46"/>
      <c r="D492" s="47"/>
      <c r="E492" s="47"/>
      <c r="F492" s="47"/>
      <c r="G492" s="47"/>
      <c r="H492" s="47"/>
      <c r="I492" s="47"/>
      <c r="J492" s="47"/>
      <c r="K492" s="47"/>
      <c r="L492" s="11"/>
    </row>
    <row r="493" spans="2:12" x14ac:dyDescent="0.2">
      <c r="B493" s="10"/>
      <c r="C493" s="46"/>
      <c r="D493" s="47"/>
      <c r="E493" s="47"/>
      <c r="F493" s="47"/>
      <c r="G493" s="47"/>
      <c r="H493" s="47"/>
      <c r="I493" s="47"/>
      <c r="J493" s="47"/>
      <c r="K493" s="47"/>
      <c r="L493" s="11"/>
    </row>
    <row r="494" spans="2:12" x14ac:dyDescent="0.2">
      <c r="B494" s="10"/>
      <c r="C494" s="46"/>
      <c r="D494" s="47"/>
      <c r="E494" s="47"/>
      <c r="F494" s="47"/>
      <c r="G494" s="47"/>
      <c r="H494" s="47"/>
      <c r="I494" s="47"/>
      <c r="J494" s="47"/>
      <c r="K494" s="47"/>
      <c r="L494" s="11"/>
    </row>
    <row r="495" spans="2:12" x14ac:dyDescent="0.2">
      <c r="B495" s="10"/>
      <c r="C495" s="46"/>
      <c r="D495" s="47"/>
      <c r="E495" s="47"/>
      <c r="F495" s="47"/>
      <c r="G495" s="47"/>
      <c r="H495" s="47"/>
      <c r="I495" s="47"/>
      <c r="J495" s="47"/>
      <c r="K495" s="47"/>
      <c r="L495" s="11"/>
    </row>
    <row r="496" spans="2:12" x14ac:dyDescent="0.2">
      <c r="B496" s="10"/>
      <c r="C496" s="46"/>
      <c r="D496" s="47"/>
      <c r="E496" s="47"/>
      <c r="F496" s="47"/>
      <c r="G496" s="47"/>
      <c r="H496" s="47"/>
      <c r="I496" s="47"/>
      <c r="J496" s="47"/>
      <c r="K496" s="47"/>
      <c r="L496" s="11"/>
    </row>
    <row r="497" spans="2:12" x14ac:dyDescent="0.2">
      <c r="B497" s="10"/>
      <c r="C497" s="46"/>
      <c r="D497" s="47"/>
      <c r="E497" s="47"/>
      <c r="F497" s="47"/>
      <c r="G497" s="47"/>
      <c r="H497" s="47"/>
      <c r="I497" s="47"/>
      <c r="J497" s="47"/>
      <c r="K497" s="47"/>
      <c r="L497" s="11"/>
    </row>
    <row r="498" spans="2:12" x14ac:dyDescent="0.2">
      <c r="B498" s="10"/>
      <c r="C498" s="46"/>
      <c r="D498" s="47"/>
      <c r="E498" s="47"/>
      <c r="F498" s="47"/>
      <c r="G498" s="47"/>
      <c r="H498" s="47"/>
      <c r="I498" s="47"/>
      <c r="J498" s="47"/>
      <c r="K498" s="47"/>
      <c r="L498" s="11"/>
    </row>
    <row r="499" spans="2:12" x14ac:dyDescent="0.2">
      <c r="B499" s="10"/>
      <c r="C499" s="46"/>
      <c r="D499" s="47"/>
      <c r="E499" s="47"/>
      <c r="F499" s="47"/>
      <c r="G499" s="47"/>
      <c r="H499" s="47"/>
      <c r="I499" s="47"/>
      <c r="J499" s="47"/>
      <c r="K499" s="47"/>
      <c r="L499" s="11"/>
    </row>
    <row r="500" spans="2:12" x14ac:dyDescent="0.2">
      <c r="B500" s="10"/>
      <c r="C500" s="46"/>
      <c r="D500" s="47"/>
      <c r="E500" s="47"/>
      <c r="F500" s="47"/>
      <c r="G500" s="47"/>
      <c r="H500" s="47"/>
      <c r="I500" s="47"/>
      <c r="J500" s="47"/>
      <c r="K500" s="47"/>
      <c r="L500" s="11"/>
    </row>
    <row r="501" spans="2:12" x14ac:dyDescent="0.2">
      <c r="B501" s="10"/>
      <c r="C501" s="46"/>
      <c r="D501" s="47"/>
      <c r="E501" s="47"/>
      <c r="F501" s="47"/>
      <c r="G501" s="47"/>
      <c r="H501" s="47"/>
      <c r="I501" s="47"/>
      <c r="J501" s="47"/>
      <c r="K501" s="47"/>
      <c r="L501" s="11"/>
    </row>
    <row r="502" spans="2:12" x14ac:dyDescent="0.2">
      <c r="B502" s="10"/>
      <c r="C502" s="46"/>
      <c r="D502" s="47"/>
      <c r="E502" s="47"/>
      <c r="F502" s="47"/>
      <c r="G502" s="47"/>
      <c r="H502" s="47"/>
      <c r="I502" s="47"/>
      <c r="J502" s="47"/>
      <c r="K502" s="47"/>
      <c r="L502" s="11"/>
    </row>
    <row r="503" spans="2:12" x14ac:dyDescent="0.2">
      <c r="B503" s="10"/>
      <c r="C503" s="46"/>
      <c r="D503" s="47"/>
      <c r="E503" s="47"/>
      <c r="F503" s="47"/>
      <c r="G503" s="47"/>
      <c r="H503" s="47"/>
      <c r="I503" s="47"/>
      <c r="J503" s="47"/>
      <c r="K503" s="47"/>
      <c r="L503" s="11"/>
    </row>
    <row r="504" spans="2:12" x14ac:dyDescent="0.2">
      <c r="B504" s="10"/>
      <c r="C504" s="46"/>
      <c r="D504" s="47"/>
      <c r="E504" s="47"/>
      <c r="F504" s="47"/>
      <c r="G504" s="47"/>
      <c r="H504" s="47"/>
      <c r="I504" s="47"/>
      <c r="J504" s="47"/>
      <c r="K504" s="47"/>
      <c r="L504" s="11"/>
    </row>
    <row r="505" spans="2:12" x14ac:dyDescent="0.2">
      <c r="B505" s="10"/>
      <c r="C505" s="46"/>
      <c r="D505" s="47"/>
      <c r="E505" s="47"/>
      <c r="F505" s="47"/>
      <c r="G505" s="47"/>
      <c r="H505" s="47"/>
      <c r="I505" s="47"/>
      <c r="J505" s="47"/>
      <c r="K505" s="47"/>
      <c r="L505" s="11"/>
    </row>
    <row r="506" spans="2:12" x14ac:dyDescent="0.2">
      <c r="B506" s="10"/>
      <c r="C506" s="46"/>
      <c r="D506" s="47"/>
      <c r="E506" s="47"/>
      <c r="F506" s="47"/>
      <c r="G506" s="47"/>
      <c r="H506" s="47"/>
      <c r="I506" s="47"/>
      <c r="J506" s="47"/>
      <c r="K506" s="47"/>
      <c r="L506" s="11"/>
    </row>
    <row r="507" spans="2:12" x14ac:dyDescent="0.2">
      <c r="B507" s="10"/>
      <c r="C507" s="46"/>
      <c r="D507" s="47"/>
      <c r="E507" s="47"/>
      <c r="F507" s="47"/>
      <c r="G507" s="47"/>
      <c r="H507" s="47"/>
      <c r="I507" s="47"/>
      <c r="J507" s="47"/>
      <c r="K507" s="47"/>
      <c r="L507" s="11"/>
    </row>
    <row r="508" spans="2:12" x14ac:dyDescent="0.2">
      <c r="B508" s="10"/>
      <c r="C508" s="46"/>
      <c r="D508" s="47"/>
      <c r="E508" s="47"/>
      <c r="F508" s="47"/>
      <c r="G508" s="47"/>
      <c r="H508" s="47"/>
      <c r="I508" s="47"/>
      <c r="J508" s="47"/>
      <c r="K508" s="47"/>
      <c r="L508" s="11"/>
    </row>
    <row r="509" spans="2:12" x14ac:dyDescent="0.2">
      <c r="B509" s="10"/>
      <c r="C509" s="46"/>
      <c r="D509" s="47"/>
      <c r="E509" s="47"/>
      <c r="F509" s="47"/>
      <c r="G509" s="47"/>
      <c r="H509" s="47"/>
      <c r="I509" s="47"/>
      <c r="J509" s="47"/>
      <c r="K509" s="47"/>
      <c r="L509" s="11"/>
    </row>
    <row r="510" spans="2:12" x14ac:dyDescent="0.2">
      <c r="B510" s="10"/>
      <c r="C510" s="46"/>
      <c r="D510" s="47"/>
      <c r="E510" s="47"/>
      <c r="F510" s="47"/>
      <c r="G510" s="47"/>
      <c r="H510" s="47"/>
      <c r="I510" s="47"/>
      <c r="J510" s="47"/>
      <c r="K510" s="47"/>
      <c r="L510" s="11"/>
    </row>
    <row r="511" spans="2:12" x14ac:dyDescent="0.2">
      <c r="B511" s="10"/>
      <c r="C511" s="46"/>
      <c r="D511" s="47"/>
      <c r="E511" s="47"/>
      <c r="F511" s="47"/>
      <c r="G511" s="47"/>
      <c r="H511" s="47"/>
      <c r="I511" s="47"/>
      <c r="J511" s="47"/>
      <c r="K511" s="47"/>
      <c r="L511" s="11"/>
    </row>
    <row r="512" spans="2:12" x14ac:dyDescent="0.2">
      <c r="B512" s="10"/>
      <c r="C512" s="46"/>
      <c r="D512" s="47"/>
      <c r="E512" s="47"/>
      <c r="F512" s="47"/>
      <c r="G512" s="47"/>
      <c r="H512" s="47"/>
      <c r="I512" s="47"/>
      <c r="J512" s="47"/>
      <c r="K512" s="47"/>
      <c r="L512" s="11"/>
    </row>
    <row r="513" spans="2:12" x14ac:dyDescent="0.2">
      <c r="B513" s="10"/>
      <c r="C513" s="46"/>
      <c r="D513" s="47"/>
      <c r="E513" s="47"/>
      <c r="F513" s="47"/>
      <c r="G513" s="47"/>
      <c r="H513" s="47"/>
      <c r="I513" s="47"/>
      <c r="J513" s="47"/>
      <c r="K513" s="47"/>
      <c r="L513" s="11"/>
    </row>
    <row r="514" spans="2:12" x14ac:dyDescent="0.2">
      <c r="B514" s="10"/>
      <c r="C514" s="46"/>
      <c r="D514" s="47"/>
      <c r="E514" s="47"/>
      <c r="F514" s="47"/>
      <c r="G514" s="47"/>
      <c r="H514" s="47"/>
      <c r="I514" s="47"/>
      <c r="J514" s="47"/>
      <c r="K514" s="47"/>
      <c r="L514" s="11"/>
    </row>
    <row r="515" spans="2:12" x14ac:dyDescent="0.2">
      <c r="B515" s="10"/>
      <c r="C515" s="46"/>
      <c r="D515" s="47"/>
      <c r="E515" s="47"/>
      <c r="F515" s="47"/>
      <c r="G515" s="47"/>
      <c r="H515" s="47"/>
      <c r="I515" s="47"/>
      <c r="J515" s="47"/>
      <c r="K515" s="47"/>
      <c r="L515" s="11"/>
    </row>
    <row r="516" spans="2:12" x14ac:dyDescent="0.2">
      <c r="B516" s="10"/>
      <c r="C516" s="46"/>
      <c r="D516" s="47"/>
      <c r="E516" s="47"/>
      <c r="F516" s="47"/>
      <c r="G516" s="47"/>
      <c r="H516" s="47"/>
      <c r="I516" s="47"/>
      <c r="J516" s="47"/>
      <c r="K516" s="47"/>
      <c r="L516" s="11"/>
    </row>
    <row r="517" spans="2:12" x14ac:dyDescent="0.2">
      <c r="B517" s="10"/>
      <c r="C517" s="46"/>
      <c r="D517" s="47"/>
      <c r="E517" s="47"/>
      <c r="F517" s="47"/>
      <c r="G517" s="47"/>
      <c r="H517" s="47"/>
      <c r="I517" s="47"/>
      <c r="J517" s="47"/>
      <c r="K517" s="47"/>
      <c r="L517" s="11"/>
    </row>
    <row r="518" spans="2:12" x14ac:dyDescent="0.2">
      <c r="B518" s="10"/>
      <c r="C518" s="46"/>
      <c r="D518" s="47"/>
      <c r="E518" s="47"/>
      <c r="F518" s="47"/>
      <c r="G518" s="47"/>
      <c r="H518" s="47"/>
      <c r="I518" s="47"/>
      <c r="J518" s="47"/>
      <c r="K518" s="47"/>
      <c r="L518" s="11"/>
    </row>
    <row r="519" spans="2:12" x14ac:dyDescent="0.2">
      <c r="B519" s="10"/>
      <c r="C519" s="46"/>
      <c r="D519" s="47"/>
      <c r="E519" s="47"/>
      <c r="F519" s="47"/>
      <c r="G519" s="47"/>
      <c r="H519" s="47"/>
      <c r="I519" s="47"/>
      <c r="J519" s="47"/>
      <c r="K519" s="47"/>
      <c r="L519" s="11"/>
    </row>
    <row r="520" spans="2:12" x14ac:dyDescent="0.2">
      <c r="B520" s="10"/>
      <c r="C520" s="46"/>
      <c r="D520" s="47"/>
      <c r="E520" s="47"/>
      <c r="F520" s="47"/>
      <c r="G520" s="47"/>
      <c r="H520" s="47"/>
      <c r="I520" s="47"/>
      <c r="J520" s="47"/>
      <c r="K520" s="47"/>
      <c r="L520" s="11"/>
    </row>
    <row r="521" spans="2:12" x14ac:dyDescent="0.2">
      <c r="B521" s="10"/>
      <c r="C521" s="46"/>
      <c r="D521" s="47"/>
      <c r="E521" s="47"/>
      <c r="F521" s="47"/>
      <c r="G521" s="47"/>
      <c r="H521" s="47"/>
      <c r="I521" s="47"/>
      <c r="J521" s="47"/>
      <c r="K521" s="47"/>
      <c r="L521" s="11"/>
    </row>
    <row r="522" spans="2:12" x14ac:dyDescent="0.2">
      <c r="B522" s="10"/>
      <c r="C522" s="46"/>
      <c r="D522" s="47"/>
      <c r="E522" s="47"/>
      <c r="F522" s="47"/>
      <c r="G522" s="47"/>
      <c r="H522" s="47"/>
      <c r="I522" s="47"/>
      <c r="J522" s="47"/>
      <c r="K522" s="47"/>
      <c r="L522" s="11"/>
    </row>
    <row r="523" spans="2:12" x14ac:dyDescent="0.2">
      <c r="B523" s="10"/>
      <c r="C523" s="46"/>
      <c r="D523" s="47"/>
      <c r="E523" s="47"/>
      <c r="F523" s="47"/>
      <c r="G523" s="47"/>
      <c r="H523" s="47"/>
      <c r="I523" s="47"/>
      <c r="J523" s="47"/>
      <c r="K523" s="47"/>
      <c r="L523" s="11"/>
    </row>
    <row r="524" spans="2:12" x14ac:dyDescent="0.2">
      <c r="B524" s="10"/>
      <c r="C524" s="46"/>
      <c r="D524" s="47"/>
      <c r="E524" s="47"/>
      <c r="F524" s="47"/>
      <c r="G524" s="47"/>
      <c r="H524" s="47"/>
      <c r="I524" s="47"/>
      <c r="J524" s="47"/>
      <c r="K524" s="47"/>
      <c r="L524" s="11"/>
    </row>
    <row r="525" spans="2:12" x14ac:dyDescent="0.2">
      <c r="B525" s="10"/>
      <c r="C525" s="46"/>
      <c r="D525" s="47"/>
      <c r="E525" s="47"/>
      <c r="F525" s="47"/>
      <c r="G525" s="47"/>
      <c r="H525" s="47"/>
      <c r="I525" s="47"/>
      <c r="J525" s="47"/>
      <c r="K525" s="47"/>
      <c r="L525" s="11"/>
    </row>
    <row r="526" spans="2:12" x14ac:dyDescent="0.2">
      <c r="B526" s="10"/>
      <c r="C526" s="46"/>
      <c r="D526" s="47"/>
      <c r="E526" s="47"/>
      <c r="F526" s="47"/>
      <c r="G526" s="47"/>
      <c r="H526" s="47"/>
      <c r="I526" s="47"/>
      <c r="J526" s="47"/>
      <c r="K526" s="47"/>
      <c r="L526" s="11"/>
    </row>
    <row r="527" spans="2:12" x14ac:dyDescent="0.2">
      <c r="B527" s="10"/>
      <c r="C527" s="46"/>
      <c r="D527" s="47"/>
      <c r="E527" s="47"/>
      <c r="F527" s="47"/>
      <c r="G527" s="47"/>
      <c r="H527" s="47"/>
      <c r="I527" s="47"/>
      <c r="J527" s="47"/>
      <c r="K527" s="47"/>
      <c r="L527" s="11"/>
    </row>
    <row r="528" spans="2:12" x14ac:dyDescent="0.2">
      <c r="B528" s="10"/>
      <c r="C528" s="46"/>
      <c r="D528" s="47"/>
      <c r="E528" s="47"/>
      <c r="F528" s="47"/>
      <c r="G528" s="47"/>
      <c r="H528" s="47"/>
      <c r="I528" s="47"/>
      <c r="J528" s="47"/>
      <c r="K528" s="47"/>
      <c r="L528" s="11"/>
    </row>
    <row r="529" spans="2:12" x14ac:dyDescent="0.2">
      <c r="B529" s="10"/>
      <c r="C529" s="46"/>
      <c r="D529" s="47"/>
      <c r="E529" s="47"/>
      <c r="F529" s="47"/>
      <c r="G529" s="47"/>
      <c r="H529" s="47"/>
      <c r="I529" s="47"/>
      <c r="J529" s="47"/>
      <c r="K529" s="47"/>
      <c r="L529" s="11"/>
    </row>
    <row r="530" spans="2:12" x14ac:dyDescent="0.2">
      <c r="B530" s="10"/>
      <c r="C530" s="46"/>
      <c r="D530" s="47"/>
      <c r="E530" s="47"/>
      <c r="F530" s="47"/>
      <c r="G530" s="47"/>
      <c r="H530" s="47"/>
      <c r="I530" s="47"/>
      <c r="J530" s="47"/>
      <c r="K530" s="47"/>
      <c r="L530" s="11"/>
    </row>
    <row r="531" spans="2:12" x14ac:dyDescent="0.2">
      <c r="B531" s="10"/>
      <c r="C531" s="46"/>
      <c r="D531" s="47"/>
      <c r="E531" s="47"/>
      <c r="F531" s="47"/>
      <c r="G531" s="47"/>
      <c r="H531" s="47"/>
      <c r="I531" s="47"/>
      <c r="J531" s="47"/>
      <c r="K531" s="47"/>
      <c r="L531" s="11"/>
    </row>
    <row r="532" spans="2:12" x14ac:dyDescent="0.2">
      <c r="B532" s="10"/>
      <c r="C532" s="46"/>
      <c r="D532" s="47"/>
      <c r="E532" s="47"/>
      <c r="F532" s="47"/>
      <c r="G532" s="47"/>
      <c r="H532" s="47"/>
      <c r="I532" s="47"/>
      <c r="J532" s="47"/>
      <c r="K532" s="47"/>
      <c r="L532" s="11"/>
    </row>
    <row r="533" spans="2:12" x14ac:dyDescent="0.2">
      <c r="B533" s="10"/>
      <c r="C533" s="46"/>
      <c r="D533" s="47"/>
      <c r="E533" s="47"/>
      <c r="F533" s="47"/>
      <c r="G533" s="47"/>
      <c r="H533" s="47"/>
      <c r="I533" s="47"/>
      <c r="J533" s="47"/>
      <c r="K533" s="47"/>
      <c r="L533" s="11"/>
    </row>
    <row r="534" spans="2:12" x14ac:dyDescent="0.2">
      <c r="B534" s="10"/>
      <c r="C534" s="46"/>
      <c r="D534" s="47"/>
      <c r="E534" s="47"/>
      <c r="F534" s="47"/>
      <c r="G534" s="47"/>
      <c r="H534" s="47"/>
      <c r="I534" s="47"/>
      <c r="J534" s="47"/>
      <c r="K534" s="47"/>
      <c r="L534" s="11"/>
    </row>
    <row r="535" spans="2:12" x14ac:dyDescent="0.2">
      <c r="B535" s="10"/>
      <c r="C535" s="46"/>
      <c r="D535" s="47"/>
      <c r="E535" s="47"/>
      <c r="F535" s="47"/>
      <c r="G535" s="47"/>
      <c r="H535" s="47"/>
      <c r="I535" s="47"/>
      <c r="J535" s="47"/>
      <c r="K535" s="47"/>
      <c r="L535" s="11"/>
    </row>
    <row r="536" spans="2:12" x14ac:dyDescent="0.2">
      <c r="B536" s="10"/>
      <c r="C536" s="46"/>
      <c r="D536" s="47"/>
      <c r="E536" s="47"/>
      <c r="F536" s="47"/>
      <c r="G536" s="47"/>
      <c r="H536" s="47"/>
      <c r="I536" s="47"/>
      <c r="J536" s="47"/>
      <c r="K536" s="47"/>
      <c r="L536" s="11"/>
    </row>
    <row r="537" spans="2:12" x14ac:dyDescent="0.2">
      <c r="B537" s="10"/>
      <c r="C537" s="46"/>
      <c r="D537" s="47"/>
      <c r="E537" s="47"/>
      <c r="F537" s="47"/>
      <c r="G537" s="47"/>
      <c r="H537" s="47"/>
      <c r="I537" s="47"/>
      <c r="J537" s="47"/>
      <c r="K537" s="47"/>
      <c r="L537" s="11"/>
    </row>
    <row r="538" spans="2:12" x14ac:dyDescent="0.2">
      <c r="B538" s="10"/>
      <c r="C538" s="46"/>
      <c r="D538" s="47"/>
      <c r="E538" s="47"/>
      <c r="F538" s="47"/>
      <c r="G538" s="47"/>
      <c r="H538" s="47"/>
      <c r="I538" s="47"/>
      <c r="J538" s="47"/>
      <c r="K538" s="47"/>
      <c r="L538" s="11"/>
    </row>
    <row r="539" spans="2:12" x14ac:dyDescent="0.2">
      <c r="B539" s="10"/>
      <c r="C539" s="46"/>
      <c r="D539" s="47"/>
      <c r="E539" s="47"/>
      <c r="F539" s="47"/>
      <c r="G539" s="47"/>
      <c r="H539" s="47"/>
      <c r="I539" s="47"/>
      <c r="J539" s="47"/>
      <c r="K539" s="47"/>
      <c r="L539" s="11"/>
    </row>
    <row r="540" spans="2:12" x14ac:dyDescent="0.2">
      <c r="B540" s="10"/>
      <c r="C540" s="46"/>
      <c r="D540" s="47"/>
      <c r="E540" s="47"/>
      <c r="F540" s="47"/>
      <c r="G540" s="47"/>
      <c r="H540" s="47"/>
      <c r="I540" s="47"/>
      <c r="J540" s="47"/>
      <c r="K540" s="47"/>
      <c r="L540" s="11"/>
    </row>
    <row r="541" spans="2:12" x14ac:dyDescent="0.2">
      <c r="B541" s="10"/>
      <c r="C541" s="46"/>
      <c r="D541" s="47"/>
      <c r="E541" s="47"/>
      <c r="F541" s="47"/>
      <c r="G541" s="47"/>
      <c r="H541" s="47"/>
      <c r="I541" s="47"/>
      <c r="J541" s="47"/>
      <c r="K541" s="47"/>
      <c r="L541" s="11"/>
    </row>
    <row r="542" spans="2:12" x14ac:dyDescent="0.2">
      <c r="B542" s="10"/>
      <c r="C542" s="46"/>
      <c r="D542" s="47"/>
      <c r="E542" s="47"/>
      <c r="F542" s="47"/>
      <c r="G542" s="47"/>
      <c r="H542" s="47"/>
      <c r="I542" s="47"/>
      <c r="J542" s="47"/>
      <c r="K542" s="47"/>
      <c r="L542" s="11"/>
    </row>
    <row r="543" spans="2:12" x14ac:dyDescent="0.2">
      <c r="B543" s="10"/>
      <c r="C543" s="46"/>
      <c r="D543" s="47"/>
      <c r="E543" s="47"/>
      <c r="F543" s="47"/>
      <c r="G543" s="47"/>
      <c r="H543" s="47"/>
      <c r="I543" s="47"/>
      <c r="J543" s="47"/>
      <c r="K543" s="47"/>
      <c r="L543" s="11"/>
    </row>
    <row r="544" spans="2:12" x14ac:dyDescent="0.2">
      <c r="B544" s="10"/>
      <c r="C544" s="46"/>
      <c r="D544" s="47"/>
      <c r="E544" s="47"/>
      <c r="F544" s="47"/>
      <c r="G544" s="47"/>
      <c r="H544" s="47"/>
      <c r="I544" s="47"/>
      <c r="J544" s="47"/>
      <c r="K544" s="47"/>
      <c r="L544" s="11"/>
    </row>
    <row r="545" spans="2:12" x14ac:dyDescent="0.2">
      <c r="B545" s="10"/>
      <c r="C545" s="46"/>
      <c r="D545" s="47"/>
      <c r="E545" s="47"/>
      <c r="F545" s="47"/>
      <c r="G545" s="47"/>
      <c r="H545" s="47"/>
      <c r="I545" s="47"/>
      <c r="J545" s="47"/>
      <c r="K545" s="47"/>
      <c r="L545" s="11"/>
    </row>
    <row r="546" spans="2:12" x14ac:dyDescent="0.2">
      <c r="B546" s="10"/>
      <c r="C546" s="46"/>
      <c r="D546" s="47"/>
      <c r="E546" s="47"/>
      <c r="F546" s="47"/>
      <c r="G546" s="47"/>
      <c r="H546" s="47"/>
      <c r="I546" s="47"/>
      <c r="J546" s="47"/>
      <c r="K546" s="47"/>
      <c r="L546" s="11"/>
    </row>
    <row r="547" spans="2:12" x14ac:dyDescent="0.2">
      <c r="B547" s="10"/>
      <c r="C547" s="46"/>
      <c r="D547" s="47"/>
      <c r="E547" s="47"/>
      <c r="F547" s="47"/>
      <c r="G547" s="47"/>
      <c r="H547" s="47"/>
      <c r="I547" s="47"/>
      <c r="J547" s="47"/>
      <c r="K547" s="47"/>
      <c r="L547" s="11"/>
    </row>
    <row r="548" spans="2:12" x14ac:dyDescent="0.2">
      <c r="B548" s="10"/>
      <c r="C548" s="46"/>
      <c r="D548" s="47"/>
      <c r="E548" s="47"/>
      <c r="F548" s="47"/>
      <c r="G548" s="47"/>
      <c r="H548" s="47"/>
      <c r="I548" s="47"/>
      <c r="J548" s="47"/>
      <c r="K548" s="47"/>
      <c r="L548" s="11"/>
    </row>
    <row r="549" spans="2:12" x14ac:dyDescent="0.2">
      <c r="B549" s="10"/>
      <c r="C549" s="46"/>
      <c r="D549" s="47"/>
      <c r="E549" s="47"/>
      <c r="F549" s="47"/>
      <c r="G549" s="47"/>
      <c r="H549" s="47"/>
      <c r="I549" s="47"/>
      <c r="J549" s="47"/>
      <c r="K549" s="47"/>
      <c r="L549" s="11"/>
    </row>
    <row r="550" spans="2:12" x14ac:dyDescent="0.2">
      <c r="B550" s="10"/>
      <c r="C550" s="46"/>
      <c r="D550" s="47"/>
      <c r="E550" s="47"/>
      <c r="F550" s="47"/>
      <c r="G550" s="47"/>
      <c r="H550" s="47"/>
      <c r="I550" s="47"/>
      <c r="J550" s="47"/>
      <c r="K550" s="47"/>
      <c r="L550" s="11"/>
    </row>
    <row r="551" spans="2:12" x14ac:dyDescent="0.2">
      <c r="B551" s="10"/>
      <c r="C551" s="46"/>
      <c r="D551" s="47"/>
      <c r="E551" s="47"/>
      <c r="F551" s="47"/>
      <c r="G551" s="47"/>
      <c r="H551" s="47"/>
      <c r="I551" s="47"/>
      <c r="J551" s="47"/>
      <c r="K551" s="47"/>
      <c r="L551" s="11"/>
    </row>
    <row r="552" spans="2:12" x14ac:dyDescent="0.2">
      <c r="B552" s="10"/>
      <c r="C552" s="46"/>
      <c r="D552" s="47"/>
      <c r="E552" s="47"/>
      <c r="F552" s="47"/>
      <c r="G552" s="47"/>
      <c r="H552" s="47"/>
      <c r="I552" s="47"/>
      <c r="J552" s="47"/>
      <c r="K552" s="47"/>
      <c r="L552" s="11"/>
    </row>
    <row r="553" spans="2:12" x14ac:dyDescent="0.2">
      <c r="B553" s="10"/>
      <c r="C553" s="46"/>
      <c r="D553" s="47"/>
      <c r="E553" s="47"/>
      <c r="F553" s="47"/>
      <c r="G553" s="47"/>
      <c r="H553" s="47"/>
      <c r="I553" s="47"/>
      <c r="J553" s="47"/>
      <c r="K553" s="47"/>
      <c r="L553" s="11"/>
    </row>
    <row r="554" spans="2:12" x14ac:dyDescent="0.2">
      <c r="B554" s="10"/>
      <c r="C554" s="46"/>
      <c r="D554" s="47"/>
      <c r="E554" s="47"/>
      <c r="F554" s="47"/>
      <c r="G554" s="47"/>
      <c r="H554" s="47"/>
      <c r="I554" s="47"/>
      <c r="J554" s="47"/>
      <c r="K554" s="47"/>
      <c r="L554" s="11"/>
    </row>
    <row r="555" spans="2:12" x14ac:dyDescent="0.2">
      <c r="B555" s="10"/>
      <c r="C555" s="46"/>
      <c r="D555" s="47"/>
      <c r="E555" s="47"/>
      <c r="F555" s="47"/>
      <c r="G555" s="47"/>
      <c r="H555" s="47"/>
      <c r="I555" s="47"/>
      <c r="J555" s="47"/>
      <c r="K555" s="47"/>
      <c r="L555" s="11"/>
    </row>
    <row r="556" spans="2:12" x14ac:dyDescent="0.2">
      <c r="B556" s="10"/>
      <c r="C556" s="46"/>
      <c r="D556" s="47"/>
      <c r="E556" s="47"/>
      <c r="F556" s="47"/>
      <c r="G556" s="47"/>
      <c r="H556" s="47"/>
      <c r="I556" s="47"/>
      <c r="J556" s="47"/>
      <c r="K556" s="47"/>
      <c r="L556" s="11"/>
    </row>
    <row r="557" spans="2:12" x14ac:dyDescent="0.2">
      <c r="B557" s="10"/>
      <c r="C557" s="46"/>
      <c r="D557" s="47"/>
      <c r="E557" s="47"/>
      <c r="F557" s="47"/>
      <c r="G557" s="47"/>
      <c r="H557" s="47"/>
      <c r="I557" s="47"/>
      <c r="J557" s="47"/>
      <c r="K557" s="47"/>
      <c r="L557" s="11"/>
    </row>
    <row r="558" spans="2:12" x14ac:dyDescent="0.2">
      <c r="B558" s="10"/>
      <c r="C558" s="46"/>
      <c r="D558" s="47"/>
      <c r="E558" s="47"/>
      <c r="F558" s="47"/>
      <c r="G558" s="47"/>
      <c r="H558" s="47"/>
      <c r="I558" s="47"/>
      <c r="J558" s="47"/>
      <c r="K558" s="47"/>
      <c r="L558" s="11"/>
    </row>
    <row r="559" spans="2:12" x14ac:dyDescent="0.2">
      <c r="B559" s="10"/>
      <c r="C559" s="46"/>
      <c r="D559" s="47"/>
      <c r="E559" s="47"/>
      <c r="F559" s="47"/>
      <c r="G559" s="47"/>
      <c r="H559" s="47"/>
      <c r="I559" s="47"/>
      <c r="J559" s="47"/>
      <c r="K559" s="47"/>
      <c r="L559" s="11"/>
    </row>
    <row r="560" spans="2:12" x14ac:dyDescent="0.2">
      <c r="B560" s="10"/>
      <c r="C560" s="46"/>
      <c r="D560" s="47"/>
      <c r="E560" s="47"/>
      <c r="F560" s="47"/>
      <c r="G560" s="47"/>
      <c r="H560" s="47"/>
      <c r="I560" s="47"/>
      <c r="J560" s="47"/>
      <c r="K560" s="47"/>
      <c r="L560" s="11"/>
    </row>
    <row r="561" spans="2:12" x14ac:dyDescent="0.2">
      <c r="B561" s="10"/>
      <c r="C561" s="46"/>
      <c r="D561" s="47"/>
      <c r="E561" s="47"/>
      <c r="F561" s="47"/>
      <c r="G561" s="47"/>
      <c r="H561" s="47"/>
      <c r="I561" s="47"/>
      <c r="J561" s="47"/>
      <c r="K561" s="47"/>
      <c r="L561" s="11"/>
    </row>
    <row r="562" spans="2:12" x14ac:dyDescent="0.2">
      <c r="B562" s="10"/>
      <c r="C562" s="46"/>
      <c r="D562" s="47"/>
      <c r="E562" s="47"/>
      <c r="F562" s="47"/>
      <c r="G562" s="47"/>
      <c r="H562" s="47"/>
      <c r="I562" s="47"/>
      <c r="J562" s="47"/>
      <c r="K562" s="47"/>
      <c r="L562" s="11"/>
    </row>
    <row r="563" spans="2:12" x14ac:dyDescent="0.2">
      <c r="B563" s="10"/>
      <c r="C563" s="46"/>
      <c r="D563" s="47"/>
      <c r="E563" s="47"/>
      <c r="F563" s="47"/>
      <c r="G563" s="47"/>
      <c r="H563" s="47"/>
      <c r="I563" s="47"/>
      <c r="J563" s="47"/>
      <c r="K563" s="47"/>
      <c r="L563" s="11"/>
    </row>
    <row r="564" spans="2:12" x14ac:dyDescent="0.2">
      <c r="B564" s="10"/>
      <c r="C564" s="46"/>
      <c r="D564" s="47"/>
      <c r="E564" s="47"/>
      <c r="F564" s="47"/>
      <c r="G564" s="47"/>
      <c r="H564" s="47"/>
      <c r="I564" s="47"/>
      <c r="J564" s="47"/>
      <c r="K564" s="47"/>
      <c r="L564" s="11"/>
    </row>
    <row r="565" spans="2:12" x14ac:dyDescent="0.2">
      <c r="B565" s="10"/>
      <c r="C565" s="46"/>
      <c r="D565" s="47"/>
      <c r="E565" s="47"/>
      <c r="F565" s="47"/>
      <c r="G565" s="47"/>
      <c r="H565" s="47"/>
      <c r="I565" s="47"/>
      <c r="J565" s="47"/>
      <c r="K565" s="47"/>
      <c r="L565" s="11"/>
    </row>
    <row r="566" spans="2:12" x14ac:dyDescent="0.2">
      <c r="B566" s="10"/>
      <c r="C566" s="46"/>
      <c r="D566" s="47"/>
      <c r="E566" s="47"/>
      <c r="F566" s="47"/>
      <c r="G566" s="47"/>
      <c r="H566" s="47"/>
      <c r="I566" s="47"/>
      <c r="J566" s="47"/>
      <c r="K566" s="47"/>
      <c r="L566" s="11"/>
    </row>
    <row r="567" spans="2:12" x14ac:dyDescent="0.2">
      <c r="B567" s="10"/>
      <c r="C567" s="46"/>
      <c r="D567" s="47"/>
      <c r="E567" s="47"/>
      <c r="F567" s="47"/>
      <c r="G567" s="47"/>
      <c r="H567" s="47"/>
      <c r="I567" s="47"/>
      <c r="J567" s="47"/>
      <c r="K567" s="47"/>
      <c r="L567" s="11"/>
    </row>
    <row r="568" spans="2:12" x14ac:dyDescent="0.2">
      <c r="B568" s="10"/>
      <c r="C568" s="46"/>
      <c r="D568" s="47"/>
      <c r="E568" s="47"/>
      <c r="F568" s="47"/>
      <c r="G568" s="47"/>
      <c r="H568" s="47"/>
      <c r="I568" s="47"/>
      <c r="J568" s="47"/>
      <c r="K568" s="47"/>
      <c r="L568" s="11"/>
    </row>
    <row r="569" spans="2:12" x14ac:dyDescent="0.2">
      <c r="B569" s="10"/>
      <c r="C569" s="46"/>
      <c r="D569" s="47"/>
      <c r="E569" s="47"/>
      <c r="F569" s="47"/>
      <c r="G569" s="47"/>
      <c r="H569" s="47"/>
      <c r="I569" s="47"/>
      <c r="J569" s="47"/>
      <c r="K569" s="47"/>
      <c r="L569" s="11"/>
    </row>
    <row r="570" spans="2:12" x14ac:dyDescent="0.2">
      <c r="B570" s="10"/>
      <c r="C570" s="46"/>
      <c r="D570" s="47"/>
      <c r="E570" s="47"/>
      <c r="F570" s="47"/>
      <c r="G570" s="47"/>
      <c r="H570" s="47"/>
      <c r="I570" s="47"/>
      <c r="J570" s="47"/>
      <c r="K570" s="47"/>
      <c r="L570" s="11"/>
    </row>
    <row r="571" spans="2:12" x14ac:dyDescent="0.2">
      <c r="B571" s="10"/>
      <c r="C571" s="46"/>
      <c r="D571" s="47"/>
      <c r="E571" s="47"/>
      <c r="F571" s="47"/>
      <c r="G571" s="47"/>
      <c r="H571" s="47"/>
      <c r="I571" s="47"/>
      <c r="J571" s="47"/>
      <c r="K571" s="47"/>
      <c r="L571" s="11"/>
    </row>
    <row r="572" spans="2:12" x14ac:dyDescent="0.2">
      <c r="B572" s="10"/>
      <c r="C572" s="46"/>
      <c r="D572" s="47"/>
      <c r="E572" s="47"/>
      <c r="F572" s="47"/>
      <c r="G572" s="47"/>
      <c r="H572" s="47"/>
      <c r="I572" s="47"/>
      <c r="J572" s="47"/>
      <c r="K572" s="47"/>
      <c r="L572" s="11"/>
    </row>
    <row r="573" spans="2:12" x14ac:dyDescent="0.2">
      <c r="B573" s="10"/>
      <c r="C573" s="46"/>
      <c r="D573" s="47"/>
      <c r="E573" s="47"/>
      <c r="F573" s="47"/>
      <c r="G573" s="47"/>
      <c r="H573" s="47"/>
      <c r="I573" s="47"/>
      <c r="J573" s="47"/>
      <c r="K573" s="47"/>
      <c r="L573" s="11"/>
    </row>
    <row r="574" spans="2:12" x14ac:dyDescent="0.2">
      <c r="B574" s="10"/>
      <c r="C574" s="46"/>
      <c r="D574" s="47"/>
      <c r="E574" s="47"/>
      <c r="F574" s="47"/>
      <c r="G574" s="47"/>
      <c r="H574" s="47"/>
      <c r="I574" s="47"/>
      <c r="J574" s="47"/>
      <c r="K574" s="47"/>
      <c r="L574" s="11"/>
    </row>
    <row r="575" spans="2:12" x14ac:dyDescent="0.2">
      <c r="B575" s="10"/>
      <c r="C575" s="46"/>
      <c r="D575" s="47"/>
      <c r="E575" s="47"/>
      <c r="F575" s="47"/>
      <c r="G575" s="47"/>
      <c r="H575" s="47"/>
      <c r="I575" s="47"/>
      <c r="J575" s="47"/>
      <c r="K575" s="47"/>
      <c r="L575" s="11"/>
    </row>
    <row r="576" spans="2:12" x14ac:dyDescent="0.2">
      <c r="B576" s="10"/>
      <c r="C576" s="46"/>
      <c r="D576" s="47"/>
      <c r="E576" s="47"/>
      <c r="F576" s="47"/>
      <c r="G576" s="47"/>
      <c r="H576" s="47"/>
      <c r="I576" s="47"/>
      <c r="J576" s="47"/>
      <c r="K576" s="47"/>
      <c r="L576" s="11"/>
    </row>
    <row r="577" spans="2:12" x14ac:dyDescent="0.2">
      <c r="B577" s="10"/>
      <c r="C577" s="46"/>
      <c r="D577" s="47"/>
      <c r="E577" s="47"/>
      <c r="F577" s="47"/>
      <c r="G577" s="47"/>
      <c r="H577" s="47"/>
      <c r="I577" s="47"/>
      <c r="J577" s="47"/>
      <c r="K577" s="47"/>
      <c r="L577" s="11"/>
    </row>
    <row r="578" spans="2:12" x14ac:dyDescent="0.2">
      <c r="B578" s="10"/>
      <c r="C578" s="46"/>
      <c r="D578" s="47"/>
      <c r="E578" s="47"/>
      <c r="F578" s="47"/>
      <c r="G578" s="47"/>
      <c r="H578" s="47"/>
      <c r="I578" s="47"/>
      <c r="J578" s="47"/>
      <c r="K578" s="47"/>
      <c r="L578" s="11"/>
    </row>
    <row r="579" spans="2:12" x14ac:dyDescent="0.2">
      <c r="B579" s="10"/>
      <c r="C579" s="46"/>
      <c r="D579" s="47"/>
      <c r="E579" s="47"/>
      <c r="F579" s="47"/>
      <c r="G579" s="47"/>
      <c r="H579" s="47"/>
      <c r="I579" s="47"/>
      <c r="J579" s="47"/>
      <c r="K579" s="47"/>
      <c r="L579" s="11"/>
    </row>
    <row r="580" spans="2:12" x14ac:dyDescent="0.2">
      <c r="B580" s="10"/>
      <c r="C580" s="46"/>
      <c r="D580" s="47"/>
      <c r="E580" s="47"/>
      <c r="F580" s="47"/>
      <c r="G580" s="47"/>
      <c r="H580" s="47"/>
      <c r="I580" s="47"/>
      <c r="J580" s="47"/>
      <c r="K580" s="47"/>
      <c r="L580" s="11"/>
    </row>
    <row r="581" spans="2:12" x14ac:dyDescent="0.2">
      <c r="B581" s="10"/>
      <c r="C581" s="46"/>
      <c r="D581" s="47"/>
      <c r="E581" s="47"/>
      <c r="F581" s="47"/>
      <c r="G581" s="47"/>
      <c r="H581" s="47"/>
      <c r="I581" s="47"/>
      <c r="J581" s="47"/>
      <c r="K581" s="47"/>
      <c r="L581" s="11"/>
    </row>
    <row r="582" spans="2:12" x14ac:dyDescent="0.2">
      <c r="B582" s="10"/>
      <c r="C582" s="46"/>
      <c r="D582" s="47"/>
      <c r="E582" s="47"/>
      <c r="F582" s="47"/>
      <c r="G582" s="47"/>
      <c r="H582" s="47"/>
      <c r="I582" s="47"/>
      <c r="J582" s="47"/>
      <c r="K582" s="47"/>
      <c r="L582" s="11"/>
    </row>
    <row r="583" spans="2:12" x14ac:dyDescent="0.2">
      <c r="B583" s="10"/>
      <c r="C583" s="46"/>
      <c r="D583" s="47"/>
      <c r="E583" s="47"/>
      <c r="F583" s="47"/>
      <c r="G583" s="47"/>
      <c r="H583" s="47"/>
      <c r="I583" s="47"/>
      <c r="J583" s="47"/>
      <c r="K583" s="47"/>
      <c r="L583" s="11"/>
    </row>
    <row r="584" spans="2:12" x14ac:dyDescent="0.2">
      <c r="B584" s="10"/>
      <c r="C584" s="46"/>
      <c r="D584" s="47"/>
      <c r="E584" s="47"/>
      <c r="F584" s="47"/>
      <c r="G584" s="47"/>
      <c r="H584" s="47"/>
      <c r="I584" s="47"/>
      <c r="J584" s="47"/>
      <c r="K584" s="47"/>
      <c r="L584" s="11"/>
    </row>
    <row r="585" spans="2:12" x14ac:dyDescent="0.2">
      <c r="B585" s="10"/>
      <c r="C585" s="46"/>
      <c r="D585" s="47"/>
      <c r="E585" s="47"/>
      <c r="F585" s="47"/>
      <c r="G585" s="47"/>
      <c r="H585" s="47"/>
      <c r="I585" s="47"/>
      <c r="J585" s="47"/>
      <c r="K585" s="47"/>
      <c r="L585" s="11"/>
    </row>
    <row r="586" spans="2:12" x14ac:dyDescent="0.2">
      <c r="B586" s="10"/>
      <c r="C586" s="46"/>
      <c r="D586" s="47"/>
      <c r="E586" s="47"/>
      <c r="F586" s="47"/>
      <c r="G586" s="47"/>
      <c r="H586" s="47"/>
      <c r="I586" s="47"/>
      <c r="J586" s="47"/>
      <c r="K586" s="47"/>
      <c r="L586" s="11"/>
    </row>
    <row r="587" spans="2:12" x14ac:dyDescent="0.2">
      <c r="B587" s="10"/>
      <c r="C587" s="46"/>
      <c r="D587" s="47"/>
      <c r="E587" s="47"/>
      <c r="F587" s="47"/>
      <c r="G587" s="47"/>
      <c r="H587" s="47"/>
      <c r="I587" s="47"/>
      <c r="J587" s="47"/>
      <c r="K587" s="47"/>
      <c r="L587" s="11"/>
    </row>
    <row r="588" spans="2:12" x14ac:dyDescent="0.2">
      <c r="B588" s="10"/>
      <c r="C588" s="46"/>
      <c r="D588" s="47"/>
      <c r="E588" s="47"/>
      <c r="F588" s="47"/>
      <c r="G588" s="47"/>
      <c r="H588" s="47"/>
      <c r="I588" s="47"/>
      <c r="J588" s="47"/>
      <c r="K588" s="47"/>
      <c r="L588" s="11"/>
    </row>
    <row r="589" spans="2:12" x14ac:dyDescent="0.2">
      <c r="B589" s="10"/>
      <c r="C589" s="46"/>
      <c r="D589" s="47"/>
      <c r="E589" s="47"/>
      <c r="F589" s="47"/>
      <c r="G589" s="47"/>
      <c r="H589" s="47"/>
      <c r="I589" s="47"/>
      <c r="J589" s="47"/>
      <c r="K589" s="47"/>
      <c r="L589" s="11"/>
    </row>
    <row r="590" spans="2:12" x14ac:dyDescent="0.2">
      <c r="B590" s="10"/>
      <c r="C590" s="46"/>
      <c r="D590" s="47"/>
      <c r="E590" s="47"/>
      <c r="F590" s="47"/>
      <c r="G590" s="47"/>
      <c r="H590" s="47"/>
      <c r="I590" s="47"/>
      <c r="J590" s="47"/>
      <c r="K590" s="47"/>
      <c r="L590" s="11"/>
    </row>
    <row r="591" spans="2:12" x14ac:dyDescent="0.2">
      <c r="B591" s="10"/>
      <c r="C591" s="46"/>
      <c r="D591" s="47"/>
      <c r="E591" s="47"/>
      <c r="F591" s="47"/>
      <c r="G591" s="47"/>
      <c r="H591" s="47"/>
      <c r="I591" s="47"/>
      <c r="J591" s="47"/>
      <c r="K591" s="47"/>
      <c r="L591" s="11"/>
    </row>
    <row r="592" spans="2:12" x14ac:dyDescent="0.2">
      <c r="B592" s="10"/>
      <c r="C592" s="46"/>
      <c r="D592" s="47"/>
      <c r="E592" s="47"/>
      <c r="F592" s="47"/>
      <c r="G592" s="47"/>
      <c r="H592" s="47"/>
      <c r="I592" s="47"/>
      <c r="J592" s="47"/>
      <c r="K592" s="47"/>
      <c r="L592" s="11"/>
    </row>
    <row r="593" spans="2:12" x14ac:dyDescent="0.2">
      <c r="B593" s="10"/>
      <c r="C593" s="46"/>
      <c r="D593" s="47"/>
      <c r="E593" s="47"/>
      <c r="F593" s="47"/>
      <c r="G593" s="47"/>
      <c r="H593" s="47"/>
      <c r="I593" s="47"/>
      <c r="J593" s="47"/>
      <c r="K593" s="47"/>
      <c r="L593" s="11"/>
    </row>
    <row r="594" spans="2:12" x14ac:dyDescent="0.2">
      <c r="B594" s="10"/>
      <c r="C594" s="46"/>
      <c r="D594" s="47"/>
      <c r="E594" s="47"/>
      <c r="F594" s="47"/>
      <c r="G594" s="47"/>
      <c r="H594" s="47"/>
      <c r="I594" s="47"/>
      <c r="J594" s="47"/>
      <c r="K594" s="47"/>
      <c r="L594" s="11"/>
    </row>
    <row r="595" spans="2:12" x14ac:dyDescent="0.2">
      <c r="B595" s="10"/>
      <c r="C595" s="46"/>
      <c r="D595" s="47"/>
      <c r="E595" s="47"/>
      <c r="F595" s="47"/>
      <c r="G595" s="47"/>
      <c r="H595" s="47"/>
      <c r="I595" s="47"/>
      <c r="J595" s="47"/>
      <c r="K595" s="47"/>
      <c r="L595" s="11"/>
    </row>
    <row r="596" spans="2:12" x14ac:dyDescent="0.2">
      <c r="B596" s="10"/>
      <c r="C596" s="46"/>
      <c r="D596" s="47"/>
      <c r="E596" s="47"/>
      <c r="F596" s="47"/>
      <c r="G596" s="47"/>
      <c r="H596" s="47"/>
      <c r="I596" s="47"/>
      <c r="J596" s="47"/>
      <c r="K596" s="47"/>
      <c r="L596" s="11"/>
    </row>
    <row r="597" spans="2:12" x14ac:dyDescent="0.2">
      <c r="B597" s="10"/>
      <c r="C597" s="46"/>
      <c r="D597" s="47"/>
      <c r="E597" s="47"/>
      <c r="F597" s="47"/>
      <c r="G597" s="47"/>
      <c r="H597" s="47"/>
      <c r="I597" s="47"/>
      <c r="J597" s="47"/>
      <c r="K597" s="47"/>
      <c r="L597" s="11"/>
    </row>
    <row r="598" spans="2:12" x14ac:dyDescent="0.2">
      <c r="B598" s="10"/>
      <c r="C598" s="46"/>
      <c r="D598" s="47"/>
      <c r="E598" s="47"/>
      <c r="F598" s="47"/>
      <c r="G598" s="47"/>
      <c r="H598" s="47"/>
      <c r="I598" s="47"/>
      <c r="J598" s="47"/>
      <c r="K598" s="47"/>
      <c r="L598" s="11"/>
    </row>
    <row r="599" spans="2:12" x14ac:dyDescent="0.2">
      <c r="B599" s="10"/>
      <c r="C599" s="46"/>
      <c r="D599" s="47"/>
      <c r="E599" s="47"/>
      <c r="F599" s="47"/>
      <c r="G599" s="47"/>
      <c r="H599" s="47"/>
      <c r="I599" s="47"/>
      <c r="J599" s="47"/>
      <c r="K599" s="47"/>
      <c r="L599" s="11"/>
    </row>
    <row r="600" spans="2:12" x14ac:dyDescent="0.2">
      <c r="B600" s="10"/>
      <c r="C600" s="46"/>
      <c r="D600" s="47"/>
      <c r="E600" s="47"/>
      <c r="F600" s="47"/>
      <c r="G600" s="47"/>
      <c r="H600" s="47"/>
      <c r="I600" s="47"/>
      <c r="J600" s="47"/>
      <c r="K600" s="47"/>
      <c r="L600" s="11"/>
    </row>
    <row r="601" spans="2:12" x14ac:dyDescent="0.2">
      <c r="B601" s="10"/>
      <c r="C601" s="46"/>
      <c r="D601" s="47"/>
      <c r="E601" s="47"/>
      <c r="F601" s="47"/>
      <c r="G601" s="47"/>
      <c r="H601" s="47"/>
      <c r="I601" s="47"/>
      <c r="J601" s="47"/>
      <c r="K601" s="47"/>
      <c r="L601" s="11"/>
    </row>
    <row r="602" spans="2:12" x14ac:dyDescent="0.2">
      <c r="B602" s="10"/>
      <c r="C602" s="46"/>
      <c r="D602" s="47"/>
      <c r="E602" s="47"/>
      <c r="F602" s="47"/>
      <c r="G602" s="47"/>
      <c r="H602" s="47"/>
      <c r="I602" s="47"/>
      <c r="J602" s="47"/>
      <c r="K602" s="47"/>
      <c r="L602" s="11"/>
    </row>
    <row r="603" spans="2:12" x14ac:dyDescent="0.2">
      <c r="B603" s="10"/>
      <c r="C603" s="46"/>
      <c r="D603" s="47"/>
      <c r="E603" s="47"/>
      <c r="F603" s="47"/>
      <c r="G603" s="47"/>
      <c r="H603" s="47"/>
      <c r="I603" s="47"/>
      <c r="J603" s="47"/>
      <c r="K603" s="47"/>
      <c r="L603" s="11"/>
    </row>
    <row r="604" spans="2:12" x14ac:dyDescent="0.2">
      <c r="B604" s="10"/>
      <c r="C604" s="46"/>
      <c r="D604" s="47"/>
      <c r="E604" s="47"/>
      <c r="F604" s="47"/>
      <c r="G604" s="47"/>
      <c r="H604" s="47"/>
      <c r="I604" s="47"/>
      <c r="J604" s="47"/>
      <c r="K604" s="47"/>
      <c r="L604" s="11"/>
    </row>
    <row r="605" spans="2:12" x14ac:dyDescent="0.2">
      <c r="B605" s="10"/>
      <c r="C605" s="46"/>
      <c r="D605" s="47"/>
      <c r="E605" s="47"/>
      <c r="F605" s="47"/>
      <c r="G605" s="47"/>
      <c r="H605" s="47"/>
      <c r="I605" s="47"/>
      <c r="J605" s="47"/>
      <c r="K605" s="47"/>
      <c r="L605" s="11"/>
    </row>
    <row r="606" spans="2:12" x14ac:dyDescent="0.2">
      <c r="B606" s="10"/>
      <c r="C606" s="46"/>
      <c r="D606" s="47"/>
      <c r="E606" s="47"/>
      <c r="F606" s="47"/>
      <c r="G606" s="47"/>
      <c r="H606" s="47"/>
      <c r="I606" s="47"/>
      <c r="J606" s="47"/>
      <c r="K606" s="47"/>
      <c r="L606" s="11"/>
    </row>
    <row r="607" spans="2:12" x14ac:dyDescent="0.2">
      <c r="B607" s="10"/>
      <c r="C607" s="46"/>
      <c r="D607" s="47"/>
      <c r="E607" s="47"/>
      <c r="F607" s="47"/>
      <c r="G607" s="47"/>
      <c r="H607" s="47"/>
      <c r="I607" s="47"/>
      <c r="J607" s="47"/>
      <c r="K607" s="47"/>
      <c r="L607" s="11"/>
    </row>
    <row r="608" spans="2:12" x14ac:dyDescent="0.2">
      <c r="B608" s="10"/>
      <c r="C608" s="46"/>
      <c r="D608" s="47"/>
      <c r="E608" s="47"/>
      <c r="F608" s="47"/>
      <c r="G608" s="47"/>
      <c r="H608" s="47"/>
      <c r="I608" s="47"/>
      <c r="J608" s="47"/>
      <c r="K608" s="47"/>
      <c r="L608" s="11"/>
    </row>
    <row r="609" spans="2:12" x14ac:dyDescent="0.2">
      <c r="B609" s="10"/>
      <c r="C609" s="46"/>
      <c r="D609" s="47"/>
      <c r="E609" s="47"/>
      <c r="F609" s="47"/>
      <c r="G609" s="47"/>
      <c r="H609" s="47"/>
      <c r="I609" s="47"/>
      <c r="J609" s="47"/>
      <c r="K609" s="47"/>
      <c r="L609" s="11"/>
    </row>
    <row r="610" spans="2:12" x14ac:dyDescent="0.2">
      <c r="B610" s="10"/>
      <c r="C610" s="46"/>
      <c r="D610" s="47"/>
      <c r="E610" s="47"/>
      <c r="F610" s="47"/>
      <c r="G610" s="47"/>
      <c r="H610" s="47"/>
      <c r="I610" s="47"/>
      <c r="J610" s="47"/>
      <c r="K610" s="47"/>
      <c r="L610" s="11"/>
    </row>
    <row r="611" spans="2:12" x14ac:dyDescent="0.2">
      <c r="B611" s="10"/>
      <c r="C611" s="46"/>
      <c r="D611" s="47"/>
      <c r="E611" s="47"/>
      <c r="F611" s="47"/>
      <c r="G611" s="47"/>
      <c r="H611" s="47"/>
      <c r="I611" s="47"/>
      <c r="J611" s="47"/>
      <c r="K611" s="47"/>
      <c r="L611" s="11"/>
    </row>
    <row r="612" spans="2:12" x14ac:dyDescent="0.2">
      <c r="B612" s="10"/>
      <c r="C612" s="46"/>
      <c r="D612" s="47"/>
      <c r="E612" s="47"/>
      <c r="F612" s="47"/>
      <c r="G612" s="47"/>
      <c r="H612" s="47"/>
      <c r="I612" s="47"/>
      <c r="J612" s="47"/>
      <c r="K612" s="47"/>
      <c r="L612" s="11"/>
    </row>
    <row r="613" spans="2:12" x14ac:dyDescent="0.2">
      <c r="B613" s="10"/>
      <c r="C613" s="46"/>
      <c r="D613" s="47"/>
      <c r="E613" s="47"/>
      <c r="F613" s="47"/>
      <c r="G613" s="47"/>
      <c r="H613" s="47"/>
      <c r="I613" s="47"/>
      <c r="J613" s="47"/>
      <c r="K613" s="47"/>
      <c r="L613" s="11"/>
    </row>
    <row r="614" spans="2:12" x14ac:dyDescent="0.2">
      <c r="B614" s="10"/>
      <c r="C614" s="46"/>
      <c r="D614" s="47"/>
      <c r="E614" s="47"/>
      <c r="F614" s="47"/>
      <c r="G614" s="47"/>
      <c r="H614" s="47"/>
      <c r="I614" s="47"/>
      <c r="J614" s="47"/>
      <c r="K614" s="47"/>
      <c r="L614" s="11"/>
    </row>
    <row r="615" spans="2:12" x14ac:dyDescent="0.2">
      <c r="B615" s="10"/>
      <c r="C615" s="46"/>
      <c r="D615" s="47"/>
      <c r="E615" s="47"/>
      <c r="F615" s="47"/>
      <c r="G615" s="47"/>
      <c r="H615" s="47"/>
      <c r="I615" s="47"/>
      <c r="J615" s="47"/>
      <c r="K615" s="47"/>
      <c r="L615" s="11"/>
    </row>
    <row r="616" spans="2:12" x14ac:dyDescent="0.2">
      <c r="B616" s="10"/>
      <c r="C616" s="46"/>
      <c r="D616" s="47"/>
      <c r="E616" s="47"/>
      <c r="F616" s="47"/>
      <c r="G616" s="47"/>
      <c r="H616" s="47"/>
      <c r="I616" s="47"/>
      <c r="J616" s="47"/>
      <c r="K616" s="47"/>
      <c r="L616" s="11"/>
    </row>
    <row r="617" spans="2:12" x14ac:dyDescent="0.2">
      <c r="B617" s="10"/>
      <c r="C617" s="46"/>
      <c r="D617" s="47"/>
      <c r="E617" s="47"/>
      <c r="F617" s="47"/>
      <c r="G617" s="47"/>
      <c r="H617" s="47"/>
      <c r="I617" s="47"/>
      <c r="J617" s="47"/>
      <c r="K617" s="47"/>
      <c r="L617" s="11"/>
    </row>
    <row r="618" spans="2:12" x14ac:dyDescent="0.2">
      <c r="B618" s="10"/>
      <c r="C618" s="46"/>
      <c r="D618" s="47"/>
      <c r="E618" s="47"/>
      <c r="F618" s="47"/>
      <c r="G618" s="47"/>
      <c r="H618" s="47"/>
      <c r="I618" s="47"/>
      <c r="J618" s="47"/>
      <c r="K618" s="47"/>
      <c r="L618" s="11"/>
    </row>
    <row r="619" spans="2:12" x14ac:dyDescent="0.2">
      <c r="B619" s="10"/>
      <c r="C619" s="46"/>
      <c r="D619" s="47"/>
      <c r="E619" s="47"/>
      <c r="F619" s="47"/>
      <c r="G619" s="47"/>
      <c r="H619" s="47"/>
      <c r="I619" s="47"/>
      <c r="J619" s="47"/>
      <c r="K619" s="47"/>
      <c r="L619" s="11"/>
    </row>
    <row r="620" spans="2:12" x14ac:dyDescent="0.2">
      <c r="B620" s="10"/>
      <c r="C620" s="46"/>
      <c r="D620" s="47"/>
      <c r="E620" s="47"/>
      <c r="F620" s="47"/>
      <c r="G620" s="47"/>
      <c r="H620" s="47"/>
      <c r="I620" s="47"/>
      <c r="J620" s="47"/>
      <c r="K620" s="47"/>
      <c r="L620" s="11"/>
    </row>
    <row r="621" spans="2:12" x14ac:dyDescent="0.2">
      <c r="B621" s="10"/>
      <c r="C621" s="46"/>
      <c r="D621" s="47"/>
      <c r="E621" s="47"/>
      <c r="F621" s="47"/>
      <c r="G621" s="47"/>
      <c r="H621" s="47"/>
      <c r="I621" s="47"/>
      <c r="J621" s="47"/>
      <c r="K621" s="47"/>
      <c r="L621" s="11"/>
    </row>
    <row r="622" spans="2:12" x14ac:dyDescent="0.2">
      <c r="B622" s="10"/>
      <c r="C622" s="46"/>
      <c r="D622" s="47"/>
      <c r="E622" s="47"/>
      <c r="F622" s="47"/>
      <c r="G622" s="47"/>
      <c r="H622" s="47"/>
      <c r="I622" s="47"/>
      <c r="J622" s="47"/>
      <c r="K622" s="47"/>
      <c r="L622" s="11"/>
    </row>
    <row r="623" spans="2:12" x14ac:dyDescent="0.2">
      <c r="B623" s="10"/>
      <c r="C623" s="46"/>
      <c r="D623" s="47"/>
      <c r="E623" s="47"/>
      <c r="F623" s="47"/>
      <c r="G623" s="47"/>
      <c r="H623" s="47"/>
      <c r="I623" s="47"/>
      <c r="J623" s="47"/>
      <c r="K623" s="47"/>
      <c r="L623" s="11"/>
    </row>
    <row r="624" spans="2:12" x14ac:dyDescent="0.2">
      <c r="B624" s="10"/>
      <c r="C624" s="46"/>
      <c r="D624" s="47"/>
      <c r="E624" s="47"/>
      <c r="F624" s="47"/>
      <c r="G624" s="47"/>
      <c r="H624" s="47"/>
      <c r="I624" s="47"/>
      <c r="J624" s="47"/>
      <c r="K624" s="47"/>
      <c r="L624" s="11"/>
    </row>
    <row r="625" spans="2:12" x14ac:dyDescent="0.2">
      <c r="B625" s="10"/>
      <c r="C625" s="46"/>
      <c r="D625" s="47"/>
      <c r="E625" s="47"/>
      <c r="F625" s="47"/>
      <c r="G625" s="47"/>
      <c r="H625" s="47"/>
      <c r="I625" s="47"/>
      <c r="J625" s="47"/>
      <c r="K625" s="47"/>
      <c r="L625" s="11"/>
    </row>
    <row r="626" spans="2:12" x14ac:dyDescent="0.2">
      <c r="B626" s="10"/>
      <c r="C626" s="46"/>
      <c r="D626" s="47"/>
      <c r="E626" s="47"/>
      <c r="F626" s="47"/>
      <c r="G626" s="47"/>
      <c r="H626" s="47"/>
      <c r="I626" s="47"/>
      <c r="J626" s="47"/>
      <c r="K626" s="47"/>
      <c r="L626" s="11"/>
    </row>
    <row r="627" spans="2:12" x14ac:dyDescent="0.2">
      <c r="B627" s="10"/>
      <c r="C627" s="46"/>
      <c r="D627" s="47"/>
      <c r="E627" s="47"/>
      <c r="F627" s="47"/>
      <c r="G627" s="47"/>
      <c r="H627" s="47"/>
      <c r="I627" s="47"/>
      <c r="J627" s="47"/>
      <c r="K627" s="47"/>
      <c r="L627" s="11"/>
    </row>
    <row r="628" spans="2:12" x14ac:dyDescent="0.2">
      <c r="B628" s="10"/>
      <c r="C628" s="46"/>
      <c r="D628" s="47"/>
      <c r="E628" s="47"/>
      <c r="F628" s="47"/>
      <c r="G628" s="47"/>
      <c r="H628" s="47"/>
      <c r="I628" s="47"/>
      <c r="J628" s="47"/>
      <c r="K628" s="47"/>
      <c r="L628" s="11"/>
    </row>
    <row r="629" spans="2:12" x14ac:dyDescent="0.2">
      <c r="B629" s="10"/>
      <c r="C629" s="46"/>
      <c r="D629" s="47"/>
      <c r="E629" s="47"/>
      <c r="F629" s="47"/>
      <c r="G629" s="47"/>
      <c r="H629" s="47"/>
      <c r="I629" s="47"/>
      <c r="J629" s="47"/>
      <c r="K629" s="47"/>
      <c r="L629" s="11"/>
    </row>
    <row r="630" spans="2:12" x14ac:dyDescent="0.2">
      <c r="B630" s="10"/>
      <c r="C630" s="46"/>
      <c r="D630" s="47"/>
      <c r="E630" s="47"/>
      <c r="F630" s="47"/>
      <c r="G630" s="47"/>
      <c r="H630" s="47"/>
      <c r="I630" s="47"/>
      <c r="J630" s="47"/>
      <c r="K630" s="47"/>
      <c r="L630" s="11"/>
    </row>
    <row r="631" spans="2:12" x14ac:dyDescent="0.2">
      <c r="B631" s="10"/>
      <c r="C631" s="46"/>
      <c r="D631" s="47"/>
      <c r="E631" s="47"/>
      <c r="F631" s="47"/>
      <c r="G631" s="47"/>
      <c r="H631" s="47"/>
      <c r="I631" s="47"/>
      <c r="J631" s="47"/>
      <c r="K631" s="47"/>
      <c r="L631" s="11"/>
    </row>
    <row r="632" spans="2:12" x14ac:dyDescent="0.2">
      <c r="B632" s="10"/>
      <c r="C632" s="46"/>
      <c r="D632" s="47"/>
      <c r="E632" s="47"/>
      <c r="F632" s="47"/>
      <c r="G632" s="47"/>
      <c r="H632" s="47"/>
      <c r="I632" s="47"/>
      <c r="J632" s="47"/>
      <c r="K632" s="47"/>
      <c r="L632" s="11"/>
    </row>
    <row r="633" spans="2:12" x14ac:dyDescent="0.2">
      <c r="B633" s="10"/>
      <c r="C633" s="46"/>
      <c r="D633" s="47"/>
      <c r="E633" s="47"/>
      <c r="F633" s="47"/>
      <c r="G633" s="47"/>
      <c r="H633" s="47"/>
      <c r="I633" s="47"/>
      <c r="J633" s="47"/>
      <c r="K633" s="47"/>
      <c r="L633" s="11"/>
    </row>
    <row r="634" spans="2:12" x14ac:dyDescent="0.2">
      <c r="B634" s="10"/>
      <c r="C634" s="46"/>
      <c r="D634" s="47"/>
      <c r="E634" s="47"/>
      <c r="F634" s="47"/>
      <c r="G634" s="47"/>
      <c r="H634" s="47"/>
      <c r="I634" s="47"/>
      <c r="J634" s="47"/>
      <c r="K634" s="47"/>
      <c r="L634" s="11"/>
    </row>
    <row r="635" spans="2:12" x14ac:dyDescent="0.2">
      <c r="B635" s="10"/>
      <c r="C635" s="46"/>
      <c r="D635" s="47"/>
      <c r="E635" s="47"/>
      <c r="F635" s="47"/>
      <c r="G635" s="47"/>
      <c r="H635" s="47"/>
      <c r="I635" s="47"/>
      <c r="J635" s="47"/>
      <c r="K635" s="47"/>
      <c r="L635" s="11"/>
    </row>
    <row r="636" spans="2:12" x14ac:dyDescent="0.2">
      <c r="B636" s="10"/>
      <c r="C636" s="46"/>
      <c r="D636" s="47"/>
      <c r="E636" s="47"/>
      <c r="F636" s="47"/>
      <c r="G636" s="47"/>
      <c r="H636" s="47"/>
      <c r="I636" s="47"/>
      <c r="J636" s="47"/>
      <c r="K636" s="47"/>
      <c r="L636" s="11"/>
    </row>
    <row r="637" spans="2:12" x14ac:dyDescent="0.2">
      <c r="B637" s="10"/>
      <c r="C637" s="46"/>
      <c r="D637" s="47"/>
      <c r="E637" s="47"/>
      <c r="F637" s="47"/>
      <c r="G637" s="47"/>
      <c r="H637" s="47"/>
      <c r="I637" s="47"/>
      <c r="J637" s="47"/>
      <c r="K637" s="47"/>
      <c r="L637" s="11"/>
    </row>
    <row r="638" spans="2:12" x14ac:dyDescent="0.2">
      <c r="B638" s="10"/>
      <c r="C638" s="46"/>
      <c r="D638" s="47"/>
      <c r="E638" s="47"/>
      <c r="F638" s="47"/>
      <c r="G638" s="47"/>
      <c r="H638" s="47"/>
      <c r="I638" s="47"/>
      <c r="J638" s="47"/>
      <c r="K638" s="47"/>
      <c r="L638" s="11"/>
    </row>
    <row r="639" spans="2:12" x14ac:dyDescent="0.2">
      <c r="B639" s="10"/>
      <c r="C639" s="46"/>
      <c r="D639" s="47"/>
      <c r="E639" s="47"/>
      <c r="F639" s="47"/>
      <c r="G639" s="47"/>
      <c r="H639" s="47"/>
      <c r="I639" s="47"/>
      <c r="J639" s="47"/>
      <c r="K639" s="47"/>
      <c r="L639" s="11"/>
    </row>
    <row r="640" spans="2:12" x14ac:dyDescent="0.2">
      <c r="B640" s="10"/>
      <c r="C640" s="46"/>
      <c r="D640" s="47"/>
      <c r="E640" s="47"/>
      <c r="F640" s="47"/>
      <c r="G640" s="47"/>
      <c r="H640" s="47"/>
      <c r="I640" s="47"/>
      <c r="J640" s="47"/>
      <c r="K640" s="47"/>
      <c r="L640" s="11"/>
    </row>
    <row r="641" spans="2:12" x14ac:dyDescent="0.2">
      <c r="B641" s="10"/>
      <c r="C641" s="46"/>
      <c r="D641" s="47"/>
      <c r="E641" s="47"/>
      <c r="F641" s="47"/>
      <c r="G641" s="47"/>
      <c r="H641" s="47"/>
      <c r="I641" s="47"/>
      <c r="J641" s="47"/>
      <c r="K641" s="47"/>
      <c r="L641" s="11"/>
    </row>
    <row r="642" spans="2:12" x14ac:dyDescent="0.2">
      <c r="B642" s="10"/>
      <c r="C642" s="46"/>
      <c r="D642" s="47"/>
      <c r="E642" s="47"/>
      <c r="F642" s="47"/>
      <c r="G642" s="47"/>
      <c r="H642" s="47"/>
      <c r="I642" s="47"/>
      <c r="J642" s="47"/>
      <c r="K642" s="47"/>
      <c r="L642" s="11"/>
    </row>
    <row r="643" spans="2:12" x14ac:dyDescent="0.2">
      <c r="B643" s="10"/>
      <c r="C643" s="46"/>
      <c r="D643" s="47"/>
      <c r="E643" s="47"/>
      <c r="F643" s="47"/>
      <c r="G643" s="47"/>
      <c r="H643" s="47"/>
      <c r="I643" s="47"/>
      <c r="J643" s="47"/>
      <c r="K643" s="47"/>
      <c r="L643" s="11"/>
    </row>
    <row r="644" spans="2:12" x14ac:dyDescent="0.2">
      <c r="B644" s="10"/>
      <c r="C644" s="46"/>
      <c r="D644" s="47"/>
      <c r="E644" s="47"/>
      <c r="F644" s="47"/>
      <c r="G644" s="47"/>
      <c r="H644" s="47"/>
      <c r="I644" s="47"/>
      <c r="J644" s="47"/>
      <c r="K644" s="47"/>
      <c r="L644" s="11"/>
    </row>
    <row r="645" spans="2:12" x14ac:dyDescent="0.2">
      <c r="B645" s="10"/>
      <c r="C645" s="46"/>
      <c r="D645" s="47"/>
      <c r="E645" s="47"/>
      <c r="F645" s="47"/>
      <c r="G645" s="47"/>
      <c r="H645" s="47"/>
      <c r="I645" s="47"/>
      <c r="J645" s="47"/>
      <c r="K645" s="47"/>
      <c r="L645" s="11"/>
    </row>
    <row r="646" spans="2:12" x14ac:dyDescent="0.2">
      <c r="B646" s="10"/>
      <c r="C646" s="46"/>
      <c r="D646" s="47"/>
      <c r="E646" s="47"/>
      <c r="F646" s="47"/>
      <c r="G646" s="47"/>
      <c r="H646" s="47"/>
      <c r="I646" s="47"/>
      <c r="J646" s="47"/>
      <c r="K646" s="47"/>
      <c r="L646" s="11"/>
    </row>
    <row r="647" spans="2:12" x14ac:dyDescent="0.2">
      <c r="B647" s="10"/>
      <c r="C647" s="46"/>
      <c r="D647" s="47"/>
      <c r="E647" s="47"/>
      <c r="F647" s="47"/>
      <c r="G647" s="47"/>
      <c r="H647" s="47"/>
      <c r="I647" s="47"/>
      <c r="J647" s="47"/>
      <c r="K647" s="47"/>
      <c r="L647" s="11"/>
    </row>
    <row r="648" spans="2:12" x14ac:dyDescent="0.2">
      <c r="B648" s="10"/>
      <c r="C648" s="46"/>
      <c r="D648" s="47"/>
      <c r="E648" s="47"/>
      <c r="F648" s="47"/>
      <c r="G648" s="47"/>
      <c r="H648" s="47"/>
      <c r="I648" s="47"/>
      <c r="J648" s="47"/>
      <c r="K648" s="47"/>
      <c r="L648" s="11"/>
    </row>
    <row r="649" spans="2:12" x14ac:dyDescent="0.2">
      <c r="B649" s="10"/>
      <c r="C649" s="46"/>
      <c r="D649" s="47"/>
      <c r="E649" s="47"/>
      <c r="F649" s="47"/>
      <c r="G649" s="47"/>
      <c r="H649" s="47"/>
      <c r="I649" s="47"/>
      <c r="J649" s="47"/>
      <c r="K649" s="47"/>
      <c r="L649" s="11"/>
    </row>
    <row r="650" spans="2:12" x14ac:dyDescent="0.2">
      <c r="B650" s="10"/>
      <c r="C650" s="46"/>
      <c r="D650" s="47"/>
      <c r="E650" s="47"/>
      <c r="F650" s="47"/>
      <c r="G650" s="47"/>
      <c r="H650" s="47"/>
      <c r="I650" s="47"/>
      <c r="J650" s="47"/>
      <c r="K650" s="47"/>
      <c r="L650" s="11"/>
    </row>
    <row r="651" spans="2:12" x14ac:dyDescent="0.2">
      <c r="B651" s="10"/>
      <c r="C651" s="46"/>
      <c r="D651" s="47"/>
      <c r="E651" s="47"/>
      <c r="F651" s="47"/>
      <c r="G651" s="47"/>
      <c r="H651" s="47"/>
      <c r="I651" s="47"/>
      <c r="J651" s="47"/>
      <c r="K651" s="47"/>
      <c r="L651" s="11"/>
    </row>
    <row r="652" spans="2:12" x14ac:dyDescent="0.2">
      <c r="B652" s="10"/>
      <c r="C652" s="46"/>
      <c r="D652" s="47"/>
      <c r="E652" s="47"/>
      <c r="F652" s="47"/>
      <c r="G652" s="47"/>
      <c r="H652" s="47"/>
      <c r="I652" s="47"/>
      <c r="J652" s="47"/>
      <c r="K652" s="47"/>
      <c r="L652" s="11"/>
    </row>
    <row r="653" spans="2:12" x14ac:dyDescent="0.2">
      <c r="B653" s="10"/>
      <c r="C653" s="46"/>
      <c r="D653" s="47"/>
      <c r="E653" s="47"/>
      <c r="F653" s="47"/>
      <c r="G653" s="47"/>
      <c r="H653" s="47"/>
      <c r="I653" s="47"/>
      <c r="J653" s="47"/>
      <c r="K653" s="47"/>
      <c r="L653" s="11"/>
    </row>
    <row r="654" spans="2:12" x14ac:dyDescent="0.2">
      <c r="B654" s="10"/>
      <c r="C654" s="46"/>
      <c r="D654" s="47"/>
      <c r="E654" s="47"/>
      <c r="F654" s="47"/>
      <c r="G654" s="47"/>
      <c r="H654" s="47"/>
      <c r="I654" s="47"/>
      <c r="J654" s="47"/>
      <c r="K654" s="47"/>
      <c r="L654" s="11"/>
    </row>
    <row r="655" spans="2:12" x14ac:dyDescent="0.2">
      <c r="B655" s="10"/>
      <c r="C655" s="46"/>
      <c r="D655" s="47"/>
      <c r="E655" s="47"/>
      <c r="F655" s="47"/>
      <c r="G655" s="47"/>
      <c r="H655" s="47"/>
      <c r="I655" s="47"/>
      <c r="J655" s="47"/>
      <c r="K655" s="47"/>
      <c r="L655" s="11"/>
    </row>
    <row r="656" spans="2:12" x14ac:dyDescent="0.2">
      <c r="B656" s="10"/>
      <c r="C656" s="46"/>
      <c r="D656" s="47"/>
      <c r="E656" s="47"/>
      <c r="F656" s="47"/>
      <c r="G656" s="47"/>
      <c r="H656" s="47"/>
      <c r="I656" s="47"/>
      <c r="J656" s="47"/>
      <c r="K656" s="47"/>
      <c r="L656" s="11"/>
    </row>
    <row r="657" spans="2:12" x14ac:dyDescent="0.2">
      <c r="B657" s="10"/>
      <c r="C657" s="46"/>
      <c r="D657" s="47"/>
      <c r="E657" s="47"/>
      <c r="F657" s="47"/>
      <c r="G657" s="47"/>
      <c r="H657" s="47"/>
      <c r="I657" s="47"/>
      <c r="J657" s="47"/>
      <c r="K657" s="47"/>
      <c r="L657" s="11"/>
    </row>
    <row r="658" spans="2:12" x14ac:dyDescent="0.2">
      <c r="B658" s="10"/>
      <c r="C658" s="46"/>
      <c r="D658" s="47"/>
      <c r="E658" s="47"/>
      <c r="F658" s="47"/>
      <c r="G658" s="47"/>
      <c r="H658" s="47"/>
      <c r="I658" s="47"/>
      <c r="J658" s="47"/>
      <c r="K658" s="47"/>
      <c r="L658" s="11"/>
    </row>
    <row r="659" spans="2:12" x14ac:dyDescent="0.2">
      <c r="B659" s="10"/>
      <c r="C659" s="46"/>
      <c r="D659" s="47"/>
      <c r="E659" s="47"/>
      <c r="F659" s="47"/>
      <c r="G659" s="47"/>
      <c r="H659" s="47"/>
      <c r="I659" s="47"/>
      <c r="J659" s="47"/>
      <c r="K659" s="47"/>
      <c r="L659" s="11"/>
    </row>
    <row r="660" spans="2:12" x14ac:dyDescent="0.2">
      <c r="B660" s="10"/>
      <c r="C660" s="46"/>
      <c r="D660" s="47"/>
      <c r="E660" s="47"/>
      <c r="F660" s="47"/>
      <c r="G660" s="47"/>
      <c r="H660" s="47"/>
      <c r="I660" s="47"/>
      <c r="J660" s="47"/>
      <c r="K660" s="47"/>
      <c r="L660" s="11"/>
    </row>
    <row r="661" spans="2:12" x14ac:dyDescent="0.2">
      <c r="B661" s="10"/>
      <c r="C661" s="46"/>
      <c r="D661" s="47"/>
      <c r="E661" s="47"/>
      <c r="F661" s="47"/>
      <c r="G661" s="47"/>
      <c r="H661" s="47"/>
      <c r="I661" s="47"/>
      <c r="J661" s="47"/>
      <c r="K661" s="47"/>
      <c r="L661" s="11"/>
    </row>
    <row r="662" spans="2:12" x14ac:dyDescent="0.2">
      <c r="B662" s="10"/>
      <c r="C662" s="46"/>
      <c r="D662" s="47"/>
      <c r="E662" s="47"/>
      <c r="F662" s="47"/>
      <c r="G662" s="47"/>
      <c r="H662" s="47"/>
      <c r="I662" s="47"/>
      <c r="J662" s="47"/>
      <c r="K662" s="47"/>
      <c r="L662" s="11"/>
    </row>
    <row r="663" spans="2:12" x14ac:dyDescent="0.2">
      <c r="B663" s="10"/>
      <c r="C663" s="46"/>
      <c r="D663" s="47"/>
      <c r="E663" s="47"/>
      <c r="F663" s="47"/>
      <c r="G663" s="47"/>
      <c r="H663" s="47"/>
      <c r="I663" s="47"/>
      <c r="J663" s="47"/>
      <c r="K663" s="47"/>
      <c r="L663" s="11"/>
    </row>
    <row r="664" spans="2:12" x14ac:dyDescent="0.2">
      <c r="B664" s="10"/>
      <c r="C664" s="46"/>
      <c r="D664" s="47"/>
      <c r="E664" s="47"/>
      <c r="F664" s="47"/>
      <c r="G664" s="47"/>
      <c r="H664" s="47"/>
      <c r="I664" s="47"/>
      <c r="J664" s="47"/>
      <c r="K664" s="47"/>
      <c r="L664" s="11"/>
    </row>
    <row r="665" spans="2:12" x14ac:dyDescent="0.2">
      <c r="B665" s="10"/>
      <c r="C665" s="46"/>
      <c r="D665" s="47"/>
      <c r="E665" s="47"/>
      <c r="F665" s="47"/>
      <c r="G665" s="47"/>
      <c r="H665" s="47"/>
      <c r="I665" s="47"/>
      <c r="J665" s="47"/>
      <c r="K665" s="47"/>
      <c r="L665" s="11"/>
    </row>
    <row r="666" spans="2:12" x14ac:dyDescent="0.2">
      <c r="B666" s="10"/>
      <c r="C666" s="46"/>
      <c r="D666" s="47"/>
      <c r="E666" s="47"/>
      <c r="F666" s="47"/>
      <c r="G666" s="47"/>
      <c r="H666" s="47"/>
      <c r="I666" s="47"/>
      <c r="J666" s="47"/>
      <c r="K666" s="47"/>
      <c r="L666" s="11"/>
    </row>
    <row r="667" spans="2:12" x14ac:dyDescent="0.2">
      <c r="B667" s="10"/>
      <c r="C667" s="46"/>
      <c r="D667" s="47"/>
      <c r="E667" s="47"/>
      <c r="F667" s="47"/>
      <c r="G667" s="47"/>
      <c r="H667" s="47"/>
      <c r="I667" s="47"/>
      <c r="J667" s="47"/>
      <c r="K667" s="47"/>
      <c r="L667" s="11"/>
    </row>
    <row r="668" spans="2:12" x14ac:dyDescent="0.2">
      <c r="B668" s="10"/>
      <c r="C668" s="46"/>
      <c r="D668" s="47"/>
      <c r="E668" s="47"/>
      <c r="F668" s="47"/>
      <c r="G668" s="47"/>
      <c r="H668" s="47"/>
      <c r="I668" s="47"/>
      <c r="J668" s="47"/>
      <c r="K668" s="47"/>
      <c r="L668" s="11"/>
    </row>
    <row r="669" spans="2:12" x14ac:dyDescent="0.2">
      <c r="B669" s="10"/>
      <c r="C669" s="46"/>
      <c r="D669" s="47"/>
      <c r="E669" s="47"/>
      <c r="F669" s="47"/>
      <c r="G669" s="47"/>
      <c r="H669" s="47"/>
      <c r="I669" s="47"/>
      <c r="J669" s="47"/>
      <c r="K669" s="47"/>
      <c r="L669" s="11"/>
    </row>
    <row r="670" spans="2:12" x14ac:dyDescent="0.2">
      <c r="B670" s="10"/>
      <c r="C670" s="46"/>
      <c r="D670" s="47"/>
      <c r="E670" s="47"/>
      <c r="F670" s="47"/>
      <c r="G670" s="47"/>
      <c r="H670" s="47"/>
      <c r="I670" s="47"/>
      <c r="J670" s="47"/>
      <c r="K670" s="47"/>
      <c r="L670" s="11"/>
    </row>
    <row r="671" spans="2:12" x14ac:dyDescent="0.2">
      <c r="B671" s="10"/>
      <c r="C671" s="46"/>
      <c r="D671" s="47"/>
      <c r="E671" s="47"/>
      <c r="F671" s="47"/>
      <c r="G671" s="47"/>
      <c r="H671" s="47"/>
      <c r="I671" s="47"/>
      <c r="J671" s="47"/>
      <c r="K671" s="47"/>
      <c r="L671" s="11"/>
    </row>
    <row r="672" spans="2:12" x14ac:dyDescent="0.2">
      <c r="B672" s="10"/>
      <c r="C672" s="46"/>
      <c r="D672" s="47"/>
      <c r="E672" s="47"/>
      <c r="F672" s="47"/>
      <c r="G672" s="47"/>
      <c r="H672" s="47"/>
      <c r="I672" s="47"/>
      <c r="J672" s="47"/>
      <c r="K672" s="47"/>
      <c r="L672" s="11"/>
    </row>
    <row r="673" spans="2:12" x14ac:dyDescent="0.2">
      <c r="B673" s="10"/>
      <c r="C673" s="46"/>
      <c r="D673" s="47"/>
      <c r="E673" s="47"/>
      <c r="F673" s="47"/>
      <c r="G673" s="47"/>
      <c r="H673" s="47"/>
      <c r="I673" s="47"/>
      <c r="J673" s="47"/>
      <c r="K673" s="47"/>
      <c r="L673" s="11"/>
    </row>
    <row r="674" spans="2:12" x14ac:dyDescent="0.2">
      <c r="B674" s="10"/>
      <c r="C674" s="46"/>
      <c r="D674" s="47"/>
      <c r="E674" s="47"/>
      <c r="F674" s="47"/>
      <c r="G674" s="47"/>
      <c r="H674" s="47"/>
      <c r="I674" s="47"/>
      <c r="J674" s="47"/>
      <c r="K674" s="47"/>
      <c r="L674" s="11"/>
    </row>
    <row r="675" spans="2:12" x14ac:dyDescent="0.2">
      <c r="B675" s="10"/>
      <c r="C675" s="46"/>
      <c r="D675" s="47"/>
      <c r="E675" s="47"/>
      <c r="F675" s="47"/>
      <c r="G675" s="47"/>
      <c r="H675" s="47"/>
      <c r="I675" s="47"/>
      <c r="J675" s="47"/>
      <c r="K675" s="47"/>
      <c r="L675" s="11"/>
    </row>
    <row r="676" spans="2:12" x14ac:dyDescent="0.2">
      <c r="B676" s="10"/>
      <c r="C676" s="46"/>
      <c r="D676" s="47"/>
      <c r="E676" s="47"/>
      <c r="F676" s="47"/>
      <c r="G676" s="47"/>
      <c r="H676" s="47"/>
      <c r="I676" s="47"/>
      <c r="J676" s="47"/>
      <c r="K676" s="47"/>
      <c r="L676" s="11"/>
    </row>
    <row r="677" spans="2:12" x14ac:dyDescent="0.2">
      <c r="B677" s="10"/>
      <c r="C677" s="46"/>
      <c r="D677" s="47"/>
      <c r="E677" s="47"/>
      <c r="F677" s="47"/>
      <c r="G677" s="47"/>
      <c r="H677" s="47"/>
      <c r="I677" s="47"/>
      <c r="J677" s="47"/>
      <c r="K677" s="47"/>
      <c r="L677" s="11"/>
    </row>
    <row r="678" spans="2:12" x14ac:dyDescent="0.2">
      <c r="B678" s="10"/>
      <c r="C678" s="46"/>
      <c r="D678" s="47"/>
      <c r="E678" s="47"/>
      <c r="F678" s="47"/>
      <c r="G678" s="47"/>
      <c r="H678" s="47"/>
      <c r="I678" s="47"/>
      <c r="J678" s="47"/>
      <c r="K678" s="47"/>
      <c r="L678" s="11"/>
    </row>
    <row r="679" spans="2:12" x14ac:dyDescent="0.2">
      <c r="B679" s="10"/>
      <c r="C679" s="46"/>
      <c r="D679" s="47"/>
      <c r="E679" s="47"/>
      <c r="F679" s="47"/>
      <c r="G679" s="47"/>
      <c r="H679" s="47"/>
      <c r="I679" s="47"/>
      <c r="J679" s="47"/>
      <c r="K679" s="47"/>
      <c r="L679" s="11"/>
    </row>
    <row r="680" spans="2:12" x14ac:dyDescent="0.2">
      <c r="B680" s="10"/>
      <c r="C680" s="46"/>
      <c r="D680" s="47"/>
      <c r="E680" s="47"/>
      <c r="F680" s="47"/>
      <c r="G680" s="47"/>
      <c r="H680" s="47"/>
      <c r="I680" s="47"/>
      <c r="J680" s="47"/>
      <c r="K680" s="47"/>
      <c r="L680" s="11"/>
    </row>
    <row r="681" spans="2:12" x14ac:dyDescent="0.2">
      <c r="B681" s="10"/>
      <c r="C681" s="46"/>
      <c r="D681" s="47"/>
      <c r="E681" s="47"/>
      <c r="F681" s="47"/>
      <c r="G681" s="47"/>
      <c r="H681" s="47"/>
      <c r="I681" s="47"/>
      <c r="J681" s="47"/>
      <c r="K681" s="47"/>
      <c r="L681" s="11"/>
    </row>
    <row r="682" spans="2:12" x14ac:dyDescent="0.2">
      <c r="B682" s="10"/>
      <c r="C682" s="46"/>
      <c r="D682" s="47"/>
      <c r="E682" s="47"/>
      <c r="F682" s="47"/>
      <c r="G682" s="47"/>
      <c r="H682" s="47"/>
      <c r="I682" s="47"/>
      <c r="J682" s="47"/>
      <c r="K682" s="47"/>
      <c r="L682" s="11"/>
    </row>
    <row r="683" spans="2:12" x14ac:dyDescent="0.2">
      <c r="B683" s="10"/>
      <c r="C683" s="46"/>
      <c r="D683" s="47"/>
      <c r="E683" s="47"/>
      <c r="F683" s="47"/>
      <c r="G683" s="47"/>
      <c r="H683" s="47"/>
      <c r="I683" s="47"/>
      <c r="J683" s="47"/>
      <c r="K683" s="47"/>
      <c r="L683" s="11"/>
    </row>
    <row r="684" spans="2:12" x14ac:dyDescent="0.2">
      <c r="B684" s="10"/>
      <c r="C684" s="46"/>
      <c r="D684" s="47"/>
      <c r="E684" s="47"/>
      <c r="F684" s="47"/>
      <c r="G684" s="47"/>
      <c r="H684" s="47"/>
      <c r="I684" s="47"/>
      <c r="J684" s="47"/>
      <c r="K684" s="47"/>
      <c r="L684" s="11"/>
    </row>
    <row r="685" spans="2:12" x14ac:dyDescent="0.2">
      <c r="B685" s="10"/>
      <c r="C685" s="46"/>
      <c r="D685" s="47"/>
      <c r="E685" s="47"/>
      <c r="F685" s="47"/>
      <c r="G685" s="47"/>
      <c r="H685" s="47"/>
      <c r="I685" s="47"/>
      <c r="J685" s="47"/>
      <c r="K685" s="47"/>
      <c r="L685" s="11"/>
    </row>
    <row r="686" spans="2:12" x14ac:dyDescent="0.2">
      <c r="B686" s="10"/>
      <c r="C686" s="46"/>
      <c r="D686" s="47"/>
      <c r="E686" s="47"/>
      <c r="F686" s="47"/>
      <c r="G686" s="47"/>
      <c r="H686" s="47"/>
      <c r="I686" s="47"/>
      <c r="J686" s="47"/>
      <c r="K686" s="47"/>
      <c r="L686" s="11"/>
    </row>
    <row r="687" spans="2:12" x14ac:dyDescent="0.2">
      <c r="B687" s="10"/>
      <c r="C687" s="46"/>
      <c r="D687" s="47"/>
      <c r="E687" s="47"/>
      <c r="F687" s="47"/>
      <c r="G687" s="47"/>
      <c r="H687" s="47"/>
      <c r="I687" s="47"/>
      <c r="J687" s="47"/>
      <c r="K687" s="47"/>
      <c r="L687" s="11"/>
    </row>
    <row r="688" spans="2:12" x14ac:dyDescent="0.2">
      <c r="B688" s="10"/>
      <c r="C688" s="46"/>
      <c r="D688" s="47"/>
      <c r="E688" s="47"/>
      <c r="F688" s="47"/>
      <c r="G688" s="47"/>
      <c r="H688" s="47"/>
      <c r="I688" s="47"/>
      <c r="J688" s="47"/>
      <c r="K688" s="47"/>
      <c r="L688" s="11"/>
    </row>
    <row r="689" spans="2:12" x14ac:dyDescent="0.2">
      <c r="B689" s="10"/>
      <c r="C689" s="46"/>
      <c r="D689" s="47"/>
      <c r="E689" s="47"/>
      <c r="F689" s="47"/>
      <c r="G689" s="47"/>
      <c r="H689" s="47"/>
      <c r="I689" s="47"/>
      <c r="J689" s="47"/>
      <c r="K689" s="47"/>
      <c r="L689" s="11"/>
    </row>
    <row r="690" spans="2:12" x14ac:dyDescent="0.2">
      <c r="B690" s="10"/>
      <c r="C690" s="46"/>
      <c r="D690" s="47"/>
      <c r="E690" s="47"/>
      <c r="F690" s="47"/>
      <c r="G690" s="47"/>
      <c r="H690" s="47"/>
      <c r="I690" s="47"/>
      <c r="J690" s="47"/>
      <c r="K690" s="47"/>
      <c r="L690" s="11"/>
    </row>
    <row r="691" spans="2:12" x14ac:dyDescent="0.2">
      <c r="B691" s="10"/>
      <c r="C691" s="46"/>
      <c r="D691" s="47"/>
      <c r="E691" s="47"/>
      <c r="F691" s="47"/>
      <c r="G691" s="47"/>
      <c r="H691" s="47"/>
      <c r="I691" s="47"/>
      <c r="J691" s="47"/>
      <c r="K691" s="47"/>
      <c r="L691" s="11"/>
    </row>
    <row r="692" spans="2:12" x14ac:dyDescent="0.2">
      <c r="B692" s="10"/>
      <c r="C692" s="46"/>
      <c r="D692" s="47"/>
      <c r="E692" s="47"/>
      <c r="F692" s="47"/>
      <c r="G692" s="47"/>
      <c r="H692" s="47"/>
      <c r="I692" s="47"/>
      <c r="J692" s="47"/>
      <c r="K692" s="47"/>
      <c r="L692" s="11"/>
    </row>
    <row r="693" spans="2:12" x14ac:dyDescent="0.2">
      <c r="B693" s="10"/>
      <c r="C693" s="46"/>
      <c r="D693" s="47"/>
      <c r="E693" s="47"/>
      <c r="F693" s="47"/>
      <c r="G693" s="47"/>
      <c r="H693" s="47"/>
      <c r="I693" s="47"/>
      <c r="J693" s="47"/>
      <c r="K693" s="47"/>
      <c r="L693" s="11"/>
    </row>
    <row r="694" spans="2:12" x14ac:dyDescent="0.2">
      <c r="B694" s="10"/>
      <c r="C694" s="46"/>
      <c r="D694" s="47"/>
      <c r="E694" s="47"/>
      <c r="F694" s="47"/>
      <c r="G694" s="47"/>
      <c r="H694" s="47"/>
      <c r="I694" s="47"/>
      <c r="J694" s="47"/>
      <c r="K694" s="47"/>
      <c r="L694" s="11"/>
    </row>
    <row r="695" spans="2:12" x14ac:dyDescent="0.2">
      <c r="B695" s="10"/>
      <c r="C695" s="46"/>
      <c r="D695" s="47"/>
      <c r="E695" s="47"/>
      <c r="F695" s="47"/>
      <c r="G695" s="47"/>
      <c r="H695" s="47"/>
      <c r="I695" s="47"/>
      <c r="J695" s="47"/>
      <c r="K695" s="47"/>
      <c r="L695" s="11"/>
    </row>
    <row r="696" spans="2:12" x14ac:dyDescent="0.2">
      <c r="B696" s="10"/>
      <c r="C696" s="46"/>
      <c r="D696" s="47"/>
      <c r="E696" s="47"/>
      <c r="F696" s="47"/>
      <c r="G696" s="47"/>
      <c r="H696" s="47"/>
      <c r="I696" s="47"/>
      <c r="J696" s="47"/>
      <c r="K696" s="47"/>
      <c r="L696" s="11"/>
    </row>
    <row r="697" spans="2:12" x14ac:dyDescent="0.2">
      <c r="B697" s="10"/>
      <c r="C697" s="46"/>
      <c r="D697" s="47"/>
      <c r="E697" s="47"/>
      <c r="F697" s="47"/>
      <c r="G697" s="47"/>
      <c r="H697" s="47"/>
      <c r="I697" s="47"/>
      <c r="J697" s="47"/>
      <c r="K697" s="47"/>
      <c r="L697" s="11"/>
    </row>
    <row r="698" spans="2:12" x14ac:dyDescent="0.2">
      <c r="B698" s="10"/>
      <c r="C698" s="46"/>
      <c r="D698" s="47"/>
      <c r="E698" s="47"/>
      <c r="F698" s="47"/>
      <c r="G698" s="47"/>
      <c r="H698" s="47"/>
      <c r="I698" s="47"/>
      <c r="J698" s="47"/>
      <c r="K698" s="47"/>
      <c r="L698" s="11"/>
    </row>
    <row r="699" spans="2:12" x14ac:dyDescent="0.2">
      <c r="B699" s="10"/>
      <c r="C699" s="46"/>
      <c r="D699" s="47"/>
      <c r="E699" s="47"/>
      <c r="F699" s="47"/>
      <c r="G699" s="47"/>
      <c r="H699" s="47"/>
      <c r="I699" s="47"/>
      <c r="J699" s="47"/>
      <c r="K699" s="47"/>
      <c r="L699" s="11"/>
    </row>
    <row r="700" spans="2:12" x14ac:dyDescent="0.2">
      <c r="B700" s="10"/>
      <c r="C700" s="46"/>
      <c r="D700" s="47"/>
      <c r="E700" s="47"/>
      <c r="F700" s="47"/>
      <c r="G700" s="47"/>
      <c r="H700" s="47"/>
      <c r="I700" s="47"/>
      <c r="J700" s="47"/>
      <c r="K700" s="47"/>
      <c r="L700" s="11"/>
    </row>
    <row r="701" spans="2:12" x14ac:dyDescent="0.2">
      <c r="B701" s="10"/>
      <c r="C701" s="46"/>
      <c r="D701" s="47"/>
      <c r="E701" s="47"/>
      <c r="F701" s="47"/>
      <c r="G701" s="47"/>
      <c r="H701" s="47"/>
      <c r="I701" s="47"/>
      <c r="J701" s="47"/>
      <c r="K701" s="47"/>
      <c r="L701" s="11"/>
    </row>
    <row r="702" spans="2:12" x14ac:dyDescent="0.2">
      <c r="B702" s="10"/>
      <c r="C702" s="46"/>
      <c r="D702" s="47"/>
      <c r="E702" s="47"/>
      <c r="F702" s="47"/>
      <c r="G702" s="47"/>
      <c r="H702" s="47"/>
      <c r="I702" s="47"/>
      <c r="J702" s="47"/>
      <c r="K702" s="47"/>
      <c r="L702" s="11"/>
    </row>
    <row r="703" spans="2:12" x14ac:dyDescent="0.2">
      <c r="B703" s="10"/>
      <c r="C703" s="46"/>
      <c r="D703" s="47"/>
      <c r="E703" s="47"/>
      <c r="F703" s="47"/>
      <c r="G703" s="47"/>
      <c r="H703" s="47"/>
      <c r="I703" s="47"/>
      <c r="J703" s="47"/>
      <c r="K703" s="47"/>
      <c r="L703" s="11"/>
    </row>
    <row r="704" spans="2:12" x14ac:dyDescent="0.2">
      <c r="B704" s="10"/>
      <c r="C704" s="46"/>
      <c r="D704" s="47"/>
      <c r="E704" s="47"/>
      <c r="F704" s="47"/>
      <c r="G704" s="47"/>
      <c r="H704" s="47"/>
      <c r="I704" s="47"/>
      <c r="J704" s="47"/>
      <c r="K704" s="47"/>
      <c r="L704" s="11"/>
    </row>
    <row r="705" spans="2:12" x14ac:dyDescent="0.2">
      <c r="B705" s="10"/>
      <c r="C705" s="46"/>
      <c r="D705" s="47"/>
      <c r="E705" s="47"/>
      <c r="F705" s="47"/>
      <c r="G705" s="47"/>
      <c r="H705" s="47"/>
      <c r="I705" s="47"/>
      <c r="J705" s="47"/>
      <c r="K705" s="47"/>
      <c r="L705" s="11"/>
    </row>
    <row r="706" spans="2:12" x14ac:dyDescent="0.2">
      <c r="B706" s="10"/>
      <c r="C706" s="46"/>
      <c r="D706" s="47"/>
      <c r="E706" s="47"/>
      <c r="F706" s="47"/>
      <c r="G706" s="47"/>
      <c r="H706" s="47"/>
      <c r="I706" s="47"/>
      <c r="J706" s="47"/>
      <c r="K706" s="47"/>
      <c r="L706" s="11"/>
    </row>
    <row r="707" spans="2:12" x14ac:dyDescent="0.2">
      <c r="B707" s="10"/>
      <c r="C707" s="46"/>
      <c r="D707" s="47"/>
      <c r="E707" s="47"/>
      <c r="F707" s="47"/>
      <c r="G707" s="47"/>
      <c r="H707" s="47"/>
      <c r="I707" s="47"/>
      <c r="J707" s="47"/>
      <c r="K707" s="47"/>
      <c r="L707" s="11"/>
    </row>
    <row r="708" spans="2:12" x14ac:dyDescent="0.2">
      <c r="B708" s="10"/>
      <c r="C708" s="46"/>
      <c r="D708" s="47"/>
      <c r="E708" s="47"/>
      <c r="F708" s="47"/>
      <c r="G708" s="47"/>
      <c r="H708" s="47"/>
      <c r="I708" s="47"/>
      <c r="J708" s="47"/>
      <c r="K708" s="47"/>
      <c r="L708" s="11"/>
    </row>
    <row r="709" spans="2:12" x14ac:dyDescent="0.2">
      <c r="B709" s="10"/>
      <c r="C709" s="46"/>
      <c r="D709" s="47"/>
      <c r="E709" s="47"/>
      <c r="F709" s="47"/>
      <c r="G709" s="47"/>
      <c r="H709" s="47"/>
      <c r="I709" s="47"/>
      <c r="J709" s="47"/>
      <c r="K709" s="47"/>
      <c r="L709" s="11"/>
    </row>
    <row r="710" spans="2:12" x14ac:dyDescent="0.2">
      <c r="B710" s="10"/>
      <c r="C710" s="46"/>
      <c r="D710" s="47"/>
      <c r="E710" s="47"/>
      <c r="F710" s="47"/>
      <c r="G710" s="47"/>
      <c r="H710" s="47"/>
      <c r="I710" s="47"/>
      <c r="J710" s="47"/>
      <c r="K710" s="47"/>
      <c r="L710" s="11"/>
    </row>
    <row r="711" spans="2:12" x14ac:dyDescent="0.2">
      <c r="B711" s="10"/>
      <c r="C711" s="46"/>
      <c r="D711" s="47"/>
      <c r="E711" s="47"/>
      <c r="F711" s="47"/>
      <c r="G711" s="47"/>
      <c r="H711" s="47"/>
      <c r="I711" s="47"/>
      <c r="J711" s="47"/>
      <c r="K711" s="47"/>
      <c r="L711" s="11"/>
    </row>
    <row r="712" spans="2:12" x14ac:dyDescent="0.2">
      <c r="B712" s="10"/>
      <c r="C712" s="46"/>
      <c r="D712" s="47"/>
      <c r="E712" s="47"/>
      <c r="F712" s="47"/>
      <c r="G712" s="47"/>
      <c r="H712" s="47"/>
      <c r="I712" s="47"/>
      <c r="J712" s="47"/>
      <c r="K712" s="47"/>
      <c r="L712" s="11"/>
    </row>
    <row r="713" spans="2:12" x14ac:dyDescent="0.2">
      <c r="B713" s="10"/>
      <c r="C713" s="46"/>
      <c r="D713" s="47"/>
      <c r="E713" s="47"/>
      <c r="F713" s="47"/>
      <c r="G713" s="47"/>
      <c r="H713" s="47"/>
      <c r="I713" s="47"/>
      <c r="J713" s="47"/>
      <c r="K713" s="47"/>
      <c r="L713" s="11"/>
    </row>
    <row r="714" spans="2:12" x14ac:dyDescent="0.2">
      <c r="B714" s="10"/>
      <c r="C714" s="46"/>
      <c r="D714" s="47"/>
      <c r="E714" s="47"/>
      <c r="F714" s="47"/>
      <c r="G714" s="47"/>
      <c r="H714" s="47"/>
      <c r="I714" s="47"/>
      <c r="J714" s="47"/>
      <c r="K714" s="47"/>
      <c r="L714" s="11"/>
    </row>
    <row r="715" spans="2:12" x14ac:dyDescent="0.2">
      <c r="B715" s="10"/>
      <c r="C715" s="46"/>
      <c r="D715" s="47"/>
      <c r="E715" s="47"/>
      <c r="F715" s="47"/>
      <c r="G715" s="47"/>
      <c r="H715" s="47"/>
      <c r="I715" s="47"/>
      <c r="J715" s="47"/>
      <c r="K715" s="47"/>
      <c r="L715" s="11"/>
    </row>
    <row r="716" spans="2:12" x14ac:dyDescent="0.2">
      <c r="B716" s="10"/>
      <c r="C716" s="46"/>
      <c r="D716" s="47"/>
      <c r="E716" s="47"/>
      <c r="F716" s="47"/>
      <c r="G716" s="47"/>
      <c r="H716" s="47"/>
      <c r="I716" s="47"/>
      <c r="J716" s="47"/>
      <c r="K716" s="47"/>
      <c r="L716" s="11"/>
    </row>
    <row r="717" spans="2:12" x14ac:dyDescent="0.2">
      <c r="B717" s="10"/>
      <c r="C717" s="46"/>
      <c r="D717" s="47"/>
      <c r="E717" s="47"/>
      <c r="F717" s="47"/>
      <c r="G717" s="47"/>
      <c r="H717" s="47"/>
      <c r="I717" s="47"/>
      <c r="J717" s="47"/>
      <c r="K717" s="47"/>
      <c r="L717" s="11"/>
    </row>
    <row r="718" spans="2:12" x14ac:dyDescent="0.2">
      <c r="B718" s="10"/>
      <c r="C718" s="46"/>
      <c r="D718" s="47"/>
      <c r="E718" s="47"/>
      <c r="F718" s="47"/>
      <c r="G718" s="47"/>
      <c r="H718" s="47"/>
      <c r="I718" s="47"/>
      <c r="J718" s="47"/>
      <c r="K718" s="47"/>
      <c r="L718" s="11"/>
    </row>
    <row r="719" spans="2:12" x14ac:dyDescent="0.2">
      <c r="B719" s="10"/>
      <c r="C719" s="46"/>
      <c r="D719" s="47"/>
      <c r="E719" s="47"/>
      <c r="F719" s="47"/>
      <c r="G719" s="47"/>
      <c r="H719" s="47"/>
      <c r="I719" s="47"/>
      <c r="J719" s="47"/>
      <c r="K719" s="47"/>
      <c r="L719" s="11"/>
    </row>
    <row r="720" spans="2:12" x14ac:dyDescent="0.2">
      <c r="B720" s="10"/>
      <c r="C720" s="46"/>
      <c r="D720" s="47"/>
      <c r="E720" s="47"/>
      <c r="F720" s="47"/>
      <c r="G720" s="47"/>
      <c r="H720" s="47"/>
      <c r="I720" s="47"/>
      <c r="J720" s="47"/>
      <c r="K720" s="47"/>
      <c r="L720" s="11"/>
    </row>
    <row r="721" spans="2:12" x14ac:dyDescent="0.2">
      <c r="B721" s="10"/>
      <c r="C721" s="46"/>
      <c r="D721" s="47"/>
      <c r="E721" s="47"/>
      <c r="F721" s="47"/>
      <c r="G721" s="47"/>
      <c r="H721" s="47"/>
      <c r="I721" s="47"/>
      <c r="J721" s="47"/>
      <c r="K721" s="47"/>
      <c r="L721" s="11"/>
    </row>
    <row r="722" spans="2:12" x14ac:dyDescent="0.2">
      <c r="B722" s="10"/>
      <c r="C722" s="46"/>
      <c r="D722" s="47"/>
      <c r="E722" s="47"/>
      <c r="F722" s="47"/>
      <c r="G722" s="47"/>
      <c r="H722" s="47"/>
      <c r="I722" s="47"/>
      <c r="J722" s="47"/>
      <c r="K722" s="47"/>
      <c r="L722" s="11"/>
    </row>
    <row r="723" spans="2:12" x14ac:dyDescent="0.2">
      <c r="B723" s="10"/>
      <c r="C723" s="46"/>
      <c r="D723" s="47"/>
      <c r="E723" s="47"/>
      <c r="F723" s="47"/>
      <c r="G723" s="47"/>
      <c r="H723" s="47"/>
      <c r="I723" s="47"/>
      <c r="J723" s="47"/>
      <c r="K723" s="47"/>
      <c r="L723" s="11"/>
    </row>
    <row r="724" spans="2:12" x14ac:dyDescent="0.2">
      <c r="B724" s="10"/>
      <c r="C724" s="46"/>
      <c r="D724" s="47"/>
      <c r="E724" s="47"/>
      <c r="F724" s="47"/>
      <c r="G724" s="47"/>
      <c r="H724" s="47"/>
      <c r="I724" s="47"/>
      <c r="J724" s="47"/>
      <c r="K724" s="47"/>
      <c r="L724" s="11"/>
    </row>
    <row r="725" spans="2:12" x14ac:dyDescent="0.2">
      <c r="B725" s="10"/>
      <c r="C725" s="46"/>
      <c r="D725" s="47"/>
      <c r="E725" s="47"/>
      <c r="F725" s="47"/>
      <c r="G725" s="47"/>
      <c r="H725" s="47"/>
      <c r="I725" s="47"/>
      <c r="J725" s="47"/>
      <c r="K725" s="47"/>
      <c r="L725" s="11"/>
    </row>
    <row r="726" spans="2:12" x14ac:dyDescent="0.2">
      <c r="B726" s="10"/>
      <c r="C726" s="46"/>
      <c r="D726" s="47"/>
      <c r="E726" s="47"/>
      <c r="F726" s="47"/>
      <c r="G726" s="47"/>
      <c r="H726" s="47"/>
      <c r="I726" s="47"/>
      <c r="J726" s="47"/>
      <c r="K726" s="47"/>
      <c r="L726" s="11"/>
    </row>
    <row r="727" spans="2:12" x14ac:dyDescent="0.2">
      <c r="B727" s="10"/>
      <c r="C727" s="46"/>
      <c r="D727" s="47"/>
      <c r="E727" s="47"/>
      <c r="F727" s="47"/>
      <c r="G727" s="47"/>
      <c r="H727" s="47"/>
      <c r="I727" s="47"/>
      <c r="J727" s="47"/>
      <c r="K727" s="47"/>
      <c r="L727" s="11"/>
    </row>
    <row r="728" spans="2:12" x14ac:dyDescent="0.2">
      <c r="B728" s="10"/>
      <c r="C728" s="46"/>
      <c r="D728" s="47"/>
      <c r="E728" s="47"/>
      <c r="F728" s="47"/>
      <c r="G728" s="47"/>
      <c r="H728" s="47"/>
      <c r="I728" s="47"/>
      <c r="J728" s="47"/>
      <c r="K728" s="47"/>
      <c r="L728" s="11"/>
    </row>
    <row r="729" spans="2:12" x14ac:dyDescent="0.2">
      <c r="B729" s="10"/>
      <c r="C729" s="46"/>
      <c r="D729" s="47"/>
      <c r="E729" s="47"/>
      <c r="F729" s="47"/>
      <c r="G729" s="47"/>
      <c r="H729" s="47"/>
      <c r="I729" s="47"/>
      <c r="J729" s="47"/>
      <c r="K729" s="47"/>
      <c r="L729" s="11"/>
    </row>
    <row r="730" spans="2:12" x14ac:dyDescent="0.2">
      <c r="B730" s="10"/>
      <c r="C730" s="46"/>
      <c r="D730" s="47"/>
      <c r="E730" s="47"/>
      <c r="F730" s="47"/>
      <c r="G730" s="47"/>
      <c r="H730" s="47"/>
      <c r="I730" s="47"/>
      <c r="J730" s="47"/>
      <c r="K730" s="47"/>
      <c r="L730" s="11"/>
    </row>
    <row r="731" spans="2:12" x14ac:dyDescent="0.2">
      <c r="B731" s="10"/>
      <c r="C731" s="46"/>
      <c r="D731" s="47"/>
      <c r="E731" s="47"/>
      <c r="F731" s="47"/>
      <c r="G731" s="47"/>
      <c r="H731" s="47"/>
      <c r="I731" s="47"/>
      <c r="J731" s="47"/>
      <c r="K731" s="47"/>
      <c r="L731" s="11"/>
    </row>
    <row r="732" spans="2:12" x14ac:dyDescent="0.2">
      <c r="B732" s="10"/>
      <c r="C732" s="46"/>
      <c r="D732" s="47"/>
      <c r="E732" s="47"/>
      <c r="F732" s="47"/>
      <c r="G732" s="47"/>
      <c r="H732" s="47"/>
      <c r="I732" s="47"/>
      <c r="J732" s="47"/>
      <c r="K732" s="47"/>
      <c r="L732" s="11"/>
    </row>
    <row r="733" spans="2:12" x14ac:dyDescent="0.2">
      <c r="B733" s="10"/>
      <c r="C733" s="46"/>
      <c r="D733" s="47"/>
      <c r="E733" s="47"/>
      <c r="F733" s="47"/>
      <c r="G733" s="47"/>
      <c r="H733" s="47"/>
      <c r="I733" s="47"/>
      <c r="J733" s="47"/>
      <c r="K733" s="47"/>
      <c r="L733" s="11"/>
    </row>
    <row r="734" spans="2:12" x14ac:dyDescent="0.2">
      <c r="B734" s="10"/>
      <c r="C734" s="46"/>
      <c r="D734" s="47"/>
      <c r="E734" s="47"/>
      <c r="F734" s="47"/>
      <c r="G734" s="47"/>
      <c r="H734" s="47"/>
      <c r="I734" s="47"/>
      <c r="J734" s="47"/>
      <c r="K734" s="47"/>
      <c r="L734" s="11"/>
    </row>
    <row r="735" spans="2:12" x14ac:dyDescent="0.2">
      <c r="B735" s="10"/>
      <c r="C735" s="46"/>
      <c r="D735" s="47"/>
      <c r="E735" s="47"/>
      <c r="F735" s="47"/>
      <c r="G735" s="47"/>
      <c r="H735" s="47"/>
      <c r="I735" s="47"/>
      <c r="J735" s="47"/>
      <c r="K735" s="47"/>
      <c r="L735" s="11"/>
    </row>
    <row r="736" spans="2:12" x14ac:dyDescent="0.2">
      <c r="B736" s="10"/>
      <c r="C736" s="46"/>
      <c r="D736" s="47"/>
      <c r="E736" s="47"/>
      <c r="F736" s="47"/>
      <c r="G736" s="47"/>
      <c r="H736" s="47"/>
      <c r="I736" s="47"/>
      <c r="J736" s="47"/>
      <c r="K736" s="47"/>
      <c r="L736" s="11"/>
    </row>
    <row r="737" spans="2:12" x14ac:dyDescent="0.2">
      <c r="B737" s="10"/>
      <c r="C737" s="46"/>
      <c r="D737" s="47"/>
      <c r="E737" s="47"/>
      <c r="F737" s="47"/>
      <c r="G737" s="47"/>
      <c r="H737" s="47"/>
      <c r="I737" s="47"/>
      <c r="J737" s="47"/>
      <c r="K737" s="47"/>
      <c r="L737" s="11"/>
    </row>
    <row r="738" spans="2:12" x14ac:dyDescent="0.2">
      <c r="B738" s="10"/>
      <c r="C738" s="46"/>
      <c r="D738" s="47"/>
      <c r="E738" s="47"/>
      <c r="F738" s="47"/>
      <c r="G738" s="47"/>
      <c r="H738" s="47"/>
      <c r="I738" s="47"/>
      <c r="J738" s="47"/>
      <c r="K738" s="47"/>
      <c r="L738" s="11"/>
    </row>
    <row r="739" spans="2:12" x14ac:dyDescent="0.2">
      <c r="B739" s="10"/>
      <c r="C739" s="46"/>
      <c r="D739" s="47"/>
      <c r="E739" s="47"/>
      <c r="F739" s="47"/>
      <c r="G739" s="47"/>
      <c r="H739" s="47"/>
      <c r="I739" s="47"/>
      <c r="J739" s="47"/>
      <c r="K739" s="47"/>
      <c r="L739" s="11"/>
    </row>
    <row r="740" spans="2:12" x14ac:dyDescent="0.2">
      <c r="B740" s="10"/>
      <c r="C740" s="46"/>
      <c r="D740" s="47"/>
      <c r="E740" s="47"/>
      <c r="F740" s="47"/>
      <c r="G740" s="47"/>
      <c r="H740" s="47"/>
      <c r="I740" s="47"/>
      <c r="J740" s="47"/>
      <c r="K740" s="47"/>
      <c r="L740" s="11"/>
    </row>
    <row r="741" spans="2:12" x14ac:dyDescent="0.2">
      <c r="B741" s="10"/>
      <c r="C741" s="46"/>
      <c r="D741" s="47"/>
      <c r="E741" s="47"/>
      <c r="F741" s="47"/>
      <c r="G741" s="47"/>
      <c r="H741" s="47"/>
      <c r="I741" s="47"/>
      <c r="J741" s="47"/>
      <c r="K741" s="47"/>
      <c r="L741" s="11"/>
    </row>
    <row r="742" spans="2:12" x14ac:dyDescent="0.2">
      <c r="B742" s="10"/>
      <c r="C742" s="46"/>
      <c r="D742" s="47"/>
      <c r="E742" s="47"/>
      <c r="F742" s="47"/>
      <c r="G742" s="47"/>
      <c r="H742" s="47"/>
      <c r="I742" s="47"/>
      <c r="J742" s="47"/>
      <c r="K742" s="47"/>
      <c r="L742" s="11"/>
    </row>
    <row r="743" spans="2:12" x14ac:dyDescent="0.2">
      <c r="B743" s="10"/>
      <c r="C743" s="46"/>
      <c r="D743" s="47"/>
      <c r="E743" s="47"/>
      <c r="F743" s="47"/>
      <c r="G743" s="47"/>
      <c r="H743" s="47"/>
      <c r="I743" s="47"/>
      <c r="J743" s="47"/>
      <c r="K743" s="47"/>
      <c r="L743" s="11"/>
    </row>
    <row r="744" spans="2:12" x14ac:dyDescent="0.2">
      <c r="B744" s="10"/>
      <c r="C744" s="46"/>
      <c r="D744" s="47"/>
      <c r="E744" s="47"/>
      <c r="F744" s="47"/>
      <c r="G744" s="47"/>
      <c r="H744" s="47"/>
      <c r="I744" s="47"/>
      <c r="J744" s="47"/>
      <c r="K744" s="47"/>
      <c r="L744" s="11"/>
    </row>
    <row r="745" spans="2:12" x14ac:dyDescent="0.2">
      <c r="B745" s="10"/>
      <c r="C745" s="46"/>
      <c r="D745" s="47"/>
      <c r="E745" s="47"/>
      <c r="F745" s="47"/>
      <c r="G745" s="47"/>
      <c r="H745" s="47"/>
      <c r="I745" s="47"/>
      <c r="J745" s="47"/>
      <c r="K745" s="47"/>
      <c r="L745" s="11"/>
    </row>
    <row r="746" spans="2:12" x14ac:dyDescent="0.2">
      <c r="B746" s="10"/>
      <c r="C746" s="46"/>
      <c r="D746" s="47"/>
      <c r="E746" s="47"/>
      <c r="F746" s="47"/>
      <c r="G746" s="47"/>
      <c r="H746" s="47"/>
      <c r="I746" s="47"/>
      <c r="J746" s="47"/>
      <c r="K746" s="47"/>
      <c r="L746" s="11"/>
    </row>
    <row r="747" spans="2:12" x14ac:dyDescent="0.2">
      <c r="B747" s="10"/>
      <c r="C747" s="46"/>
      <c r="D747" s="47"/>
      <c r="E747" s="47"/>
      <c r="F747" s="47"/>
      <c r="G747" s="47"/>
      <c r="H747" s="47"/>
      <c r="I747" s="47"/>
      <c r="J747" s="47"/>
      <c r="K747" s="47"/>
      <c r="L747" s="11"/>
    </row>
    <row r="748" spans="2:12" x14ac:dyDescent="0.2">
      <c r="B748" s="10"/>
      <c r="C748" s="46"/>
      <c r="D748" s="47"/>
      <c r="E748" s="47"/>
      <c r="F748" s="47"/>
      <c r="G748" s="47"/>
      <c r="H748" s="47"/>
      <c r="I748" s="47"/>
      <c r="J748" s="47"/>
      <c r="K748" s="47"/>
      <c r="L748" s="11"/>
    </row>
    <row r="749" spans="2:12" x14ac:dyDescent="0.2">
      <c r="B749" s="10"/>
      <c r="C749" s="46"/>
      <c r="D749" s="47"/>
      <c r="E749" s="47"/>
      <c r="F749" s="47"/>
      <c r="G749" s="47"/>
      <c r="H749" s="47"/>
      <c r="I749" s="47"/>
      <c r="J749" s="47"/>
      <c r="K749" s="47"/>
      <c r="L749" s="11"/>
    </row>
    <row r="750" spans="2:12" x14ac:dyDescent="0.2">
      <c r="B750" s="10"/>
      <c r="C750" s="46"/>
      <c r="D750" s="47"/>
      <c r="E750" s="47"/>
      <c r="F750" s="47"/>
      <c r="G750" s="47"/>
      <c r="H750" s="47"/>
      <c r="I750" s="47"/>
      <c r="J750" s="47"/>
      <c r="K750" s="47"/>
      <c r="L750" s="11"/>
    </row>
    <row r="751" spans="2:12" x14ac:dyDescent="0.2">
      <c r="B751" s="10"/>
      <c r="C751" s="46"/>
      <c r="D751" s="47"/>
      <c r="E751" s="47"/>
      <c r="F751" s="47"/>
      <c r="G751" s="47"/>
      <c r="H751" s="47"/>
      <c r="I751" s="47"/>
      <c r="J751" s="47"/>
      <c r="K751" s="47"/>
      <c r="L751" s="11"/>
    </row>
    <row r="752" spans="2:12" x14ac:dyDescent="0.2">
      <c r="B752" s="10"/>
      <c r="C752" s="46"/>
      <c r="D752" s="47"/>
      <c r="E752" s="47"/>
      <c r="F752" s="47"/>
      <c r="G752" s="47"/>
      <c r="H752" s="47"/>
      <c r="I752" s="47"/>
      <c r="J752" s="47"/>
      <c r="K752" s="47"/>
      <c r="L752" s="11"/>
    </row>
    <row r="753" spans="2:12" x14ac:dyDescent="0.2">
      <c r="B753" s="10"/>
      <c r="C753" s="46"/>
      <c r="D753" s="47"/>
      <c r="E753" s="47"/>
      <c r="F753" s="47"/>
      <c r="G753" s="47"/>
      <c r="H753" s="47"/>
      <c r="I753" s="47"/>
      <c r="J753" s="47"/>
      <c r="K753" s="47"/>
      <c r="L753" s="11"/>
    </row>
    <row r="754" spans="2:12" x14ac:dyDescent="0.2">
      <c r="B754" s="10"/>
      <c r="C754" s="46"/>
      <c r="D754" s="47"/>
      <c r="E754" s="47"/>
      <c r="F754" s="47"/>
      <c r="G754" s="47"/>
      <c r="H754" s="47"/>
      <c r="I754" s="47"/>
      <c r="J754" s="47"/>
      <c r="K754" s="47"/>
      <c r="L754" s="11"/>
    </row>
    <row r="755" spans="2:12" x14ac:dyDescent="0.2">
      <c r="B755" s="10"/>
      <c r="C755" s="46"/>
      <c r="D755" s="47"/>
      <c r="E755" s="47"/>
      <c r="F755" s="47"/>
      <c r="G755" s="47"/>
      <c r="H755" s="47"/>
      <c r="I755" s="47"/>
      <c r="J755" s="47"/>
      <c r="K755" s="47"/>
      <c r="L755" s="11"/>
    </row>
    <row r="756" spans="2:12" x14ac:dyDescent="0.2">
      <c r="B756" s="10"/>
      <c r="C756" s="46"/>
      <c r="D756" s="47"/>
      <c r="E756" s="47"/>
      <c r="F756" s="47"/>
      <c r="G756" s="47"/>
      <c r="H756" s="47"/>
      <c r="I756" s="47"/>
      <c r="J756" s="47"/>
      <c r="K756" s="47"/>
      <c r="L756" s="11"/>
    </row>
    <row r="757" spans="2:12" x14ac:dyDescent="0.2">
      <c r="B757" s="10"/>
      <c r="C757" s="46"/>
      <c r="D757" s="47"/>
      <c r="E757" s="47"/>
      <c r="F757" s="47"/>
      <c r="G757" s="47"/>
      <c r="H757" s="47"/>
      <c r="I757" s="47"/>
      <c r="J757" s="47"/>
      <c r="K757" s="47"/>
      <c r="L757" s="11"/>
    </row>
    <row r="758" spans="2:12" x14ac:dyDescent="0.2">
      <c r="B758" s="10"/>
      <c r="C758" s="46"/>
      <c r="D758" s="47"/>
      <c r="E758" s="47"/>
      <c r="F758" s="47"/>
      <c r="G758" s="47"/>
      <c r="H758" s="47"/>
      <c r="I758" s="47"/>
      <c r="J758" s="47"/>
      <c r="K758" s="47"/>
      <c r="L758" s="11"/>
    </row>
    <row r="759" spans="2:12" x14ac:dyDescent="0.2">
      <c r="B759" s="10"/>
      <c r="C759" s="46"/>
      <c r="D759" s="47"/>
      <c r="E759" s="47"/>
      <c r="F759" s="47"/>
      <c r="G759" s="47"/>
      <c r="H759" s="47"/>
      <c r="I759" s="47"/>
      <c r="J759" s="47"/>
      <c r="K759" s="47"/>
      <c r="L759" s="11"/>
    </row>
    <row r="760" spans="2:12" x14ac:dyDescent="0.2">
      <c r="B760" s="10"/>
      <c r="C760" s="46"/>
      <c r="D760" s="47"/>
      <c r="E760" s="47"/>
      <c r="F760" s="47"/>
      <c r="G760" s="47"/>
      <c r="H760" s="47"/>
      <c r="I760" s="47"/>
      <c r="J760" s="47"/>
      <c r="K760" s="47"/>
      <c r="L760" s="11"/>
    </row>
    <row r="761" spans="2:12" x14ac:dyDescent="0.2">
      <c r="B761" s="10"/>
      <c r="C761" s="46"/>
      <c r="D761" s="47"/>
      <c r="E761" s="47"/>
      <c r="F761" s="47"/>
      <c r="G761" s="47"/>
      <c r="H761" s="47"/>
      <c r="I761" s="47"/>
      <c r="J761" s="47"/>
      <c r="K761" s="47"/>
      <c r="L761" s="11"/>
    </row>
    <row r="762" spans="2:12" x14ac:dyDescent="0.2">
      <c r="B762" s="10"/>
      <c r="C762" s="46"/>
      <c r="D762" s="47"/>
      <c r="E762" s="47"/>
      <c r="F762" s="47"/>
      <c r="G762" s="47"/>
      <c r="H762" s="47"/>
      <c r="I762" s="47"/>
      <c r="J762" s="47"/>
      <c r="K762" s="47"/>
      <c r="L762" s="11"/>
    </row>
    <row r="763" spans="2:12" x14ac:dyDescent="0.2">
      <c r="B763" s="10"/>
      <c r="C763" s="46"/>
      <c r="D763" s="47"/>
      <c r="E763" s="47"/>
      <c r="F763" s="47"/>
      <c r="G763" s="47"/>
      <c r="H763" s="47"/>
      <c r="I763" s="47"/>
      <c r="J763" s="47"/>
      <c r="K763" s="47"/>
      <c r="L763" s="11"/>
    </row>
    <row r="764" spans="2:12" x14ac:dyDescent="0.2">
      <c r="B764" s="10"/>
      <c r="C764" s="46"/>
      <c r="D764" s="47"/>
      <c r="E764" s="47"/>
      <c r="F764" s="47"/>
      <c r="G764" s="47"/>
      <c r="H764" s="47"/>
      <c r="I764" s="47"/>
      <c r="J764" s="47"/>
      <c r="K764" s="47"/>
      <c r="L764" s="11"/>
    </row>
    <row r="765" spans="2:12" x14ac:dyDescent="0.2">
      <c r="B765" s="10"/>
      <c r="C765" s="46"/>
      <c r="D765" s="47"/>
      <c r="E765" s="47"/>
      <c r="F765" s="47"/>
      <c r="G765" s="47"/>
      <c r="H765" s="47"/>
      <c r="I765" s="47"/>
      <c r="J765" s="47"/>
      <c r="K765" s="47"/>
      <c r="L765" s="11"/>
    </row>
    <row r="766" spans="2:12" x14ac:dyDescent="0.2">
      <c r="B766" s="10"/>
      <c r="C766" s="46"/>
      <c r="D766" s="47"/>
      <c r="E766" s="47"/>
      <c r="F766" s="47"/>
      <c r="G766" s="47"/>
      <c r="H766" s="47"/>
      <c r="I766" s="47"/>
      <c r="J766" s="47"/>
      <c r="K766" s="47"/>
      <c r="L766" s="11"/>
    </row>
    <row r="767" spans="2:12" x14ac:dyDescent="0.2">
      <c r="B767" s="10"/>
      <c r="C767" s="46"/>
      <c r="D767" s="47"/>
      <c r="E767" s="47"/>
      <c r="F767" s="47"/>
      <c r="G767" s="47"/>
      <c r="H767" s="47"/>
      <c r="I767" s="47"/>
      <c r="J767" s="47"/>
      <c r="K767" s="47"/>
      <c r="L767" s="11"/>
    </row>
    <row r="768" spans="2:12" x14ac:dyDescent="0.2">
      <c r="B768" s="10"/>
      <c r="C768" s="46"/>
      <c r="D768" s="47"/>
      <c r="E768" s="47"/>
      <c r="F768" s="47"/>
      <c r="G768" s="47"/>
      <c r="H768" s="47"/>
      <c r="I768" s="47"/>
      <c r="J768" s="47"/>
      <c r="K768" s="47"/>
      <c r="L768" s="11"/>
    </row>
    <row r="769" spans="2:12" x14ac:dyDescent="0.2">
      <c r="B769" s="10"/>
      <c r="C769" s="46"/>
      <c r="D769" s="47"/>
      <c r="E769" s="47"/>
      <c r="F769" s="47"/>
      <c r="G769" s="47"/>
      <c r="H769" s="47"/>
      <c r="I769" s="47"/>
      <c r="J769" s="47"/>
      <c r="K769" s="47"/>
      <c r="L769" s="11"/>
    </row>
    <row r="770" spans="2:12" x14ac:dyDescent="0.2">
      <c r="B770" s="10"/>
      <c r="C770" s="46"/>
      <c r="D770" s="47"/>
      <c r="E770" s="47"/>
      <c r="F770" s="47"/>
      <c r="G770" s="47"/>
      <c r="H770" s="47"/>
      <c r="I770" s="47"/>
      <c r="J770" s="47"/>
      <c r="K770" s="47"/>
      <c r="L770" s="11"/>
    </row>
    <row r="771" spans="2:12" x14ac:dyDescent="0.2">
      <c r="B771" s="10"/>
      <c r="C771" s="46"/>
      <c r="D771" s="47"/>
      <c r="E771" s="47"/>
      <c r="F771" s="47"/>
      <c r="G771" s="47"/>
      <c r="H771" s="47"/>
      <c r="I771" s="47"/>
      <c r="J771" s="47"/>
      <c r="K771" s="47"/>
      <c r="L771" s="11"/>
    </row>
    <row r="772" spans="2:12" x14ac:dyDescent="0.2">
      <c r="B772" s="10"/>
      <c r="C772" s="46"/>
      <c r="D772" s="47"/>
      <c r="E772" s="47"/>
      <c r="F772" s="47"/>
      <c r="G772" s="47"/>
      <c r="H772" s="47"/>
      <c r="I772" s="47"/>
      <c r="J772" s="47"/>
      <c r="K772" s="47"/>
      <c r="L772" s="11"/>
    </row>
    <row r="773" spans="2:12" x14ac:dyDescent="0.2">
      <c r="B773" s="10"/>
      <c r="C773" s="46"/>
      <c r="D773" s="47"/>
      <c r="E773" s="47"/>
      <c r="F773" s="47"/>
      <c r="G773" s="47"/>
      <c r="H773" s="47"/>
      <c r="I773" s="47"/>
      <c r="J773" s="47"/>
      <c r="K773" s="47"/>
      <c r="L773" s="11"/>
    </row>
    <row r="774" spans="2:12" x14ac:dyDescent="0.2">
      <c r="B774" s="10"/>
      <c r="C774" s="46"/>
      <c r="D774" s="47"/>
      <c r="E774" s="47"/>
      <c r="F774" s="47"/>
      <c r="G774" s="47"/>
      <c r="H774" s="47"/>
      <c r="I774" s="47"/>
      <c r="J774" s="47"/>
      <c r="K774" s="47"/>
      <c r="L774" s="11"/>
    </row>
    <row r="775" spans="2:12" x14ac:dyDescent="0.2">
      <c r="B775" s="10"/>
      <c r="C775" s="46"/>
      <c r="D775" s="47"/>
      <c r="E775" s="47"/>
      <c r="F775" s="47"/>
      <c r="G775" s="47"/>
      <c r="H775" s="47"/>
      <c r="I775" s="47"/>
      <c r="J775" s="47"/>
      <c r="K775" s="47"/>
      <c r="L775" s="11"/>
    </row>
    <row r="776" spans="2:12" x14ac:dyDescent="0.2">
      <c r="B776" s="10"/>
      <c r="C776" s="46"/>
      <c r="D776" s="47"/>
      <c r="E776" s="47"/>
      <c r="F776" s="47"/>
      <c r="G776" s="47"/>
      <c r="H776" s="47"/>
      <c r="I776" s="47"/>
      <c r="J776" s="47"/>
      <c r="K776" s="47"/>
      <c r="L776" s="11"/>
    </row>
    <row r="777" spans="2:12" x14ac:dyDescent="0.2">
      <c r="B777" s="10"/>
      <c r="C777" s="46"/>
      <c r="D777" s="47"/>
      <c r="E777" s="47"/>
      <c r="F777" s="47"/>
      <c r="G777" s="47"/>
      <c r="H777" s="47"/>
      <c r="I777" s="47"/>
      <c r="J777" s="47"/>
      <c r="K777" s="47"/>
      <c r="L777" s="11"/>
    </row>
    <row r="778" spans="2:12" x14ac:dyDescent="0.2">
      <c r="B778" s="10"/>
      <c r="C778" s="46"/>
      <c r="D778" s="47"/>
      <c r="E778" s="47"/>
      <c r="F778" s="47"/>
      <c r="G778" s="47"/>
      <c r="H778" s="47"/>
      <c r="I778" s="47"/>
      <c r="J778" s="47"/>
      <c r="K778" s="47"/>
      <c r="L778" s="11"/>
    </row>
    <row r="779" spans="2:12" x14ac:dyDescent="0.2">
      <c r="B779" s="10"/>
      <c r="C779" s="46"/>
      <c r="D779" s="47"/>
      <c r="E779" s="47"/>
      <c r="F779" s="47"/>
      <c r="G779" s="47"/>
      <c r="H779" s="47"/>
      <c r="I779" s="47"/>
      <c r="J779" s="47"/>
      <c r="K779" s="47"/>
      <c r="L779" s="11"/>
    </row>
    <row r="780" spans="2:12" x14ac:dyDescent="0.2">
      <c r="B780" s="10"/>
      <c r="C780" s="46"/>
      <c r="D780" s="47"/>
      <c r="E780" s="47"/>
      <c r="F780" s="47"/>
      <c r="G780" s="47"/>
      <c r="H780" s="47"/>
      <c r="I780" s="47"/>
      <c r="J780" s="47"/>
      <c r="K780" s="47"/>
      <c r="L780" s="11"/>
    </row>
    <row r="781" spans="2:12" x14ac:dyDescent="0.2">
      <c r="B781" s="10"/>
      <c r="C781" s="46"/>
      <c r="D781" s="47"/>
      <c r="E781" s="47"/>
      <c r="F781" s="47"/>
      <c r="G781" s="47"/>
      <c r="H781" s="47"/>
      <c r="I781" s="47"/>
      <c r="J781" s="47"/>
      <c r="K781" s="47"/>
      <c r="L781" s="11"/>
    </row>
    <row r="782" spans="2:12" x14ac:dyDescent="0.2">
      <c r="B782" s="10"/>
      <c r="C782" s="46"/>
      <c r="D782" s="47"/>
      <c r="E782" s="47"/>
      <c r="F782" s="47"/>
      <c r="G782" s="47"/>
      <c r="H782" s="47"/>
      <c r="I782" s="47"/>
      <c r="J782" s="47"/>
      <c r="K782" s="47"/>
      <c r="L782" s="11"/>
    </row>
    <row r="783" spans="2:12" x14ac:dyDescent="0.2">
      <c r="B783" s="10"/>
      <c r="C783" s="46"/>
      <c r="D783" s="47"/>
      <c r="E783" s="47"/>
      <c r="F783" s="47"/>
      <c r="G783" s="47"/>
      <c r="H783" s="47"/>
      <c r="I783" s="47"/>
      <c r="J783" s="47"/>
      <c r="K783" s="47"/>
      <c r="L783" s="11"/>
    </row>
    <row r="784" spans="2:12" x14ac:dyDescent="0.2">
      <c r="B784" s="10"/>
      <c r="C784" s="46"/>
      <c r="D784" s="47"/>
      <c r="E784" s="47"/>
      <c r="F784" s="47"/>
      <c r="G784" s="47"/>
      <c r="H784" s="47"/>
      <c r="I784" s="47"/>
      <c r="J784" s="47"/>
      <c r="K784" s="47"/>
      <c r="L784" s="11"/>
    </row>
    <row r="785" spans="2:12" x14ac:dyDescent="0.2">
      <c r="B785" s="10"/>
      <c r="C785" s="46"/>
      <c r="D785" s="47"/>
      <c r="E785" s="47"/>
      <c r="F785" s="47"/>
      <c r="G785" s="47"/>
      <c r="H785" s="47"/>
      <c r="I785" s="47"/>
      <c r="J785" s="47"/>
      <c r="K785" s="47"/>
      <c r="L785" s="11"/>
    </row>
    <row r="786" spans="2:12" x14ac:dyDescent="0.2">
      <c r="B786" s="10"/>
      <c r="C786" s="46"/>
      <c r="D786" s="47"/>
      <c r="E786" s="47"/>
      <c r="F786" s="47"/>
      <c r="G786" s="47"/>
      <c r="H786" s="47"/>
      <c r="I786" s="47"/>
      <c r="J786" s="47"/>
      <c r="K786" s="47"/>
      <c r="L786" s="11"/>
    </row>
    <row r="787" spans="2:12" x14ac:dyDescent="0.2">
      <c r="B787" s="10"/>
      <c r="C787" s="46"/>
      <c r="D787" s="47"/>
      <c r="E787" s="47"/>
      <c r="F787" s="47"/>
      <c r="G787" s="47"/>
      <c r="H787" s="47"/>
      <c r="I787" s="47"/>
      <c r="J787" s="47"/>
      <c r="K787" s="47"/>
      <c r="L787" s="11"/>
    </row>
    <row r="788" spans="2:12" x14ac:dyDescent="0.2">
      <c r="B788" s="10"/>
      <c r="C788" s="46"/>
      <c r="D788" s="47"/>
      <c r="E788" s="47"/>
      <c r="F788" s="47"/>
      <c r="G788" s="47"/>
      <c r="H788" s="47"/>
      <c r="I788" s="47"/>
      <c r="J788" s="47"/>
      <c r="K788" s="47"/>
      <c r="L788" s="11"/>
    </row>
    <row r="789" spans="2:12" x14ac:dyDescent="0.2">
      <c r="B789" s="10"/>
      <c r="C789" s="46"/>
      <c r="D789" s="47"/>
      <c r="E789" s="47"/>
      <c r="F789" s="47"/>
      <c r="G789" s="47"/>
      <c r="H789" s="47"/>
      <c r="I789" s="47"/>
      <c r="J789" s="47"/>
      <c r="K789" s="47"/>
      <c r="L789" s="11"/>
    </row>
    <row r="790" spans="2:12" x14ac:dyDescent="0.2">
      <c r="B790" s="10"/>
      <c r="C790" s="46"/>
      <c r="D790" s="47"/>
      <c r="E790" s="47"/>
      <c r="F790" s="47"/>
      <c r="G790" s="47"/>
      <c r="H790" s="47"/>
      <c r="I790" s="47"/>
      <c r="J790" s="47"/>
      <c r="K790" s="47"/>
      <c r="L790" s="11"/>
    </row>
    <row r="791" spans="2:12" x14ac:dyDescent="0.2">
      <c r="B791" s="10"/>
      <c r="C791" s="46"/>
      <c r="D791" s="47"/>
      <c r="E791" s="47"/>
      <c r="F791" s="47"/>
      <c r="G791" s="47"/>
      <c r="H791" s="47"/>
      <c r="I791" s="47"/>
      <c r="J791" s="47"/>
      <c r="K791" s="47"/>
      <c r="L791" s="11"/>
    </row>
    <row r="792" spans="2:12" x14ac:dyDescent="0.2">
      <c r="B792" s="10"/>
      <c r="C792" s="46"/>
      <c r="D792" s="47"/>
      <c r="E792" s="47"/>
      <c r="F792" s="47"/>
      <c r="G792" s="47"/>
      <c r="H792" s="47"/>
      <c r="I792" s="47"/>
      <c r="J792" s="47"/>
      <c r="K792" s="47"/>
      <c r="L792" s="11"/>
    </row>
    <row r="793" spans="2:12" x14ac:dyDescent="0.2">
      <c r="B793" s="10"/>
      <c r="C793" s="46"/>
      <c r="D793" s="47"/>
      <c r="E793" s="47"/>
      <c r="F793" s="47"/>
      <c r="G793" s="47"/>
      <c r="H793" s="47"/>
      <c r="I793" s="47"/>
      <c r="J793" s="47"/>
      <c r="K793" s="47"/>
      <c r="L793" s="11"/>
    </row>
    <row r="794" spans="2:12" x14ac:dyDescent="0.2">
      <c r="B794" s="10"/>
      <c r="C794" s="46"/>
      <c r="D794" s="47"/>
      <c r="E794" s="47"/>
      <c r="F794" s="47"/>
      <c r="G794" s="47"/>
      <c r="H794" s="47"/>
      <c r="I794" s="47"/>
      <c r="J794" s="47"/>
      <c r="K794" s="47"/>
      <c r="L794" s="11"/>
    </row>
    <row r="795" spans="2:12" x14ac:dyDescent="0.2">
      <c r="B795" s="10"/>
      <c r="C795" s="46"/>
      <c r="D795" s="47"/>
      <c r="E795" s="47"/>
      <c r="F795" s="47"/>
      <c r="G795" s="47"/>
      <c r="H795" s="47"/>
      <c r="I795" s="47"/>
      <c r="J795" s="47"/>
      <c r="K795" s="47"/>
      <c r="L795" s="11"/>
    </row>
    <row r="796" spans="2:12" x14ac:dyDescent="0.2">
      <c r="B796" s="10"/>
      <c r="C796" s="46"/>
      <c r="D796" s="47"/>
      <c r="E796" s="47"/>
      <c r="F796" s="47"/>
      <c r="G796" s="47"/>
      <c r="H796" s="47"/>
      <c r="I796" s="47"/>
      <c r="J796" s="47"/>
      <c r="K796" s="47"/>
      <c r="L796" s="11"/>
    </row>
    <row r="797" spans="2:12" x14ac:dyDescent="0.2">
      <c r="B797" s="10"/>
      <c r="C797" s="46"/>
      <c r="D797" s="47"/>
      <c r="E797" s="47"/>
      <c r="F797" s="47"/>
      <c r="G797" s="47"/>
      <c r="H797" s="47"/>
      <c r="I797" s="47"/>
      <c r="J797" s="47"/>
      <c r="K797" s="47"/>
      <c r="L797" s="11"/>
    </row>
    <row r="798" spans="2:12" x14ac:dyDescent="0.2">
      <c r="B798" s="10"/>
      <c r="C798" s="46"/>
      <c r="D798" s="47"/>
      <c r="E798" s="47"/>
      <c r="F798" s="47"/>
      <c r="G798" s="47"/>
      <c r="H798" s="47"/>
      <c r="I798" s="47"/>
      <c r="J798" s="47"/>
      <c r="K798" s="47"/>
      <c r="L798" s="11"/>
    </row>
    <row r="799" spans="2:12" x14ac:dyDescent="0.2">
      <c r="B799" s="10"/>
      <c r="C799" s="46"/>
      <c r="D799" s="47"/>
      <c r="E799" s="47"/>
      <c r="F799" s="47"/>
      <c r="G799" s="47"/>
      <c r="H799" s="47"/>
      <c r="I799" s="47"/>
      <c r="J799" s="47"/>
      <c r="K799" s="47"/>
      <c r="L799" s="11"/>
    </row>
    <row r="800" spans="2:12" x14ac:dyDescent="0.2">
      <c r="B800" s="10"/>
      <c r="C800" s="46"/>
      <c r="D800" s="47"/>
      <c r="E800" s="47"/>
      <c r="F800" s="47"/>
      <c r="G800" s="47"/>
      <c r="H800" s="47"/>
      <c r="I800" s="47"/>
      <c r="J800" s="47"/>
      <c r="K800" s="47"/>
      <c r="L800" s="11"/>
    </row>
    <row r="801" spans="2:12" x14ac:dyDescent="0.2">
      <c r="B801" s="10"/>
      <c r="C801" s="46"/>
      <c r="D801" s="47"/>
      <c r="E801" s="47"/>
      <c r="F801" s="47"/>
      <c r="G801" s="47"/>
      <c r="H801" s="47"/>
      <c r="I801" s="47"/>
      <c r="J801" s="47"/>
      <c r="K801" s="47"/>
      <c r="L801" s="11"/>
    </row>
    <row r="802" spans="2:12" x14ac:dyDescent="0.2">
      <c r="B802" s="10"/>
      <c r="C802" s="46"/>
      <c r="D802" s="47"/>
      <c r="E802" s="47"/>
      <c r="F802" s="47"/>
      <c r="G802" s="47"/>
      <c r="H802" s="47"/>
      <c r="I802" s="47"/>
      <c r="J802" s="47"/>
      <c r="K802" s="47"/>
      <c r="L802" s="11"/>
    </row>
    <row r="803" spans="2:12" x14ac:dyDescent="0.2">
      <c r="B803" s="10"/>
      <c r="C803" s="46"/>
      <c r="D803" s="47"/>
      <c r="E803" s="47"/>
      <c r="F803" s="47"/>
      <c r="G803" s="47"/>
      <c r="H803" s="47"/>
      <c r="I803" s="47"/>
      <c r="J803" s="47"/>
      <c r="K803" s="47"/>
      <c r="L803" s="11"/>
    </row>
    <row r="804" spans="2:12" x14ac:dyDescent="0.2">
      <c r="B804" s="10"/>
      <c r="C804" s="46"/>
      <c r="D804" s="47"/>
      <c r="E804" s="47"/>
      <c r="F804" s="47"/>
      <c r="G804" s="47"/>
      <c r="H804" s="47"/>
      <c r="I804" s="47"/>
      <c r="J804" s="47"/>
      <c r="K804" s="47"/>
      <c r="L804" s="11"/>
    </row>
    <row r="805" spans="2:12" x14ac:dyDescent="0.2">
      <c r="B805" s="10"/>
      <c r="C805" s="46"/>
      <c r="D805" s="47"/>
      <c r="E805" s="47"/>
      <c r="F805" s="47"/>
      <c r="G805" s="47"/>
      <c r="H805" s="47"/>
      <c r="I805" s="47"/>
      <c r="J805" s="47"/>
      <c r="K805" s="47"/>
      <c r="L805" s="11"/>
    </row>
    <row r="806" spans="2:12" x14ac:dyDescent="0.2">
      <c r="B806" s="10"/>
      <c r="C806" s="46"/>
      <c r="D806" s="47"/>
      <c r="E806" s="47"/>
      <c r="F806" s="47"/>
      <c r="G806" s="47"/>
      <c r="H806" s="47"/>
      <c r="I806" s="47"/>
      <c r="J806" s="47"/>
      <c r="K806" s="47"/>
      <c r="L806" s="11"/>
    </row>
    <row r="807" spans="2:12" x14ac:dyDescent="0.2">
      <c r="B807" s="10"/>
      <c r="C807" s="46"/>
      <c r="D807" s="47"/>
      <c r="E807" s="47"/>
      <c r="F807" s="47"/>
      <c r="G807" s="47"/>
      <c r="H807" s="47"/>
      <c r="I807" s="47"/>
      <c r="J807" s="47"/>
      <c r="K807" s="47"/>
      <c r="L807" s="11"/>
    </row>
    <row r="808" spans="2:12" x14ac:dyDescent="0.2">
      <c r="B808" s="10"/>
      <c r="C808" s="46"/>
      <c r="D808" s="47"/>
      <c r="E808" s="47"/>
      <c r="F808" s="47"/>
      <c r="G808" s="47"/>
      <c r="H808" s="47"/>
      <c r="I808" s="47"/>
      <c r="J808" s="47"/>
      <c r="K808" s="47"/>
      <c r="L808" s="11"/>
    </row>
    <row r="809" spans="2:12" x14ac:dyDescent="0.2">
      <c r="B809" s="10"/>
      <c r="C809" s="46"/>
      <c r="D809" s="47"/>
      <c r="E809" s="47"/>
      <c r="F809" s="47"/>
      <c r="G809" s="47"/>
      <c r="H809" s="47"/>
      <c r="I809" s="47"/>
      <c r="J809" s="47"/>
      <c r="K809" s="47"/>
      <c r="L809" s="11"/>
    </row>
    <row r="810" spans="2:12" x14ac:dyDescent="0.2">
      <c r="B810" s="10"/>
      <c r="C810" s="46"/>
      <c r="D810" s="47"/>
      <c r="E810" s="47"/>
      <c r="F810" s="47"/>
      <c r="G810" s="47"/>
      <c r="H810" s="47"/>
      <c r="I810" s="47"/>
      <c r="J810" s="47"/>
      <c r="K810" s="47"/>
      <c r="L810" s="11"/>
    </row>
    <row r="811" spans="2:12" x14ac:dyDescent="0.2">
      <c r="B811" s="10"/>
      <c r="C811" s="46"/>
      <c r="D811" s="47"/>
      <c r="E811" s="47"/>
      <c r="F811" s="47"/>
      <c r="G811" s="47"/>
      <c r="H811" s="47"/>
      <c r="I811" s="47"/>
      <c r="J811" s="47"/>
      <c r="K811" s="47"/>
      <c r="L811" s="11"/>
    </row>
    <row r="812" spans="2:12" x14ac:dyDescent="0.2">
      <c r="B812" s="10"/>
      <c r="C812" s="46"/>
      <c r="D812" s="47"/>
      <c r="E812" s="47"/>
      <c r="F812" s="47"/>
      <c r="G812" s="47"/>
      <c r="H812" s="47"/>
      <c r="I812" s="47"/>
      <c r="J812" s="47"/>
      <c r="K812" s="47"/>
      <c r="L812" s="11"/>
    </row>
    <row r="813" spans="2:12" x14ac:dyDescent="0.2">
      <c r="B813" s="10"/>
      <c r="C813" s="46"/>
      <c r="D813" s="47"/>
      <c r="E813" s="47"/>
      <c r="F813" s="47"/>
      <c r="G813" s="47"/>
      <c r="H813" s="47"/>
      <c r="I813" s="47"/>
      <c r="J813" s="47"/>
      <c r="K813" s="47"/>
      <c r="L813" s="11"/>
    </row>
    <row r="814" spans="2:12" x14ac:dyDescent="0.2">
      <c r="B814" s="10"/>
      <c r="C814" s="46"/>
      <c r="D814" s="47"/>
      <c r="E814" s="47"/>
      <c r="F814" s="47"/>
      <c r="G814" s="47"/>
      <c r="H814" s="47"/>
      <c r="I814" s="47"/>
      <c r="J814" s="47"/>
      <c r="K814" s="47"/>
      <c r="L814" s="11"/>
    </row>
    <row r="815" spans="2:12" x14ac:dyDescent="0.2">
      <c r="B815" s="10"/>
      <c r="C815" s="46"/>
      <c r="D815" s="47"/>
      <c r="E815" s="47"/>
      <c r="F815" s="47"/>
      <c r="G815" s="47"/>
      <c r="H815" s="47"/>
      <c r="I815" s="47"/>
      <c r="J815" s="47"/>
      <c r="K815" s="47"/>
      <c r="L815" s="11"/>
    </row>
    <row r="816" spans="2:12" x14ac:dyDescent="0.2">
      <c r="B816" s="10"/>
      <c r="C816" s="46"/>
      <c r="D816" s="47"/>
      <c r="E816" s="47"/>
      <c r="F816" s="47"/>
      <c r="G816" s="47"/>
      <c r="H816" s="47"/>
      <c r="I816" s="47"/>
      <c r="J816" s="47"/>
      <c r="K816" s="47"/>
      <c r="L816" s="11"/>
    </row>
    <row r="817" spans="2:12" x14ac:dyDescent="0.2">
      <c r="B817" s="10"/>
      <c r="C817" s="46"/>
      <c r="D817" s="47"/>
      <c r="E817" s="47"/>
      <c r="F817" s="47"/>
      <c r="G817" s="47"/>
      <c r="H817" s="47"/>
      <c r="I817" s="47"/>
      <c r="J817" s="47"/>
      <c r="K817" s="47"/>
      <c r="L817" s="11"/>
    </row>
    <row r="818" spans="2:12" x14ac:dyDescent="0.2">
      <c r="B818" s="10"/>
      <c r="C818" s="46"/>
      <c r="D818" s="47"/>
      <c r="E818" s="47"/>
      <c r="F818" s="47"/>
      <c r="G818" s="47"/>
      <c r="H818" s="47"/>
      <c r="I818" s="47"/>
      <c r="J818" s="47"/>
      <c r="K818" s="47"/>
      <c r="L818" s="11"/>
    </row>
    <row r="819" spans="2:12" x14ac:dyDescent="0.2">
      <c r="B819" s="10"/>
      <c r="C819" s="46"/>
      <c r="D819" s="47"/>
      <c r="E819" s="47"/>
      <c r="F819" s="47"/>
      <c r="G819" s="47"/>
      <c r="H819" s="47"/>
      <c r="I819" s="47"/>
      <c r="J819" s="47"/>
      <c r="K819" s="47"/>
      <c r="L819" s="11"/>
    </row>
    <row r="820" spans="2:12" x14ac:dyDescent="0.2">
      <c r="B820" s="10"/>
      <c r="C820" s="46"/>
      <c r="D820" s="47"/>
      <c r="E820" s="47"/>
      <c r="F820" s="47"/>
      <c r="G820" s="47"/>
      <c r="H820" s="47"/>
      <c r="I820" s="47"/>
      <c r="J820" s="47"/>
      <c r="K820" s="47"/>
      <c r="L820" s="11"/>
    </row>
    <row r="821" spans="2:12" x14ac:dyDescent="0.2">
      <c r="B821" s="10"/>
      <c r="C821" s="46"/>
      <c r="D821" s="47"/>
      <c r="E821" s="47"/>
      <c r="F821" s="47"/>
      <c r="G821" s="47"/>
      <c r="H821" s="47"/>
      <c r="I821" s="47"/>
      <c r="J821" s="47"/>
      <c r="K821" s="47"/>
      <c r="L821" s="11"/>
    </row>
    <row r="822" spans="2:12" x14ac:dyDescent="0.2">
      <c r="B822" s="10"/>
      <c r="C822" s="46"/>
      <c r="D822" s="47"/>
      <c r="E822" s="47"/>
      <c r="F822" s="47"/>
      <c r="G822" s="47"/>
      <c r="H822" s="47"/>
      <c r="I822" s="47"/>
      <c r="J822" s="47"/>
      <c r="K822" s="47"/>
      <c r="L822" s="11"/>
    </row>
    <row r="823" spans="2:12" x14ac:dyDescent="0.2">
      <c r="B823" s="10"/>
      <c r="C823" s="46"/>
      <c r="D823" s="47"/>
      <c r="E823" s="47"/>
      <c r="F823" s="47"/>
      <c r="G823" s="47"/>
      <c r="H823" s="47"/>
      <c r="I823" s="47"/>
      <c r="J823" s="47"/>
      <c r="K823" s="47"/>
      <c r="L823" s="11"/>
    </row>
    <row r="824" spans="2:12" x14ac:dyDescent="0.2">
      <c r="B824" s="10"/>
      <c r="C824" s="46"/>
      <c r="D824" s="47"/>
      <c r="E824" s="47"/>
      <c r="F824" s="47"/>
      <c r="G824" s="47"/>
      <c r="H824" s="47"/>
      <c r="I824" s="47"/>
      <c r="J824" s="47"/>
      <c r="K824" s="47"/>
      <c r="L824" s="11"/>
    </row>
    <row r="825" spans="2:12" x14ac:dyDescent="0.2">
      <c r="B825" s="10"/>
      <c r="C825" s="46"/>
      <c r="D825" s="47"/>
      <c r="E825" s="47"/>
      <c r="F825" s="47"/>
      <c r="G825" s="47"/>
      <c r="H825" s="47"/>
      <c r="I825" s="47"/>
      <c r="J825" s="47"/>
      <c r="K825" s="47"/>
      <c r="L825" s="11"/>
    </row>
    <row r="826" spans="2:12" x14ac:dyDescent="0.2">
      <c r="B826" s="10"/>
      <c r="C826" s="46"/>
      <c r="D826" s="47"/>
      <c r="E826" s="47"/>
      <c r="F826" s="47"/>
      <c r="G826" s="47"/>
      <c r="H826" s="47"/>
      <c r="I826" s="47"/>
      <c r="J826" s="47"/>
      <c r="K826" s="47"/>
      <c r="L826" s="11"/>
    </row>
    <row r="827" spans="2:12" x14ac:dyDescent="0.2">
      <c r="B827" s="10"/>
      <c r="C827" s="46"/>
      <c r="D827" s="47"/>
      <c r="E827" s="47"/>
      <c r="F827" s="47"/>
      <c r="G827" s="47"/>
      <c r="H827" s="47"/>
      <c r="I827" s="47"/>
      <c r="J827" s="47"/>
      <c r="K827" s="47"/>
      <c r="L827" s="11"/>
    </row>
    <row r="828" spans="2:12" x14ac:dyDescent="0.2">
      <c r="B828" s="10"/>
      <c r="C828" s="46"/>
      <c r="D828" s="47"/>
      <c r="E828" s="47"/>
      <c r="F828" s="47"/>
      <c r="G828" s="47"/>
      <c r="H828" s="47"/>
      <c r="I828" s="47"/>
      <c r="J828" s="47"/>
      <c r="K828" s="47"/>
      <c r="L828" s="11"/>
    </row>
    <row r="829" spans="2:12" x14ac:dyDescent="0.2">
      <c r="B829" s="10"/>
      <c r="C829" s="46"/>
      <c r="D829" s="47"/>
      <c r="E829" s="47"/>
      <c r="F829" s="47"/>
      <c r="G829" s="47"/>
      <c r="H829" s="47"/>
      <c r="I829" s="47"/>
      <c r="J829" s="47"/>
      <c r="K829" s="47"/>
      <c r="L829" s="11"/>
    </row>
    <row r="830" spans="2:12" x14ac:dyDescent="0.2">
      <c r="B830" s="10"/>
      <c r="C830" s="46"/>
      <c r="D830" s="47"/>
      <c r="E830" s="47"/>
      <c r="F830" s="47"/>
      <c r="G830" s="47"/>
      <c r="H830" s="47"/>
      <c r="I830" s="47"/>
      <c r="J830" s="47"/>
      <c r="K830" s="47"/>
      <c r="L830" s="11"/>
    </row>
    <row r="831" spans="2:12" x14ac:dyDescent="0.2">
      <c r="B831" s="10"/>
      <c r="C831" s="46"/>
      <c r="D831" s="47"/>
      <c r="E831" s="47"/>
      <c r="F831" s="47"/>
      <c r="G831" s="47"/>
      <c r="H831" s="47"/>
      <c r="I831" s="47"/>
      <c r="J831" s="47"/>
      <c r="K831" s="47"/>
      <c r="L831" s="11"/>
    </row>
    <row r="832" spans="2:12" x14ac:dyDescent="0.2">
      <c r="B832" s="10"/>
      <c r="C832" s="46"/>
      <c r="D832" s="47"/>
      <c r="E832" s="47"/>
      <c r="F832" s="47"/>
      <c r="G832" s="47"/>
      <c r="H832" s="47"/>
      <c r="I832" s="47"/>
      <c r="J832" s="47"/>
      <c r="K832" s="47"/>
      <c r="L832" s="11"/>
    </row>
    <row r="833" spans="2:12" x14ac:dyDescent="0.2">
      <c r="B833" s="10"/>
      <c r="C833" s="46"/>
      <c r="D833" s="47"/>
      <c r="E833" s="47"/>
      <c r="F833" s="47"/>
      <c r="G833" s="47"/>
      <c r="H833" s="47"/>
      <c r="I833" s="47"/>
      <c r="J833" s="47"/>
      <c r="K833" s="47"/>
      <c r="L833" s="11"/>
    </row>
    <row r="834" spans="2:12" x14ac:dyDescent="0.2">
      <c r="B834" s="10"/>
      <c r="C834" s="46"/>
      <c r="D834" s="47"/>
      <c r="E834" s="47"/>
      <c r="F834" s="47"/>
      <c r="G834" s="47"/>
      <c r="H834" s="47"/>
      <c r="I834" s="47"/>
      <c r="J834" s="47"/>
      <c r="K834" s="47"/>
      <c r="L834" s="11"/>
    </row>
    <row r="835" spans="2:12" x14ac:dyDescent="0.2">
      <c r="B835" s="10"/>
      <c r="C835" s="46"/>
      <c r="D835" s="47"/>
      <c r="E835" s="47"/>
      <c r="F835" s="47"/>
      <c r="G835" s="47"/>
      <c r="H835" s="47"/>
      <c r="I835" s="47"/>
      <c r="J835" s="47"/>
      <c r="K835" s="47"/>
      <c r="L835" s="11"/>
    </row>
    <row r="836" spans="2:12" x14ac:dyDescent="0.2">
      <c r="B836" s="10"/>
      <c r="C836" s="46"/>
      <c r="D836" s="47"/>
      <c r="E836" s="47"/>
      <c r="F836" s="47"/>
      <c r="G836" s="47"/>
      <c r="H836" s="47"/>
      <c r="I836" s="47"/>
      <c r="J836" s="47"/>
      <c r="K836" s="47"/>
      <c r="L836" s="11"/>
    </row>
    <row r="837" spans="2:12" x14ac:dyDescent="0.2">
      <c r="B837" s="10"/>
      <c r="C837" s="46"/>
      <c r="D837" s="47"/>
      <c r="E837" s="47"/>
      <c r="F837" s="47"/>
      <c r="G837" s="47"/>
      <c r="H837" s="47"/>
      <c r="I837" s="47"/>
      <c r="J837" s="47"/>
      <c r="K837" s="47"/>
      <c r="L837" s="11"/>
    </row>
    <row r="838" spans="2:12" x14ac:dyDescent="0.2">
      <c r="B838" s="10"/>
      <c r="C838" s="46"/>
      <c r="D838" s="47"/>
      <c r="E838" s="47"/>
      <c r="F838" s="47"/>
      <c r="G838" s="47"/>
      <c r="H838" s="47"/>
      <c r="I838" s="47"/>
      <c r="J838" s="47"/>
      <c r="K838" s="47"/>
      <c r="L838" s="11"/>
    </row>
    <row r="839" spans="2:12" x14ac:dyDescent="0.2">
      <c r="B839" s="10"/>
      <c r="C839" s="46"/>
      <c r="D839" s="47"/>
      <c r="E839" s="47"/>
      <c r="F839" s="47"/>
      <c r="G839" s="47"/>
      <c r="H839" s="47"/>
      <c r="I839" s="47"/>
      <c r="J839" s="47"/>
      <c r="K839" s="47"/>
      <c r="L839" s="11"/>
    </row>
    <row r="840" spans="2:12" x14ac:dyDescent="0.2">
      <c r="B840" s="10"/>
      <c r="C840" s="46"/>
      <c r="D840" s="47"/>
      <c r="E840" s="47"/>
      <c r="F840" s="47"/>
      <c r="G840" s="47"/>
      <c r="H840" s="47"/>
      <c r="I840" s="47"/>
      <c r="J840" s="47"/>
      <c r="K840" s="47"/>
      <c r="L840" s="11"/>
    </row>
    <row r="841" spans="2:12" x14ac:dyDescent="0.2">
      <c r="B841" s="10"/>
      <c r="C841" s="46"/>
      <c r="D841" s="47"/>
      <c r="E841" s="47"/>
      <c r="F841" s="47"/>
      <c r="G841" s="47"/>
      <c r="H841" s="47"/>
      <c r="I841" s="47"/>
      <c r="J841" s="47"/>
      <c r="K841" s="47"/>
      <c r="L841" s="11"/>
    </row>
    <row r="842" spans="2:12" x14ac:dyDescent="0.2">
      <c r="B842" s="10"/>
      <c r="C842" s="46"/>
      <c r="D842" s="47"/>
      <c r="E842" s="47"/>
      <c r="F842" s="47"/>
      <c r="G842" s="47"/>
      <c r="H842" s="47"/>
      <c r="I842" s="47"/>
      <c r="J842" s="47"/>
      <c r="K842" s="47"/>
      <c r="L842" s="11"/>
    </row>
    <row r="843" spans="2:12" x14ac:dyDescent="0.2">
      <c r="B843" s="10"/>
      <c r="C843" s="46"/>
      <c r="D843" s="47"/>
      <c r="E843" s="47"/>
      <c r="F843" s="47"/>
      <c r="G843" s="47"/>
      <c r="H843" s="47"/>
      <c r="I843" s="47"/>
      <c r="J843" s="47"/>
      <c r="K843" s="47"/>
      <c r="L843" s="11"/>
    </row>
    <row r="844" spans="2:12" x14ac:dyDescent="0.2">
      <c r="B844" s="10"/>
      <c r="C844" s="46"/>
      <c r="D844" s="47"/>
      <c r="E844" s="47"/>
      <c r="F844" s="47"/>
      <c r="G844" s="47"/>
      <c r="H844" s="47"/>
      <c r="I844" s="47"/>
      <c r="J844" s="47"/>
      <c r="K844" s="47"/>
      <c r="L844" s="11"/>
    </row>
    <row r="845" spans="2:12" x14ac:dyDescent="0.2">
      <c r="B845" s="10"/>
      <c r="C845" s="46"/>
      <c r="D845" s="47"/>
      <c r="E845" s="47"/>
      <c r="F845" s="47"/>
      <c r="G845" s="47"/>
      <c r="H845" s="47"/>
      <c r="I845" s="47"/>
      <c r="J845" s="47"/>
      <c r="K845" s="47"/>
      <c r="L845" s="11"/>
    </row>
    <row r="846" spans="2:12" x14ac:dyDescent="0.2">
      <c r="B846" s="10"/>
      <c r="C846" s="46"/>
      <c r="D846" s="47"/>
      <c r="E846" s="47"/>
      <c r="F846" s="47"/>
      <c r="G846" s="47"/>
      <c r="H846" s="47"/>
      <c r="I846" s="47"/>
      <c r="J846" s="47"/>
      <c r="K846" s="47"/>
      <c r="L846" s="11"/>
    </row>
    <row r="847" spans="2:12" x14ac:dyDescent="0.2">
      <c r="B847" s="10"/>
      <c r="C847" s="46"/>
      <c r="D847" s="47"/>
      <c r="E847" s="47"/>
      <c r="F847" s="47"/>
      <c r="G847" s="47"/>
      <c r="H847" s="47"/>
      <c r="I847" s="47"/>
      <c r="J847" s="47"/>
      <c r="K847" s="47"/>
      <c r="L847" s="11"/>
    </row>
    <row r="848" spans="2:12" x14ac:dyDescent="0.2">
      <c r="B848" s="10"/>
      <c r="C848" s="46"/>
      <c r="D848" s="47"/>
      <c r="E848" s="47"/>
      <c r="F848" s="47"/>
      <c r="G848" s="47"/>
      <c r="H848" s="47"/>
      <c r="I848" s="47"/>
      <c r="J848" s="47"/>
      <c r="K848" s="47"/>
      <c r="L848" s="11"/>
    </row>
    <row r="849" spans="2:12" x14ac:dyDescent="0.2">
      <c r="B849" s="10"/>
      <c r="C849" s="46"/>
      <c r="D849" s="47"/>
      <c r="E849" s="47"/>
      <c r="F849" s="47"/>
      <c r="G849" s="47"/>
      <c r="H849" s="47"/>
      <c r="I849" s="47"/>
      <c r="J849" s="47"/>
      <c r="K849" s="47"/>
      <c r="L849" s="11"/>
    </row>
    <row r="850" spans="2:12" x14ac:dyDescent="0.2">
      <c r="B850" s="10"/>
      <c r="C850" s="46"/>
      <c r="D850" s="47"/>
      <c r="E850" s="47"/>
      <c r="F850" s="47"/>
      <c r="G850" s="47"/>
      <c r="H850" s="47"/>
      <c r="I850" s="47"/>
      <c r="J850" s="47"/>
      <c r="K850" s="47"/>
      <c r="L850" s="11"/>
    </row>
    <row r="851" spans="2:12" x14ac:dyDescent="0.2">
      <c r="B851" s="10"/>
      <c r="C851" s="46"/>
      <c r="D851" s="47"/>
      <c r="E851" s="47"/>
      <c r="F851" s="47"/>
      <c r="G851" s="47"/>
      <c r="H851" s="47"/>
      <c r="I851" s="47"/>
      <c r="J851" s="47"/>
      <c r="K851" s="47"/>
      <c r="L851" s="11"/>
    </row>
    <row r="852" spans="2:12" x14ac:dyDescent="0.2">
      <c r="B852" s="10"/>
      <c r="C852" s="46"/>
      <c r="D852" s="47"/>
      <c r="E852" s="47"/>
      <c r="F852" s="47"/>
      <c r="G852" s="47"/>
      <c r="H852" s="47"/>
      <c r="I852" s="47"/>
      <c r="J852" s="47"/>
      <c r="K852" s="47"/>
      <c r="L852" s="11"/>
    </row>
    <row r="853" spans="2:12" x14ac:dyDescent="0.2">
      <c r="B853" s="10"/>
      <c r="C853" s="46"/>
      <c r="D853" s="47"/>
      <c r="E853" s="47"/>
      <c r="F853" s="47"/>
      <c r="G853" s="47"/>
      <c r="H853" s="47"/>
      <c r="I853" s="47"/>
      <c r="J853" s="47"/>
      <c r="K853" s="47"/>
      <c r="L853" s="11"/>
    </row>
    <row r="854" spans="2:12" x14ac:dyDescent="0.2">
      <c r="B854" s="10"/>
      <c r="C854" s="46"/>
      <c r="D854" s="47"/>
      <c r="E854" s="47"/>
      <c r="F854" s="47"/>
      <c r="G854" s="47"/>
      <c r="H854" s="47"/>
      <c r="I854" s="47"/>
      <c r="J854" s="47"/>
      <c r="K854" s="47"/>
      <c r="L854" s="11"/>
    </row>
    <row r="855" spans="2:12" x14ac:dyDescent="0.2">
      <c r="B855" s="10"/>
      <c r="C855" s="46"/>
      <c r="D855" s="47"/>
      <c r="E855" s="47"/>
      <c r="F855" s="47"/>
      <c r="G855" s="47"/>
      <c r="H855" s="47"/>
      <c r="I855" s="47"/>
      <c r="J855" s="47"/>
      <c r="K855" s="47"/>
      <c r="L855" s="11"/>
    </row>
    <row r="856" spans="2:12" x14ac:dyDescent="0.2">
      <c r="B856" s="10"/>
      <c r="C856" s="46"/>
      <c r="D856" s="47"/>
      <c r="E856" s="47"/>
      <c r="F856" s="47"/>
      <c r="G856" s="47"/>
      <c r="H856" s="47"/>
      <c r="I856" s="47"/>
      <c r="J856" s="47"/>
      <c r="K856" s="47"/>
      <c r="L856" s="11"/>
    </row>
    <row r="857" spans="2:12" x14ac:dyDescent="0.2">
      <c r="B857" s="10"/>
      <c r="C857" s="46"/>
      <c r="D857" s="47"/>
      <c r="E857" s="47"/>
      <c r="F857" s="47"/>
      <c r="G857" s="47"/>
      <c r="H857" s="47"/>
      <c r="I857" s="47"/>
      <c r="J857" s="47"/>
      <c r="K857" s="47"/>
      <c r="L857" s="11"/>
    </row>
    <row r="858" spans="2:12" x14ac:dyDescent="0.2">
      <c r="B858" s="10"/>
      <c r="C858" s="46"/>
      <c r="D858" s="47"/>
      <c r="E858" s="47"/>
      <c r="F858" s="47"/>
      <c r="G858" s="47"/>
      <c r="H858" s="47"/>
      <c r="I858" s="47"/>
      <c r="J858" s="47"/>
      <c r="K858" s="47"/>
      <c r="L858" s="11"/>
    </row>
    <row r="859" spans="2:12" x14ac:dyDescent="0.2">
      <c r="B859" s="10"/>
      <c r="C859" s="46"/>
      <c r="D859" s="47"/>
      <c r="E859" s="47"/>
      <c r="F859" s="47"/>
      <c r="G859" s="47"/>
      <c r="H859" s="47"/>
      <c r="I859" s="47"/>
      <c r="J859" s="47"/>
      <c r="K859" s="47"/>
      <c r="L859" s="11"/>
    </row>
    <row r="860" spans="2:12" x14ac:dyDescent="0.2">
      <c r="B860" s="10"/>
      <c r="C860" s="46"/>
      <c r="D860" s="47"/>
      <c r="E860" s="47"/>
      <c r="F860" s="47"/>
      <c r="G860" s="47"/>
      <c r="H860" s="47"/>
      <c r="I860" s="47"/>
      <c r="J860" s="47"/>
      <c r="K860" s="47"/>
      <c r="L860" s="11"/>
    </row>
    <row r="861" spans="2:12" x14ac:dyDescent="0.2">
      <c r="B861" s="10"/>
      <c r="C861" s="46"/>
      <c r="D861" s="47"/>
      <c r="E861" s="47"/>
      <c r="F861" s="47"/>
      <c r="G861" s="47"/>
      <c r="H861" s="47"/>
      <c r="I861" s="47"/>
      <c r="J861" s="47"/>
      <c r="K861" s="47"/>
      <c r="L861" s="11"/>
    </row>
    <row r="862" spans="2:12" x14ac:dyDescent="0.2">
      <c r="B862" s="10"/>
      <c r="C862" s="46"/>
      <c r="D862" s="47"/>
      <c r="E862" s="47"/>
      <c r="F862" s="47"/>
      <c r="G862" s="47"/>
      <c r="H862" s="47"/>
      <c r="I862" s="47"/>
      <c r="J862" s="47"/>
      <c r="K862" s="47"/>
      <c r="L862" s="11"/>
    </row>
    <row r="863" spans="2:12" x14ac:dyDescent="0.2">
      <c r="B863" s="10"/>
      <c r="C863" s="46"/>
      <c r="D863" s="47"/>
      <c r="E863" s="47"/>
      <c r="F863" s="47"/>
      <c r="G863" s="47"/>
      <c r="H863" s="47"/>
      <c r="I863" s="47"/>
      <c r="J863" s="47"/>
      <c r="K863" s="47"/>
      <c r="L863" s="11"/>
    </row>
    <row r="864" spans="2:12" x14ac:dyDescent="0.2">
      <c r="B864" s="10"/>
      <c r="C864" s="46"/>
      <c r="D864" s="47"/>
      <c r="E864" s="47"/>
      <c r="F864" s="47"/>
      <c r="G864" s="47"/>
      <c r="H864" s="47"/>
      <c r="I864" s="47"/>
      <c r="J864" s="47"/>
      <c r="K864" s="47"/>
      <c r="L864" s="11"/>
    </row>
    <row r="865" spans="2:12" x14ac:dyDescent="0.2">
      <c r="B865" s="10"/>
      <c r="C865" s="46"/>
      <c r="D865" s="47"/>
      <c r="E865" s="47"/>
      <c r="F865" s="47"/>
      <c r="G865" s="47"/>
      <c r="H865" s="47"/>
      <c r="I865" s="47"/>
      <c r="J865" s="47"/>
      <c r="K865" s="47"/>
      <c r="L865" s="11"/>
    </row>
    <row r="866" spans="2:12" x14ac:dyDescent="0.2">
      <c r="B866" s="10"/>
      <c r="C866" s="46"/>
      <c r="D866" s="47"/>
      <c r="E866" s="47"/>
      <c r="F866" s="47"/>
      <c r="G866" s="47"/>
      <c r="H866" s="47"/>
      <c r="I866" s="47"/>
      <c r="J866" s="47"/>
      <c r="K866" s="47"/>
      <c r="L866" s="11"/>
    </row>
    <row r="867" spans="2:12" x14ac:dyDescent="0.2">
      <c r="B867" s="10"/>
      <c r="C867" s="46"/>
      <c r="D867" s="47"/>
      <c r="E867" s="47"/>
      <c r="F867" s="47"/>
      <c r="G867" s="47"/>
      <c r="H867" s="47"/>
      <c r="I867" s="47"/>
      <c r="J867" s="47"/>
      <c r="K867" s="47"/>
      <c r="L867" s="11"/>
    </row>
    <row r="868" spans="2:12" x14ac:dyDescent="0.2">
      <c r="B868" s="10"/>
      <c r="C868" s="46"/>
      <c r="D868" s="47"/>
      <c r="E868" s="47"/>
      <c r="F868" s="47"/>
      <c r="G868" s="47"/>
      <c r="H868" s="47"/>
      <c r="I868" s="47"/>
      <c r="J868" s="47"/>
      <c r="K868" s="47"/>
      <c r="L868" s="11"/>
    </row>
    <row r="869" spans="2:12" x14ac:dyDescent="0.2">
      <c r="B869" s="10"/>
      <c r="C869" s="46"/>
      <c r="D869" s="47"/>
      <c r="E869" s="47"/>
      <c r="F869" s="47"/>
      <c r="G869" s="47"/>
      <c r="H869" s="47"/>
      <c r="I869" s="47"/>
      <c r="J869" s="47"/>
      <c r="K869" s="47"/>
      <c r="L869" s="11"/>
    </row>
    <row r="870" spans="2:12" x14ac:dyDescent="0.2">
      <c r="B870" s="10"/>
      <c r="C870" s="46"/>
      <c r="D870" s="47"/>
      <c r="E870" s="47"/>
      <c r="F870" s="47"/>
      <c r="G870" s="47"/>
      <c r="H870" s="47"/>
      <c r="I870" s="47"/>
      <c r="J870" s="47"/>
      <c r="K870" s="47"/>
      <c r="L870" s="11"/>
    </row>
    <row r="871" spans="2:12" x14ac:dyDescent="0.2">
      <c r="B871" s="10"/>
      <c r="C871" s="46"/>
      <c r="D871" s="47"/>
      <c r="E871" s="47"/>
      <c r="F871" s="47"/>
      <c r="G871" s="47"/>
      <c r="H871" s="47"/>
      <c r="I871" s="47"/>
      <c r="J871" s="47"/>
      <c r="K871" s="47"/>
      <c r="L871" s="11"/>
    </row>
    <row r="872" spans="2:12" x14ac:dyDescent="0.2">
      <c r="B872" s="10"/>
      <c r="C872" s="46"/>
      <c r="D872" s="47"/>
      <c r="E872" s="47"/>
      <c r="F872" s="47"/>
      <c r="G872" s="47"/>
      <c r="H872" s="47"/>
      <c r="I872" s="47"/>
      <c r="J872" s="47"/>
      <c r="K872" s="47"/>
      <c r="L872" s="11"/>
    </row>
    <row r="873" spans="2:12" x14ac:dyDescent="0.2">
      <c r="B873" s="10"/>
      <c r="C873" s="46"/>
      <c r="D873" s="47"/>
      <c r="E873" s="47"/>
      <c r="F873" s="47"/>
      <c r="G873" s="47"/>
      <c r="H873" s="47"/>
      <c r="I873" s="47"/>
      <c r="J873" s="47"/>
      <c r="K873" s="47"/>
      <c r="L873" s="11"/>
    </row>
    <row r="874" spans="2:12" x14ac:dyDescent="0.2">
      <c r="B874" s="10"/>
      <c r="C874" s="46"/>
      <c r="D874" s="47"/>
      <c r="E874" s="47"/>
      <c r="F874" s="47"/>
      <c r="G874" s="47"/>
      <c r="H874" s="47"/>
      <c r="I874" s="47"/>
      <c r="J874" s="47"/>
      <c r="K874" s="47"/>
      <c r="L874" s="11"/>
    </row>
    <row r="875" spans="2:12" x14ac:dyDescent="0.2">
      <c r="B875" s="10"/>
      <c r="C875" s="46"/>
      <c r="D875" s="47"/>
      <c r="E875" s="47"/>
      <c r="F875" s="47"/>
      <c r="G875" s="47"/>
      <c r="H875" s="47"/>
      <c r="I875" s="47"/>
      <c r="J875" s="47"/>
      <c r="K875" s="47"/>
      <c r="L875" s="11"/>
    </row>
    <row r="876" spans="2:12" x14ac:dyDescent="0.2">
      <c r="B876" s="10"/>
      <c r="C876" s="46"/>
      <c r="D876" s="47"/>
      <c r="E876" s="47"/>
      <c r="F876" s="47"/>
      <c r="G876" s="47"/>
      <c r="H876" s="47"/>
      <c r="I876" s="47"/>
      <c r="J876" s="47"/>
      <c r="K876" s="47"/>
      <c r="L876" s="11"/>
    </row>
    <row r="877" spans="2:12" x14ac:dyDescent="0.2">
      <c r="B877" s="10"/>
      <c r="C877" s="46"/>
      <c r="D877" s="47"/>
      <c r="E877" s="47"/>
      <c r="F877" s="47"/>
      <c r="G877" s="47"/>
      <c r="H877" s="47"/>
      <c r="I877" s="47"/>
      <c r="J877" s="47"/>
      <c r="K877" s="47"/>
      <c r="L877" s="11"/>
    </row>
    <row r="878" spans="2:12" x14ac:dyDescent="0.2">
      <c r="B878" s="10"/>
      <c r="C878" s="46"/>
      <c r="D878" s="47"/>
      <c r="E878" s="47"/>
      <c r="F878" s="47"/>
      <c r="G878" s="47"/>
      <c r="H878" s="47"/>
      <c r="I878" s="47"/>
      <c r="J878" s="47"/>
      <c r="K878" s="47"/>
      <c r="L878" s="11"/>
    </row>
    <row r="879" spans="2:12" x14ac:dyDescent="0.2">
      <c r="B879" s="10"/>
      <c r="C879" s="46"/>
      <c r="D879" s="47"/>
      <c r="E879" s="47"/>
      <c r="F879" s="47"/>
      <c r="G879" s="47"/>
      <c r="H879" s="47"/>
      <c r="I879" s="47"/>
      <c r="J879" s="47"/>
      <c r="K879" s="47"/>
      <c r="L879" s="11"/>
    </row>
    <row r="880" spans="2:12" x14ac:dyDescent="0.2">
      <c r="B880" s="10"/>
      <c r="C880" s="46"/>
      <c r="D880" s="47"/>
      <c r="E880" s="47"/>
      <c r="F880" s="47"/>
      <c r="G880" s="47"/>
      <c r="H880" s="47"/>
      <c r="I880" s="47"/>
      <c r="J880" s="47"/>
      <c r="K880" s="47"/>
      <c r="L880" s="11"/>
    </row>
    <row r="881" spans="2:12" x14ac:dyDescent="0.2">
      <c r="B881" s="10"/>
      <c r="C881" s="46"/>
      <c r="D881" s="47"/>
      <c r="E881" s="47"/>
      <c r="F881" s="47"/>
      <c r="G881" s="47"/>
      <c r="H881" s="47"/>
      <c r="I881" s="47"/>
      <c r="J881" s="47"/>
      <c r="K881" s="47"/>
      <c r="L881" s="11"/>
    </row>
    <row r="882" spans="2:12" x14ac:dyDescent="0.2">
      <c r="B882" s="10"/>
      <c r="C882" s="46"/>
      <c r="D882" s="47"/>
      <c r="E882" s="47"/>
      <c r="F882" s="47"/>
      <c r="G882" s="47"/>
      <c r="H882" s="47"/>
      <c r="I882" s="47"/>
      <c r="J882" s="47"/>
      <c r="K882" s="47"/>
      <c r="L882" s="11"/>
    </row>
    <row r="883" spans="2:12" x14ac:dyDescent="0.2">
      <c r="B883" s="10"/>
      <c r="C883" s="46"/>
      <c r="D883" s="47"/>
      <c r="E883" s="47"/>
      <c r="F883" s="47"/>
      <c r="G883" s="47"/>
      <c r="H883" s="47"/>
      <c r="I883" s="47"/>
      <c r="J883" s="47"/>
      <c r="K883" s="47"/>
      <c r="L883" s="11"/>
    </row>
    <row r="884" spans="2:12" x14ac:dyDescent="0.2">
      <c r="B884" s="10"/>
      <c r="C884" s="46"/>
      <c r="D884" s="47"/>
      <c r="E884" s="47"/>
      <c r="F884" s="47"/>
      <c r="G884" s="47"/>
      <c r="H884" s="47"/>
      <c r="I884" s="47"/>
      <c r="J884" s="47"/>
      <c r="K884" s="47"/>
      <c r="L884" s="11"/>
    </row>
    <row r="885" spans="2:12" x14ac:dyDescent="0.2">
      <c r="B885" s="10"/>
      <c r="C885" s="46"/>
      <c r="D885" s="47"/>
      <c r="E885" s="47"/>
      <c r="F885" s="47"/>
      <c r="G885" s="47"/>
      <c r="H885" s="47"/>
      <c r="I885" s="47"/>
      <c r="J885" s="47"/>
      <c r="K885" s="47"/>
      <c r="L885" s="11"/>
    </row>
    <row r="886" spans="2:12" x14ac:dyDescent="0.2">
      <c r="B886" s="10"/>
      <c r="C886" s="46"/>
      <c r="D886" s="47"/>
      <c r="E886" s="47"/>
      <c r="F886" s="47"/>
      <c r="G886" s="47"/>
      <c r="H886" s="47"/>
      <c r="I886" s="47"/>
      <c r="J886" s="47"/>
      <c r="K886" s="47"/>
      <c r="L886" s="11"/>
    </row>
    <row r="887" spans="2:12" x14ac:dyDescent="0.2">
      <c r="B887" s="10"/>
      <c r="C887" s="46"/>
      <c r="D887" s="47"/>
      <c r="E887" s="47"/>
      <c r="F887" s="47"/>
      <c r="G887" s="47"/>
      <c r="H887" s="47"/>
      <c r="I887" s="47"/>
      <c r="J887" s="47"/>
      <c r="K887" s="47"/>
      <c r="L887" s="11"/>
    </row>
    <row r="888" spans="2:12" x14ac:dyDescent="0.2">
      <c r="B888" s="10"/>
      <c r="C888" s="46"/>
      <c r="D888" s="47"/>
      <c r="E888" s="47"/>
      <c r="F888" s="47"/>
      <c r="G888" s="47"/>
      <c r="H888" s="47"/>
      <c r="I888" s="47"/>
      <c r="J888" s="47"/>
      <c r="K888" s="47"/>
      <c r="L888" s="11"/>
    </row>
    <row r="889" spans="2:12" x14ac:dyDescent="0.2">
      <c r="B889" s="10"/>
      <c r="C889" s="46"/>
      <c r="D889" s="47"/>
      <c r="E889" s="47"/>
      <c r="F889" s="47"/>
      <c r="G889" s="47"/>
      <c r="H889" s="47"/>
      <c r="I889" s="47"/>
      <c r="J889" s="47"/>
      <c r="K889" s="47"/>
      <c r="L889" s="11"/>
    </row>
    <row r="890" spans="2:12" x14ac:dyDescent="0.2">
      <c r="B890" s="10"/>
      <c r="C890" s="46"/>
      <c r="D890" s="47"/>
      <c r="E890" s="47"/>
      <c r="F890" s="47"/>
      <c r="G890" s="47"/>
      <c r="H890" s="47"/>
      <c r="I890" s="47"/>
      <c r="J890" s="47"/>
      <c r="K890" s="47"/>
      <c r="L890" s="11"/>
    </row>
    <row r="891" spans="2:12" x14ac:dyDescent="0.2">
      <c r="B891" s="10"/>
      <c r="C891" s="46"/>
      <c r="D891" s="47"/>
      <c r="E891" s="47"/>
      <c r="F891" s="47"/>
      <c r="G891" s="47"/>
      <c r="H891" s="47"/>
      <c r="I891" s="47"/>
      <c r="J891" s="47"/>
      <c r="K891" s="47"/>
      <c r="L891" s="11"/>
    </row>
    <row r="892" spans="2:12" x14ac:dyDescent="0.2">
      <c r="B892" s="10"/>
      <c r="C892" s="46"/>
      <c r="D892" s="47"/>
      <c r="E892" s="47"/>
      <c r="F892" s="47"/>
      <c r="G892" s="47"/>
      <c r="H892" s="47"/>
      <c r="I892" s="47"/>
      <c r="J892" s="47"/>
      <c r="K892" s="47"/>
      <c r="L892" s="11"/>
    </row>
    <row r="893" spans="2:12" x14ac:dyDescent="0.2">
      <c r="B893" s="10"/>
      <c r="C893" s="46"/>
      <c r="D893" s="47"/>
      <c r="E893" s="47"/>
      <c r="F893" s="47"/>
      <c r="G893" s="47"/>
      <c r="H893" s="47"/>
      <c r="I893" s="47"/>
      <c r="J893" s="47"/>
      <c r="K893" s="47"/>
      <c r="L893" s="11"/>
    </row>
    <row r="894" spans="2:12" x14ac:dyDescent="0.2">
      <c r="B894" s="10"/>
      <c r="C894" s="46"/>
      <c r="D894" s="47"/>
      <c r="E894" s="47"/>
      <c r="F894" s="47"/>
      <c r="G894" s="47"/>
      <c r="H894" s="47"/>
      <c r="I894" s="47"/>
      <c r="J894" s="47"/>
      <c r="K894" s="47"/>
      <c r="L894" s="11"/>
    </row>
    <row r="895" spans="2:12" x14ac:dyDescent="0.2">
      <c r="B895" s="10"/>
      <c r="C895" s="46"/>
      <c r="D895" s="47"/>
      <c r="E895" s="47"/>
      <c r="F895" s="47"/>
      <c r="G895" s="47"/>
      <c r="H895" s="47"/>
      <c r="I895" s="47"/>
      <c r="J895" s="47"/>
      <c r="K895" s="47"/>
      <c r="L895" s="11"/>
    </row>
    <row r="896" spans="2:12" x14ac:dyDescent="0.2">
      <c r="B896" s="10"/>
      <c r="C896" s="46"/>
      <c r="D896" s="47"/>
      <c r="E896" s="47"/>
      <c r="F896" s="47"/>
      <c r="G896" s="47"/>
      <c r="H896" s="47"/>
      <c r="I896" s="47"/>
      <c r="J896" s="47"/>
      <c r="K896" s="47"/>
      <c r="L896" s="11"/>
    </row>
    <row r="897" spans="2:12" x14ac:dyDescent="0.2">
      <c r="B897" s="10"/>
      <c r="C897" s="46"/>
      <c r="D897" s="47"/>
      <c r="E897" s="47"/>
      <c r="F897" s="47"/>
      <c r="G897" s="47"/>
      <c r="H897" s="47"/>
      <c r="I897" s="47"/>
      <c r="J897" s="47"/>
      <c r="K897" s="47"/>
      <c r="L897" s="11"/>
    </row>
    <row r="898" spans="2:12" x14ac:dyDescent="0.2">
      <c r="B898" s="10"/>
      <c r="C898" s="46"/>
      <c r="D898" s="47"/>
      <c r="E898" s="47"/>
      <c r="F898" s="47"/>
      <c r="G898" s="47"/>
      <c r="H898" s="47"/>
      <c r="I898" s="47"/>
      <c r="J898" s="47"/>
      <c r="K898" s="47"/>
      <c r="L898" s="11"/>
    </row>
    <row r="899" spans="2:12" x14ac:dyDescent="0.2">
      <c r="B899" s="10"/>
      <c r="C899" s="46"/>
      <c r="D899" s="47"/>
      <c r="E899" s="47"/>
      <c r="F899" s="47"/>
      <c r="G899" s="47"/>
      <c r="H899" s="47"/>
      <c r="I899" s="47"/>
      <c r="J899" s="47"/>
      <c r="K899" s="47"/>
      <c r="L899" s="11"/>
    </row>
    <row r="900" spans="2:12" x14ac:dyDescent="0.2">
      <c r="B900" s="10"/>
      <c r="C900" s="46"/>
      <c r="D900" s="47"/>
      <c r="E900" s="47"/>
      <c r="F900" s="47"/>
      <c r="G900" s="47"/>
      <c r="H900" s="47"/>
      <c r="I900" s="47"/>
      <c r="J900" s="47"/>
      <c r="K900" s="47"/>
      <c r="L900" s="11"/>
    </row>
    <row r="901" spans="2:12" x14ac:dyDescent="0.2">
      <c r="B901" s="10"/>
      <c r="C901" s="46"/>
      <c r="D901" s="47"/>
      <c r="E901" s="47"/>
      <c r="F901" s="47"/>
      <c r="G901" s="47"/>
      <c r="H901" s="47"/>
      <c r="I901" s="47"/>
      <c r="J901" s="47"/>
      <c r="K901" s="47"/>
      <c r="L901" s="11"/>
    </row>
    <row r="902" spans="2:12" x14ac:dyDescent="0.2">
      <c r="B902" s="10"/>
      <c r="C902" s="46"/>
      <c r="D902" s="47"/>
      <c r="E902" s="47"/>
      <c r="F902" s="47"/>
      <c r="G902" s="47"/>
      <c r="H902" s="47"/>
      <c r="I902" s="47"/>
      <c r="J902" s="47"/>
      <c r="K902" s="47"/>
      <c r="L902" s="11"/>
    </row>
    <row r="903" spans="2:12" x14ac:dyDescent="0.2">
      <c r="B903" s="10"/>
      <c r="C903" s="46"/>
      <c r="D903" s="47"/>
      <c r="E903" s="47"/>
      <c r="F903" s="47"/>
      <c r="G903" s="47"/>
      <c r="H903" s="47"/>
      <c r="I903" s="47"/>
      <c r="J903" s="47"/>
      <c r="K903" s="47"/>
      <c r="L903" s="11"/>
    </row>
    <row r="904" spans="2:12" x14ac:dyDescent="0.2">
      <c r="B904" s="10"/>
      <c r="C904" s="46"/>
      <c r="D904" s="47"/>
      <c r="E904" s="47"/>
      <c r="F904" s="47"/>
      <c r="G904" s="47"/>
      <c r="H904" s="47"/>
      <c r="I904" s="47"/>
      <c r="J904" s="47"/>
      <c r="K904" s="47"/>
      <c r="L904" s="11"/>
    </row>
    <row r="905" spans="2:12" x14ac:dyDescent="0.2">
      <c r="B905" s="10"/>
      <c r="C905" s="46"/>
      <c r="D905" s="47"/>
      <c r="E905" s="47"/>
      <c r="F905" s="47"/>
      <c r="G905" s="47"/>
      <c r="H905" s="47"/>
      <c r="I905" s="47"/>
      <c r="J905" s="47"/>
      <c r="K905" s="47"/>
      <c r="L905" s="11"/>
    </row>
    <row r="906" spans="2:12" x14ac:dyDescent="0.2">
      <c r="B906" s="10"/>
      <c r="C906" s="46"/>
      <c r="D906" s="47"/>
      <c r="E906" s="47"/>
      <c r="F906" s="47"/>
      <c r="G906" s="47"/>
      <c r="H906" s="47"/>
      <c r="I906" s="47"/>
      <c r="J906" s="47"/>
      <c r="K906" s="47"/>
      <c r="L906" s="11"/>
    </row>
    <row r="907" spans="2:12" x14ac:dyDescent="0.2">
      <c r="B907" s="10"/>
      <c r="C907" s="46"/>
      <c r="D907" s="47"/>
      <c r="E907" s="47"/>
      <c r="F907" s="47"/>
      <c r="G907" s="47"/>
      <c r="H907" s="47"/>
      <c r="I907" s="47"/>
      <c r="J907" s="47"/>
      <c r="K907" s="47"/>
      <c r="L907" s="11"/>
    </row>
    <row r="908" spans="2:12" x14ac:dyDescent="0.2">
      <c r="B908" s="10"/>
      <c r="C908" s="46"/>
      <c r="D908" s="47"/>
      <c r="E908" s="47"/>
      <c r="F908" s="47"/>
      <c r="G908" s="47"/>
      <c r="H908" s="47"/>
      <c r="I908" s="47"/>
      <c r="J908" s="47"/>
      <c r="K908" s="47"/>
      <c r="L908" s="11"/>
    </row>
    <row r="909" spans="2:12" x14ac:dyDescent="0.2">
      <c r="B909" s="10"/>
      <c r="C909" s="46"/>
      <c r="D909" s="47"/>
      <c r="E909" s="47"/>
      <c r="F909" s="47"/>
      <c r="G909" s="47"/>
      <c r="H909" s="47"/>
      <c r="I909" s="47"/>
      <c r="J909" s="47"/>
      <c r="K909" s="47"/>
      <c r="L909" s="11"/>
    </row>
    <row r="910" spans="2:12" x14ac:dyDescent="0.2">
      <c r="B910" s="10"/>
      <c r="C910" s="46"/>
      <c r="D910" s="47"/>
      <c r="E910" s="47"/>
      <c r="F910" s="47"/>
      <c r="G910" s="47"/>
      <c r="H910" s="47"/>
      <c r="I910" s="47"/>
      <c r="J910" s="47"/>
      <c r="K910" s="47"/>
      <c r="L910" s="11"/>
    </row>
    <row r="911" spans="2:12" x14ac:dyDescent="0.2">
      <c r="B911" s="10"/>
      <c r="C911" s="46"/>
      <c r="D911" s="47"/>
      <c r="E911" s="47"/>
      <c r="F911" s="47"/>
      <c r="G911" s="47"/>
      <c r="H911" s="47"/>
      <c r="I911" s="47"/>
      <c r="J911" s="47"/>
      <c r="K911" s="47"/>
      <c r="L911" s="11"/>
    </row>
    <row r="912" spans="2:12" x14ac:dyDescent="0.2">
      <c r="B912" s="10"/>
      <c r="C912" s="46"/>
      <c r="D912" s="47"/>
      <c r="E912" s="47"/>
      <c r="F912" s="47"/>
      <c r="G912" s="47"/>
      <c r="H912" s="47"/>
      <c r="I912" s="47"/>
      <c r="J912" s="47"/>
      <c r="K912" s="47"/>
      <c r="L912" s="11"/>
    </row>
    <row r="913" spans="2:12" x14ac:dyDescent="0.2">
      <c r="B913" s="10"/>
      <c r="C913" s="46"/>
      <c r="D913" s="47"/>
      <c r="E913" s="47"/>
      <c r="F913" s="47"/>
      <c r="G913" s="47"/>
      <c r="H913" s="47"/>
      <c r="I913" s="47"/>
      <c r="J913" s="47"/>
      <c r="K913" s="47"/>
      <c r="L913" s="11"/>
    </row>
    <row r="914" spans="2:12" x14ac:dyDescent="0.2">
      <c r="B914" s="10"/>
      <c r="C914" s="46"/>
      <c r="D914" s="47"/>
      <c r="E914" s="47"/>
      <c r="F914" s="47"/>
      <c r="G914" s="47"/>
      <c r="H914" s="47"/>
      <c r="I914" s="47"/>
      <c r="J914" s="47"/>
      <c r="K914" s="47"/>
      <c r="L914" s="11"/>
    </row>
    <row r="915" spans="2:12" x14ac:dyDescent="0.2">
      <c r="B915" s="10"/>
      <c r="C915" s="46"/>
      <c r="D915" s="47"/>
      <c r="E915" s="47"/>
      <c r="F915" s="47"/>
      <c r="G915" s="47"/>
      <c r="H915" s="47"/>
      <c r="I915" s="47"/>
      <c r="J915" s="47"/>
      <c r="K915" s="47"/>
      <c r="L915" s="11"/>
    </row>
    <row r="916" spans="2:12" x14ac:dyDescent="0.2">
      <c r="B916" s="10"/>
      <c r="C916" s="46"/>
      <c r="D916" s="47"/>
      <c r="E916" s="47"/>
      <c r="F916" s="47"/>
      <c r="G916" s="47"/>
      <c r="H916" s="47"/>
      <c r="I916" s="47"/>
      <c r="J916" s="47"/>
      <c r="K916" s="47"/>
      <c r="L916" s="11"/>
    </row>
    <row r="917" spans="2:12" x14ac:dyDescent="0.2">
      <c r="B917" s="10"/>
      <c r="C917" s="46"/>
      <c r="D917" s="47"/>
      <c r="E917" s="47"/>
      <c r="F917" s="47"/>
      <c r="G917" s="47"/>
      <c r="H917" s="47"/>
      <c r="I917" s="47"/>
      <c r="J917" s="47"/>
      <c r="K917" s="47"/>
      <c r="L917" s="11"/>
    </row>
    <row r="918" spans="2:12" x14ac:dyDescent="0.2">
      <c r="B918" s="10"/>
      <c r="C918" s="46"/>
      <c r="D918" s="47"/>
      <c r="E918" s="47"/>
      <c r="F918" s="47"/>
      <c r="G918" s="47"/>
      <c r="H918" s="47"/>
      <c r="I918" s="47"/>
      <c r="J918" s="47"/>
      <c r="K918" s="47"/>
      <c r="L918" s="11"/>
    </row>
    <row r="919" spans="2:12" x14ac:dyDescent="0.2">
      <c r="B919" s="10"/>
      <c r="C919" s="46"/>
      <c r="D919" s="47"/>
      <c r="E919" s="47"/>
      <c r="F919" s="47"/>
      <c r="G919" s="47"/>
      <c r="H919" s="47"/>
      <c r="I919" s="47"/>
      <c r="J919" s="47"/>
      <c r="K919" s="47"/>
      <c r="L919" s="11"/>
    </row>
    <row r="920" spans="2:12" x14ac:dyDescent="0.2">
      <c r="B920" s="10"/>
      <c r="C920" s="46"/>
      <c r="D920" s="47"/>
      <c r="E920" s="47"/>
      <c r="F920" s="47"/>
      <c r="G920" s="47"/>
      <c r="H920" s="47"/>
      <c r="I920" s="47"/>
      <c r="J920" s="47"/>
      <c r="K920" s="47"/>
      <c r="L920" s="11"/>
    </row>
    <row r="921" spans="2:12" x14ac:dyDescent="0.2">
      <c r="B921" s="10"/>
      <c r="C921" s="46"/>
      <c r="D921" s="47"/>
      <c r="E921" s="47"/>
      <c r="F921" s="47"/>
      <c r="G921" s="47"/>
      <c r="H921" s="47"/>
      <c r="I921" s="47"/>
      <c r="J921" s="47"/>
      <c r="K921" s="47"/>
      <c r="L921" s="11"/>
    </row>
    <row r="922" spans="2:12" x14ac:dyDescent="0.2">
      <c r="B922" s="10"/>
      <c r="C922" s="46"/>
      <c r="D922" s="47"/>
      <c r="E922" s="47"/>
      <c r="F922" s="47"/>
      <c r="G922" s="47"/>
      <c r="H922" s="47"/>
      <c r="I922" s="47"/>
      <c r="J922" s="47"/>
      <c r="K922" s="47"/>
      <c r="L922" s="11"/>
    </row>
    <row r="923" spans="2:12" x14ac:dyDescent="0.2">
      <c r="B923" s="10"/>
      <c r="C923" s="46"/>
      <c r="D923" s="47"/>
      <c r="E923" s="47"/>
      <c r="F923" s="47"/>
      <c r="G923" s="47"/>
      <c r="H923" s="47"/>
      <c r="I923" s="47"/>
      <c r="J923" s="47"/>
      <c r="K923" s="47"/>
      <c r="L923" s="11"/>
    </row>
    <row r="924" spans="2:12" x14ac:dyDescent="0.2">
      <c r="B924" s="10"/>
      <c r="C924" s="46"/>
      <c r="D924" s="47"/>
      <c r="E924" s="47"/>
      <c r="F924" s="47"/>
      <c r="G924" s="47"/>
      <c r="H924" s="47"/>
      <c r="I924" s="47"/>
      <c r="J924" s="47"/>
      <c r="K924" s="47"/>
      <c r="L924" s="11"/>
    </row>
    <row r="925" spans="2:12" x14ac:dyDescent="0.2">
      <c r="B925" s="10"/>
      <c r="C925" s="46"/>
      <c r="D925" s="47"/>
      <c r="E925" s="47"/>
      <c r="F925" s="47"/>
      <c r="G925" s="47"/>
      <c r="H925" s="47"/>
      <c r="I925" s="47"/>
      <c r="J925" s="47"/>
      <c r="K925" s="47"/>
      <c r="L925" s="11"/>
    </row>
    <row r="926" spans="2:12" x14ac:dyDescent="0.2">
      <c r="B926" s="10"/>
      <c r="C926" s="46"/>
      <c r="D926" s="47"/>
      <c r="E926" s="47"/>
      <c r="F926" s="47"/>
      <c r="G926" s="47"/>
      <c r="H926" s="47"/>
      <c r="I926" s="47"/>
      <c r="J926" s="47"/>
      <c r="K926" s="47"/>
      <c r="L926" s="11"/>
    </row>
    <row r="927" spans="2:12" x14ac:dyDescent="0.2">
      <c r="B927" s="10"/>
      <c r="C927" s="46"/>
      <c r="D927" s="47"/>
      <c r="E927" s="47"/>
      <c r="F927" s="47"/>
      <c r="G927" s="47"/>
      <c r="H927" s="47"/>
      <c r="I927" s="47"/>
      <c r="J927" s="47"/>
      <c r="K927" s="47"/>
      <c r="L927" s="11"/>
    </row>
    <row r="928" spans="2:12" x14ac:dyDescent="0.2">
      <c r="B928" s="10"/>
      <c r="C928" s="46"/>
      <c r="D928" s="47"/>
      <c r="E928" s="47"/>
      <c r="F928" s="47"/>
      <c r="G928" s="47"/>
      <c r="H928" s="47"/>
      <c r="I928" s="47"/>
      <c r="J928" s="47"/>
      <c r="K928" s="47"/>
      <c r="L928" s="11"/>
    </row>
    <row r="929" spans="2:12" x14ac:dyDescent="0.2">
      <c r="B929" s="10"/>
      <c r="C929" s="46"/>
      <c r="D929" s="47"/>
      <c r="E929" s="47"/>
      <c r="F929" s="47"/>
      <c r="G929" s="47"/>
      <c r="H929" s="47"/>
      <c r="I929" s="47"/>
      <c r="J929" s="47"/>
      <c r="K929" s="47"/>
      <c r="L929" s="11"/>
    </row>
    <row r="930" spans="2:12" x14ac:dyDescent="0.2">
      <c r="B930" s="10"/>
      <c r="C930" s="46"/>
      <c r="D930" s="47"/>
      <c r="E930" s="47"/>
      <c r="F930" s="47"/>
      <c r="G930" s="47"/>
      <c r="H930" s="47"/>
      <c r="I930" s="47"/>
      <c r="J930" s="47"/>
      <c r="K930" s="47"/>
      <c r="L930" s="11"/>
    </row>
    <row r="931" spans="2:12" x14ac:dyDescent="0.2">
      <c r="B931" s="10"/>
      <c r="C931" s="46"/>
      <c r="D931" s="47"/>
      <c r="E931" s="47"/>
      <c r="F931" s="47"/>
      <c r="G931" s="47"/>
      <c r="H931" s="47"/>
      <c r="I931" s="47"/>
      <c r="J931" s="47"/>
      <c r="K931" s="47"/>
      <c r="L931" s="11"/>
    </row>
    <row r="932" spans="2:12" x14ac:dyDescent="0.2">
      <c r="B932" s="10"/>
      <c r="C932" s="46"/>
      <c r="D932" s="47"/>
      <c r="E932" s="47"/>
      <c r="F932" s="47"/>
      <c r="G932" s="47"/>
      <c r="H932" s="47"/>
      <c r="I932" s="47"/>
      <c r="J932" s="47"/>
      <c r="K932" s="47"/>
      <c r="L932" s="11"/>
    </row>
    <row r="933" spans="2:12" x14ac:dyDescent="0.2">
      <c r="B933" s="10"/>
      <c r="C933" s="46"/>
      <c r="D933" s="47"/>
      <c r="E933" s="47"/>
      <c r="F933" s="47"/>
      <c r="G933" s="47"/>
      <c r="H933" s="47"/>
      <c r="I933" s="47"/>
      <c r="J933" s="47"/>
      <c r="K933" s="47"/>
      <c r="L933" s="11"/>
    </row>
    <row r="934" spans="2:12" x14ac:dyDescent="0.2">
      <c r="B934" s="10"/>
      <c r="C934" s="46"/>
      <c r="D934" s="47"/>
      <c r="E934" s="47"/>
      <c r="F934" s="47"/>
      <c r="G934" s="47"/>
      <c r="H934" s="47"/>
      <c r="I934" s="47"/>
      <c r="J934" s="47"/>
      <c r="K934" s="47"/>
      <c r="L934" s="11"/>
    </row>
    <row r="935" spans="2:12" x14ac:dyDescent="0.2">
      <c r="B935" s="10"/>
      <c r="C935" s="46"/>
      <c r="D935" s="47"/>
      <c r="E935" s="47"/>
      <c r="F935" s="47"/>
      <c r="G935" s="47"/>
      <c r="H935" s="47"/>
      <c r="I935" s="47"/>
      <c r="J935" s="47"/>
      <c r="K935" s="47"/>
      <c r="L935" s="11"/>
    </row>
    <row r="936" spans="2:12" x14ac:dyDescent="0.2">
      <c r="B936" s="10"/>
      <c r="C936" s="46"/>
      <c r="D936" s="47"/>
      <c r="E936" s="47"/>
      <c r="F936" s="47"/>
      <c r="G936" s="47"/>
      <c r="H936" s="47"/>
      <c r="I936" s="47"/>
      <c r="J936" s="47"/>
      <c r="K936" s="47"/>
      <c r="L936" s="11"/>
    </row>
    <row r="937" spans="2:12" x14ac:dyDescent="0.2">
      <c r="B937" s="10"/>
      <c r="C937" s="46"/>
      <c r="D937" s="47"/>
      <c r="E937" s="47"/>
      <c r="F937" s="47"/>
      <c r="G937" s="47"/>
      <c r="H937" s="47"/>
      <c r="I937" s="47"/>
      <c r="J937" s="47"/>
      <c r="K937" s="47"/>
      <c r="L937" s="11"/>
    </row>
    <row r="938" spans="2:12" x14ac:dyDescent="0.2">
      <c r="B938" s="10"/>
      <c r="C938" s="46"/>
      <c r="D938" s="47"/>
      <c r="E938" s="47"/>
      <c r="F938" s="47"/>
      <c r="G938" s="47"/>
      <c r="H938" s="47"/>
      <c r="I938" s="47"/>
      <c r="J938" s="47"/>
      <c r="K938" s="47"/>
      <c r="L938" s="11"/>
    </row>
    <row r="939" spans="2:12" x14ac:dyDescent="0.2">
      <c r="B939" s="10"/>
      <c r="C939" s="46"/>
      <c r="D939" s="47"/>
      <c r="E939" s="47"/>
      <c r="F939" s="47"/>
      <c r="G939" s="47"/>
      <c r="H939" s="47"/>
      <c r="I939" s="47"/>
      <c r="J939" s="47"/>
      <c r="K939" s="47"/>
      <c r="L939" s="11"/>
    </row>
    <row r="940" spans="2:12" x14ac:dyDescent="0.2">
      <c r="B940" s="10"/>
      <c r="C940" s="46"/>
      <c r="D940" s="47"/>
      <c r="E940" s="47"/>
      <c r="F940" s="47"/>
      <c r="G940" s="47"/>
      <c r="H940" s="47"/>
      <c r="I940" s="47"/>
      <c r="J940" s="47"/>
      <c r="K940" s="47"/>
      <c r="L940" s="11"/>
    </row>
    <row r="941" spans="2:12" x14ac:dyDescent="0.2">
      <c r="B941" s="10"/>
      <c r="C941" s="46"/>
      <c r="D941" s="47"/>
      <c r="E941" s="47"/>
      <c r="F941" s="47"/>
      <c r="G941" s="47"/>
      <c r="H941" s="47"/>
      <c r="I941" s="47"/>
      <c r="J941" s="47"/>
      <c r="K941" s="47"/>
      <c r="L941" s="11"/>
    </row>
    <row r="942" spans="2:12" x14ac:dyDescent="0.2">
      <c r="B942" s="10"/>
      <c r="C942" s="46"/>
      <c r="D942" s="47"/>
      <c r="E942" s="47"/>
      <c r="F942" s="47"/>
      <c r="G942" s="47"/>
      <c r="H942" s="47"/>
      <c r="I942" s="47"/>
      <c r="J942" s="47"/>
      <c r="K942" s="47"/>
      <c r="L942" s="11"/>
    </row>
    <row r="943" spans="2:12" x14ac:dyDescent="0.2">
      <c r="B943" s="10"/>
      <c r="C943" s="46"/>
      <c r="D943" s="47"/>
      <c r="E943" s="47"/>
      <c r="F943" s="47"/>
      <c r="G943" s="47"/>
      <c r="H943" s="47"/>
      <c r="I943" s="47"/>
      <c r="J943" s="47"/>
      <c r="K943" s="47"/>
      <c r="L943" s="11"/>
    </row>
    <row r="944" spans="2:12" x14ac:dyDescent="0.2">
      <c r="B944" s="10"/>
      <c r="C944" s="46"/>
      <c r="D944" s="47"/>
      <c r="E944" s="47"/>
      <c r="F944" s="47"/>
      <c r="G944" s="47"/>
      <c r="H944" s="47"/>
      <c r="I944" s="47"/>
      <c r="J944" s="47"/>
      <c r="K944" s="47"/>
      <c r="L944" s="11"/>
    </row>
    <row r="945" spans="2:12" x14ac:dyDescent="0.2">
      <c r="B945" s="10"/>
      <c r="C945" s="46"/>
      <c r="D945" s="47"/>
      <c r="E945" s="47"/>
      <c r="F945" s="47"/>
      <c r="G945" s="47"/>
      <c r="H945" s="47"/>
      <c r="I945" s="47"/>
      <c r="J945" s="47"/>
      <c r="K945" s="47"/>
      <c r="L945" s="11"/>
    </row>
    <row r="946" spans="2:12" x14ac:dyDescent="0.2">
      <c r="B946" s="10"/>
      <c r="C946" s="46"/>
      <c r="D946" s="47"/>
      <c r="E946" s="47"/>
      <c r="F946" s="47"/>
      <c r="G946" s="47"/>
      <c r="H946" s="47"/>
      <c r="I946" s="47"/>
      <c r="J946" s="47"/>
      <c r="K946" s="47"/>
      <c r="L946" s="11"/>
    </row>
    <row r="947" spans="2:12" x14ac:dyDescent="0.2">
      <c r="B947" s="10"/>
      <c r="C947" s="46"/>
      <c r="D947" s="47"/>
      <c r="E947" s="47"/>
      <c r="F947" s="47"/>
      <c r="G947" s="47"/>
      <c r="H947" s="47"/>
      <c r="I947" s="47"/>
      <c r="J947" s="47"/>
      <c r="K947" s="47"/>
      <c r="L947" s="11"/>
    </row>
    <row r="948" spans="2:12" x14ac:dyDescent="0.2">
      <c r="B948" s="10"/>
      <c r="C948" s="46"/>
      <c r="D948" s="47"/>
      <c r="E948" s="47"/>
      <c r="F948" s="47"/>
      <c r="G948" s="47"/>
      <c r="H948" s="47"/>
      <c r="I948" s="47"/>
      <c r="J948" s="47"/>
      <c r="K948" s="47"/>
      <c r="L948" s="11"/>
    </row>
    <row r="949" spans="2:12" x14ac:dyDescent="0.2">
      <c r="B949" s="10"/>
      <c r="C949" s="46"/>
      <c r="D949" s="47"/>
      <c r="E949" s="47"/>
      <c r="F949" s="47"/>
      <c r="G949" s="47"/>
      <c r="H949" s="47"/>
      <c r="I949" s="47"/>
      <c r="J949" s="47"/>
      <c r="K949" s="47"/>
      <c r="L949" s="11"/>
    </row>
    <row r="950" spans="2:12" x14ac:dyDescent="0.2">
      <c r="B950" s="10"/>
      <c r="C950" s="46"/>
      <c r="D950" s="47"/>
      <c r="E950" s="47"/>
      <c r="F950" s="47"/>
      <c r="G950" s="47"/>
      <c r="H950" s="47"/>
      <c r="I950" s="47"/>
      <c r="J950" s="47"/>
      <c r="K950" s="47"/>
      <c r="L950" s="11"/>
    </row>
    <row r="951" spans="2:12" x14ac:dyDescent="0.2">
      <c r="B951" s="10"/>
      <c r="C951" s="46"/>
      <c r="D951" s="47"/>
      <c r="E951" s="47"/>
      <c r="F951" s="47"/>
      <c r="G951" s="47"/>
      <c r="H951" s="47"/>
      <c r="I951" s="47"/>
      <c r="J951" s="47"/>
      <c r="K951" s="47"/>
      <c r="L951" s="11"/>
    </row>
    <row r="952" spans="2:12" x14ac:dyDescent="0.2">
      <c r="B952" s="10"/>
      <c r="C952" s="46"/>
      <c r="D952" s="47"/>
      <c r="E952" s="47"/>
      <c r="F952" s="47"/>
      <c r="G952" s="47"/>
      <c r="H952" s="47"/>
      <c r="I952" s="47"/>
      <c r="J952" s="47"/>
      <c r="K952" s="47"/>
      <c r="L952" s="11"/>
    </row>
    <row r="953" spans="2:12" x14ac:dyDescent="0.2">
      <c r="B953" s="10"/>
      <c r="C953" s="46"/>
      <c r="D953" s="47"/>
      <c r="E953" s="47"/>
      <c r="F953" s="47"/>
      <c r="G953" s="47"/>
      <c r="H953" s="47"/>
      <c r="I953" s="47"/>
      <c r="J953" s="47"/>
      <c r="K953" s="47"/>
      <c r="L953" s="11"/>
    </row>
    <row r="954" spans="2:12" x14ac:dyDescent="0.2">
      <c r="B954" s="10"/>
      <c r="C954" s="46"/>
      <c r="D954" s="47"/>
      <c r="E954" s="47"/>
      <c r="F954" s="47"/>
      <c r="G954" s="47"/>
      <c r="H954" s="47"/>
      <c r="I954" s="47"/>
      <c r="J954" s="47"/>
      <c r="K954" s="47"/>
      <c r="L954" s="11"/>
    </row>
    <row r="955" spans="2:12" x14ac:dyDescent="0.2">
      <c r="B955" s="10"/>
      <c r="C955" s="46"/>
      <c r="D955" s="47"/>
      <c r="E955" s="47"/>
      <c r="F955" s="47"/>
      <c r="G955" s="47"/>
      <c r="H955" s="47"/>
      <c r="I955" s="47"/>
      <c r="J955" s="47"/>
      <c r="K955" s="47"/>
      <c r="L955" s="11"/>
    </row>
    <row r="956" spans="2:12" x14ac:dyDescent="0.2">
      <c r="B956" s="10"/>
      <c r="C956" s="46"/>
      <c r="D956" s="47"/>
      <c r="E956" s="47"/>
      <c r="F956" s="47"/>
      <c r="G956" s="47"/>
      <c r="H956" s="47"/>
      <c r="I956" s="47"/>
      <c r="J956" s="47"/>
      <c r="K956" s="47"/>
      <c r="L956" s="11"/>
    </row>
    <row r="957" spans="2:12" x14ac:dyDescent="0.2">
      <c r="B957" s="10"/>
      <c r="C957" s="46"/>
      <c r="D957" s="47"/>
      <c r="E957" s="47"/>
      <c r="F957" s="47"/>
      <c r="G957" s="47"/>
      <c r="H957" s="47"/>
      <c r="I957" s="47"/>
      <c r="J957" s="47"/>
      <c r="K957" s="47"/>
      <c r="L957" s="11"/>
    </row>
    <row r="958" spans="2:12" x14ac:dyDescent="0.2">
      <c r="B958" s="10"/>
      <c r="C958" s="46"/>
      <c r="D958" s="47"/>
      <c r="E958" s="47"/>
      <c r="F958" s="47"/>
      <c r="G958" s="47"/>
      <c r="H958" s="47"/>
      <c r="I958" s="47"/>
      <c r="J958" s="47"/>
      <c r="K958" s="47"/>
      <c r="L958" s="11"/>
    </row>
    <row r="959" spans="2:12" x14ac:dyDescent="0.2">
      <c r="B959" s="10"/>
      <c r="C959" s="46"/>
      <c r="D959" s="47"/>
      <c r="E959" s="47"/>
      <c r="F959" s="47"/>
      <c r="G959" s="47"/>
      <c r="H959" s="47"/>
      <c r="I959" s="47"/>
      <c r="J959" s="47"/>
      <c r="K959" s="47"/>
      <c r="L959" s="11"/>
    </row>
    <row r="960" spans="2:12" x14ac:dyDescent="0.2">
      <c r="B960" s="10"/>
      <c r="C960" s="46"/>
      <c r="D960" s="47"/>
      <c r="E960" s="47"/>
      <c r="F960" s="47"/>
      <c r="G960" s="47"/>
      <c r="H960" s="47"/>
      <c r="I960" s="47"/>
      <c r="J960" s="47"/>
      <c r="K960" s="47"/>
      <c r="L960" s="11"/>
    </row>
    <row r="961" spans="2:12" x14ac:dyDescent="0.2">
      <c r="B961" s="10"/>
      <c r="C961" s="46"/>
      <c r="D961" s="47"/>
      <c r="E961" s="47"/>
      <c r="F961" s="47"/>
      <c r="G961" s="47"/>
      <c r="H961" s="47"/>
      <c r="I961" s="47"/>
      <c r="J961" s="47"/>
      <c r="K961" s="47"/>
      <c r="L961" s="11"/>
    </row>
    <row r="962" spans="2:12" x14ac:dyDescent="0.2">
      <c r="B962" s="10"/>
      <c r="C962" s="46"/>
      <c r="D962" s="47"/>
      <c r="E962" s="47"/>
      <c r="F962" s="47"/>
      <c r="G962" s="47"/>
      <c r="H962" s="47"/>
      <c r="I962" s="47"/>
      <c r="J962" s="47"/>
      <c r="K962" s="47"/>
      <c r="L962" s="11"/>
    </row>
    <row r="963" spans="2:12" x14ac:dyDescent="0.2">
      <c r="B963" s="10"/>
      <c r="C963" s="46"/>
      <c r="D963" s="47"/>
      <c r="E963" s="47"/>
      <c r="F963" s="47"/>
      <c r="G963" s="47"/>
      <c r="H963" s="47"/>
      <c r="I963" s="47"/>
      <c r="J963" s="47"/>
      <c r="K963" s="47"/>
      <c r="L963" s="11"/>
    </row>
    <row r="964" spans="2:12" x14ac:dyDescent="0.2">
      <c r="B964" s="10"/>
      <c r="C964" s="46"/>
      <c r="D964" s="47"/>
      <c r="E964" s="47"/>
      <c r="F964" s="47"/>
      <c r="G964" s="47"/>
      <c r="H964" s="47"/>
      <c r="I964" s="47"/>
      <c r="J964" s="47"/>
      <c r="K964" s="47"/>
      <c r="L964" s="11"/>
    </row>
    <row r="965" spans="2:12" x14ac:dyDescent="0.2">
      <c r="B965" s="10"/>
      <c r="C965" s="46"/>
      <c r="D965" s="47"/>
      <c r="E965" s="47"/>
      <c r="F965" s="47"/>
      <c r="G965" s="47"/>
      <c r="H965" s="47"/>
      <c r="I965" s="47"/>
      <c r="J965" s="47"/>
      <c r="K965" s="47"/>
      <c r="L965" s="11"/>
    </row>
    <row r="966" spans="2:12" x14ac:dyDescent="0.2">
      <c r="B966" s="10"/>
      <c r="C966" s="46"/>
      <c r="D966" s="47"/>
      <c r="E966" s="47"/>
      <c r="F966" s="47"/>
      <c r="G966" s="47"/>
      <c r="H966" s="47"/>
      <c r="I966" s="47"/>
      <c r="J966" s="47"/>
      <c r="K966" s="47"/>
      <c r="L966" s="11"/>
    </row>
    <row r="967" spans="2:12" x14ac:dyDescent="0.2">
      <c r="B967" s="10"/>
      <c r="C967" s="46"/>
      <c r="D967" s="47"/>
      <c r="E967" s="47"/>
      <c r="F967" s="47"/>
      <c r="G967" s="47"/>
      <c r="H967" s="47"/>
      <c r="I967" s="47"/>
      <c r="J967" s="47"/>
      <c r="K967" s="47"/>
      <c r="L967" s="11"/>
    </row>
    <row r="968" spans="2:12" x14ac:dyDescent="0.2">
      <c r="B968" s="10"/>
      <c r="C968" s="46"/>
      <c r="D968" s="47"/>
      <c r="E968" s="47"/>
      <c r="F968" s="47"/>
      <c r="G968" s="47"/>
      <c r="H968" s="47"/>
      <c r="I968" s="47"/>
      <c r="J968" s="47"/>
      <c r="K968" s="47"/>
      <c r="L968" s="11"/>
    </row>
    <row r="969" spans="2:12" x14ac:dyDescent="0.2">
      <c r="B969" s="10"/>
      <c r="C969" s="46"/>
      <c r="D969" s="47"/>
      <c r="E969" s="47"/>
      <c r="F969" s="47"/>
      <c r="G969" s="47"/>
      <c r="H969" s="47"/>
      <c r="I969" s="47"/>
      <c r="J969" s="47"/>
      <c r="K969" s="47"/>
      <c r="L969" s="11"/>
    </row>
    <row r="970" spans="2:12" x14ac:dyDescent="0.2">
      <c r="B970" s="10"/>
      <c r="C970" s="46"/>
      <c r="D970" s="47"/>
      <c r="E970" s="47"/>
      <c r="F970" s="47"/>
      <c r="G970" s="47"/>
      <c r="H970" s="47"/>
      <c r="I970" s="47"/>
      <c r="J970" s="47"/>
      <c r="K970" s="47"/>
      <c r="L970" s="11"/>
    </row>
    <row r="971" spans="2:12" x14ac:dyDescent="0.2">
      <c r="B971" s="10"/>
      <c r="C971" s="46"/>
      <c r="D971" s="47"/>
      <c r="E971" s="47"/>
      <c r="F971" s="47"/>
      <c r="G971" s="47"/>
      <c r="H971" s="47"/>
      <c r="I971" s="47"/>
      <c r="J971" s="47"/>
      <c r="K971" s="47"/>
      <c r="L971" s="11"/>
    </row>
    <row r="972" spans="2:12" x14ac:dyDescent="0.2">
      <c r="B972" s="10"/>
      <c r="C972" s="46"/>
      <c r="D972" s="47"/>
      <c r="E972" s="47"/>
      <c r="F972" s="47"/>
      <c r="G972" s="47"/>
      <c r="H972" s="47"/>
      <c r="I972" s="47"/>
      <c r="J972" s="47"/>
      <c r="K972" s="47"/>
      <c r="L972" s="11"/>
    </row>
    <row r="973" spans="2:12" x14ac:dyDescent="0.2">
      <c r="B973" s="10"/>
      <c r="C973" s="46"/>
      <c r="D973" s="47"/>
      <c r="E973" s="47"/>
      <c r="F973" s="47"/>
      <c r="G973" s="47"/>
      <c r="H973" s="47"/>
      <c r="I973" s="47"/>
      <c r="J973" s="47"/>
      <c r="K973" s="47"/>
      <c r="L973" s="11"/>
    </row>
    <row r="974" spans="2:12" x14ac:dyDescent="0.2">
      <c r="B974" s="10"/>
      <c r="C974" s="46"/>
      <c r="D974" s="47"/>
      <c r="E974" s="47"/>
      <c r="F974" s="47"/>
      <c r="G974" s="47"/>
      <c r="H974" s="47"/>
      <c r="I974" s="47"/>
      <c r="J974" s="47"/>
      <c r="K974" s="47"/>
      <c r="L974" s="11"/>
    </row>
    <row r="975" spans="2:12" x14ac:dyDescent="0.2">
      <c r="B975" s="10"/>
      <c r="C975" s="46"/>
      <c r="D975" s="47"/>
      <c r="E975" s="47"/>
      <c r="F975" s="47"/>
      <c r="G975" s="47"/>
      <c r="H975" s="47"/>
      <c r="I975" s="47"/>
      <c r="J975" s="47"/>
      <c r="K975" s="47"/>
      <c r="L975" s="11"/>
    </row>
    <row r="976" spans="2:12" x14ac:dyDescent="0.2">
      <c r="B976" s="10"/>
      <c r="C976" s="46"/>
      <c r="D976" s="47"/>
      <c r="E976" s="47"/>
      <c r="F976" s="47"/>
      <c r="G976" s="47"/>
      <c r="H976" s="47"/>
      <c r="I976" s="47"/>
      <c r="J976" s="47"/>
      <c r="K976" s="47"/>
      <c r="L976" s="11"/>
    </row>
    <row r="977" spans="2:12" x14ac:dyDescent="0.2">
      <c r="B977" s="10"/>
      <c r="C977" s="46"/>
      <c r="D977" s="47"/>
      <c r="E977" s="47"/>
      <c r="F977" s="47"/>
      <c r="G977" s="47"/>
      <c r="H977" s="47"/>
      <c r="I977" s="47"/>
      <c r="J977" s="47"/>
      <c r="K977" s="47"/>
      <c r="L977" s="11"/>
    </row>
    <row r="978" spans="2:12" x14ac:dyDescent="0.2">
      <c r="B978" s="10"/>
      <c r="C978" s="46"/>
      <c r="D978" s="47"/>
      <c r="E978" s="47"/>
      <c r="F978" s="47"/>
      <c r="G978" s="47"/>
      <c r="H978" s="47"/>
      <c r="I978" s="47"/>
      <c r="J978" s="47"/>
      <c r="K978" s="47"/>
      <c r="L978" s="11"/>
    </row>
    <row r="979" spans="2:12" x14ac:dyDescent="0.2">
      <c r="B979" s="10"/>
      <c r="C979" s="46"/>
      <c r="D979" s="47"/>
      <c r="E979" s="47"/>
      <c r="F979" s="47"/>
      <c r="G979" s="47"/>
      <c r="H979" s="47"/>
      <c r="I979" s="47"/>
      <c r="J979" s="47"/>
      <c r="K979" s="47"/>
      <c r="L979" s="11"/>
    </row>
    <row r="980" spans="2:12" x14ac:dyDescent="0.2">
      <c r="B980" s="10"/>
      <c r="C980" s="46"/>
      <c r="D980" s="47"/>
      <c r="E980" s="47"/>
      <c r="F980" s="47"/>
      <c r="G980" s="47"/>
      <c r="H980" s="47"/>
      <c r="I980" s="47"/>
      <c r="J980" s="47"/>
      <c r="K980" s="47"/>
      <c r="L980" s="11"/>
    </row>
    <row r="981" spans="2:12" x14ac:dyDescent="0.2">
      <c r="B981" s="10"/>
      <c r="C981" s="46"/>
      <c r="D981" s="47"/>
      <c r="E981" s="47"/>
      <c r="F981" s="47"/>
      <c r="G981" s="47"/>
      <c r="H981" s="47"/>
      <c r="I981" s="47"/>
      <c r="J981" s="47"/>
      <c r="K981" s="47"/>
      <c r="L981" s="11"/>
    </row>
    <row r="982" spans="2:12" x14ac:dyDescent="0.2">
      <c r="B982" s="10"/>
      <c r="C982" s="46"/>
      <c r="D982" s="47"/>
      <c r="E982" s="47"/>
      <c r="F982" s="47"/>
      <c r="G982" s="47"/>
      <c r="H982" s="47"/>
      <c r="I982" s="47"/>
      <c r="J982" s="47"/>
      <c r="K982" s="47"/>
      <c r="L982" s="11"/>
    </row>
    <row r="983" spans="2:12" x14ac:dyDescent="0.2">
      <c r="B983" s="10"/>
      <c r="C983" s="46"/>
      <c r="D983" s="47"/>
      <c r="E983" s="47"/>
      <c r="F983" s="47"/>
      <c r="G983" s="47"/>
      <c r="H983" s="47"/>
      <c r="I983" s="47"/>
      <c r="J983" s="47"/>
      <c r="K983" s="47"/>
      <c r="L983" s="11"/>
    </row>
    <row r="984" spans="2:12" x14ac:dyDescent="0.2">
      <c r="B984" s="10"/>
      <c r="C984" s="46"/>
      <c r="D984" s="47"/>
      <c r="E984" s="47"/>
      <c r="F984" s="47"/>
      <c r="G984" s="47"/>
      <c r="H984" s="47"/>
      <c r="I984" s="47"/>
      <c r="J984" s="47"/>
      <c r="K984" s="47"/>
      <c r="L984" s="11"/>
    </row>
    <row r="985" spans="2:12" x14ac:dyDescent="0.2">
      <c r="B985" s="10"/>
      <c r="C985" s="46"/>
      <c r="D985" s="47"/>
      <c r="E985" s="47"/>
      <c r="F985" s="47"/>
      <c r="G985" s="47"/>
      <c r="H985" s="47"/>
      <c r="I985" s="47"/>
      <c r="J985" s="47"/>
      <c r="K985" s="47"/>
      <c r="L985" s="11"/>
    </row>
    <row r="986" spans="2:12" x14ac:dyDescent="0.2">
      <c r="B986" s="10"/>
      <c r="C986" s="46"/>
      <c r="D986" s="47"/>
      <c r="E986" s="47"/>
      <c r="F986" s="47"/>
      <c r="G986" s="47"/>
      <c r="H986" s="47"/>
      <c r="I986" s="47"/>
      <c r="J986" s="47"/>
      <c r="K986" s="47"/>
      <c r="L986" s="11"/>
    </row>
    <row r="987" spans="2:12" x14ac:dyDescent="0.2">
      <c r="B987" s="10"/>
      <c r="C987" s="46"/>
      <c r="D987" s="47"/>
      <c r="E987" s="47"/>
      <c r="F987" s="47"/>
      <c r="G987" s="47"/>
      <c r="H987" s="47"/>
      <c r="I987" s="47"/>
      <c r="J987" s="47"/>
      <c r="K987" s="47"/>
      <c r="L987" s="11"/>
    </row>
    <row r="988" spans="2:12" x14ac:dyDescent="0.2">
      <c r="B988" s="10"/>
      <c r="C988" s="46"/>
      <c r="D988" s="47"/>
      <c r="E988" s="47"/>
      <c r="F988" s="47"/>
      <c r="G988" s="47"/>
      <c r="H988" s="47"/>
      <c r="I988" s="47"/>
      <c r="J988" s="47"/>
      <c r="K988" s="47"/>
      <c r="L988" s="11"/>
    </row>
    <row r="989" spans="2:12" x14ac:dyDescent="0.2">
      <c r="B989" s="10"/>
      <c r="C989" s="46"/>
      <c r="D989" s="47"/>
      <c r="E989" s="47"/>
      <c r="F989" s="47"/>
      <c r="G989" s="47"/>
      <c r="H989" s="47"/>
      <c r="I989" s="47"/>
      <c r="J989" s="47"/>
      <c r="K989" s="47"/>
      <c r="L989" s="11"/>
    </row>
    <row r="990" spans="2:12" x14ac:dyDescent="0.2">
      <c r="B990" s="10"/>
      <c r="C990" s="46"/>
      <c r="D990" s="47"/>
      <c r="E990" s="47"/>
      <c r="F990" s="47"/>
      <c r="G990" s="47"/>
      <c r="H990" s="47"/>
      <c r="I990" s="47"/>
      <c r="J990" s="47"/>
      <c r="K990" s="47"/>
      <c r="L990" s="11"/>
    </row>
    <row r="991" spans="2:12" x14ac:dyDescent="0.2">
      <c r="B991" s="10"/>
      <c r="C991" s="46"/>
      <c r="D991" s="47"/>
      <c r="E991" s="47"/>
      <c r="F991" s="47"/>
      <c r="G991" s="47"/>
      <c r="H991" s="47"/>
      <c r="I991" s="47"/>
      <c r="J991" s="47"/>
      <c r="K991" s="47"/>
      <c r="L991" s="11"/>
    </row>
    <row r="992" spans="2:12" x14ac:dyDescent="0.2">
      <c r="B992" s="10"/>
      <c r="C992" s="46"/>
      <c r="D992" s="47"/>
      <c r="E992" s="47"/>
      <c r="F992" s="47"/>
      <c r="G992" s="47"/>
      <c r="H992" s="47"/>
      <c r="I992" s="47"/>
      <c r="J992" s="47"/>
      <c r="K992" s="47"/>
      <c r="L992" s="11"/>
    </row>
    <row r="993" spans="2:12" x14ac:dyDescent="0.2">
      <c r="B993" s="10"/>
      <c r="C993" s="46"/>
      <c r="D993" s="47"/>
      <c r="E993" s="47"/>
      <c r="F993" s="47"/>
      <c r="G993" s="47"/>
      <c r="H993" s="47"/>
      <c r="I993" s="47"/>
      <c r="J993" s="47"/>
      <c r="K993" s="47"/>
      <c r="L993" s="11"/>
    </row>
    <row r="994" spans="2:12" x14ac:dyDescent="0.2">
      <c r="B994" s="10"/>
      <c r="C994" s="46"/>
      <c r="D994" s="47"/>
      <c r="E994" s="47"/>
      <c r="F994" s="47"/>
      <c r="G994" s="47"/>
      <c r="H994" s="47"/>
      <c r="I994" s="47"/>
      <c r="J994" s="47"/>
      <c r="K994" s="47"/>
      <c r="L994" s="11"/>
    </row>
    <row r="995" spans="2:12" x14ac:dyDescent="0.2">
      <c r="B995" s="10"/>
      <c r="C995" s="46"/>
      <c r="D995" s="47"/>
      <c r="E995" s="47"/>
      <c r="F995" s="47"/>
      <c r="G995" s="47"/>
      <c r="H995" s="47"/>
      <c r="I995" s="47"/>
      <c r="J995" s="47"/>
      <c r="K995" s="47"/>
      <c r="L995" s="11"/>
    </row>
    <row r="996" spans="2:12" x14ac:dyDescent="0.2">
      <c r="B996" s="10"/>
      <c r="C996" s="46"/>
      <c r="D996" s="47"/>
      <c r="E996" s="47"/>
      <c r="F996" s="47"/>
      <c r="G996" s="47"/>
      <c r="H996" s="47"/>
      <c r="I996" s="47"/>
      <c r="J996" s="47"/>
      <c r="K996" s="47"/>
      <c r="L996" s="11"/>
    </row>
    <row r="997" spans="2:12" x14ac:dyDescent="0.2">
      <c r="B997" s="10"/>
      <c r="C997" s="46"/>
      <c r="D997" s="47"/>
      <c r="E997" s="47"/>
      <c r="F997" s="47"/>
      <c r="G997" s="47"/>
      <c r="H997" s="47"/>
      <c r="I997" s="47"/>
      <c r="J997" s="47"/>
      <c r="K997" s="47"/>
      <c r="L997" s="11"/>
    </row>
    <row r="998" spans="2:12" x14ac:dyDescent="0.2">
      <c r="B998" s="10"/>
      <c r="C998" s="46"/>
      <c r="D998" s="47"/>
      <c r="E998" s="47"/>
      <c r="F998" s="47"/>
      <c r="G998" s="47"/>
      <c r="H998" s="47"/>
      <c r="I998" s="47"/>
      <c r="J998" s="47"/>
      <c r="K998" s="47"/>
      <c r="L998" s="11"/>
    </row>
    <row r="999" spans="2:12" x14ac:dyDescent="0.2">
      <c r="B999" s="10"/>
      <c r="C999" s="46"/>
      <c r="D999" s="47"/>
      <c r="E999" s="47"/>
      <c r="F999" s="47"/>
      <c r="G999" s="47"/>
      <c r="H999" s="47"/>
      <c r="I999" s="47"/>
      <c r="J999" s="47"/>
      <c r="K999" s="47"/>
      <c r="L999" s="11"/>
    </row>
    <row r="1000" spans="2:12" x14ac:dyDescent="0.2">
      <c r="B1000" s="10"/>
      <c r="C1000" s="46"/>
      <c r="D1000" s="47"/>
      <c r="E1000" s="47"/>
      <c r="F1000" s="47"/>
      <c r="G1000" s="47"/>
      <c r="H1000" s="47"/>
      <c r="I1000" s="47"/>
      <c r="J1000" s="47"/>
      <c r="K1000" s="47"/>
      <c r="L1000" s="11"/>
    </row>
    <row r="1001" spans="2:12" x14ac:dyDescent="0.2">
      <c r="B1001" s="10"/>
      <c r="C1001" s="46"/>
      <c r="D1001" s="47"/>
      <c r="E1001" s="47"/>
      <c r="F1001" s="47"/>
      <c r="G1001" s="47"/>
      <c r="H1001" s="47"/>
      <c r="I1001" s="47"/>
      <c r="J1001" s="47"/>
      <c r="K1001" s="47"/>
      <c r="L1001" s="11"/>
    </row>
    <row r="1002" spans="2:12" x14ac:dyDescent="0.2">
      <c r="B1002" s="10"/>
      <c r="C1002" s="46"/>
      <c r="D1002" s="47"/>
      <c r="E1002" s="47"/>
      <c r="F1002" s="47"/>
      <c r="G1002" s="47"/>
      <c r="H1002" s="47"/>
      <c r="I1002" s="47"/>
      <c r="J1002" s="47"/>
      <c r="K1002" s="47"/>
      <c r="L1002" s="11"/>
    </row>
    <row r="1003" spans="2:12" x14ac:dyDescent="0.2">
      <c r="B1003" s="10"/>
      <c r="C1003" s="46"/>
      <c r="D1003" s="47"/>
      <c r="E1003" s="47"/>
      <c r="F1003" s="47"/>
      <c r="G1003" s="47"/>
      <c r="H1003" s="47"/>
      <c r="I1003" s="47"/>
      <c r="J1003" s="47"/>
      <c r="K1003" s="47"/>
      <c r="L1003" s="11"/>
    </row>
    <row r="1004" spans="2:12" x14ac:dyDescent="0.2">
      <c r="B1004" s="10"/>
      <c r="C1004" s="46"/>
      <c r="D1004" s="47"/>
      <c r="E1004" s="47"/>
      <c r="F1004" s="47"/>
      <c r="G1004" s="47"/>
      <c r="H1004" s="47"/>
      <c r="I1004" s="47"/>
      <c r="J1004" s="47"/>
      <c r="K1004" s="47"/>
      <c r="L1004" s="11"/>
    </row>
    <row r="1005" spans="2:12" x14ac:dyDescent="0.2">
      <c r="B1005" s="10"/>
      <c r="C1005" s="46"/>
      <c r="D1005" s="47"/>
      <c r="E1005" s="47"/>
      <c r="F1005" s="47"/>
      <c r="G1005" s="47"/>
      <c r="H1005" s="47"/>
      <c r="I1005" s="47"/>
      <c r="J1005" s="47"/>
      <c r="K1005" s="47"/>
      <c r="L1005" s="11"/>
    </row>
    <row r="1006" spans="2:12" x14ac:dyDescent="0.2">
      <c r="B1006" s="10"/>
      <c r="C1006" s="46"/>
      <c r="D1006" s="47"/>
      <c r="E1006" s="47"/>
      <c r="F1006" s="47"/>
      <c r="G1006" s="47"/>
      <c r="H1006" s="47"/>
      <c r="I1006" s="47"/>
      <c r="J1006" s="47"/>
      <c r="K1006" s="47"/>
      <c r="L1006" s="11"/>
    </row>
    <row r="1007" spans="2:12" x14ac:dyDescent="0.2">
      <c r="B1007" s="10"/>
      <c r="C1007" s="46"/>
      <c r="D1007" s="47"/>
      <c r="E1007" s="47"/>
      <c r="F1007" s="47"/>
      <c r="G1007" s="47"/>
      <c r="H1007" s="47"/>
      <c r="I1007" s="47"/>
      <c r="J1007" s="47"/>
      <c r="K1007" s="47"/>
      <c r="L1007" s="11"/>
    </row>
    <row r="1008" spans="2:12" x14ac:dyDescent="0.2">
      <c r="B1008" s="10"/>
      <c r="C1008" s="46"/>
      <c r="D1008" s="47"/>
      <c r="E1008" s="47"/>
      <c r="F1008" s="47"/>
      <c r="G1008" s="47"/>
      <c r="H1008" s="47"/>
      <c r="I1008" s="47"/>
      <c r="J1008" s="47"/>
      <c r="K1008" s="47"/>
      <c r="L1008" s="11"/>
    </row>
    <row r="1009" spans="2:12" x14ac:dyDescent="0.2">
      <c r="B1009" s="10"/>
      <c r="C1009" s="46"/>
      <c r="D1009" s="47"/>
      <c r="E1009" s="47"/>
      <c r="F1009" s="47"/>
      <c r="G1009" s="47"/>
      <c r="H1009" s="47"/>
      <c r="I1009" s="47"/>
      <c r="J1009" s="47"/>
      <c r="K1009" s="47"/>
      <c r="L1009" s="11"/>
    </row>
    <row r="1010" spans="2:12" x14ac:dyDescent="0.2">
      <c r="B1010" s="10"/>
      <c r="C1010" s="46"/>
      <c r="D1010" s="47"/>
      <c r="E1010" s="47"/>
      <c r="F1010" s="47"/>
      <c r="G1010" s="47"/>
      <c r="H1010" s="47"/>
      <c r="I1010" s="47"/>
      <c r="J1010" s="47"/>
      <c r="K1010" s="47"/>
      <c r="L1010" s="11"/>
    </row>
    <row r="1011" spans="2:12" x14ac:dyDescent="0.2">
      <c r="B1011" s="10"/>
      <c r="C1011" s="46"/>
      <c r="D1011" s="47"/>
      <c r="E1011" s="47"/>
      <c r="F1011" s="47"/>
      <c r="G1011" s="47"/>
      <c r="H1011" s="47"/>
      <c r="I1011" s="47"/>
      <c r="J1011" s="47"/>
      <c r="K1011" s="47"/>
      <c r="L1011" s="11"/>
    </row>
    <row r="1012" spans="2:12" x14ac:dyDescent="0.2">
      <c r="B1012" s="10"/>
      <c r="C1012" s="46"/>
      <c r="D1012" s="47"/>
      <c r="E1012" s="47"/>
      <c r="F1012" s="47"/>
      <c r="G1012" s="47"/>
      <c r="H1012" s="47"/>
      <c r="I1012" s="47"/>
      <c r="J1012" s="47"/>
      <c r="K1012" s="47"/>
      <c r="L1012" s="11"/>
    </row>
    <row r="1013" spans="2:12" x14ac:dyDescent="0.2">
      <c r="B1013" s="10"/>
      <c r="C1013" s="46"/>
      <c r="D1013" s="47"/>
      <c r="E1013" s="47"/>
      <c r="F1013" s="47"/>
      <c r="G1013" s="47"/>
      <c r="H1013" s="47"/>
      <c r="I1013" s="47"/>
      <c r="J1013" s="47"/>
      <c r="K1013" s="47"/>
      <c r="L1013" s="11"/>
    </row>
    <row r="1014" spans="2:12" x14ac:dyDescent="0.2">
      <c r="B1014" s="10"/>
      <c r="C1014" s="46"/>
      <c r="D1014" s="47"/>
      <c r="E1014" s="47"/>
      <c r="F1014" s="47"/>
      <c r="G1014" s="47"/>
      <c r="H1014" s="47"/>
      <c r="I1014" s="47"/>
      <c r="J1014" s="47"/>
      <c r="K1014" s="47"/>
      <c r="L1014" s="11"/>
    </row>
    <row r="1015" spans="2:12" x14ac:dyDescent="0.2">
      <c r="B1015" s="10"/>
      <c r="C1015" s="46"/>
      <c r="D1015" s="47"/>
      <c r="E1015" s="47"/>
      <c r="F1015" s="47"/>
      <c r="G1015" s="47"/>
      <c r="H1015" s="47"/>
      <c r="I1015" s="47"/>
      <c r="J1015" s="47"/>
      <c r="K1015" s="47"/>
      <c r="L1015" s="11"/>
    </row>
    <row r="1016" spans="2:12" x14ac:dyDescent="0.2">
      <c r="B1016" s="10"/>
      <c r="C1016" s="46"/>
      <c r="D1016" s="47"/>
      <c r="E1016" s="47"/>
      <c r="F1016" s="47"/>
      <c r="G1016" s="47"/>
      <c r="H1016" s="47"/>
      <c r="I1016" s="47"/>
      <c r="J1016" s="47"/>
      <c r="K1016" s="47"/>
      <c r="L1016" s="11"/>
    </row>
    <row r="1017" spans="2:12" x14ac:dyDescent="0.2">
      <c r="B1017" s="10"/>
      <c r="C1017" s="46"/>
      <c r="D1017" s="47"/>
      <c r="E1017" s="47"/>
      <c r="F1017" s="47"/>
      <c r="G1017" s="47"/>
      <c r="H1017" s="47"/>
      <c r="I1017" s="47"/>
      <c r="J1017" s="47"/>
      <c r="K1017" s="47"/>
      <c r="L1017" s="11"/>
    </row>
    <row r="1018" spans="2:12" x14ac:dyDescent="0.2">
      <c r="B1018" s="10"/>
      <c r="C1018" s="46"/>
      <c r="D1018" s="47"/>
      <c r="E1018" s="47"/>
      <c r="F1018" s="47"/>
      <c r="G1018" s="47"/>
      <c r="H1018" s="47"/>
      <c r="I1018" s="47"/>
      <c r="J1018" s="47"/>
      <c r="K1018" s="47"/>
      <c r="L1018" s="11"/>
    </row>
    <row r="1019" spans="2:12" x14ac:dyDescent="0.2">
      <c r="B1019" s="10"/>
      <c r="C1019" s="46"/>
      <c r="D1019" s="47"/>
      <c r="E1019" s="47"/>
      <c r="F1019" s="47"/>
      <c r="G1019" s="47"/>
      <c r="H1019" s="47"/>
      <c r="I1019" s="47"/>
      <c r="J1019" s="47"/>
      <c r="K1019" s="47"/>
      <c r="L1019" s="11"/>
    </row>
    <row r="1020" spans="2:12" x14ac:dyDescent="0.2">
      <c r="B1020" s="10"/>
      <c r="C1020" s="46"/>
      <c r="D1020" s="47"/>
      <c r="E1020" s="47"/>
      <c r="F1020" s="47"/>
      <c r="G1020" s="47"/>
      <c r="H1020" s="47"/>
      <c r="I1020" s="47"/>
      <c r="J1020" s="47"/>
      <c r="K1020" s="47"/>
      <c r="L1020" s="11"/>
    </row>
    <row r="1021" spans="2:12" x14ac:dyDescent="0.2">
      <c r="B1021" s="10"/>
      <c r="C1021" s="46"/>
      <c r="D1021" s="47"/>
      <c r="E1021" s="47"/>
      <c r="F1021" s="47"/>
      <c r="G1021" s="47"/>
      <c r="H1021" s="47"/>
      <c r="I1021" s="47"/>
      <c r="J1021" s="47"/>
      <c r="K1021" s="47"/>
      <c r="L1021" s="11"/>
    </row>
    <row r="1022" spans="2:12" x14ac:dyDescent="0.2">
      <c r="B1022" s="10"/>
      <c r="C1022" s="46"/>
      <c r="D1022" s="47"/>
      <c r="E1022" s="47"/>
      <c r="F1022" s="47"/>
      <c r="G1022" s="47"/>
      <c r="H1022" s="47"/>
      <c r="I1022" s="47"/>
      <c r="J1022" s="47"/>
      <c r="K1022" s="47"/>
      <c r="L1022" s="11"/>
    </row>
    <row r="1023" spans="2:12" x14ac:dyDescent="0.2">
      <c r="B1023" s="10"/>
      <c r="C1023" s="46"/>
      <c r="D1023" s="47"/>
      <c r="E1023" s="47"/>
      <c r="F1023" s="47"/>
      <c r="G1023" s="47"/>
      <c r="H1023" s="47"/>
      <c r="I1023" s="47"/>
      <c r="J1023" s="47"/>
      <c r="K1023" s="47"/>
      <c r="L1023" s="11"/>
    </row>
    <row r="1024" spans="2:12" x14ac:dyDescent="0.2">
      <c r="B1024" s="10"/>
      <c r="C1024" s="46"/>
      <c r="D1024" s="47"/>
      <c r="E1024" s="47"/>
      <c r="F1024" s="47"/>
      <c r="G1024" s="47"/>
      <c r="H1024" s="47"/>
      <c r="I1024" s="47"/>
      <c r="J1024" s="47"/>
      <c r="K1024" s="47"/>
      <c r="L1024" s="11"/>
    </row>
    <row r="1025" spans="2:12" x14ac:dyDescent="0.2">
      <c r="B1025" s="10"/>
      <c r="C1025" s="46"/>
      <c r="D1025" s="47"/>
      <c r="E1025" s="47"/>
      <c r="F1025" s="47"/>
      <c r="G1025" s="47"/>
      <c r="H1025" s="47"/>
      <c r="I1025" s="47"/>
      <c r="J1025" s="47"/>
      <c r="K1025" s="47"/>
      <c r="L1025" s="11"/>
    </row>
    <row r="1026" spans="2:12" x14ac:dyDescent="0.2">
      <c r="B1026" s="10"/>
      <c r="C1026" s="46"/>
      <c r="D1026" s="47"/>
      <c r="E1026" s="47"/>
      <c r="F1026" s="47"/>
      <c r="G1026" s="47"/>
      <c r="H1026" s="47"/>
      <c r="I1026" s="47"/>
      <c r="J1026" s="47"/>
      <c r="K1026" s="47"/>
      <c r="L1026" s="11"/>
    </row>
    <row r="1027" spans="2:12" x14ac:dyDescent="0.2">
      <c r="B1027" s="10"/>
      <c r="C1027" s="46"/>
      <c r="D1027" s="47"/>
      <c r="E1027" s="47"/>
      <c r="F1027" s="47"/>
      <c r="G1027" s="47"/>
      <c r="H1027" s="47"/>
      <c r="I1027" s="47"/>
      <c r="J1027" s="47"/>
      <c r="K1027" s="47"/>
      <c r="L1027" s="11"/>
    </row>
    <row r="1028" spans="2:12" x14ac:dyDescent="0.2">
      <c r="B1028" s="10"/>
      <c r="C1028" s="46"/>
      <c r="D1028" s="47"/>
      <c r="E1028" s="47"/>
      <c r="F1028" s="47"/>
      <c r="G1028" s="47"/>
      <c r="H1028" s="47"/>
      <c r="I1028" s="47"/>
      <c r="J1028" s="47"/>
      <c r="K1028" s="47"/>
      <c r="L1028" s="11"/>
    </row>
    <row r="1029" spans="2:12" x14ac:dyDescent="0.2">
      <c r="B1029" s="10"/>
      <c r="C1029" s="46"/>
      <c r="D1029" s="47"/>
      <c r="E1029" s="47"/>
      <c r="F1029" s="47"/>
      <c r="G1029" s="47"/>
      <c r="H1029" s="47"/>
      <c r="I1029" s="47"/>
      <c r="J1029" s="47"/>
      <c r="K1029" s="47"/>
      <c r="L1029" s="11"/>
    </row>
    <row r="1030" spans="2:12" x14ac:dyDescent="0.2">
      <c r="B1030" s="10"/>
      <c r="C1030" s="46"/>
      <c r="D1030" s="47"/>
      <c r="E1030" s="47"/>
      <c r="F1030" s="47"/>
      <c r="G1030" s="47"/>
      <c r="H1030" s="47"/>
      <c r="I1030" s="47"/>
      <c r="J1030" s="47"/>
      <c r="K1030" s="47"/>
      <c r="L1030" s="11"/>
    </row>
    <row r="1031" spans="2:12" x14ac:dyDescent="0.2">
      <c r="B1031" s="10"/>
      <c r="C1031" s="46"/>
      <c r="D1031" s="47"/>
      <c r="E1031" s="47"/>
      <c r="F1031" s="47"/>
      <c r="G1031" s="47"/>
      <c r="H1031" s="47"/>
      <c r="I1031" s="47"/>
      <c r="J1031" s="47"/>
      <c r="K1031" s="47"/>
      <c r="L1031" s="11"/>
    </row>
    <row r="1032" spans="2:12" x14ac:dyDescent="0.2">
      <c r="B1032" s="10"/>
      <c r="C1032" s="46"/>
      <c r="D1032" s="47"/>
      <c r="E1032" s="47"/>
      <c r="F1032" s="47"/>
      <c r="G1032" s="47"/>
      <c r="H1032" s="47"/>
      <c r="I1032" s="47"/>
      <c r="J1032" s="47"/>
      <c r="K1032" s="47"/>
      <c r="L1032" s="11"/>
    </row>
    <row r="1033" spans="2:12" x14ac:dyDescent="0.2">
      <c r="B1033" s="10"/>
      <c r="C1033" s="46"/>
      <c r="D1033" s="47"/>
      <c r="E1033" s="47"/>
      <c r="F1033" s="47"/>
      <c r="G1033" s="47"/>
      <c r="H1033" s="47"/>
      <c r="I1033" s="47"/>
      <c r="J1033" s="47"/>
      <c r="K1033" s="47"/>
      <c r="L1033" s="11"/>
    </row>
    <row r="1034" spans="2:12" x14ac:dyDescent="0.2">
      <c r="B1034" s="10"/>
      <c r="C1034" s="46"/>
      <c r="D1034" s="47"/>
      <c r="E1034" s="47"/>
      <c r="F1034" s="47"/>
      <c r="G1034" s="47"/>
      <c r="H1034" s="47"/>
      <c r="I1034" s="47"/>
      <c r="J1034" s="47"/>
      <c r="K1034" s="47"/>
      <c r="L1034" s="11"/>
    </row>
    <row r="1035" spans="2:12" x14ac:dyDescent="0.2">
      <c r="B1035" s="10"/>
      <c r="C1035" s="46"/>
      <c r="D1035" s="47"/>
      <c r="E1035" s="47"/>
      <c r="F1035" s="47"/>
      <c r="G1035" s="47"/>
      <c r="H1035" s="47"/>
      <c r="I1035" s="47"/>
      <c r="J1035" s="47"/>
      <c r="K1035" s="47"/>
      <c r="L1035" s="11"/>
    </row>
    <row r="1036" spans="2:12" x14ac:dyDescent="0.2">
      <c r="B1036" s="10"/>
      <c r="C1036" s="46"/>
      <c r="D1036" s="47"/>
      <c r="E1036" s="47"/>
      <c r="F1036" s="47"/>
      <c r="G1036" s="47"/>
      <c r="H1036" s="47"/>
      <c r="I1036" s="47"/>
      <c r="J1036" s="47"/>
      <c r="K1036" s="47"/>
      <c r="L1036" s="11"/>
    </row>
    <row r="1037" spans="2:12" x14ac:dyDescent="0.2">
      <c r="B1037" s="10"/>
      <c r="C1037" s="46"/>
      <c r="D1037" s="47"/>
      <c r="E1037" s="47"/>
      <c r="F1037" s="47"/>
      <c r="G1037" s="47"/>
      <c r="H1037" s="47"/>
      <c r="I1037" s="47"/>
      <c r="J1037" s="47"/>
      <c r="K1037" s="47"/>
      <c r="L1037" s="11"/>
    </row>
    <row r="1038" spans="2:12" x14ac:dyDescent="0.2">
      <c r="B1038" s="10"/>
      <c r="C1038" s="46"/>
      <c r="D1038" s="47"/>
      <c r="E1038" s="47"/>
      <c r="F1038" s="47"/>
      <c r="G1038" s="47"/>
      <c r="H1038" s="47"/>
      <c r="I1038" s="47"/>
      <c r="J1038" s="47"/>
      <c r="K1038" s="47"/>
      <c r="L1038" s="11"/>
    </row>
    <row r="1039" spans="2:12" x14ac:dyDescent="0.2">
      <c r="B1039" s="10"/>
      <c r="C1039" s="46"/>
      <c r="D1039" s="47"/>
      <c r="E1039" s="47"/>
      <c r="F1039" s="47"/>
      <c r="G1039" s="47"/>
      <c r="H1039" s="47"/>
      <c r="I1039" s="47"/>
      <c r="J1039" s="47"/>
      <c r="K1039" s="47"/>
      <c r="L1039" s="11"/>
    </row>
    <row r="1040" spans="2:12" x14ac:dyDescent="0.2">
      <c r="B1040" s="10"/>
      <c r="C1040" s="46"/>
      <c r="D1040" s="47"/>
      <c r="E1040" s="47"/>
      <c r="F1040" s="47"/>
      <c r="G1040" s="47"/>
      <c r="H1040" s="47"/>
      <c r="I1040" s="47"/>
      <c r="J1040" s="47"/>
      <c r="K1040" s="47"/>
      <c r="L1040" s="11"/>
    </row>
    <row r="1041" spans="2:12" x14ac:dyDescent="0.2">
      <c r="B1041" s="10"/>
      <c r="C1041" s="46"/>
      <c r="D1041" s="47"/>
      <c r="E1041" s="47"/>
      <c r="F1041" s="47"/>
      <c r="G1041" s="47"/>
      <c r="H1041" s="47"/>
      <c r="I1041" s="47"/>
      <c r="J1041" s="47"/>
      <c r="K1041" s="47"/>
      <c r="L1041" s="11"/>
    </row>
    <row r="1042" spans="2:12" x14ac:dyDescent="0.2">
      <c r="B1042" s="10"/>
      <c r="C1042" s="46"/>
      <c r="D1042" s="47"/>
      <c r="E1042" s="47"/>
      <c r="F1042" s="47"/>
      <c r="G1042" s="47"/>
      <c r="H1042" s="47"/>
      <c r="I1042" s="47"/>
      <c r="J1042" s="47"/>
      <c r="K1042" s="47"/>
      <c r="L1042" s="11"/>
    </row>
    <row r="1043" spans="2:12" x14ac:dyDescent="0.2">
      <c r="B1043" s="10"/>
      <c r="C1043" s="46"/>
      <c r="D1043" s="47"/>
      <c r="E1043" s="47"/>
      <c r="F1043" s="47"/>
      <c r="G1043" s="47"/>
      <c r="H1043" s="47"/>
      <c r="I1043" s="47"/>
      <c r="J1043" s="47"/>
      <c r="K1043" s="47"/>
      <c r="L1043" s="11"/>
    </row>
    <row r="1044" spans="2:12" x14ac:dyDescent="0.2">
      <c r="B1044" s="10"/>
      <c r="C1044" s="46"/>
      <c r="D1044" s="47"/>
      <c r="E1044" s="47"/>
      <c r="F1044" s="47"/>
      <c r="G1044" s="47"/>
      <c r="H1044" s="47"/>
      <c r="I1044" s="47"/>
      <c r="J1044" s="47"/>
      <c r="K1044" s="47"/>
      <c r="L1044" s="11"/>
    </row>
    <row r="1045" spans="2:12" x14ac:dyDescent="0.2">
      <c r="B1045" s="10"/>
      <c r="C1045" s="46"/>
      <c r="D1045" s="47"/>
      <c r="E1045" s="47"/>
      <c r="F1045" s="47"/>
      <c r="G1045" s="47"/>
      <c r="H1045" s="47"/>
      <c r="I1045" s="47"/>
      <c r="J1045" s="47"/>
      <c r="K1045" s="47"/>
      <c r="L1045" s="11"/>
    </row>
    <row r="1046" spans="2:12" x14ac:dyDescent="0.2">
      <c r="B1046" s="10"/>
      <c r="C1046" s="46"/>
      <c r="D1046" s="47"/>
      <c r="E1046" s="47"/>
      <c r="F1046" s="47"/>
      <c r="G1046" s="47"/>
      <c r="H1046" s="47"/>
      <c r="I1046" s="47"/>
      <c r="J1046" s="47"/>
      <c r="K1046" s="47"/>
      <c r="L1046" s="11"/>
    </row>
    <row r="1047" spans="2:12" x14ac:dyDescent="0.2">
      <c r="B1047" s="10"/>
      <c r="C1047" s="46"/>
      <c r="D1047" s="47"/>
      <c r="E1047" s="47"/>
      <c r="F1047" s="47"/>
      <c r="G1047" s="47"/>
      <c r="H1047" s="47"/>
      <c r="I1047" s="47"/>
      <c r="J1047" s="47"/>
      <c r="K1047" s="47"/>
      <c r="L1047" s="11"/>
    </row>
    <row r="1048" spans="2:12" x14ac:dyDescent="0.2">
      <c r="B1048" s="10"/>
      <c r="C1048" s="46"/>
      <c r="D1048" s="47"/>
      <c r="E1048" s="47"/>
      <c r="F1048" s="47"/>
      <c r="G1048" s="47"/>
      <c r="H1048" s="47"/>
      <c r="I1048" s="47"/>
      <c r="J1048" s="47"/>
      <c r="K1048" s="47"/>
      <c r="L1048" s="11"/>
    </row>
    <row r="1049" spans="2:12" x14ac:dyDescent="0.2">
      <c r="B1049" s="10"/>
      <c r="C1049" s="46"/>
      <c r="D1049" s="47"/>
      <c r="E1049" s="47"/>
      <c r="F1049" s="47"/>
      <c r="G1049" s="47"/>
      <c r="H1049" s="47"/>
      <c r="I1049" s="47"/>
      <c r="J1049" s="47"/>
      <c r="K1049" s="47"/>
      <c r="L1049" s="11"/>
    </row>
    <row r="1050" spans="2:12" x14ac:dyDescent="0.2">
      <c r="B1050" s="10"/>
      <c r="C1050" s="46"/>
      <c r="D1050" s="47"/>
      <c r="E1050" s="47"/>
      <c r="F1050" s="47"/>
      <c r="G1050" s="47"/>
      <c r="H1050" s="47"/>
      <c r="I1050" s="47"/>
      <c r="J1050" s="47"/>
      <c r="K1050" s="47"/>
      <c r="L1050" s="11"/>
    </row>
    <row r="1051" spans="2:12" x14ac:dyDescent="0.2">
      <c r="B1051" s="10"/>
      <c r="C1051" s="46"/>
      <c r="D1051" s="47"/>
      <c r="E1051" s="47"/>
      <c r="F1051" s="47"/>
      <c r="G1051" s="47"/>
      <c r="H1051" s="47"/>
      <c r="I1051" s="47"/>
      <c r="J1051" s="47"/>
      <c r="K1051" s="47"/>
      <c r="L1051" s="11"/>
    </row>
    <row r="1052" spans="2:12" x14ac:dyDescent="0.2">
      <c r="B1052" s="10"/>
      <c r="C1052" s="46"/>
      <c r="D1052" s="47"/>
      <c r="E1052" s="47"/>
      <c r="F1052" s="47"/>
      <c r="G1052" s="47"/>
      <c r="H1052" s="47"/>
      <c r="I1052" s="47"/>
      <c r="J1052" s="47"/>
      <c r="K1052" s="47"/>
      <c r="L1052" s="11"/>
    </row>
    <row r="1053" spans="2:12" x14ac:dyDescent="0.2">
      <c r="B1053" s="10"/>
      <c r="C1053" s="46"/>
      <c r="D1053" s="47"/>
      <c r="E1053" s="47"/>
      <c r="F1053" s="47"/>
      <c r="G1053" s="47"/>
      <c r="H1053" s="47"/>
      <c r="I1053" s="47"/>
      <c r="J1053" s="47"/>
      <c r="K1053" s="47"/>
      <c r="L1053" s="11"/>
    </row>
    <row r="1054" spans="2:12" x14ac:dyDescent="0.2">
      <c r="B1054" s="10"/>
      <c r="C1054" s="46"/>
      <c r="D1054" s="47"/>
      <c r="E1054" s="47"/>
      <c r="F1054" s="47"/>
      <c r="G1054" s="47"/>
      <c r="H1054" s="47"/>
      <c r="I1054" s="47"/>
      <c r="J1054" s="47"/>
      <c r="K1054" s="47"/>
      <c r="L1054" s="11"/>
    </row>
    <row r="1055" spans="2:12" x14ac:dyDescent="0.2">
      <c r="B1055" s="10"/>
      <c r="C1055" s="46"/>
      <c r="D1055" s="47"/>
      <c r="E1055" s="47"/>
      <c r="F1055" s="47"/>
      <c r="G1055" s="47"/>
      <c r="H1055" s="47"/>
      <c r="I1055" s="47"/>
      <c r="J1055" s="47"/>
      <c r="K1055" s="47"/>
      <c r="L1055" s="11"/>
    </row>
    <row r="1056" spans="2:12" x14ac:dyDescent="0.2">
      <c r="B1056" s="10"/>
      <c r="C1056" s="46"/>
      <c r="D1056" s="47"/>
      <c r="E1056" s="47"/>
      <c r="F1056" s="47"/>
      <c r="G1056" s="47"/>
      <c r="H1056" s="47"/>
      <c r="I1056" s="47"/>
      <c r="J1056" s="47"/>
      <c r="K1056" s="47"/>
      <c r="L1056" s="11"/>
    </row>
    <row r="1057" spans="2:12" x14ac:dyDescent="0.2">
      <c r="B1057" s="10"/>
      <c r="C1057" s="46"/>
      <c r="D1057" s="47"/>
      <c r="E1057" s="47"/>
      <c r="F1057" s="47"/>
      <c r="G1057" s="47"/>
      <c r="H1057" s="47"/>
      <c r="I1057" s="47"/>
      <c r="J1057" s="47"/>
      <c r="K1057" s="47"/>
      <c r="L1057" s="11"/>
    </row>
    <row r="1058" spans="2:12" x14ac:dyDescent="0.2">
      <c r="B1058" s="10"/>
      <c r="C1058" s="46"/>
      <c r="D1058" s="47"/>
      <c r="E1058" s="47"/>
      <c r="F1058" s="47"/>
      <c r="G1058" s="47"/>
      <c r="H1058" s="47"/>
      <c r="I1058" s="47"/>
      <c r="J1058" s="47"/>
      <c r="K1058" s="47"/>
      <c r="L1058" s="11"/>
    </row>
    <row r="1059" spans="2:12" x14ac:dyDescent="0.2">
      <c r="B1059" s="10"/>
      <c r="C1059" s="46"/>
      <c r="D1059" s="47"/>
      <c r="E1059" s="47"/>
      <c r="F1059" s="47"/>
      <c r="G1059" s="47"/>
      <c r="H1059" s="47"/>
      <c r="I1059" s="47"/>
      <c r="J1059" s="47"/>
      <c r="K1059" s="47"/>
      <c r="L1059" s="11"/>
    </row>
    <row r="1060" spans="2:12" x14ac:dyDescent="0.2">
      <c r="B1060" s="10"/>
      <c r="C1060" s="46"/>
      <c r="D1060" s="47"/>
      <c r="E1060" s="47"/>
      <c r="F1060" s="47"/>
      <c r="G1060" s="47"/>
      <c r="H1060" s="47"/>
      <c r="I1060" s="47"/>
      <c r="J1060" s="47"/>
      <c r="K1060" s="47"/>
      <c r="L1060" s="11"/>
    </row>
    <row r="1061" spans="2:12" x14ac:dyDescent="0.2">
      <c r="B1061" s="10"/>
      <c r="C1061" s="46"/>
      <c r="D1061" s="47"/>
      <c r="E1061" s="47"/>
      <c r="F1061" s="47"/>
      <c r="G1061" s="47"/>
      <c r="H1061" s="47"/>
      <c r="I1061" s="47"/>
      <c r="J1061" s="47"/>
      <c r="K1061" s="47"/>
      <c r="L1061" s="11"/>
    </row>
    <row r="1062" spans="2:12" x14ac:dyDescent="0.2">
      <c r="B1062" s="10"/>
      <c r="C1062" s="46"/>
      <c r="D1062" s="47"/>
      <c r="E1062" s="47"/>
      <c r="F1062" s="47"/>
      <c r="G1062" s="47"/>
      <c r="H1062" s="47"/>
      <c r="I1062" s="47"/>
      <c r="J1062" s="47"/>
      <c r="K1062" s="47"/>
      <c r="L1062" s="11"/>
    </row>
    <row r="1063" spans="2:12" x14ac:dyDescent="0.2">
      <c r="B1063" s="10"/>
      <c r="C1063" s="46"/>
      <c r="D1063" s="47"/>
      <c r="E1063" s="47"/>
      <c r="F1063" s="47"/>
      <c r="G1063" s="47"/>
      <c r="H1063" s="47"/>
      <c r="I1063" s="47"/>
      <c r="J1063" s="47"/>
      <c r="K1063" s="47"/>
      <c r="L1063" s="11"/>
    </row>
    <row r="1064" spans="2:12" x14ac:dyDescent="0.2">
      <c r="B1064" s="10"/>
      <c r="C1064" s="46"/>
      <c r="D1064" s="47"/>
      <c r="E1064" s="47"/>
      <c r="F1064" s="47"/>
      <c r="G1064" s="47"/>
      <c r="H1064" s="47"/>
      <c r="I1064" s="47"/>
      <c r="J1064" s="47"/>
      <c r="K1064" s="47"/>
      <c r="L1064" s="11"/>
    </row>
    <row r="1065" spans="2:12" x14ac:dyDescent="0.2">
      <c r="B1065" s="10"/>
      <c r="C1065" s="46"/>
      <c r="D1065" s="47"/>
      <c r="E1065" s="47"/>
      <c r="F1065" s="47"/>
      <c r="G1065" s="47"/>
      <c r="H1065" s="47"/>
      <c r="I1065" s="47"/>
      <c r="J1065" s="47"/>
      <c r="K1065" s="47"/>
      <c r="L1065" s="11"/>
    </row>
    <row r="1066" spans="2:12" x14ac:dyDescent="0.2">
      <c r="B1066" s="10"/>
      <c r="C1066" s="46"/>
      <c r="D1066" s="47"/>
      <c r="E1066" s="47"/>
      <c r="F1066" s="47"/>
      <c r="G1066" s="47"/>
      <c r="H1066" s="47"/>
      <c r="I1066" s="47"/>
      <c r="J1066" s="47"/>
      <c r="K1066" s="47"/>
      <c r="L1066" s="11"/>
    </row>
    <row r="1067" spans="2:12" x14ac:dyDescent="0.2">
      <c r="B1067" s="10"/>
      <c r="C1067" s="46"/>
      <c r="D1067" s="47"/>
      <c r="E1067" s="47"/>
      <c r="F1067" s="47"/>
      <c r="G1067" s="47"/>
      <c r="H1067" s="47"/>
      <c r="I1067" s="47"/>
      <c r="J1067" s="47"/>
      <c r="K1067" s="47"/>
      <c r="L1067" s="11"/>
    </row>
    <row r="1068" spans="2:12" x14ac:dyDescent="0.2">
      <c r="B1068" s="10"/>
      <c r="C1068" s="46"/>
      <c r="D1068" s="47"/>
      <c r="E1068" s="47"/>
      <c r="F1068" s="47"/>
      <c r="G1068" s="47"/>
      <c r="H1068" s="47"/>
      <c r="I1068" s="47"/>
      <c r="J1068" s="47"/>
      <c r="K1068" s="47"/>
      <c r="L1068" s="11"/>
    </row>
    <row r="1069" spans="2:12" x14ac:dyDescent="0.2">
      <c r="B1069" s="10"/>
      <c r="C1069" s="46"/>
      <c r="D1069" s="47"/>
      <c r="E1069" s="47"/>
      <c r="F1069" s="47"/>
      <c r="G1069" s="47"/>
      <c r="H1069" s="47"/>
      <c r="I1069" s="47"/>
      <c r="J1069" s="47"/>
      <c r="K1069" s="47"/>
      <c r="L1069" s="11"/>
    </row>
    <row r="1070" spans="2:12" x14ac:dyDescent="0.2">
      <c r="B1070" s="10"/>
      <c r="C1070" s="46"/>
      <c r="D1070" s="47"/>
      <c r="E1070" s="47"/>
      <c r="F1070" s="47"/>
      <c r="G1070" s="47"/>
      <c r="H1070" s="47"/>
      <c r="I1070" s="47"/>
      <c r="J1070" s="47"/>
      <c r="K1070" s="47"/>
      <c r="L1070" s="11"/>
    </row>
    <row r="1071" spans="2:12" x14ac:dyDescent="0.2">
      <c r="B1071" s="10"/>
      <c r="C1071" s="46"/>
      <c r="D1071" s="47"/>
      <c r="E1071" s="47"/>
      <c r="F1071" s="47"/>
      <c r="G1071" s="47"/>
      <c r="H1071" s="47"/>
      <c r="I1071" s="47"/>
      <c r="J1071" s="47"/>
      <c r="K1071" s="47"/>
      <c r="L1071" s="11"/>
    </row>
    <row r="1072" spans="2:12" x14ac:dyDescent="0.2">
      <c r="B1072" s="10"/>
      <c r="C1072" s="46"/>
      <c r="D1072" s="47"/>
      <c r="E1072" s="47"/>
      <c r="F1072" s="47"/>
      <c r="G1072" s="47"/>
      <c r="H1072" s="47"/>
      <c r="I1072" s="47"/>
      <c r="J1072" s="47"/>
      <c r="K1072" s="47"/>
      <c r="L1072" s="11"/>
    </row>
    <row r="1073" spans="2:12" x14ac:dyDescent="0.2">
      <c r="B1073" s="10"/>
      <c r="C1073" s="46"/>
      <c r="D1073" s="47"/>
      <c r="E1073" s="47"/>
      <c r="F1073" s="47"/>
      <c r="G1073" s="47"/>
      <c r="H1073" s="47"/>
      <c r="I1073" s="47"/>
      <c r="J1073" s="47"/>
      <c r="K1073" s="47"/>
      <c r="L1073" s="11"/>
    </row>
    <row r="1074" spans="2:12" x14ac:dyDescent="0.2">
      <c r="B1074" s="10"/>
      <c r="C1074" s="46"/>
      <c r="D1074" s="47"/>
      <c r="E1074" s="47"/>
      <c r="F1074" s="47"/>
      <c r="G1074" s="47"/>
      <c r="H1074" s="47"/>
      <c r="I1074" s="47"/>
      <c r="J1074" s="47"/>
      <c r="K1074" s="47"/>
      <c r="L1074" s="11"/>
    </row>
    <row r="1075" spans="2:12" x14ac:dyDescent="0.2">
      <c r="B1075" s="10"/>
      <c r="C1075" s="46"/>
      <c r="D1075" s="47"/>
      <c r="E1075" s="47"/>
      <c r="F1075" s="47"/>
      <c r="G1075" s="47"/>
      <c r="H1075" s="47"/>
      <c r="I1075" s="47"/>
      <c r="J1075" s="47"/>
      <c r="K1075" s="47"/>
      <c r="L1075" s="11"/>
    </row>
    <row r="1076" spans="2:12" x14ac:dyDescent="0.2">
      <c r="B1076" s="10"/>
      <c r="C1076" s="46"/>
      <c r="D1076" s="47"/>
      <c r="E1076" s="47"/>
      <c r="F1076" s="47"/>
      <c r="G1076" s="47"/>
      <c r="H1076" s="47"/>
      <c r="I1076" s="47"/>
      <c r="J1076" s="47"/>
      <c r="K1076" s="47"/>
      <c r="L1076" s="11"/>
    </row>
    <row r="1077" spans="2:12" x14ac:dyDescent="0.2">
      <c r="B1077" s="10"/>
      <c r="C1077" s="46"/>
      <c r="D1077" s="47"/>
      <c r="E1077" s="47"/>
      <c r="F1077" s="47"/>
      <c r="G1077" s="47"/>
      <c r="H1077" s="47"/>
      <c r="I1077" s="47"/>
      <c r="J1077" s="47"/>
      <c r="K1077" s="47"/>
      <c r="L1077" s="11"/>
    </row>
    <row r="1078" spans="2:12" x14ac:dyDescent="0.2">
      <c r="B1078" s="10"/>
      <c r="C1078" s="46"/>
      <c r="D1078" s="47"/>
      <c r="E1078" s="47"/>
      <c r="F1078" s="47"/>
      <c r="G1078" s="47"/>
      <c r="H1078" s="47"/>
      <c r="I1078" s="47"/>
      <c r="J1078" s="47"/>
      <c r="K1078" s="47"/>
      <c r="L1078" s="11"/>
    </row>
    <row r="1079" spans="2:12" x14ac:dyDescent="0.2">
      <c r="B1079" s="10"/>
      <c r="C1079" s="46"/>
      <c r="D1079" s="47"/>
      <c r="E1079" s="47"/>
      <c r="F1079" s="47"/>
      <c r="G1079" s="47"/>
      <c r="H1079" s="47"/>
      <c r="I1079" s="47"/>
      <c r="J1079" s="47"/>
      <c r="K1079" s="47"/>
      <c r="L1079" s="11"/>
    </row>
    <row r="1080" spans="2:12" x14ac:dyDescent="0.2">
      <c r="B1080" s="10"/>
      <c r="C1080" s="46"/>
      <c r="D1080" s="47"/>
      <c r="E1080" s="47"/>
      <c r="F1080" s="47"/>
      <c r="G1080" s="47"/>
      <c r="H1080" s="47"/>
      <c r="I1080" s="47"/>
      <c r="J1080" s="47"/>
      <c r="K1080" s="47"/>
      <c r="L1080" s="11"/>
    </row>
    <row r="1081" spans="2:12" x14ac:dyDescent="0.2">
      <c r="B1081" s="10"/>
      <c r="C1081" s="46"/>
      <c r="D1081" s="47"/>
      <c r="E1081" s="47"/>
      <c r="F1081" s="47"/>
      <c r="G1081" s="47"/>
      <c r="H1081" s="47"/>
      <c r="I1081" s="47"/>
      <c r="J1081" s="47"/>
      <c r="K1081" s="47"/>
      <c r="L1081" s="11"/>
    </row>
    <row r="1082" spans="2:12" x14ac:dyDescent="0.2">
      <c r="B1082" s="10"/>
      <c r="C1082" s="46"/>
      <c r="D1082" s="47"/>
      <c r="E1082" s="47"/>
      <c r="F1082" s="47"/>
      <c r="G1082" s="47"/>
      <c r="H1082" s="47"/>
      <c r="I1082" s="47"/>
      <c r="J1082" s="47"/>
      <c r="K1082" s="47"/>
      <c r="L1082" s="11"/>
    </row>
    <row r="1083" spans="2:12" x14ac:dyDescent="0.2">
      <c r="B1083" s="10"/>
      <c r="C1083" s="46"/>
      <c r="D1083" s="47"/>
      <c r="E1083" s="47"/>
      <c r="F1083" s="47"/>
      <c r="G1083" s="47"/>
      <c r="H1083" s="47"/>
      <c r="I1083" s="47"/>
      <c r="J1083" s="47"/>
      <c r="K1083" s="47"/>
      <c r="L1083" s="11"/>
    </row>
    <row r="1084" spans="2:12" x14ac:dyDescent="0.2">
      <c r="B1084" s="10"/>
      <c r="C1084" s="46"/>
      <c r="D1084" s="47"/>
      <c r="E1084" s="47"/>
      <c r="F1084" s="47"/>
      <c r="G1084" s="47"/>
      <c r="H1084" s="47"/>
      <c r="I1084" s="47"/>
      <c r="J1084" s="47"/>
      <c r="K1084" s="47"/>
      <c r="L1084" s="11"/>
    </row>
    <row r="1085" spans="2:12" x14ac:dyDescent="0.2">
      <c r="B1085" s="10"/>
      <c r="C1085" s="46"/>
      <c r="D1085" s="47"/>
      <c r="E1085" s="47"/>
      <c r="F1085" s="47"/>
      <c r="G1085" s="47"/>
      <c r="H1085" s="47"/>
      <c r="I1085" s="47"/>
      <c r="J1085" s="47"/>
      <c r="K1085" s="47"/>
      <c r="L1085" s="11"/>
    </row>
    <row r="1086" spans="2:12" x14ac:dyDescent="0.2">
      <c r="B1086" s="10"/>
      <c r="C1086" s="46"/>
      <c r="D1086" s="47"/>
      <c r="E1086" s="47"/>
      <c r="F1086" s="47"/>
      <c r="G1086" s="47"/>
      <c r="H1086" s="47"/>
      <c r="I1086" s="47"/>
      <c r="J1086" s="47"/>
      <c r="K1086" s="47"/>
      <c r="L1086" s="11"/>
    </row>
    <row r="1087" spans="2:12" x14ac:dyDescent="0.2">
      <c r="B1087" s="10"/>
      <c r="C1087" s="46"/>
      <c r="D1087" s="47"/>
      <c r="E1087" s="47"/>
      <c r="F1087" s="47"/>
      <c r="G1087" s="47"/>
      <c r="H1087" s="47"/>
      <c r="I1087" s="47"/>
      <c r="J1087" s="47"/>
      <c r="K1087" s="47"/>
      <c r="L1087" s="11"/>
    </row>
    <row r="1088" spans="2:12" x14ac:dyDescent="0.2">
      <c r="B1088" s="10"/>
      <c r="C1088" s="46"/>
      <c r="D1088" s="47"/>
      <c r="E1088" s="47"/>
      <c r="F1088" s="47"/>
      <c r="G1088" s="47"/>
      <c r="H1088" s="47"/>
      <c r="I1088" s="47"/>
      <c r="J1088" s="47"/>
      <c r="K1088" s="47"/>
      <c r="L1088" s="11"/>
    </row>
    <row r="1089" spans="2:12" x14ac:dyDescent="0.2">
      <c r="B1089" s="10"/>
      <c r="C1089" s="46"/>
      <c r="D1089" s="47"/>
      <c r="E1089" s="47"/>
      <c r="F1089" s="47"/>
      <c r="G1089" s="47"/>
      <c r="H1089" s="47"/>
      <c r="I1089" s="47"/>
      <c r="J1089" s="47"/>
      <c r="K1089" s="47"/>
      <c r="L1089" s="11"/>
    </row>
    <row r="1090" spans="2:12" x14ac:dyDescent="0.2">
      <c r="B1090" s="10"/>
      <c r="C1090" s="46"/>
      <c r="D1090" s="47"/>
      <c r="E1090" s="47"/>
      <c r="F1090" s="47"/>
      <c r="G1090" s="47"/>
      <c r="H1090" s="47"/>
      <c r="I1090" s="47"/>
      <c r="J1090" s="47"/>
      <c r="K1090" s="47"/>
      <c r="L1090" s="11"/>
    </row>
    <row r="1091" spans="2:12" x14ac:dyDescent="0.2">
      <c r="B1091" s="10"/>
      <c r="C1091" s="46"/>
      <c r="D1091" s="47"/>
      <c r="E1091" s="47"/>
      <c r="F1091" s="47"/>
      <c r="G1091" s="47"/>
      <c r="H1091" s="47"/>
      <c r="I1091" s="47"/>
      <c r="J1091" s="47"/>
      <c r="K1091" s="47"/>
      <c r="L1091" s="11"/>
    </row>
    <row r="1092" spans="2:12" x14ac:dyDescent="0.2">
      <c r="B1092" s="10"/>
      <c r="C1092" s="46"/>
      <c r="D1092" s="47"/>
      <c r="E1092" s="47"/>
      <c r="F1092" s="47"/>
      <c r="G1092" s="47"/>
      <c r="H1092" s="47"/>
      <c r="I1092" s="47"/>
      <c r="J1092" s="47"/>
      <c r="K1092" s="47"/>
      <c r="L1092" s="11"/>
    </row>
    <row r="1093" spans="2:12" x14ac:dyDescent="0.2">
      <c r="B1093" s="10"/>
      <c r="C1093" s="46"/>
      <c r="D1093" s="47"/>
      <c r="E1093" s="47"/>
      <c r="F1093" s="47"/>
      <c r="G1093" s="47"/>
      <c r="H1093" s="47"/>
      <c r="I1093" s="47"/>
      <c r="J1093" s="47"/>
      <c r="K1093" s="47"/>
      <c r="L1093" s="11"/>
    </row>
    <row r="1094" spans="2:12" x14ac:dyDescent="0.2">
      <c r="B1094" s="10"/>
      <c r="C1094" s="46"/>
      <c r="D1094" s="47"/>
      <c r="E1094" s="47"/>
      <c r="F1094" s="47"/>
      <c r="G1094" s="47"/>
      <c r="H1094" s="47"/>
      <c r="I1094" s="47"/>
      <c r="J1094" s="47"/>
      <c r="K1094" s="47"/>
      <c r="L1094" s="11"/>
    </row>
    <row r="1095" spans="2:12" x14ac:dyDescent="0.2">
      <c r="B1095" s="10"/>
      <c r="C1095" s="46"/>
      <c r="D1095" s="47"/>
      <c r="E1095" s="47"/>
      <c r="F1095" s="47"/>
      <c r="G1095" s="47"/>
      <c r="H1095" s="47"/>
      <c r="I1095" s="47"/>
      <c r="J1095" s="47"/>
      <c r="K1095" s="47"/>
      <c r="L1095" s="11"/>
    </row>
    <row r="1096" spans="2:12" x14ac:dyDescent="0.2">
      <c r="B1096" s="10"/>
      <c r="C1096" s="46"/>
      <c r="D1096" s="47"/>
      <c r="E1096" s="47"/>
      <c r="F1096" s="47"/>
      <c r="G1096" s="47"/>
      <c r="H1096" s="47"/>
      <c r="I1096" s="47"/>
      <c r="J1096" s="47"/>
      <c r="K1096" s="47"/>
      <c r="L1096" s="11"/>
    </row>
    <row r="1097" spans="2:12" x14ac:dyDescent="0.2">
      <c r="B1097" s="10"/>
      <c r="C1097" s="46"/>
      <c r="D1097" s="47"/>
      <c r="E1097" s="47"/>
      <c r="F1097" s="47"/>
      <c r="G1097" s="47"/>
      <c r="H1097" s="47"/>
      <c r="I1097" s="47"/>
      <c r="J1097" s="47"/>
      <c r="K1097" s="47"/>
      <c r="L1097" s="11"/>
    </row>
    <row r="1098" spans="2:12" x14ac:dyDescent="0.2">
      <c r="B1098" s="10"/>
      <c r="C1098" s="46"/>
      <c r="D1098" s="47"/>
      <c r="E1098" s="47"/>
      <c r="F1098" s="47"/>
      <c r="G1098" s="47"/>
      <c r="H1098" s="47"/>
      <c r="I1098" s="47"/>
      <c r="J1098" s="47"/>
      <c r="K1098" s="47"/>
      <c r="L1098" s="11"/>
    </row>
    <row r="1099" spans="2:12" x14ac:dyDescent="0.2">
      <c r="B1099" s="10"/>
      <c r="C1099" s="46"/>
      <c r="D1099" s="47"/>
      <c r="E1099" s="47"/>
      <c r="F1099" s="47"/>
      <c r="G1099" s="47"/>
      <c r="H1099" s="47"/>
      <c r="I1099" s="47"/>
      <c r="J1099" s="47"/>
      <c r="K1099" s="47"/>
      <c r="L1099" s="11"/>
    </row>
    <row r="1100" spans="2:12" x14ac:dyDescent="0.2">
      <c r="B1100" s="10"/>
      <c r="C1100" s="46"/>
      <c r="D1100" s="47"/>
      <c r="E1100" s="47"/>
      <c r="F1100" s="47"/>
      <c r="G1100" s="47"/>
      <c r="H1100" s="47"/>
      <c r="I1100" s="47"/>
      <c r="J1100" s="47"/>
      <c r="K1100" s="47"/>
      <c r="L1100" s="11"/>
    </row>
    <row r="1101" spans="2:12" x14ac:dyDescent="0.2">
      <c r="B1101" s="10"/>
      <c r="C1101" s="46"/>
      <c r="D1101" s="47"/>
      <c r="E1101" s="47"/>
      <c r="F1101" s="47"/>
      <c r="G1101" s="47"/>
      <c r="H1101" s="47"/>
      <c r="I1101" s="47"/>
      <c r="J1101" s="47"/>
      <c r="K1101" s="47"/>
      <c r="L1101" s="11"/>
    </row>
    <row r="1102" spans="2:12" x14ac:dyDescent="0.2">
      <c r="B1102" s="10"/>
      <c r="C1102" s="46"/>
      <c r="D1102" s="47"/>
      <c r="E1102" s="47"/>
      <c r="F1102" s="47"/>
      <c r="G1102" s="47"/>
      <c r="H1102" s="47"/>
      <c r="I1102" s="47"/>
      <c r="J1102" s="47"/>
      <c r="K1102" s="47"/>
      <c r="L1102" s="11"/>
    </row>
    <row r="1103" spans="2:12" x14ac:dyDescent="0.2">
      <c r="B1103" s="10"/>
      <c r="C1103" s="46"/>
      <c r="D1103" s="47"/>
      <c r="E1103" s="47"/>
      <c r="F1103" s="47"/>
      <c r="G1103" s="47"/>
      <c r="H1103" s="47"/>
      <c r="I1103" s="47"/>
      <c r="J1103" s="47"/>
      <c r="K1103" s="47"/>
      <c r="L1103" s="11"/>
    </row>
    <row r="1104" spans="2:12" x14ac:dyDescent="0.2">
      <c r="B1104" s="10"/>
      <c r="C1104" s="46"/>
      <c r="D1104" s="47"/>
      <c r="E1104" s="47"/>
      <c r="F1104" s="47"/>
      <c r="G1104" s="47"/>
      <c r="H1104" s="47"/>
      <c r="I1104" s="47"/>
      <c r="J1104" s="47"/>
      <c r="K1104" s="47"/>
      <c r="L1104" s="11"/>
    </row>
    <row r="1105" spans="2:12" x14ac:dyDescent="0.2">
      <c r="B1105" s="10"/>
      <c r="C1105" s="46"/>
      <c r="D1105" s="47"/>
      <c r="E1105" s="47"/>
      <c r="F1105" s="47"/>
      <c r="G1105" s="47"/>
      <c r="H1105" s="47"/>
      <c r="I1105" s="47"/>
      <c r="J1105" s="47"/>
      <c r="K1105" s="47"/>
      <c r="L1105" s="11"/>
    </row>
    <row r="1106" spans="2:12" x14ac:dyDescent="0.2">
      <c r="B1106" s="10"/>
      <c r="C1106" s="46"/>
      <c r="D1106" s="47"/>
      <c r="E1106" s="47"/>
      <c r="F1106" s="47"/>
      <c r="G1106" s="47"/>
      <c r="H1106" s="47"/>
      <c r="I1106" s="47"/>
      <c r="J1106" s="47"/>
      <c r="K1106" s="47"/>
      <c r="L1106" s="11"/>
    </row>
    <row r="1107" spans="2:12" x14ac:dyDescent="0.2">
      <c r="B1107" s="10"/>
      <c r="C1107" s="46"/>
      <c r="D1107" s="47"/>
      <c r="E1107" s="47"/>
      <c r="F1107" s="47"/>
      <c r="G1107" s="47"/>
      <c r="H1107" s="47"/>
      <c r="I1107" s="47"/>
      <c r="J1107" s="47"/>
      <c r="K1107" s="47"/>
      <c r="L1107" s="11"/>
    </row>
    <row r="1108" spans="2:12" x14ac:dyDescent="0.2">
      <c r="B1108" s="10"/>
      <c r="C1108" s="46"/>
      <c r="D1108" s="47"/>
      <c r="E1108" s="47"/>
      <c r="F1108" s="47"/>
      <c r="G1108" s="47"/>
      <c r="H1108" s="47"/>
      <c r="I1108" s="47"/>
      <c r="J1108" s="47"/>
      <c r="K1108" s="47"/>
      <c r="L1108" s="11"/>
    </row>
    <row r="1109" spans="2:12" x14ac:dyDescent="0.2">
      <c r="B1109" s="10"/>
      <c r="C1109" s="46"/>
      <c r="D1109" s="47"/>
      <c r="E1109" s="47"/>
      <c r="F1109" s="47"/>
      <c r="G1109" s="47"/>
      <c r="H1109" s="47"/>
      <c r="I1109" s="47"/>
      <c r="J1109" s="47"/>
      <c r="K1109" s="47"/>
      <c r="L1109" s="11"/>
    </row>
    <row r="1110" spans="2:12" x14ac:dyDescent="0.2">
      <c r="B1110" s="10"/>
      <c r="C1110" s="46"/>
      <c r="D1110" s="47"/>
      <c r="E1110" s="47"/>
      <c r="F1110" s="47"/>
      <c r="G1110" s="47"/>
      <c r="H1110" s="47"/>
      <c r="I1110" s="47"/>
      <c r="J1110" s="47"/>
      <c r="K1110" s="47"/>
      <c r="L1110" s="11"/>
    </row>
    <row r="1111" spans="2:12" x14ac:dyDescent="0.2">
      <c r="B1111" s="10"/>
      <c r="C1111" s="46"/>
      <c r="D1111" s="47"/>
      <c r="E1111" s="47"/>
      <c r="F1111" s="47"/>
      <c r="G1111" s="47"/>
      <c r="H1111" s="47"/>
      <c r="I1111" s="47"/>
      <c r="J1111" s="47"/>
      <c r="K1111" s="47"/>
      <c r="L1111" s="11"/>
    </row>
    <row r="1112" spans="2:12" x14ac:dyDescent="0.2">
      <c r="B1112" s="10"/>
      <c r="C1112" s="46"/>
      <c r="D1112" s="47"/>
      <c r="E1112" s="47"/>
      <c r="F1112" s="47"/>
      <c r="G1112" s="47"/>
      <c r="H1112" s="47"/>
      <c r="I1112" s="47"/>
      <c r="J1112" s="47"/>
      <c r="K1112" s="47"/>
      <c r="L1112" s="11"/>
    </row>
    <row r="1113" spans="2:12" x14ac:dyDescent="0.2">
      <c r="B1113" s="10"/>
      <c r="C1113" s="46"/>
      <c r="D1113" s="47"/>
      <c r="E1113" s="47"/>
      <c r="F1113" s="47"/>
      <c r="G1113" s="47"/>
      <c r="H1113" s="47"/>
      <c r="I1113" s="47"/>
      <c r="J1113" s="47"/>
      <c r="K1113" s="47"/>
      <c r="L1113" s="11"/>
    </row>
    <row r="1114" spans="2:12" x14ac:dyDescent="0.2">
      <c r="B1114" s="10"/>
      <c r="C1114" s="46"/>
      <c r="D1114" s="47"/>
      <c r="E1114" s="47"/>
      <c r="F1114" s="47"/>
      <c r="G1114" s="47"/>
      <c r="H1114" s="47"/>
      <c r="I1114" s="47"/>
      <c r="J1114" s="47"/>
      <c r="K1114" s="47"/>
      <c r="L1114" s="11"/>
    </row>
    <row r="1115" spans="2:12" x14ac:dyDescent="0.2">
      <c r="B1115" s="10"/>
      <c r="C1115" s="46"/>
      <c r="D1115" s="47"/>
      <c r="E1115" s="47"/>
      <c r="F1115" s="47"/>
      <c r="G1115" s="47"/>
      <c r="H1115" s="47"/>
      <c r="I1115" s="47"/>
      <c r="J1115" s="47"/>
      <c r="K1115" s="47"/>
      <c r="L1115" s="11"/>
    </row>
    <row r="1116" spans="2:12" x14ac:dyDescent="0.2">
      <c r="B1116" s="10"/>
      <c r="C1116" s="46"/>
      <c r="D1116" s="47"/>
      <c r="E1116" s="47"/>
      <c r="F1116" s="47"/>
      <c r="G1116" s="47"/>
      <c r="H1116" s="47"/>
      <c r="I1116" s="47"/>
      <c r="J1116" s="47"/>
      <c r="K1116" s="47"/>
      <c r="L1116" s="11"/>
    </row>
    <row r="1117" spans="2:12" x14ac:dyDescent="0.2">
      <c r="B1117" s="10"/>
      <c r="C1117" s="46"/>
      <c r="D1117" s="47"/>
      <c r="E1117" s="47"/>
      <c r="F1117" s="47"/>
      <c r="G1117" s="47"/>
      <c r="H1117" s="47"/>
      <c r="I1117" s="47"/>
      <c r="J1117" s="47"/>
      <c r="K1117" s="47"/>
      <c r="L1117" s="11"/>
    </row>
    <row r="1118" spans="2:12" x14ac:dyDescent="0.2">
      <c r="B1118" s="10"/>
      <c r="C1118" s="46"/>
      <c r="D1118" s="47"/>
      <c r="E1118" s="47"/>
      <c r="F1118" s="47"/>
      <c r="G1118" s="47"/>
      <c r="H1118" s="47"/>
      <c r="I1118" s="47"/>
      <c r="J1118" s="47"/>
      <c r="K1118" s="47"/>
      <c r="L1118" s="11"/>
    </row>
    <row r="1119" spans="2:12" x14ac:dyDescent="0.2">
      <c r="B1119" s="10"/>
      <c r="C1119" s="46"/>
      <c r="D1119" s="47"/>
      <c r="E1119" s="47"/>
      <c r="F1119" s="47"/>
      <c r="G1119" s="47"/>
      <c r="H1119" s="47"/>
      <c r="I1119" s="47"/>
      <c r="J1119" s="47"/>
      <c r="K1119" s="47"/>
      <c r="L1119" s="11"/>
    </row>
    <row r="1120" spans="2:12" x14ac:dyDescent="0.2">
      <c r="B1120" s="10"/>
      <c r="C1120" s="46"/>
      <c r="D1120" s="47"/>
      <c r="E1120" s="47"/>
      <c r="F1120" s="47"/>
      <c r="G1120" s="47"/>
      <c r="H1120" s="47"/>
      <c r="I1120" s="47"/>
      <c r="J1120" s="47"/>
      <c r="K1120" s="47"/>
      <c r="L1120" s="11"/>
    </row>
    <row r="1121" spans="2:12" x14ac:dyDescent="0.2">
      <c r="B1121" s="10"/>
      <c r="C1121" s="46"/>
      <c r="D1121" s="47"/>
      <c r="E1121" s="47"/>
      <c r="F1121" s="47"/>
      <c r="G1121" s="47"/>
      <c r="H1121" s="47"/>
      <c r="I1121" s="47"/>
      <c r="J1121" s="47"/>
      <c r="K1121" s="47"/>
      <c r="L1121" s="11"/>
    </row>
    <row r="1122" spans="2:12" x14ac:dyDescent="0.2">
      <c r="B1122" s="10"/>
      <c r="C1122" s="46"/>
      <c r="D1122" s="47"/>
      <c r="E1122" s="47"/>
      <c r="F1122" s="47"/>
      <c r="G1122" s="47"/>
      <c r="H1122" s="47"/>
      <c r="I1122" s="47"/>
      <c r="J1122" s="47"/>
      <c r="K1122" s="47"/>
      <c r="L1122" s="11"/>
    </row>
    <row r="1123" spans="2:12" x14ac:dyDescent="0.2">
      <c r="B1123" s="10"/>
      <c r="C1123" s="46"/>
      <c r="D1123" s="47"/>
      <c r="E1123" s="47"/>
      <c r="F1123" s="47"/>
      <c r="G1123" s="47"/>
      <c r="H1123" s="47"/>
      <c r="I1123" s="47"/>
      <c r="J1123" s="47"/>
      <c r="K1123" s="47"/>
      <c r="L1123" s="11"/>
    </row>
    <row r="1124" spans="2:12" x14ac:dyDescent="0.2">
      <c r="B1124" s="10"/>
      <c r="C1124" s="46"/>
      <c r="D1124" s="47"/>
      <c r="E1124" s="47"/>
      <c r="F1124" s="47"/>
      <c r="G1124" s="47"/>
      <c r="H1124" s="47"/>
      <c r="I1124" s="47"/>
      <c r="J1124" s="47"/>
      <c r="K1124" s="47"/>
      <c r="L1124" s="11"/>
    </row>
    <row r="1125" spans="2:12" x14ac:dyDescent="0.2">
      <c r="B1125" s="10"/>
      <c r="C1125" s="46"/>
      <c r="D1125" s="47"/>
      <c r="E1125" s="47"/>
      <c r="F1125" s="47"/>
      <c r="G1125" s="47"/>
      <c r="H1125" s="47"/>
      <c r="I1125" s="47"/>
      <c r="J1125" s="47"/>
      <c r="K1125" s="47"/>
      <c r="L1125" s="11"/>
    </row>
    <row r="1126" spans="2:12" x14ac:dyDescent="0.2">
      <c r="B1126" s="10"/>
      <c r="C1126" s="46"/>
      <c r="D1126" s="47"/>
      <c r="E1126" s="47"/>
      <c r="F1126" s="47"/>
      <c r="G1126" s="47"/>
      <c r="H1126" s="47"/>
      <c r="I1126" s="47"/>
      <c r="J1126" s="47"/>
      <c r="K1126" s="47"/>
      <c r="L1126" s="11"/>
    </row>
    <row r="1127" spans="2:12" x14ac:dyDescent="0.2">
      <c r="B1127" s="10"/>
      <c r="C1127" s="46"/>
      <c r="D1127" s="47"/>
      <c r="E1127" s="47"/>
      <c r="F1127" s="47"/>
      <c r="G1127" s="47"/>
      <c r="H1127" s="47"/>
      <c r="I1127" s="47"/>
      <c r="J1127" s="47"/>
      <c r="K1127" s="47"/>
      <c r="L1127" s="11"/>
    </row>
    <row r="1128" spans="2:12" x14ac:dyDescent="0.2">
      <c r="B1128" s="10"/>
      <c r="C1128" s="46"/>
      <c r="D1128" s="47"/>
      <c r="E1128" s="47"/>
      <c r="F1128" s="47"/>
      <c r="G1128" s="47"/>
      <c r="H1128" s="47"/>
      <c r="I1128" s="47"/>
      <c r="J1128" s="47"/>
      <c r="K1128" s="47"/>
      <c r="L1128" s="11"/>
    </row>
    <row r="1129" spans="2:12" x14ac:dyDescent="0.2">
      <c r="B1129" s="10"/>
      <c r="C1129" s="46"/>
      <c r="D1129" s="47"/>
      <c r="E1129" s="47"/>
      <c r="F1129" s="47"/>
      <c r="G1129" s="47"/>
      <c r="H1129" s="47"/>
      <c r="I1129" s="47"/>
      <c r="J1129" s="47"/>
      <c r="K1129" s="47"/>
      <c r="L1129" s="11"/>
    </row>
    <row r="1130" spans="2:12" x14ac:dyDescent="0.2">
      <c r="B1130" s="10"/>
      <c r="C1130" s="46"/>
      <c r="D1130" s="47"/>
      <c r="E1130" s="47"/>
      <c r="F1130" s="47"/>
      <c r="G1130" s="47"/>
      <c r="H1130" s="47"/>
      <c r="I1130" s="47"/>
      <c r="J1130" s="47"/>
      <c r="K1130" s="47"/>
      <c r="L1130" s="11"/>
    </row>
    <row r="1131" spans="2:12" x14ac:dyDescent="0.2">
      <c r="B1131" s="10"/>
      <c r="C1131" s="46"/>
      <c r="D1131" s="47"/>
      <c r="E1131" s="47"/>
      <c r="F1131" s="47"/>
      <c r="G1131" s="47"/>
      <c r="H1131" s="47"/>
      <c r="I1131" s="47"/>
      <c r="J1131" s="47"/>
      <c r="K1131" s="47"/>
      <c r="L1131" s="11"/>
    </row>
    <row r="1132" spans="2:12" x14ac:dyDescent="0.2">
      <c r="B1132" s="10"/>
      <c r="C1132" s="46"/>
      <c r="D1132" s="47"/>
      <c r="E1132" s="47"/>
      <c r="F1132" s="47"/>
      <c r="G1132" s="47"/>
      <c r="H1132" s="47"/>
      <c r="I1132" s="47"/>
      <c r="J1132" s="47"/>
      <c r="K1132" s="47"/>
      <c r="L1132" s="11"/>
    </row>
    <row r="1133" spans="2:12" x14ac:dyDescent="0.2">
      <c r="B1133" s="10"/>
      <c r="C1133" s="46"/>
      <c r="D1133" s="47"/>
      <c r="E1133" s="47"/>
      <c r="F1133" s="47"/>
      <c r="G1133" s="47"/>
      <c r="H1133" s="47"/>
      <c r="I1133" s="47"/>
      <c r="J1133" s="47"/>
      <c r="K1133" s="47"/>
      <c r="L1133" s="11"/>
    </row>
    <row r="1134" spans="2:12" x14ac:dyDescent="0.2">
      <c r="B1134" s="10"/>
      <c r="C1134" s="46"/>
      <c r="D1134" s="47"/>
      <c r="E1134" s="47"/>
      <c r="F1134" s="47"/>
      <c r="G1134" s="47"/>
      <c r="H1134" s="47"/>
      <c r="I1134" s="47"/>
      <c r="J1134" s="47"/>
      <c r="K1134" s="47"/>
      <c r="L1134" s="11"/>
    </row>
    <row r="1135" spans="2:12" x14ac:dyDescent="0.2">
      <c r="B1135" s="10"/>
      <c r="C1135" s="46"/>
      <c r="D1135" s="47"/>
      <c r="E1135" s="47"/>
      <c r="F1135" s="47"/>
      <c r="G1135" s="47"/>
      <c r="H1135" s="47"/>
      <c r="I1135" s="47"/>
      <c r="J1135" s="47"/>
      <c r="K1135" s="47"/>
      <c r="L1135" s="11"/>
    </row>
    <row r="1136" spans="2:12" x14ac:dyDescent="0.2">
      <c r="B1136" s="10"/>
      <c r="C1136" s="46"/>
      <c r="D1136" s="47"/>
      <c r="E1136" s="47"/>
      <c r="F1136" s="47"/>
      <c r="G1136" s="47"/>
      <c r="H1136" s="47"/>
      <c r="I1136" s="47"/>
      <c r="J1136" s="47"/>
      <c r="K1136" s="47"/>
      <c r="L1136" s="11"/>
    </row>
    <row r="1137" spans="2:12" x14ac:dyDescent="0.2">
      <c r="B1137" s="10"/>
      <c r="C1137" s="46"/>
      <c r="D1137" s="47"/>
      <c r="E1137" s="47"/>
      <c r="F1137" s="47"/>
      <c r="G1137" s="47"/>
      <c r="H1137" s="47"/>
      <c r="I1137" s="47"/>
      <c r="J1137" s="47"/>
      <c r="K1137" s="47"/>
      <c r="L1137" s="11"/>
    </row>
    <row r="1138" spans="2:12" x14ac:dyDescent="0.2">
      <c r="B1138" s="10"/>
      <c r="C1138" s="46"/>
      <c r="D1138" s="47"/>
      <c r="E1138" s="47"/>
      <c r="F1138" s="47"/>
      <c r="G1138" s="47"/>
      <c r="H1138" s="47"/>
      <c r="I1138" s="47"/>
      <c r="J1138" s="47"/>
      <c r="K1138" s="47"/>
      <c r="L1138" s="11"/>
    </row>
    <row r="1139" spans="2:12" x14ac:dyDescent="0.2">
      <c r="B1139" s="10"/>
      <c r="C1139" s="46"/>
      <c r="D1139" s="47"/>
      <c r="E1139" s="47"/>
      <c r="F1139" s="47"/>
      <c r="G1139" s="47"/>
      <c r="H1139" s="47"/>
      <c r="I1139" s="47"/>
      <c r="J1139" s="47"/>
      <c r="K1139" s="47"/>
      <c r="L1139" s="11"/>
    </row>
    <row r="1140" spans="2:12" x14ac:dyDescent="0.2">
      <c r="B1140" s="10"/>
      <c r="C1140" s="46"/>
      <c r="D1140" s="47"/>
      <c r="E1140" s="47"/>
      <c r="F1140" s="47"/>
      <c r="G1140" s="47"/>
      <c r="H1140" s="47"/>
      <c r="I1140" s="47"/>
      <c r="J1140" s="47"/>
      <c r="K1140" s="47"/>
      <c r="L1140" s="11"/>
    </row>
    <row r="1141" spans="2:12" x14ac:dyDescent="0.2">
      <c r="B1141" s="10"/>
      <c r="C1141" s="46"/>
      <c r="D1141" s="47"/>
      <c r="E1141" s="47"/>
      <c r="F1141" s="47"/>
      <c r="G1141" s="47"/>
      <c r="H1141" s="47"/>
      <c r="I1141" s="47"/>
      <c r="J1141" s="47"/>
      <c r="K1141" s="47"/>
      <c r="L1141" s="11"/>
    </row>
    <row r="1142" spans="2:12" x14ac:dyDescent="0.2">
      <c r="B1142" s="10"/>
      <c r="C1142" s="46"/>
      <c r="D1142" s="47"/>
      <c r="E1142" s="47"/>
      <c r="F1142" s="47"/>
      <c r="G1142" s="47"/>
      <c r="H1142" s="47"/>
      <c r="I1142" s="47"/>
      <c r="J1142" s="47"/>
      <c r="K1142" s="47"/>
      <c r="L1142" s="11"/>
    </row>
    <row r="1143" spans="2:12" x14ac:dyDescent="0.2">
      <c r="B1143" s="10"/>
      <c r="C1143" s="46"/>
      <c r="D1143" s="47"/>
      <c r="E1143" s="47"/>
      <c r="F1143" s="47"/>
      <c r="G1143" s="47"/>
      <c r="H1143" s="47"/>
      <c r="I1143" s="47"/>
      <c r="J1143" s="47"/>
      <c r="K1143" s="47"/>
      <c r="L1143" s="11"/>
    </row>
    <row r="1144" spans="2:12" x14ac:dyDescent="0.2">
      <c r="B1144" s="10"/>
      <c r="C1144" s="46"/>
      <c r="D1144" s="47"/>
      <c r="E1144" s="47"/>
      <c r="F1144" s="47"/>
      <c r="G1144" s="47"/>
      <c r="H1144" s="47"/>
      <c r="I1144" s="47"/>
      <c r="J1144" s="47"/>
      <c r="K1144" s="47"/>
      <c r="L1144" s="11"/>
    </row>
    <row r="1145" spans="2:12" x14ac:dyDescent="0.2">
      <c r="B1145" s="10"/>
      <c r="C1145" s="46"/>
      <c r="D1145" s="47"/>
      <c r="E1145" s="47"/>
      <c r="F1145" s="47"/>
      <c r="G1145" s="47"/>
      <c r="H1145" s="47"/>
      <c r="I1145" s="47"/>
      <c r="J1145" s="47"/>
      <c r="K1145" s="47"/>
      <c r="L1145" s="11"/>
    </row>
    <row r="1146" spans="2:12" x14ac:dyDescent="0.2">
      <c r="B1146" s="10"/>
      <c r="C1146" s="46"/>
      <c r="D1146" s="47"/>
      <c r="E1146" s="47"/>
      <c r="F1146" s="47"/>
      <c r="G1146" s="47"/>
      <c r="H1146" s="47"/>
      <c r="I1146" s="47"/>
      <c r="J1146" s="47"/>
      <c r="K1146" s="47"/>
      <c r="L1146" s="11"/>
    </row>
    <row r="1147" spans="2:12" x14ac:dyDescent="0.2">
      <c r="B1147" s="10"/>
      <c r="C1147" s="46"/>
      <c r="D1147" s="47"/>
      <c r="E1147" s="47"/>
      <c r="F1147" s="47"/>
      <c r="G1147" s="47"/>
      <c r="H1147" s="47"/>
      <c r="I1147" s="47"/>
      <c r="J1147" s="47"/>
      <c r="K1147" s="47"/>
      <c r="L1147" s="11"/>
    </row>
    <row r="1148" spans="2:12" x14ac:dyDescent="0.2">
      <c r="B1148" s="10"/>
      <c r="C1148" s="46"/>
      <c r="D1148" s="47"/>
      <c r="E1148" s="47"/>
      <c r="F1148" s="47"/>
      <c r="G1148" s="47"/>
      <c r="H1148" s="47"/>
      <c r="I1148" s="47"/>
      <c r="J1148" s="47"/>
      <c r="K1148" s="47"/>
      <c r="L1148" s="11"/>
    </row>
    <row r="1149" spans="2:12" x14ac:dyDescent="0.2">
      <c r="B1149" s="10"/>
      <c r="C1149" s="46"/>
      <c r="D1149" s="47"/>
      <c r="E1149" s="47"/>
      <c r="F1149" s="47"/>
      <c r="G1149" s="47"/>
      <c r="H1149" s="47"/>
      <c r="I1149" s="47"/>
      <c r="J1149" s="47"/>
      <c r="K1149" s="47"/>
      <c r="L1149" s="11"/>
    </row>
    <row r="1150" spans="2:12" x14ac:dyDescent="0.2">
      <c r="B1150" s="10"/>
      <c r="C1150" s="46"/>
      <c r="D1150" s="47"/>
      <c r="E1150" s="47"/>
      <c r="F1150" s="47"/>
      <c r="G1150" s="47"/>
      <c r="H1150" s="47"/>
      <c r="I1150" s="47"/>
      <c r="J1150" s="47"/>
      <c r="K1150" s="47"/>
      <c r="L1150" s="11"/>
    </row>
    <row r="1151" spans="2:12" x14ac:dyDescent="0.2">
      <c r="B1151" s="10"/>
      <c r="C1151" s="46"/>
      <c r="D1151" s="47"/>
      <c r="E1151" s="47"/>
      <c r="F1151" s="47"/>
      <c r="G1151" s="47"/>
      <c r="H1151" s="47"/>
      <c r="I1151" s="47"/>
      <c r="J1151" s="47"/>
      <c r="K1151" s="47"/>
      <c r="L1151" s="11"/>
    </row>
    <row r="1152" spans="2:12" x14ac:dyDescent="0.2">
      <c r="B1152" s="10"/>
      <c r="C1152" s="46"/>
      <c r="D1152" s="47"/>
      <c r="E1152" s="47"/>
      <c r="F1152" s="47"/>
      <c r="G1152" s="47"/>
      <c r="H1152" s="47"/>
      <c r="I1152" s="47"/>
      <c r="J1152" s="47"/>
      <c r="K1152" s="47"/>
      <c r="L1152" s="11"/>
    </row>
    <row r="1153" spans="2:12" x14ac:dyDescent="0.2">
      <c r="B1153" s="10"/>
      <c r="C1153" s="46"/>
      <c r="D1153" s="47"/>
      <c r="E1153" s="47"/>
      <c r="F1153" s="47"/>
      <c r="G1153" s="47"/>
      <c r="H1153" s="47"/>
      <c r="I1153" s="47"/>
      <c r="J1153" s="47"/>
      <c r="K1153" s="47"/>
      <c r="L1153" s="11"/>
    </row>
    <row r="1154" spans="2:12" x14ac:dyDescent="0.2">
      <c r="B1154" s="10"/>
      <c r="C1154" s="46"/>
      <c r="D1154" s="47"/>
      <c r="E1154" s="47"/>
      <c r="F1154" s="47"/>
      <c r="G1154" s="47"/>
      <c r="H1154" s="47"/>
      <c r="I1154" s="47"/>
      <c r="J1154" s="47"/>
      <c r="K1154" s="47"/>
      <c r="L1154" s="11"/>
    </row>
    <row r="1155" spans="2:12" x14ac:dyDescent="0.2">
      <c r="B1155" s="10"/>
      <c r="C1155" s="46"/>
      <c r="D1155" s="47"/>
      <c r="E1155" s="47"/>
      <c r="F1155" s="47"/>
      <c r="G1155" s="47"/>
      <c r="H1155" s="47"/>
      <c r="I1155" s="47"/>
      <c r="J1155" s="47"/>
      <c r="K1155" s="47"/>
      <c r="L1155" s="11"/>
    </row>
    <row r="1156" spans="2:12" x14ac:dyDescent="0.2">
      <c r="B1156" s="10"/>
      <c r="C1156" s="46"/>
      <c r="D1156" s="47"/>
      <c r="E1156" s="47"/>
      <c r="F1156" s="47"/>
      <c r="G1156" s="47"/>
      <c r="H1156" s="47"/>
      <c r="I1156" s="47"/>
      <c r="J1156" s="47"/>
      <c r="K1156" s="47"/>
      <c r="L1156" s="11"/>
    </row>
    <row r="1157" spans="2:12" x14ac:dyDescent="0.2">
      <c r="B1157" s="10"/>
      <c r="C1157" s="46"/>
      <c r="D1157" s="47"/>
      <c r="E1157" s="47"/>
      <c r="F1157" s="47"/>
      <c r="G1157" s="47"/>
      <c r="H1157" s="47"/>
      <c r="I1157" s="47"/>
      <c r="J1157" s="47"/>
      <c r="K1157" s="47"/>
      <c r="L1157" s="11"/>
    </row>
    <row r="1158" spans="2:12" x14ac:dyDescent="0.2">
      <c r="B1158" s="10"/>
      <c r="C1158" s="46"/>
      <c r="D1158" s="47"/>
      <c r="E1158" s="47"/>
      <c r="F1158" s="47"/>
      <c r="G1158" s="47"/>
      <c r="H1158" s="47"/>
      <c r="I1158" s="47"/>
      <c r="J1158" s="47"/>
      <c r="K1158" s="47"/>
      <c r="L1158" s="11"/>
    </row>
    <row r="1159" spans="2:12" x14ac:dyDescent="0.2">
      <c r="B1159" s="10"/>
      <c r="C1159" s="46"/>
      <c r="D1159" s="47"/>
      <c r="E1159" s="47"/>
      <c r="F1159" s="47"/>
      <c r="G1159" s="47"/>
      <c r="H1159" s="47"/>
      <c r="I1159" s="47"/>
      <c r="J1159" s="47"/>
      <c r="K1159" s="47"/>
      <c r="L1159" s="11"/>
    </row>
    <row r="1160" spans="2:12" x14ac:dyDescent="0.2">
      <c r="B1160" s="10"/>
      <c r="C1160" s="46"/>
      <c r="D1160" s="47"/>
      <c r="E1160" s="47"/>
      <c r="F1160" s="47"/>
      <c r="G1160" s="47"/>
      <c r="H1160" s="47"/>
      <c r="I1160" s="47"/>
      <c r="J1160" s="47"/>
      <c r="K1160" s="47"/>
      <c r="L1160" s="11"/>
    </row>
    <row r="1161" spans="2:12" x14ac:dyDescent="0.2">
      <c r="B1161" s="10"/>
      <c r="C1161" s="46"/>
      <c r="D1161" s="47"/>
      <c r="E1161" s="47"/>
      <c r="F1161" s="47"/>
      <c r="G1161" s="47"/>
      <c r="H1161" s="47"/>
      <c r="I1161" s="47"/>
      <c r="J1161" s="47"/>
      <c r="K1161" s="47"/>
      <c r="L1161" s="11"/>
    </row>
    <row r="1162" spans="2:12" x14ac:dyDescent="0.2">
      <c r="B1162" s="10"/>
      <c r="C1162" s="46"/>
      <c r="D1162" s="47"/>
      <c r="E1162" s="47"/>
      <c r="F1162" s="47"/>
      <c r="G1162" s="47"/>
      <c r="H1162" s="47"/>
      <c r="I1162" s="47"/>
      <c r="J1162" s="47"/>
      <c r="K1162" s="47"/>
      <c r="L1162" s="11"/>
    </row>
    <row r="1163" spans="2:12" x14ac:dyDescent="0.2">
      <c r="B1163" s="10"/>
      <c r="C1163" s="46"/>
      <c r="D1163" s="47"/>
      <c r="E1163" s="47"/>
      <c r="F1163" s="47"/>
      <c r="G1163" s="47"/>
      <c r="H1163" s="47"/>
      <c r="I1163" s="47"/>
      <c r="J1163" s="47"/>
      <c r="K1163" s="47"/>
      <c r="L1163" s="11"/>
    </row>
    <row r="1164" spans="2:12" x14ac:dyDescent="0.2">
      <c r="B1164" s="10"/>
      <c r="C1164" s="46"/>
      <c r="D1164" s="47"/>
      <c r="E1164" s="47"/>
      <c r="F1164" s="47"/>
      <c r="G1164" s="47"/>
      <c r="H1164" s="47"/>
      <c r="I1164" s="47"/>
      <c r="J1164" s="47"/>
      <c r="K1164" s="47"/>
      <c r="L1164" s="11"/>
    </row>
    <row r="1165" spans="2:12" x14ac:dyDescent="0.2">
      <c r="B1165" s="10"/>
      <c r="C1165" s="46"/>
      <c r="D1165" s="47"/>
      <c r="E1165" s="47"/>
      <c r="F1165" s="47"/>
      <c r="G1165" s="47"/>
      <c r="H1165" s="47"/>
      <c r="I1165" s="47"/>
      <c r="J1165" s="47"/>
      <c r="K1165" s="47"/>
      <c r="L1165" s="11"/>
    </row>
    <row r="1166" spans="2:12" x14ac:dyDescent="0.2">
      <c r="B1166" s="10"/>
      <c r="C1166" s="46"/>
      <c r="D1166" s="47"/>
      <c r="E1166" s="47"/>
      <c r="F1166" s="47"/>
      <c r="G1166" s="47"/>
      <c r="H1166" s="47"/>
      <c r="I1166" s="47"/>
      <c r="J1166" s="47"/>
      <c r="K1166" s="47"/>
      <c r="L1166" s="11"/>
    </row>
    <row r="1167" spans="2:12" x14ac:dyDescent="0.2">
      <c r="B1167" s="10"/>
      <c r="C1167" s="46"/>
      <c r="D1167" s="47"/>
      <c r="E1167" s="47"/>
      <c r="F1167" s="47"/>
      <c r="G1167" s="47"/>
      <c r="H1167" s="47"/>
      <c r="I1167" s="47"/>
      <c r="J1167" s="47"/>
      <c r="K1167" s="47"/>
      <c r="L1167" s="11"/>
    </row>
    <row r="1168" spans="2:12" x14ac:dyDescent="0.2">
      <c r="B1168" s="10"/>
      <c r="C1168" s="46"/>
      <c r="D1168" s="47"/>
      <c r="E1168" s="47"/>
      <c r="F1168" s="47"/>
      <c r="G1168" s="47"/>
      <c r="H1168" s="47"/>
      <c r="I1168" s="47"/>
      <c r="J1168" s="47"/>
      <c r="K1168" s="47"/>
      <c r="L1168" s="11"/>
    </row>
    <row r="1169" spans="2:12" x14ac:dyDescent="0.2">
      <c r="B1169" s="10"/>
      <c r="C1169" s="46"/>
      <c r="D1169" s="47"/>
      <c r="E1169" s="47"/>
      <c r="F1169" s="47"/>
      <c r="G1169" s="47"/>
      <c r="H1169" s="47"/>
      <c r="I1169" s="47"/>
      <c r="J1169" s="47"/>
      <c r="K1169" s="47"/>
      <c r="L1169" s="11"/>
    </row>
    <row r="1170" spans="2:12" x14ac:dyDescent="0.2">
      <c r="B1170" s="10"/>
      <c r="C1170" s="46"/>
      <c r="D1170" s="47"/>
      <c r="E1170" s="47"/>
      <c r="F1170" s="47"/>
      <c r="G1170" s="47"/>
      <c r="H1170" s="47"/>
      <c r="I1170" s="47"/>
      <c r="J1170" s="47"/>
      <c r="K1170" s="47"/>
      <c r="L1170" s="11"/>
    </row>
    <row r="1171" spans="2:12" x14ac:dyDescent="0.2">
      <c r="B1171" s="10"/>
      <c r="C1171" s="46"/>
      <c r="D1171" s="47"/>
      <c r="E1171" s="47"/>
      <c r="F1171" s="47"/>
      <c r="G1171" s="47"/>
      <c r="H1171" s="47"/>
      <c r="I1171" s="47"/>
      <c r="J1171" s="47"/>
      <c r="K1171" s="47"/>
      <c r="L1171" s="11"/>
    </row>
    <row r="1172" spans="2:12" x14ac:dyDescent="0.2">
      <c r="B1172" s="10"/>
      <c r="C1172" s="46"/>
      <c r="D1172" s="47"/>
      <c r="E1172" s="47"/>
      <c r="F1172" s="47"/>
      <c r="G1172" s="47"/>
      <c r="H1172" s="47"/>
      <c r="I1172" s="47"/>
      <c r="J1172" s="47"/>
      <c r="K1172" s="47"/>
      <c r="L1172" s="11"/>
    </row>
    <row r="1173" spans="2:12" x14ac:dyDescent="0.2">
      <c r="B1173" s="10"/>
      <c r="C1173" s="46"/>
      <c r="D1173" s="47"/>
      <c r="E1173" s="47"/>
      <c r="F1173" s="47"/>
      <c r="G1173" s="47"/>
      <c r="H1173" s="47"/>
      <c r="I1173" s="47"/>
      <c r="J1173" s="47"/>
      <c r="K1173" s="47"/>
      <c r="L1173" s="11"/>
    </row>
    <row r="1174" spans="2:12" x14ac:dyDescent="0.2">
      <c r="B1174" s="10"/>
      <c r="C1174" s="46"/>
      <c r="D1174" s="47"/>
      <c r="E1174" s="47"/>
      <c r="F1174" s="47"/>
      <c r="G1174" s="47"/>
      <c r="H1174" s="47"/>
      <c r="I1174" s="47"/>
      <c r="J1174" s="47"/>
      <c r="K1174" s="47"/>
      <c r="L1174" s="11"/>
    </row>
    <row r="1175" spans="2:12" x14ac:dyDescent="0.2">
      <c r="B1175" s="10"/>
      <c r="C1175" s="46"/>
      <c r="D1175" s="47"/>
      <c r="E1175" s="47"/>
      <c r="F1175" s="47"/>
      <c r="G1175" s="47"/>
      <c r="H1175" s="47"/>
      <c r="I1175" s="47"/>
      <c r="J1175" s="47"/>
      <c r="K1175" s="47"/>
      <c r="L1175" s="11"/>
    </row>
    <row r="1176" spans="2:12" x14ac:dyDescent="0.2">
      <c r="B1176" s="10"/>
      <c r="C1176" s="46"/>
      <c r="D1176" s="47"/>
      <c r="E1176" s="47"/>
      <c r="F1176" s="47"/>
      <c r="G1176" s="47"/>
      <c r="H1176" s="47"/>
      <c r="I1176" s="47"/>
      <c r="J1176" s="47"/>
      <c r="K1176" s="47"/>
      <c r="L1176" s="11"/>
    </row>
    <row r="1177" spans="2:12" x14ac:dyDescent="0.2">
      <c r="B1177" s="10"/>
      <c r="C1177" s="46"/>
      <c r="D1177" s="47"/>
      <c r="E1177" s="47"/>
      <c r="F1177" s="47"/>
      <c r="G1177" s="47"/>
      <c r="H1177" s="47"/>
      <c r="I1177" s="47"/>
      <c r="J1177" s="47"/>
      <c r="K1177" s="47"/>
      <c r="L1177" s="11"/>
    </row>
    <row r="1178" spans="2:12" x14ac:dyDescent="0.2">
      <c r="B1178" s="10"/>
      <c r="C1178" s="46"/>
      <c r="D1178" s="47"/>
      <c r="E1178" s="47"/>
      <c r="F1178" s="47"/>
      <c r="G1178" s="47"/>
      <c r="H1178" s="47"/>
      <c r="I1178" s="47"/>
      <c r="J1178" s="47"/>
      <c r="K1178" s="47"/>
      <c r="L1178" s="11"/>
    </row>
    <row r="1179" spans="2:12" x14ac:dyDescent="0.2">
      <c r="B1179" s="10"/>
      <c r="C1179" s="46"/>
      <c r="D1179" s="47"/>
      <c r="E1179" s="47"/>
      <c r="F1179" s="47"/>
      <c r="G1179" s="47"/>
      <c r="H1179" s="47"/>
      <c r="I1179" s="47"/>
      <c r="J1179" s="47"/>
      <c r="K1179" s="47"/>
      <c r="L1179" s="11"/>
    </row>
    <row r="1180" spans="2:12" x14ac:dyDescent="0.2">
      <c r="B1180" s="10"/>
      <c r="C1180" s="46"/>
      <c r="D1180" s="47"/>
      <c r="E1180" s="47"/>
      <c r="F1180" s="47"/>
      <c r="G1180" s="47"/>
      <c r="H1180" s="47"/>
      <c r="I1180" s="47"/>
      <c r="J1180" s="47"/>
      <c r="K1180" s="47"/>
      <c r="L1180" s="11"/>
    </row>
    <row r="1181" spans="2:12" x14ac:dyDescent="0.2">
      <c r="B1181" s="10"/>
      <c r="C1181" s="46"/>
      <c r="D1181" s="47"/>
      <c r="E1181" s="47"/>
      <c r="F1181" s="47"/>
      <c r="G1181" s="47"/>
      <c r="H1181" s="47"/>
      <c r="I1181" s="47"/>
      <c r="J1181" s="47"/>
      <c r="K1181" s="47"/>
      <c r="L1181" s="11"/>
    </row>
    <row r="1182" spans="2:12" x14ac:dyDescent="0.2">
      <c r="B1182" s="10"/>
      <c r="C1182" s="46"/>
      <c r="D1182" s="47"/>
      <c r="E1182" s="47"/>
      <c r="F1182" s="47"/>
      <c r="G1182" s="47"/>
      <c r="H1182" s="47"/>
      <c r="I1182" s="47"/>
      <c r="J1182" s="47"/>
      <c r="K1182" s="47"/>
      <c r="L1182" s="11"/>
    </row>
    <row r="1183" spans="2:12" x14ac:dyDescent="0.2">
      <c r="B1183" s="10"/>
      <c r="C1183" s="46"/>
      <c r="D1183" s="47"/>
      <c r="E1183" s="47"/>
      <c r="F1183" s="47"/>
      <c r="G1183" s="47"/>
      <c r="H1183" s="47"/>
      <c r="I1183" s="47"/>
      <c r="J1183" s="47"/>
      <c r="K1183" s="47"/>
      <c r="L1183" s="11"/>
    </row>
    <row r="1184" spans="2:12" x14ac:dyDescent="0.2">
      <c r="B1184" s="10"/>
      <c r="C1184" s="46"/>
      <c r="D1184" s="47"/>
      <c r="E1184" s="47"/>
      <c r="F1184" s="47"/>
      <c r="G1184" s="47"/>
      <c r="H1184" s="47"/>
      <c r="I1184" s="47"/>
      <c r="J1184" s="47"/>
      <c r="K1184" s="47"/>
      <c r="L1184" s="11"/>
    </row>
    <row r="1185" spans="2:12" x14ac:dyDescent="0.2">
      <c r="B1185" s="10"/>
      <c r="C1185" s="46"/>
      <c r="D1185" s="47"/>
      <c r="E1185" s="47"/>
      <c r="F1185" s="47"/>
      <c r="G1185" s="47"/>
      <c r="H1185" s="47"/>
      <c r="I1185" s="47"/>
      <c r="J1185" s="47"/>
      <c r="K1185" s="47"/>
      <c r="L1185" s="11"/>
    </row>
    <row r="1186" spans="2:12" x14ac:dyDescent="0.2">
      <c r="B1186" s="10"/>
      <c r="C1186" s="46"/>
      <c r="D1186" s="47"/>
      <c r="E1186" s="47"/>
      <c r="F1186" s="47"/>
      <c r="G1186" s="47"/>
      <c r="H1186" s="47"/>
      <c r="I1186" s="47"/>
      <c r="J1186" s="47"/>
      <c r="K1186" s="47"/>
      <c r="L1186" s="11"/>
    </row>
    <row r="1187" spans="2:12" x14ac:dyDescent="0.2">
      <c r="B1187" s="10"/>
      <c r="C1187" s="46"/>
      <c r="D1187" s="47"/>
      <c r="E1187" s="47"/>
      <c r="F1187" s="47"/>
      <c r="G1187" s="47"/>
      <c r="H1187" s="47"/>
      <c r="I1187" s="47"/>
      <c r="J1187" s="47"/>
      <c r="K1187" s="47"/>
      <c r="L1187" s="11"/>
    </row>
    <row r="1188" spans="2:12" x14ac:dyDescent="0.2">
      <c r="B1188" s="10"/>
      <c r="C1188" s="46"/>
      <c r="D1188" s="47"/>
      <c r="E1188" s="47"/>
      <c r="F1188" s="47"/>
      <c r="G1188" s="47"/>
      <c r="H1188" s="47"/>
      <c r="I1188" s="47"/>
      <c r="J1188" s="47"/>
      <c r="K1188" s="47"/>
      <c r="L1188" s="11"/>
    </row>
    <row r="1189" spans="2:12" x14ac:dyDescent="0.2">
      <c r="B1189" s="10"/>
      <c r="C1189" s="46"/>
      <c r="D1189" s="47"/>
      <c r="E1189" s="47"/>
      <c r="F1189" s="47"/>
      <c r="G1189" s="47"/>
      <c r="H1189" s="47"/>
      <c r="I1189" s="47"/>
      <c r="J1189" s="47"/>
      <c r="K1189" s="47"/>
      <c r="L1189" s="11"/>
    </row>
    <row r="1190" spans="2:12" x14ac:dyDescent="0.2">
      <c r="B1190" s="10"/>
      <c r="C1190" s="46"/>
      <c r="D1190" s="47"/>
      <c r="E1190" s="47"/>
      <c r="F1190" s="47"/>
      <c r="G1190" s="47"/>
      <c r="H1190" s="47"/>
      <c r="I1190" s="47"/>
      <c r="J1190" s="47"/>
      <c r="K1190" s="47"/>
      <c r="L1190" s="11"/>
    </row>
    <row r="1191" spans="2:12" x14ac:dyDescent="0.2">
      <c r="B1191" s="10"/>
      <c r="C1191" s="46"/>
      <c r="D1191" s="47"/>
      <c r="E1191" s="47"/>
      <c r="F1191" s="47"/>
      <c r="G1191" s="47"/>
      <c r="H1191" s="47"/>
      <c r="I1191" s="47"/>
      <c r="J1191" s="47"/>
      <c r="K1191" s="47"/>
      <c r="L1191" s="11"/>
    </row>
    <row r="1192" spans="2:12" x14ac:dyDescent="0.2">
      <c r="B1192" s="10"/>
      <c r="C1192" s="46"/>
      <c r="D1192" s="47"/>
      <c r="E1192" s="47"/>
      <c r="F1192" s="47"/>
      <c r="G1192" s="47"/>
      <c r="H1192" s="47"/>
      <c r="I1192" s="47"/>
      <c r="J1192" s="47"/>
      <c r="K1192" s="47"/>
      <c r="L1192" s="11"/>
    </row>
    <row r="1193" spans="2:12" x14ac:dyDescent="0.2">
      <c r="B1193" s="10"/>
      <c r="C1193" s="46"/>
      <c r="D1193" s="47"/>
      <c r="E1193" s="47"/>
      <c r="F1193" s="47"/>
      <c r="G1193" s="47"/>
      <c r="H1193" s="47"/>
      <c r="I1193" s="47"/>
      <c r="J1193" s="47"/>
      <c r="K1193" s="47"/>
      <c r="L1193" s="11"/>
    </row>
    <row r="1194" spans="2:12" x14ac:dyDescent="0.2">
      <c r="B1194" s="10"/>
      <c r="C1194" s="46"/>
      <c r="D1194" s="47"/>
      <c r="E1194" s="47"/>
      <c r="F1194" s="47"/>
      <c r="G1194" s="47"/>
      <c r="H1194" s="47"/>
      <c r="I1194" s="47"/>
      <c r="J1194" s="47"/>
      <c r="K1194" s="47"/>
      <c r="L1194" s="11"/>
    </row>
    <row r="1195" spans="2:12" x14ac:dyDescent="0.2">
      <c r="B1195" s="10"/>
      <c r="C1195" s="46"/>
      <c r="D1195" s="47"/>
      <c r="E1195" s="47"/>
      <c r="F1195" s="47"/>
      <c r="G1195" s="47"/>
      <c r="H1195" s="47"/>
      <c r="I1195" s="47"/>
      <c r="J1195" s="47"/>
      <c r="K1195" s="47"/>
      <c r="L1195" s="11"/>
    </row>
    <row r="1196" spans="2:12" x14ac:dyDescent="0.2">
      <c r="B1196" s="10"/>
      <c r="C1196" s="46"/>
      <c r="D1196" s="47"/>
      <c r="E1196" s="47"/>
      <c r="F1196" s="47"/>
      <c r="G1196" s="47"/>
      <c r="H1196" s="47"/>
      <c r="I1196" s="47"/>
      <c r="J1196" s="47"/>
      <c r="K1196" s="47"/>
      <c r="L1196" s="11"/>
    </row>
    <row r="1197" spans="2:12" x14ac:dyDescent="0.2">
      <c r="B1197" s="10"/>
      <c r="C1197" s="46"/>
      <c r="D1197" s="47"/>
      <c r="E1197" s="47"/>
      <c r="F1197" s="47"/>
      <c r="G1197" s="47"/>
      <c r="H1197" s="47"/>
      <c r="I1197" s="47"/>
      <c r="J1197" s="47"/>
      <c r="K1197" s="47"/>
      <c r="L1197" s="11"/>
    </row>
    <row r="1198" spans="2:12" x14ac:dyDescent="0.2">
      <c r="B1198" s="10"/>
      <c r="C1198" s="46"/>
      <c r="D1198" s="47"/>
      <c r="E1198" s="47"/>
      <c r="F1198" s="47"/>
      <c r="G1198" s="47"/>
      <c r="H1198" s="47"/>
      <c r="I1198" s="47"/>
      <c r="J1198" s="47"/>
      <c r="K1198" s="47"/>
      <c r="L1198" s="11"/>
    </row>
    <row r="1199" spans="2:12" x14ac:dyDescent="0.2">
      <c r="B1199" s="10"/>
      <c r="C1199" s="46"/>
      <c r="D1199" s="47"/>
      <c r="E1199" s="47"/>
      <c r="F1199" s="47"/>
      <c r="G1199" s="47"/>
      <c r="H1199" s="47"/>
      <c r="I1199" s="47"/>
      <c r="J1199" s="47"/>
      <c r="K1199" s="47"/>
      <c r="L1199" s="11"/>
    </row>
    <row r="1200" spans="2:12" x14ac:dyDescent="0.2">
      <c r="B1200" s="10"/>
      <c r="C1200" s="46"/>
      <c r="D1200" s="47"/>
      <c r="E1200" s="47"/>
      <c r="F1200" s="47"/>
      <c r="G1200" s="47"/>
      <c r="H1200" s="47"/>
      <c r="I1200" s="47"/>
      <c r="J1200" s="47"/>
      <c r="K1200" s="47"/>
      <c r="L1200" s="11"/>
    </row>
    <row r="1201" spans="2:12" x14ac:dyDescent="0.2">
      <c r="B1201" s="10"/>
      <c r="C1201" s="46"/>
      <c r="D1201" s="47"/>
      <c r="E1201" s="47"/>
      <c r="F1201" s="47"/>
      <c r="G1201" s="47"/>
      <c r="H1201" s="47"/>
      <c r="I1201" s="47"/>
      <c r="J1201" s="47"/>
      <c r="K1201" s="47"/>
      <c r="L1201" s="11"/>
    </row>
    <row r="1202" spans="2:12" x14ac:dyDescent="0.2">
      <c r="B1202" s="10"/>
      <c r="C1202" s="46"/>
      <c r="D1202" s="47"/>
      <c r="E1202" s="47"/>
      <c r="F1202" s="47"/>
      <c r="G1202" s="47"/>
      <c r="H1202" s="47"/>
      <c r="I1202" s="47"/>
      <c r="J1202" s="47"/>
      <c r="K1202" s="47"/>
      <c r="L1202" s="11"/>
    </row>
    <row r="1203" spans="2:12" x14ac:dyDescent="0.2">
      <c r="B1203" s="10"/>
      <c r="C1203" s="46"/>
      <c r="D1203" s="47"/>
      <c r="E1203" s="47"/>
      <c r="F1203" s="47"/>
      <c r="G1203" s="47"/>
      <c r="H1203" s="47"/>
      <c r="I1203" s="47"/>
      <c r="J1203" s="47"/>
      <c r="K1203" s="47"/>
      <c r="L1203" s="11"/>
    </row>
    <row r="1204" spans="2:12" x14ac:dyDescent="0.2">
      <c r="B1204" s="10"/>
      <c r="C1204" s="46"/>
      <c r="D1204" s="47"/>
      <c r="E1204" s="47"/>
      <c r="F1204" s="47"/>
      <c r="G1204" s="47"/>
      <c r="H1204" s="47"/>
      <c r="I1204" s="47"/>
      <c r="J1204" s="47"/>
      <c r="K1204" s="47"/>
      <c r="L1204" s="11"/>
    </row>
    <row r="1205" spans="2:12" x14ac:dyDescent="0.2">
      <c r="B1205" s="10"/>
      <c r="C1205" s="46"/>
      <c r="D1205" s="47"/>
      <c r="E1205" s="47"/>
      <c r="F1205" s="47"/>
      <c r="G1205" s="47"/>
      <c r="H1205" s="47"/>
      <c r="I1205" s="47"/>
      <c r="J1205" s="47"/>
      <c r="K1205" s="47"/>
      <c r="L1205" s="11"/>
    </row>
    <row r="1206" spans="2:12" x14ac:dyDescent="0.2">
      <c r="B1206" s="10"/>
      <c r="C1206" s="46"/>
      <c r="D1206" s="47"/>
      <c r="E1206" s="47"/>
      <c r="F1206" s="47"/>
      <c r="G1206" s="47"/>
      <c r="H1206" s="47"/>
      <c r="I1206" s="47"/>
      <c r="J1206" s="47"/>
      <c r="K1206" s="47"/>
      <c r="L1206" s="11"/>
    </row>
    <row r="1207" spans="2:12" x14ac:dyDescent="0.2">
      <c r="B1207" s="10"/>
      <c r="C1207" s="46"/>
      <c r="D1207" s="47"/>
      <c r="E1207" s="47"/>
      <c r="F1207" s="47"/>
      <c r="G1207" s="47"/>
      <c r="H1207" s="47"/>
      <c r="I1207" s="47"/>
      <c r="J1207" s="47"/>
      <c r="K1207" s="47"/>
      <c r="L1207" s="11"/>
    </row>
    <row r="1208" spans="2:12" x14ac:dyDescent="0.2">
      <c r="B1208" s="10"/>
      <c r="C1208" s="46"/>
      <c r="D1208" s="47"/>
      <c r="E1208" s="47"/>
      <c r="F1208" s="47"/>
      <c r="G1208" s="47"/>
      <c r="H1208" s="47"/>
      <c r="I1208" s="47"/>
      <c r="J1208" s="47"/>
      <c r="K1208" s="47"/>
      <c r="L1208" s="11"/>
    </row>
    <row r="1209" spans="2:12" x14ac:dyDescent="0.2">
      <c r="B1209" s="10"/>
      <c r="C1209" s="46"/>
      <c r="D1209" s="47"/>
      <c r="E1209" s="47"/>
      <c r="F1209" s="47"/>
      <c r="G1209" s="47"/>
      <c r="H1209" s="47"/>
      <c r="I1209" s="47"/>
      <c r="J1209" s="47"/>
      <c r="K1209" s="47"/>
      <c r="L1209" s="11"/>
    </row>
    <row r="1210" spans="2:12" x14ac:dyDescent="0.2">
      <c r="B1210" s="10"/>
      <c r="C1210" s="46"/>
      <c r="D1210" s="47"/>
      <c r="E1210" s="47"/>
      <c r="F1210" s="47"/>
      <c r="G1210" s="47"/>
      <c r="H1210" s="47"/>
      <c r="I1210" s="47"/>
      <c r="J1210" s="47"/>
      <c r="K1210" s="47"/>
      <c r="L1210" s="11"/>
    </row>
    <row r="1211" spans="2:12" x14ac:dyDescent="0.2">
      <c r="B1211" s="10"/>
      <c r="C1211" s="46"/>
      <c r="D1211" s="47"/>
      <c r="E1211" s="47"/>
      <c r="F1211" s="47"/>
      <c r="G1211" s="47"/>
      <c r="H1211" s="47"/>
      <c r="I1211" s="47"/>
      <c r="J1211" s="47"/>
      <c r="K1211" s="47"/>
      <c r="L1211" s="11"/>
    </row>
    <row r="1212" spans="2:12" x14ac:dyDescent="0.2">
      <c r="B1212" s="10"/>
      <c r="C1212" s="46"/>
      <c r="D1212" s="47"/>
      <c r="E1212" s="47"/>
      <c r="F1212" s="47"/>
      <c r="G1212" s="47"/>
      <c r="H1212" s="47"/>
      <c r="I1212" s="47"/>
      <c r="J1212" s="47"/>
      <c r="K1212" s="47"/>
      <c r="L1212" s="11"/>
    </row>
    <row r="1213" spans="2:12" x14ac:dyDescent="0.2">
      <c r="B1213" s="10"/>
      <c r="C1213" s="46"/>
      <c r="D1213" s="47"/>
      <c r="E1213" s="47"/>
      <c r="F1213" s="47"/>
      <c r="G1213" s="47"/>
      <c r="H1213" s="47"/>
      <c r="I1213" s="47"/>
      <c r="J1213" s="47"/>
      <c r="K1213" s="47"/>
      <c r="L1213" s="11"/>
    </row>
    <row r="1214" spans="2:12" x14ac:dyDescent="0.2">
      <c r="B1214" s="10"/>
      <c r="C1214" s="46"/>
      <c r="D1214" s="47"/>
      <c r="E1214" s="47"/>
      <c r="F1214" s="47"/>
      <c r="G1214" s="47"/>
      <c r="H1214" s="47"/>
      <c r="I1214" s="47"/>
      <c r="J1214" s="47"/>
      <c r="K1214" s="47"/>
      <c r="L1214" s="11"/>
    </row>
    <row r="1215" spans="2:12" x14ac:dyDescent="0.2">
      <c r="B1215" s="10"/>
      <c r="C1215" s="46"/>
      <c r="D1215" s="47"/>
      <c r="E1215" s="47"/>
      <c r="F1215" s="47"/>
      <c r="G1215" s="47"/>
      <c r="H1215" s="47"/>
      <c r="I1215" s="47"/>
      <c r="J1215" s="47"/>
      <c r="K1215" s="47"/>
      <c r="L1215" s="11"/>
    </row>
    <row r="1216" spans="2:12" x14ac:dyDescent="0.2">
      <c r="B1216" s="10"/>
      <c r="C1216" s="46"/>
      <c r="D1216" s="47"/>
      <c r="E1216" s="47"/>
      <c r="F1216" s="47"/>
      <c r="G1216" s="47"/>
      <c r="H1216" s="47"/>
      <c r="I1216" s="47"/>
      <c r="J1216" s="47"/>
      <c r="K1216" s="47"/>
      <c r="L1216" s="11"/>
    </row>
    <row r="1217" spans="2:12" x14ac:dyDescent="0.2">
      <c r="B1217" s="10"/>
      <c r="C1217" s="46"/>
      <c r="D1217" s="47"/>
      <c r="E1217" s="47"/>
      <c r="F1217" s="47"/>
      <c r="G1217" s="47"/>
      <c r="H1217" s="47"/>
      <c r="I1217" s="47"/>
      <c r="J1217" s="47"/>
      <c r="K1217" s="47"/>
      <c r="L1217" s="11"/>
    </row>
    <row r="1218" spans="2:12" x14ac:dyDescent="0.2">
      <c r="B1218" s="10"/>
      <c r="C1218" s="46"/>
      <c r="D1218" s="47"/>
      <c r="E1218" s="47"/>
      <c r="F1218" s="47"/>
      <c r="G1218" s="47"/>
      <c r="H1218" s="47"/>
      <c r="I1218" s="47"/>
      <c r="J1218" s="47"/>
      <c r="K1218" s="47"/>
      <c r="L1218" s="11"/>
    </row>
    <row r="1219" spans="2:12" x14ac:dyDescent="0.2">
      <c r="B1219" s="10"/>
      <c r="C1219" s="46"/>
      <c r="D1219" s="47"/>
      <c r="E1219" s="47"/>
      <c r="F1219" s="47"/>
      <c r="G1219" s="47"/>
      <c r="H1219" s="47"/>
      <c r="I1219" s="47"/>
      <c r="J1219" s="47"/>
      <c r="K1219" s="47"/>
      <c r="L1219" s="11"/>
    </row>
    <row r="1220" spans="2:12" x14ac:dyDescent="0.2">
      <c r="B1220" s="10"/>
      <c r="C1220" s="46"/>
      <c r="D1220" s="47"/>
      <c r="E1220" s="47"/>
      <c r="F1220" s="47"/>
      <c r="G1220" s="47"/>
      <c r="H1220" s="47"/>
      <c r="I1220" s="47"/>
      <c r="J1220" s="47"/>
      <c r="K1220" s="47"/>
      <c r="L1220" s="11"/>
    </row>
    <row r="1221" spans="2:12" x14ac:dyDescent="0.2">
      <c r="B1221" s="10"/>
      <c r="C1221" s="46"/>
      <c r="D1221" s="47"/>
      <c r="E1221" s="47"/>
      <c r="F1221" s="47"/>
      <c r="G1221" s="47"/>
      <c r="H1221" s="47"/>
      <c r="I1221" s="47"/>
      <c r="J1221" s="47"/>
      <c r="K1221" s="47"/>
      <c r="L1221" s="11"/>
    </row>
    <row r="1222" spans="2:12" x14ac:dyDescent="0.2">
      <c r="B1222" s="10"/>
      <c r="C1222" s="46"/>
      <c r="D1222" s="47"/>
      <c r="E1222" s="47"/>
      <c r="F1222" s="47"/>
      <c r="G1222" s="47"/>
      <c r="H1222" s="47"/>
      <c r="I1222" s="47"/>
      <c r="J1222" s="47"/>
      <c r="K1222" s="47"/>
      <c r="L1222" s="11"/>
    </row>
    <row r="1223" spans="2:12" x14ac:dyDescent="0.2">
      <c r="B1223" s="10"/>
      <c r="C1223" s="46"/>
      <c r="D1223" s="47"/>
      <c r="E1223" s="47"/>
      <c r="F1223" s="47"/>
      <c r="G1223" s="47"/>
      <c r="H1223" s="47"/>
      <c r="I1223" s="47"/>
      <c r="J1223" s="47"/>
      <c r="K1223" s="47"/>
      <c r="L1223" s="11"/>
    </row>
    <row r="1224" spans="2:12" x14ac:dyDescent="0.2">
      <c r="B1224" s="10"/>
      <c r="C1224" s="46"/>
      <c r="D1224" s="47"/>
      <c r="E1224" s="47"/>
      <c r="F1224" s="47"/>
      <c r="G1224" s="47"/>
      <c r="H1224" s="47"/>
      <c r="I1224" s="47"/>
      <c r="J1224" s="47"/>
      <c r="K1224" s="47"/>
      <c r="L1224" s="11"/>
    </row>
    <row r="1225" spans="2:12" x14ac:dyDescent="0.2">
      <c r="B1225" s="10"/>
      <c r="C1225" s="46"/>
      <c r="D1225" s="47"/>
      <c r="E1225" s="47"/>
      <c r="F1225" s="47"/>
      <c r="G1225" s="47"/>
      <c r="H1225" s="47"/>
      <c r="I1225" s="47"/>
      <c r="J1225" s="47"/>
      <c r="K1225" s="47"/>
      <c r="L1225" s="11"/>
    </row>
    <row r="1226" spans="2:12" x14ac:dyDescent="0.2">
      <c r="B1226" s="10"/>
      <c r="C1226" s="46"/>
      <c r="D1226" s="47"/>
      <c r="E1226" s="47"/>
      <c r="F1226" s="47"/>
      <c r="G1226" s="47"/>
      <c r="H1226" s="47"/>
      <c r="I1226" s="47"/>
      <c r="J1226" s="47"/>
      <c r="K1226" s="47"/>
      <c r="L1226" s="11"/>
    </row>
    <row r="1227" spans="2:12" x14ac:dyDescent="0.2">
      <c r="B1227" s="10"/>
      <c r="C1227" s="46"/>
      <c r="D1227" s="47"/>
      <c r="E1227" s="47"/>
      <c r="F1227" s="47"/>
      <c r="G1227" s="47"/>
      <c r="H1227" s="47"/>
      <c r="I1227" s="47"/>
      <c r="J1227" s="47"/>
      <c r="K1227" s="47"/>
      <c r="L1227" s="11"/>
    </row>
    <row r="1228" spans="2:12" x14ac:dyDescent="0.2">
      <c r="B1228" s="10"/>
      <c r="C1228" s="46"/>
      <c r="D1228" s="47"/>
      <c r="E1228" s="47"/>
      <c r="F1228" s="47"/>
      <c r="G1228" s="47"/>
      <c r="H1228" s="47"/>
      <c r="I1228" s="47"/>
      <c r="J1228" s="47"/>
      <c r="K1228" s="47"/>
      <c r="L1228" s="11"/>
    </row>
    <row r="1229" spans="2:12" x14ac:dyDescent="0.2">
      <c r="B1229" s="10"/>
      <c r="C1229" s="46"/>
      <c r="D1229" s="47"/>
      <c r="E1229" s="47"/>
      <c r="F1229" s="47"/>
      <c r="G1229" s="47"/>
      <c r="H1229" s="47"/>
      <c r="I1229" s="47"/>
      <c r="J1229" s="47"/>
      <c r="K1229" s="47"/>
      <c r="L1229" s="11"/>
    </row>
    <row r="1230" spans="2:12" x14ac:dyDescent="0.2">
      <c r="B1230" s="10"/>
      <c r="C1230" s="46"/>
      <c r="D1230" s="47"/>
      <c r="E1230" s="47"/>
      <c r="F1230" s="47"/>
      <c r="G1230" s="47"/>
      <c r="H1230" s="47"/>
      <c r="I1230" s="47"/>
      <c r="J1230" s="47"/>
      <c r="K1230" s="47"/>
      <c r="L1230" s="11"/>
    </row>
    <row r="1231" spans="2:12" x14ac:dyDescent="0.2">
      <c r="B1231" s="10"/>
      <c r="C1231" s="46"/>
      <c r="D1231" s="47"/>
      <c r="E1231" s="47"/>
      <c r="F1231" s="47"/>
      <c r="G1231" s="47"/>
      <c r="H1231" s="47"/>
      <c r="I1231" s="47"/>
      <c r="J1231" s="47"/>
      <c r="K1231" s="47"/>
      <c r="L1231" s="11"/>
    </row>
    <row r="1232" spans="2:12" x14ac:dyDescent="0.2">
      <c r="B1232" s="10"/>
      <c r="C1232" s="46"/>
      <c r="D1232" s="47"/>
      <c r="E1232" s="47"/>
      <c r="F1232" s="47"/>
      <c r="G1232" s="47"/>
      <c r="H1232" s="47"/>
      <c r="I1232" s="47"/>
      <c r="J1232" s="47"/>
      <c r="K1232" s="47"/>
      <c r="L1232" s="11"/>
    </row>
    <row r="1233" spans="2:12" x14ac:dyDescent="0.2">
      <c r="B1233" s="10"/>
      <c r="C1233" s="46"/>
      <c r="D1233" s="47"/>
      <c r="E1233" s="47"/>
      <c r="F1233" s="47"/>
      <c r="G1233" s="47"/>
      <c r="H1233" s="47"/>
      <c r="I1233" s="47"/>
      <c r="J1233" s="47"/>
      <c r="K1233" s="47"/>
      <c r="L1233" s="11"/>
    </row>
    <row r="1234" spans="2:12" x14ac:dyDescent="0.2">
      <c r="B1234" s="10"/>
      <c r="C1234" s="46"/>
      <c r="D1234" s="47"/>
      <c r="E1234" s="47"/>
      <c r="F1234" s="47"/>
      <c r="G1234" s="47"/>
      <c r="H1234" s="47"/>
      <c r="I1234" s="47"/>
      <c r="J1234" s="47"/>
      <c r="K1234" s="47"/>
      <c r="L1234" s="11"/>
    </row>
    <row r="1235" spans="2:12" x14ac:dyDescent="0.2">
      <c r="B1235" s="10"/>
      <c r="C1235" s="46"/>
      <c r="D1235" s="47"/>
      <c r="E1235" s="47"/>
      <c r="F1235" s="47"/>
      <c r="G1235" s="47"/>
      <c r="H1235" s="47"/>
      <c r="I1235" s="47"/>
      <c r="J1235" s="47"/>
      <c r="K1235" s="47"/>
      <c r="L1235" s="11"/>
    </row>
    <row r="1236" spans="2:12" x14ac:dyDescent="0.2">
      <c r="B1236" s="10"/>
      <c r="C1236" s="46"/>
      <c r="D1236" s="47"/>
      <c r="E1236" s="47"/>
      <c r="F1236" s="47"/>
      <c r="G1236" s="47"/>
      <c r="H1236" s="47"/>
      <c r="I1236" s="47"/>
      <c r="J1236" s="47"/>
      <c r="K1236" s="47"/>
      <c r="L1236" s="11"/>
    </row>
    <row r="1237" spans="2:12" x14ac:dyDescent="0.2">
      <c r="B1237" s="10"/>
      <c r="C1237" s="46"/>
      <c r="D1237" s="47"/>
      <c r="E1237" s="47"/>
      <c r="F1237" s="47"/>
      <c r="G1237" s="47"/>
      <c r="H1237" s="47"/>
      <c r="I1237" s="47"/>
      <c r="J1237" s="47"/>
      <c r="K1237" s="47"/>
      <c r="L1237" s="11"/>
    </row>
    <row r="1238" spans="2:12" x14ac:dyDescent="0.2">
      <c r="B1238" s="10"/>
      <c r="C1238" s="46"/>
      <c r="D1238" s="47"/>
      <c r="E1238" s="47"/>
      <c r="F1238" s="47"/>
      <c r="G1238" s="47"/>
      <c r="H1238" s="47"/>
      <c r="I1238" s="47"/>
      <c r="J1238" s="47"/>
      <c r="K1238" s="47"/>
      <c r="L1238" s="11"/>
    </row>
    <row r="1239" spans="2:12" x14ac:dyDescent="0.2">
      <c r="B1239" s="10"/>
      <c r="C1239" s="46"/>
      <c r="D1239" s="47"/>
      <c r="E1239" s="47"/>
      <c r="F1239" s="47"/>
      <c r="G1239" s="47"/>
      <c r="H1239" s="47"/>
      <c r="I1239" s="47"/>
      <c r="J1239" s="47"/>
      <c r="K1239" s="47"/>
      <c r="L1239" s="11"/>
    </row>
    <row r="1240" spans="2:12" x14ac:dyDescent="0.2">
      <c r="B1240" s="10"/>
      <c r="C1240" s="46"/>
      <c r="D1240" s="47"/>
      <c r="E1240" s="47"/>
      <c r="F1240" s="47"/>
      <c r="G1240" s="47"/>
      <c r="H1240" s="47"/>
      <c r="I1240" s="47"/>
      <c r="J1240" s="47"/>
      <c r="K1240" s="47"/>
      <c r="L1240" s="11"/>
    </row>
    <row r="1241" spans="2:12" x14ac:dyDescent="0.2">
      <c r="B1241" s="10"/>
      <c r="C1241" s="46"/>
      <c r="D1241" s="47"/>
      <c r="E1241" s="47"/>
      <c r="F1241" s="47"/>
      <c r="G1241" s="47"/>
      <c r="H1241" s="47"/>
      <c r="I1241" s="47"/>
      <c r="J1241" s="47"/>
      <c r="K1241" s="47"/>
      <c r="L1241" s="11"/>
    </row>
    <row r="1242" spans="2:12" x14ac:dyDescent="0.2">
      <c r="B1242" s="10"/>
      <c r="C1242" s="46"/>
      <c r="D1242" s="47"/>
      <c r="E1242" s="47"/>
      <c r="F1242" s="47"/>
      <c r="G1242" s="47"/>
      <c r="H1242" s="47"/>
      <c r="I1242" s="47"/>
      <c r="J1242" s="47"/>
      <c r="K1242" s="47"/>
      <c r="L1242" s="11"/>
    </row>
    <row r="1243" spans="2:12" x14ac:dyDescent="0.2">
      <c r="B1243" s="10"/>
      <c r="C1243" s="46"/>
      <c r="D1243" s="47"/>
      <c r="E1243" s="47"/>
      <c r="F1243" s="47"/>
      <c r="G1243" s="47"/>
      <c r="H1243" s="47"/>
      <c r="I1243" s="47"/>
      <c r="J1243" s="47"/>
      <c r="K1243" s="47"/>
      <c r="L1243" s="11"/>
    </row>
    <row r="1244" spans="2:12" x14ac:dyDescent="0.2">
      <c r="B1244" s="10"/>
      <c r="C1244" s="46"/>
      <c r="D1244" s="47"/>
      <c r="E1244" s="47"/>
      <c r="F1244" s="47"/>
      <c r="G1244" s="47"/>
      <c r="H1244" s="47"/>
      <c r="I1244" s="47"/>
      <c r="J1244" s="47"/>
      <c r="K1244" s="47"/>
      <c r="L1244" s="11"/>
    </row>
    <row r="1245" spans="2:12" x14ac:dyDescent="0.2">
      <c r="B1245" s="10"/>
      <c r="C1245" s="46"/>
      <c r="D1245" s="47"/>
      <c r="E1245" s="47"/>
      <c r="F1245" s="47"/>
      <c r="G1245" s="47"/>
      <c r="H1245" s="47"/>
      <c r="I1245" s="47"/>
      <c r="J1245" s="47"/>
      <c r="K1245" s="47"/>
      <c r="L1245" s="11"/>
    </row>
    <row r="1246" spans="2:12" x14ac:dyDescent="0.2">
      <c r="B1246" s="10"/>
      <c r="C1246" s="46"/>
      <c r="D1246" s="47"/>
      <c r="E1246" s="47"/>
      <c r="F1246" s="47"/>
      <c r="G1246" s="47"/>
      <c r="H1246" s="47"/>
      <c r="I1246" s="47"/>
      <c r="J1246" s="47"/>
      <c r="K1246" s="47"/>
      <c r="L1246" s="11"/>
    </row>
    <row r="1247" spans="2:12" x14ac:dyDescent="0.2">
      <c r="B1247" s="10"/>
      <c r="C1247" s="46"/>
      <c r="D1247" s="47"/>
      <c r="E1247" s="47"/>
      <c r="F1247" s="47"/>
      <c r="G1247" s="47"/>
      <c r="H1247" s="47"/>
      <c r="I1247" s="47"/>
      <c r="J1247" s="47"/>
      <c r="K1247" s="47"/>
      <c r="L1247" s="11"/>
    </row>
    <row r="1248" spans="2:12" x14ac:dyDescent="0.2">
      <c r="B1248" s="10"/>
      <c r="C1248" s="46"/>
      <c r="D1248" s="47"/>
      <c r="E1248" s="47"/>
      <c r="F1248" s="47"/>
      <c r="G1248" s="47"/>
      <c r="H1248" s="47"/>
      <c r="I1248" s="47"/>
      <c r="J1248" s="47"/>
      <c r="K1248" s="47"/>
      <c r="L1248" s="11"/>
    </row>
    <row r="1249" spans="2:12" x14ac:dyDescent="0.2">
      <c r="B1249" s="10"/>
      <c r="C1249" s="46"/>
      <c r="D1249" s="47"/>
      <c r="E1249" s="47"/>
      <c r="F1249" s="47"/>
      <c r="G1249" s="47"/>
      <c r="H1249" s="47"/>
      <c r="I1249" s="47"/>
      <c r="J1249" s="47"/>
      <c r="K1249" s="47"/>
      <c r="L1249" s="11"/>
    </row>
    <row r="1250" spans="2:12" x14ac:dyDescent="0.2">
      <c r="B1250" s="10"/>
      <c r="C1250" s="46"/>
      <c r="D1250" s="47"/>
      <c r="E1250" s="47"/>
      <c r="F1250" s="47"/>
      <c r="G1250" s="47"/>
      <c r="H1250" s="47"/>
      <c r="I1250" s="47"/>
      <c r="J1250" s="47"/>
      <c r="K1250" s="47"/>
      <c r="L1250" s="11"/>
    </row>
    <row r="1251" spans="2:12" x14ac:dyDescent="0.2">
      <c r="B1251" s="10"/>
      <c r="C1251" s="46"/>
      <c r="D1251" s="47"/>
      <c r="E1251" s="47"/>
      <c r="F1251" s="47"/>
      <c r="G1251" s="47"/>
      <c r="H1251" s="47"/>
      <c r="I1251" s="47"/>
      <c r="J1251" s="47"/>
      <c r="K1251" s="47"/>
      <c r="L1251" s="11"/>
    </row>
    <row r="1252" spans="2:12" x14ac:dyDescent="0.2">
      <c r="B1252" s="10"/>
      <c r="C1252" s="46"/>
      <c r="D1252" s="47"/>
      <c r="E1252" s="47"/>
      <c r="F1252" s="47"/>
      <c r="G1252" s="47"/>
      <c r="H1252" s="47"/>
      <c r="I1252" s="47"/>
      <c r="J1252" s="47"/>
      <c r="K1252" s="47"/>
      <c r="L1252" s="11"/>
    </row>
    <row r="1253" spans="2:12" x14ac:dyDescent="0.2">
      <c r="B1253" s="10"/>
      <c r="C1253" s="46"/>
      <c r="D1253" s="47"/>
      <c r="E1253" s="47"/>
      <c r="F1253" s="47"/>
      <c r="G1253" s="47"/>
      <c r="H1253" s="47"/>
      <c r="I1253" s="47"/>
      <c r="J1253" s="47"/>
      <c r="K1253" s="47"/>
      <c r="L1253" s="11"/>
    </row>
    <row r="1254" spans="2:12" x14ac:dyDescent="0.2">
      <c r="B1254" s="10"/>
      <c r="C1254" s="46"/>
      <c r="D1254" s="47"/>
      <c r="E1254" s="47"/>
      <c r="F1254" s="47"/>
      <c r="G1254" s="47"/>
      <c r="H1254" s="47"/>
      <c r="I1254" s="47"/>
      <c r="J1254" s="47"/>
      <c r="K1254" s="47"/>
      <c r="L1254" s="11"/>
    </row>
    <row r="1255" spans="2:12" x14ac:dyDescent="0.2">
      <c r="B1255" s="10"/>
      <c r="C1255" s="46"/>
      <c r="D1255" s="47"/>
      <c r="E1255" s="47"/>
      <c r="F1255" s="47"/>
      <c r="G1255" s="47"/>
      <c r="H1255" s="47"/>
      <c r="I1255" s="47"/>
      <c r="J1255" s="47"/>
      <c r="K1255" s="47"/>
      <c r="L1255" s="11"/>
    </row>
    <row r="1256" spans="2:12" x14ac:dyDescent="0.2">
      <c r="B1256" s="10"/>
      <c r="C1256" s="46"/>
      <c r="D1256" s="47"/>
      <c r="E1256" s="47"/>
      <c r="F1256" s="47"/>
      <c r="G1256" s="47"/>
      <c r="H1256" s="47"/>
      <c r="I1256" s="47"/>
      <c r="J1256" s="47"/>
      <c r="K1256" s="47"/>
      <c r="L1256" s="11"/>
    </row>
    <row r="1257" spans="2:12" x14ac:dyDescent="0.2">
      <c r="B1257" s="10"/>
      <c r="C1257" s="46"/>
      <c r="D1257" s="47"/>
      <c r="E1257" s="47"/>
      <c r="F1257" s="47"/>
      <c r="G1257" s="47"/>
      <c r="H1257" s="47"/>
      <c r="I1257" s="47"/>
      <c r="J1257" s="47"/>
      <c r="K1257" s="47"/>
      <c r="L1257" s="11"/>
    </row>
    <row r="1258" spans="2:12" x14ac:dyDescent="0.2">
      <c r="B1258" s="10"/>
      <c r="C1258" s="46"/>
      <c r="D1258" s="47"/>
      <c r="E1258" s="47"/>
      <c r="F1258" s="47"/>
      <c r="G1258" s="47"/>
      <c r="H1258" s="47"/>
      <c r="I1258" s="47"/>
      <c r="J1258" s="47"/>
      <c r="K1258" s="47"/>
      <c r="L1258" s="11"/>
    </row>
    <row r="1259" spans="2:12" x14ac:dyDescent="0.2">
      <c r="B1259" s="10"/>
      <c r="C1259" s="46"/>
      <c r="D1259" s="47"/>
      <c r="E1259" s="47"/>
      <c r="F1259" s="47"/>
      <c r="G1259" s="47"/>
      <c r="H1259" s="47"/>
      <c r="I1259" s="47"/>
      <c r="J1259" s="47"/>
      <c r="K1259" s="47"/>
      <c r="L1259" s="11"/>
    </row>
    <row r="1260" spans="2:12" x14ac:dyDescent="0.2">
      <c r="B1260" s="10"/>
      <c r="C1260" s="46"/>
      <c r="D1260" s="47"/>
      <c r="E1260" s="47"/>
      <c r="F1260" s="47"/>
      <c r="G1260" s="47"/>
      <c r="H1260" s="47"/>
      <c r="I1260" s="47"/>
      <c r="J1260" s="47"/>
      <c r="K1260" s="47"/>
      <c r="L1260" s="11"/>
    </row>
    <row r="1261" spans="2:12" x14ac:dyDescent="0.2">
      <c r="B1261" s="10"/>
      <c r="C1261" s="46"/>
      <c r="D1261" s="47"/>
      <c r="E1261" s="47"/>
      <c r="F1261" s="47"/>
      <c r="G1261" s="47"/>
      <c r="H1261" s="47"/>
      <c r="I1261" s="47"/>
      <c r="J1261" s="47"/>
      <c r="K1261" s="47"/>
      <c r="L1261" s="11"/>
    </row>
    <row r="1262" spans="2:12" x14ac:dyDescent="0.2">
      <c r="B1262" s="10"/>
      <c r="C1262" s="46"/>
      <c r="D1262" s="47"/>
      <c r="E1262" s="47"/>
      <c r="F1262" s="47"/>
      <c r="G1262" s="47"/>
      <c r="H1262" s="47"/>
      <c r="I1262" s="47"/>
      <c r="J1262" s="47"/>
      <c r="K1262" s="47"/>
      <c r="L1262" s="11"/>
    </row>
    <row r="1263" spans="2:12" x14ac:dyDescent="0.2">
      <c r="B1263" s="10"/>
      <c r="C1263" s="46"/>
      <c r="D1263" s="47"/>
      <c r="E1263" s="47"/>
      <c r="F1263" s="47"/>
      <c r="G1263" s="47"/>
      <c r="H1263" s="47"/>
      <c r="I1263" s="47"/>
      <c r="J1263" s="47"/>
      <c r="K1263" s="47"/>
      <c r="L1263" s="11"/>
    </row>
    <row r="1264" spans="2:12" x14ac:dyDescent="0.2">
      <c r="B1264" s="10"/>
      <c r="C1264" s="46"/>
      <c r="D1264" s="47"/>
      <c r="E1264" s="47"/>
      <c r="F1264" s="47"/>
      <c r="G1264" s="47"/>
      <c r="H1264" s="47"/>
      <c r="I1264" s="47"/>
      <c r="J1264" s="47"/>
      <c r="K1264" s="47"/>
      <c r="L1264" s="11"/>
    </row>
    <row r="1265" spans="2:12" x14ac:dyDescent="0.2">
      <c r="B1265" s="10"/>
      <c r="C1265" s="46"/>
      <c r="D1265" s="47"/>
      <c r="E1265" s="47"/>
      <c r="F1265" s="47"/>
      <c r="G1265" s="47"/>
      <c r="H1265" s="47"/>
      <c r="I1265" s="47"/>
      <c r="J1265" s="47"/>
      <c r="K1265" s="47"/>
      <c r="L1265" s="11"/>
    </row>
    <row r="1266" spans="2:12" x14ac:dyDescent="0.2">
      <c r="B1266" s="10"/>
      <c r="C1266" s="46"/>
      <c r="D1266" s="47"/>
      <c r="E1266" s="47"/>
      <c r="F1266" s="47"/>
      <c r="G1266" s="47"/>
      <c r="H1266" s="47"/>
      <c r="I1266" s="47"/>
      <c r="J1266" s="47"/>
      <c r="K1266" s="47"/>
      <c r="L1266" s="11"/>
    </row>
    <row r="1267" spans="2:12" x14ac:dyDescent="0.2">
      <c r="B1267" s="10"/>
      <c r="C1267" s="46"/>
      <c r="D1267" s="47"/>
      <c r="E1267" s="47"/>
      <c r="F1267" s="47"/>
      <c r="G1267" s="47"/>
      <c r="H1267" s="47"/>
      <c r="I1267" s="47"/>
      <c r="J1267" s="47"/>
      <c r="K1267" s="47"/>
      <c r="L1267" s="11"/>
    </row>
    <row r="1268" spans="2:12" x14ac:dyDescent="0.2">
      <c r="B1268" s="10"/>
      <c r="C1268" s="46"/>
      <c r="D1268" s="47"/>
      <c r="E1268" s="47"/>
      <c r="F1268" s="47"/>
      <c r="G1268" s="47"/>
      <c r="H1268" s="47"/>
      <c r="I1268" s="47"/>
      <c r="J1268" s="47"/>
      <c r="K1268" s="47"/>
      <c r="L1268" s="11"/>
    </row>
    <row r="1269" spans="2:12" x14ac:dyDescent="0.2">
      <c r="B1269" s="10"/>
      <c r="C1269" s="46"/>
      <c r="D1269" s="47"/>
      <c r="E1269" s="47"/>
      <c r="F1269" s="47"/>
      <c r="G1269" s="47"/>
      <c r="H1269" s="47"/>
      <c r="I1269" s="47"/>
      <c r="J1269" s="47"/>
      <c r="K1269" s="47"/>
      <c r="L1269" s="11"/>
    </row>
    <row r="1270" spans="2:12" x14ac:dyDescent="0.2">
      <c r="B1270" s="10"/>
      <c r="C1270" s="46"/>
      <c r="D1270" s="47"/>
      <c r="E1270" s="47"/>
      <c r="F1270" s="47"/>
      <c r="G1270" s="47"/>
      <c r="H1270" s="47"/>
      <c r="I1270" s="47"/>
      <c r="J1270" s="47"/>
      <c r="K1270" s="47"/>
      <c r="L1270" s="11"/>
    </row>
    <row r="1271" spans="2:12" x14ac:dyDescent="0.2">
      <c r="B1271" s="10"/>
      <c r="C1271" s="46"/>
      <c r="D1271" s="47"/>
      <c r="E1271" s="47"/>
      <c r="F1271" s="47"/>
      <c r="G1271" s="47"/>
      <c r="H1271" s="47"/>
      <c r="I1271" s="47"/>
      <c r="J1271" s="47"/>
      <c r="K1271" s="47"/>
      <c r="L1271" s="11"/>
    </row>
    <row r="1272" spans="2:12" x14ac:dyDescent="0.2">
      <c r="B1272" s="10"/>
      <c r="C1272" s="46"/>
      <c r="D1272" s="47"/>
      <c r="E1272" s="47"/>
      <c r="F1272" s="47"/>
      <c r="G1272" s="47"/>
      <c r="H1272" s="47"/>
      <c r="I1272" s="47"/>
      <c r="J1272" s="47"/>
      <c r="K1272" s="47"/>
      <c r="L1272" s="11"/>
    </row>
    <row r="1273" spans="2:12" x14ac:dyDescent="0.2">
      <c r="B1273" s="10"/>
      <c r="C1273" s="46"/>
      <c r="D1273" s="47"/>
      <c r="E1273" s="47"/>
      <c r="F1273" s="47"/>
      <c r="G1273" s="47"/>
      <c r="H1273" s="47"/>
      <c r="I1273" s="47"/>
      <c r="J1273" s="47"/>
      <c r="K1273" s="47"/>
      <c r="L1273" s="11"/>
    </row>
    <row r="1274" spans="2:12" x14ac:dyDescent="0.2">
      <c r="B1274" s="10"/>
      <c r="C1274" s="46"/>
      <c r="D1274" s="47"/>
      <c r="E1274" s="47"/>
      <c r="F1274" s="47"/>
      <c r="G1274" s="47"/>
      <c r="H1274" s="47"/>
      <c r="I1274" s="47"/>
      <c r="J1274" s="47"/>
      <c r="K1274" s="47"/>
      <c r="L1274" s="11"/>
    </row>
    <row r="1275" spans="2:12" x14ac:dyDescent="0.2">
      <c r="B1275" s="10"/>
      <c r="C1275" s="46"/>
      <c r="D1275" s="47"/>
      <c r="E1275" s="47"/>
      <c r="F1275" s="47"/>
      <c r="G1275" s="47"/>
      <c r="H1275" s="47"/>
      <c r="I1275" s="47"/>
      <c r="J1275" s="47"/>
      <c r="K1275" s="47"/>
      <c r="L1275" s="11"/>
    </row>
    <row r="1276" spans="2:12" x14ac:dyDescent="0.2">
      <c r="B1276" s="10"/>
      <c r="C1276" s="46"/>
      <c r="D1276" s="47"/>
      <c r="E1276" s="47"/>
      <c r="F1276" s="47"/>
      <c r="G1276" s="47"/>
      <c r="H1276" s="47"/>
      <c r="I1276" s="47"/>
      <c r="J1276" s="47"/>
      <c r="K1276" s="47"/>
      <c r="L1276" s="11"/>
    </row>
    <row r="1277" spans="2:12" x14ac:dyDescent="0.2">
      <c r="B1277" s="10"/>
      <c r="C1277" s="46"/>
      <c r="D1277" s="47"/>
      <c r="E1277" s="47"/>
      <c r="F1277" s="47"/>
      <c r="G1277" s="47"/>
      <c r="H1277" s="47"/>
      <c r="I1277" s="47"/>
      <c r="J1277" s="47"/>
      <c r="K1277" s="47"/>
      <c r="L1277" s="11"/>
    </row>
    <row r="1278" spans="2:12" x14ac:dyDescent="0.2">
      <c r="B1278" s="10"/>
      <c r="C1278" s="46"/>
      <c r="D1278" s="47"/>
      <c r="E1278" s="47"/>
      <c r="F1278" s="47"/>
      <c r="G1278" s="47"/>
      <c r="H1278" s="47"/>
      <c r="I1278" s="47"/>
      <c r="J1278" s="47"/>
      <c r="K1278" s="47"/>
      <c r="L1278" s="11"/>
    </row>
    <row r="1279" spans="2:12" x14ac:dyDescent="0.2">
      <c r="B1279" s="10"/>
      <c r="C1279" s="46"/>
      <c r="D1279" s="47"/>
      <c r="E1279" s="47"/>
      <c r="F1279" s="47"/>
      <c r="G1279" s="47"/>
      <c r="H1279" s="47"/>
      <c r="I1279" s="47"/>
      <c r="J1279" s="47"/>
      <c r="K1279" s="47"/>
      <c r="L1279" s="11"/>
    </row>
    <row r="1280" spans="2:12" x14ac:dyDescent="0.2">
      <c r="B1280" s="10"/>
      <c r="C1280" s="46"/>
      <c r="D1280" s="47"/>
      <c r="E1280" s="47"/>
      <c r="F1280" s="47"/>
      <c r="G1280" s="47"/>
      <c r="H1280" s="47"/>
      <c r="I1280" s="47"/>
      <c r="J1280" s="47"/>
      <c r="K1280" s="47"/>
      <c r="L1280" s="11"/>
    </row>
    <row r="1281" spans="2:12" x14ac:dyDescent="0.2">
      <c r="B1281" s="10"/>
      <c r="C1281" s="46"/>
      <c r="D1281" s="47"/>
      <c r="E1281" s="47"/>
      <c r="F1281" s="47"/>
      <c r="G1281" s="47"/>
      <c r="H1281" s="47"/>
      <c r="I1281" s="47"/>
      <c r="J1281" s="47"/>
      <c r="K1281" s="47"/>
      <c r="L1281" s="11"/>
    </row>
    <row r="1282" spans="2:12" x14ac:dyDescent="0.2">
      <c r="B1282" s="10"/>
      <c r="C1282" s="46"/>
      <c r="D1282" s="47"/>
      <c r="E1282" s="47"/>
      <c r="F1282" s="47"/>
      <c r="G1282" s="47"/>
      <c r="H1282" s="47"/>
      <c r="I1282" s="47"/>
      <c r="J1282" s="47"/>
      <c r="K1282" s="47"/>
      <c r="L1282" s="11"/>
    </row>
    <row r="1283" spans="2:12" x14ac:dyDescent="0.2">
      <c r="B1283" s="10"/>
      <c r="C1283" s="46"/>
      <c r="D1283" s="47"/>
      <c r="E1283" s="47"/>
      <c r="F1283" s="47"/>
      <c r="G1283" s="47"/>
      <c r="H1283" s="47"/>
      <c r="I1283" s="47"/>
      <c r="J1283" s="47"/>
      <c r="K1283" s="47"/>
      <c r="L1283" s="11"/>
    </row>
    <row r="1284" spans="2:12" x14ac:dyDescent="0.2">
      <c r="B1284" s="10"/>
      <c r="C1284" s="46"/>
      <c r="D1284" s="47"/>
      <c r="E1284" s="47"/>
      <c r="F1284" s="47"/>
      <c r="G1284" s="47"/>
      <c r="H1284" s="47"/>
      <c r="I1284" s="47"/>
      <c r="J1284" s="47"/>
      <c r="K1284" s="47"/>
      <c r="L1284" s="11"/>
    </row>
    <row r="1285" spans="2:12" x14ac:dyDescent="0.2">
      <c r="B1285" s="10"/>
      <c r="C1285" s="46"/>
      <c r="D1285" s="47"/>
      <c r="E1285" s="47"/>
      <c r="F1285" s="47"/>
      <c r="G1285" s="47"/>
      <c r="H1285" s="47"/>
      <c r="I1285" s="47"/>
      <c r="J1285" s="47"/>
      <c r="K1285" s="47"/>
      <c r="L1285" s="11"/>
    </row>
    <row r="1286" spans="2:12" x14ac:dyDescent="0.2">
      <c r="B1286" s="10"/>
      <c r="C1286" s="46"/>
      <c r="D1286" s="47"/>
      <c r="E1286" s="47"/>
      <c r="F1286" s="47"/>
      <c r="G1286" s="47"/>
      <c r="H1286" s="47"/>
      <c r="I1286" s="47"/>
      <c r="J1286" s="47"/>
      <c r="K1286" s="47"/>
      <c r="L1286" s="11"/>
    </row>
    <row r="1287" spans="2:12" x14ac:dyDescent="0.2">
      <c r="B1287" s="10"/>
      <c r="C1287" s="46"/>
      <c r="D1287" s="47"/>
      <c r="E1287" s="47"/>
      <c r="F1287" s="47"/>
      <c r="G1287" s="47"/>
      <c r="H1287" s="47"/>
      <c r="I1287" s="47"/>
      <c r="J1287" s="47"/>
      <c r="K1287" s="47"/>
      <c r="L1287" s="11"/>
    </row>
    <row r="1288" spans="2:12" x14ac:dyDescent="0.2">
      <c r="B1288" s="10"/>
      <c r="C1288" s="46"/>
      <c r="D1288" s="47"/>
      <c r="E1288" s="47"/>
      <c r="F1288" s="47"/>
      <c r="G1288" s="47"/>
      <c r="H1288" s="47"/>
      <c r="I1288" s="47"/>
      <c r="J1288" s="47"/>
      <c r="K1288" s="47"/>
      <c r="L1288" s="11"/>
    </row>
    <row r="1289" spans="2:12" x14ac:dyDescent="0.2">
      <c r="B1289" s="10"/>
      <c r="C1289" s="46"/>
      <c r="D1289" s="47"/>
      <c r="E1289" s="47"/>
      <c r="F1289" s="47"/>
      <c r="G1289" s="47"/>
      <c r="H1289" s="47"/>
      <c r="I1289" s="47"/>
      <c r="J1289" s="47"/>
      <c r="K1289" s="47"/>
      <c r="L1289" s="11"/>
    </row>
    <row r="1290" spans="2:12" x14ac:dyDescent="0.2">
      <c r="B1290" s="10"/>
      <c r="C1290" s="46"/>
      <c r="D1290" s="47"/>
      <c r="E1290" s="47"/>
      <c r="F1290" s="47"/>
      <c r="G1290" s="47"/>
      <c r="H1290" s="47"/>
      <c r="I1290" s="47"/>
      <c r="J1290" s="47"/>
      <c r="K1290" s="47"/>
      <c r="L1290" s="11"/>
    </row>
    <row r="1291" spans="2:12" x14ac:dyDescent="0.2">
      <c r="B1291" s="10"/>
      <c r="C1291" s="46"/>
      <c r="D1291" s="47"/>
      <c r="E1291" s="47"/>
      <c r="F1291" s="47"/>
      <c r="G1291" s="47"/>
      <c r="H1291" s="47"/>
      <c r="I1291" s="47"/>
      <c r="J1291" s="47"/>
      <c r="K1291" s="47"/>
      <c r="L1291" s="11"/>
    </row>
    <row r="1292" spans="2:12" x14ac:dyDescent="0.2">
      <c r="B1292" s="10"/>
      <c r="C1292" s="46"/>
      <c r="D1292" s="47"/>
      <c r="E1292" s="47"/>
      <c r="F1292" s="47"/>
      <c r="G1292" s="47"/>
      <c r="H1292" s="47"/>
      <c r="I1292" s="47"/>
      <c r="J1292" s="47"/>
      <c r="K1292" s="47"/>
      <c r="L1292" s="11"/>
    </row>
    <row r="1293" spans="2:12" x14ac:dyDescent="0.2">
      <c r="B1293" s="10"/>
      <c r="C1293" s="46"/>
      <c r="D1293" s="47"/>
      <c r="E1293" s="47"/>
      <c r="F1293" s="47"/>
      <c r="G1293" s="47"/>
      <c r="H1293" s="47"/>
      <c r="I1293" s="47"/>
      <c r="J1293" s="47"/>
      <c r="K1293" s="47"/>
      <c r="L1293" s="11"/>
    </row>
    <row r="1294" spans="2:12" x14ac:dyDescent="0.2">
      <c r="B1294" s="10"/>
      <c r="C1294" s="46"/>
      <c r="D1294" s="47"/>
      <c r="E1294" s="47"/>
      <c r="F1294" s="47"/>
      <c r="G1294" s="47"/>
      <c r="H1294" s="47"/>
      <c r="I1294" s="47"/>
      <c r="J1294" s="47"/>
      <c r="K1294" s="47"/>
      <c r="L1294" s="11"/>
    </row>
    <row r="1295" spans="2:12" x14ac:dyDescent="0.2">
      <c r="B1295" s="10"/>
      <c r="C1295" s="46"/>
      <c r="D1295" s="47"/>
      <c r="E1295" s="47"/>
      <c r="F1295" s="47"/>
      <c r="G1295" s="47"/>
      <c r="H1295" s="47"/>
      <c r="I1295" s="47"/>
      <c r="J1295" s="47"/>
      <c r="K1295" s="47"/>
      <c r="L1295" s="11"/>
    </row>
    <row r="1296" spans="2:12" x14ac:dyDescent="0.2">
      <c r="B1296" s="10"/>
      <c r="C1296" s="46"/>
      <c r="D1296" s="47"/>
      <c r="E1296" s="47"/>
      <c r="F1296" s="47"/>
      <c r="G1296" s="47"/>
      <c r="H1296" s="47"/>
      <c r="I1296" s="47"/>
      <c r="J1296" s="47"/>
      <c r="K1296" s="47"/>
      <c r="L1296" s="11"/>
    </row>
    <row r="1297" spans="2:12" x14ac:dyDescent="0.2">
      <c r="B1297" s="10"/>
      <c r="C1297" s="46"/>
      <c r="D1297" s="47"/>
      <c r="E1297" s="47"/>
      <c r="F1297" s="47"/>
      <c r="G1297" s="47"/>
      <c r="H1297" s="47"/>
      <c r="I1297" s="47"/>
      <c r="J1297" s="47"/>
      <c r="K1297" s="47"/>
      <c r="L1297" s="11"/>
    </row>
    <row r="1298" spans="2:12" x14ac:dyDescent="0.2">
      <c r="B1298" s="10"/>
      <c r="C1298" s="46"/>
      <c r="D1298" s="47"/>
      <c r="E1298" s="47"/>
      <c r="F1298" s="47"/>
      <c r="G1298" s="47"/>
      <c r="H1298" s="47"/>
      <c r="I1298" s="47"/>
      <c r="J1298" s="47"/>
      <c r="K1298" s="47"/>
      <c r="L1298" s="11"/>
    </row>
    <row r="1299" spans="2:12" x14ac:dyDescent="0.2">
      <c r="B1299" s="10"/>
      <c r="C1299" s="46"/>
      <c r="D1299" s="47"/>
      <c r="E1299" s="47"/>
      <c r="F1299" s="47"/>
      <c r="G1299" s="47"/>
      <c r="H1299" s="47"/>
      <c r="I1299" s="47"/>
      <c r="J1299" s="47"/>
      <c r="K1299" s="47"/>
      <c r="L1299" s="11"/>
    </row>
    <row r="1300" spans="2:12" x14ac:dyDescent="0.2">
      <c r="B1300" s="10"/>
      <c r="C1300" s="46"/>
      <c r="D1300" s="47"/>
      <c r="E1300" s="47"/>
      <c r="F1300" s="47"/>
      <c r="G1300" s="47"/>
      <c r="H1300" s="47"/>
      <c r="I1300" s="47"/>
      <c r="J1300" s="47"/>
      <c r="K1300" s="47"/>
      <c r="L1300" s="11"/>
    </row>
    <row r="1301" spans="2:12" x14ac:dyDescent="0.2">
      <c r="B1301" s="10"/>
      <c r="C1301" s="46"/>
      <c r="D1301" s="47"/>
      <c r="E1301" s="47"/>
      <c r="F1301" s="47"/>
      <c r="G1301" s="47"/>
      <c r="H1301" s="47"/>
      <c r="I1301" s="47"/>
      <c r="J1301" s="47"/>
      <c r="K1301" s="47"/>
      <c r="L1301" s="11"/>
    </row>
    <row r="1302" spans="2:12" x14ac:dyDescent="0.2">
      <c r="B1302" s="10"/>
      <c r="C1302" s="46"/>
      <c r="D1302" s="47"/>
      <c r="E1302" s="47"/>
      <c r="F1302" s="47"/>
      <c r="G1302" s="47"/>
      <c r="H1302" s="47"/>
      <c r="I1302" s="47"/>
      <c r="J1302" s="47"/>
      <c r="K1302" s="47"/>
      <c r="L1302" s="11"/>
    </row>
    <row r="1303" spans="2:12" x14ac:dyDescent="0.2">
      <c r="B1303" s="10"/>
      <c r="C1303" s="46"/>
      <c r="D1303" s="47"/>
      <c r="E1303" s="47"/>
      <c r="F1303" s="47"/>
      <c r="G1303" s="47"/>
      <c r="H1303" s="47"/>
      <c r="I1303" s="47"/>
      <c r="J1303" s="47"/>
      <c r="K1303" s="47"/>
      <c r="L1303" s="11"/>
    </row>
    <row r="1304" spans="2:12" x14ac:dyDescent="0.2">
      <c r="B1304" s="10"/>
      <c r="C1304" s="46"/>
      <c r="D1304" s="47"/>
      <c r="E1304" s="47"/>
      <c r="F1304" s="47"/>
      <c r="G1304" s="47"/>
      <c r="H1304" s="47"/>
      <c r="I1304" s="47"/>
      <c r="J1304" s="47"/>
      <c r="K1304" s="47"/>
      <c r="L1304" s="11"/>
    </row>
    <row r="1305" spans="2:12" x14ac:dyDescent="0.2">
      <c r="B1305" s="10"/>
      <c r="C1305" s="46"/>
      <c r="D1305" s="47"/>
      <c r="E1305" s="47"/>
      <c r="F1305" s="47"/>
      <c r="G1305" s="47"/>
      <c r="H1305" s="47"/>
      <c r="I1305" s="47"/>
      <c r="J1305" s="47"/>
      <c r="K1305" s="47"/>
      <c r="L1305" s="11"/>
    </row>
    <row r="1306" spans="2:12" x14ac:dyDescent="0.2">
      <c r="B1306" s="10"/>
      <c r="C1306" s="46"/>
      <c r="D1306" s="47"/>
      <c r="E1306" s="47"/>
      <c r="F1306" s="47"/>
      <c r="G1306" s="47"/>
      <c r="H1306" s="47"/>
      <c r="I1306" s="47"/>
      <c r="J1306" s="47"/>
      <c r="K1306" s="47"/>
      <c r="L1306" s="11"/>
    </row>
    <row r="1307" spans="2:12" x14ac:dyDescent="0.2">
      <c r="B1307" s="10"/>
      <c r="C1307" s="46"/>
      <c r="D1307" s="47"/>
      <c r="E1307" s="47"/>
      <c r="F1307" s="47"/>
      <c r="G1307" s="47"/>
      <c r="H1307" s="47"/>
      <c r="I1307" s="47"/>
      <c r="J1307" s="47"/>
      <c r="K1307" s="47"/>
      <c r="L1307" s="11"/>
    </row>
    <row r="1308" spans="2:12" x14ac:dyDescent="0.2">
      <c r="B1308" s="10"/>
      <c r="C1308" s="46"/>
      <c r="D1308" s="47"/>
      <c r="E1308" s="47"/>
      <c r="F1308" s="47"/>
      <c r="G1308" s="47"/>
      <c r="H1308" s="47"/>
      <c r="I1308" s="47"/>
      <c r="J1308" s="47"/>
      <c r="K1308" s="47"/>
      <c r="L1308" s="11"/>
    </row>
    <row r="1309" spans="2:12" x14ac:dyDescent="0.2">
      <c r="B1309" s="10"/>
      <c r="C1309" s="46"/>
      <c r="D1309" s="47"/>
      <c r="E1309" s="47"/>
      <c r="F1309" s="47"/>
      <c r="G1309" s="47"/>
      <c r="H1309" s="47"/>
      <c r="I1309" s="47"/>
      <c r="J1309" s="47"/>
      <c r="K1309" s="47"/>
      <c r="L1309" s="11"/>
    </row>
    <row r="1310" spans="2:12" x14ac:dyDescent="0.2">
      <c r="B1310" s="10"/>
      <c r="C1310" s="46"/>
      <c r="D1310" s="47"/>
      <c r="E1310" s="47"/>
      <c r="F1310" s="47"/>
      <c r="G1310" s="47"/>
      <c r="H1310" s="47"/>
      <c r="I1310" s="47"/>
      <c r="J1310" s="47"/>
      <c r="K1310" s="47"/>
      <c r="L1310" s="11"/>
    </row>
    <row r="1311" spans="2:12" x14ac:dyDescent="0.2">
      <c r="B1311" s="10"/>
      <c r="C1311" s="46"/>
      <c r="D1311" s="47"/>
      <c r="E1311" s="47"/>
      <c r="F1311" s="47"/>
      <c r="G1311" s="47"/>
      <c r="H1311" s="47"/>
      <c r="I1311" s="47"/>
      <c r="J1311" s="47"/>
      <c r="K1311" s="47"/>
      <c r="L1311" s="11"/>
    </row>
    <row r="1312" spans="2:12" x14ac:dyDescent="0.2">
      <c r="B1312" s="10"/>
      <c r="C1312" s="46"/>
      <c r="D1312" s="47"/>
      <c r="E1312" s="47"/>
      <c r="F1312" s="47"/>
      <c r="G1312" s="47"/>
      <c r="H1312" s="47"/>
      <c r="I1312" s="47"/>
      <c r="J1312" s="47"/>
      <c r="K1312" s="47"/>
      <c r="L1312" s="11"/>
    </row>
    <row r="1313" spans="2:12" x14ac:dyDescent="0.2">
      <c r="B1313" s="10"/>
      <c r="C1313" s="46"/>
      <c r="D1313" s="47"/>
      <c r="E1313" s="47"/>
      <c r="F1313" s="47"/>
      <c r="G1313" s="47"/>
      <c r="H1313" s="47"/>
      <c r="I1313" s="47"/>
      <c r="J1313" s="47"/>
      <c r="K1313" s="47"/>
      <c r="L1313" s="11"/>
    </row>
    <row r="1314" spans="2:12" x14ac:dyDescent="0.2">
      <c r="B1314" s="10"/>
      <c r="C1314" s="46"/>
      <c r="D1314" s="47"/>
      <c r="E1314" s="47"/>
      <c r="F1314" s="47"/>
      <c r="G1314" s="47"/>
      <c r="H1314" s="47"/>
      <c r="I1314" s="47"/>
      <c r="J1314" s="47"/>
      <c r="K1314" s="47"/>
      <c r="L1314" s="11"/>
    </row>
    <row r="1315" spans="2:12" x14ac:dyDescent="0.2">
      <c r="B1315" s="10"/>
      <c r="C1315" s="46"/>
      <c r="D1315" s="47"/>
      <c r="E1315" s="47"/>
      <c r="F1315" s="47"/>
      <c r="G1315" s="47"/>
      <c r="H1315" s="47"/>
      <c r="I1315" s="47"/>
      <c r="J1315" s="47"/>
      <c r="K1315" s="47"/>
      <c r="L1315" s="11"/>
    </row>
    <row r="1316" spans="2:12" x14ac:dyDescent="0.2">
      <c r="B1316" s="10"/>
      <c r="C1316" s="46"/>
      <c r="D1316" s="47"/>
      <c r="E1316" s="47"/>
      <c r="F1316" s="47"/>
      <c r="G1316" s="47"/>
      <c r="H1316" s="47"/>
      <c r="I1316" s="47"/>
      <c r="J1316" s="47"/>
      <c r="K1316" s="47"/>
      <c r="L1316" s="11"/>
    </row>
    <row r="1317" spans="2:12" x14ac:dyDescent="0.2">
      <c r="B1317" s="10"/>
      <c r="C1317" s="46"/>
      <c r="D1317" s="47"/>
      <c r="E1317" s="47"/>
      <c r="F1317" s="47"/>
      <c r="G1317" s="47"/>
      <c r="H1317" s="47"/>
      <c r="I1317" s="47"/>
      <c r="J1317" s="47"/>
      <c r="K1317" s="47"/>
      <c r="L1317" s="11"/>
    </row>
    <row r="1318" spans="2:12" x14ac:dyDescent="0.2">
      <c r="B1318" s="10"/>
      <c r="C1318" s="46"/>
      <c r="D1318" s="47"/>
      <c r="E1318" s="47"/>
      <c r="F1318" s="47"/>
      <c r="G1318" s="47"/>
      <c r="H1318" s="47"/>
      <c r="I1318" s="47"/>
      <c r="J1318" s="47"/>
      <c r="K1318" s="47"/>
      <c r="L1318" s="11"/>
    </row>
    <row r="1319" spans="2:12" x14ac:dyDescent="0.2">
      <c r="B1319" s="10"/>
      <c r="C1319" s="46"/>
      <c r="D1319" s="47"/>
      <c r="E1319" s="47"/>
      <c r="F1319" s="47"/>
      <c r="G1319" s="47"/>
      <c r="H1319" s="47"/>
      <c r="I1319" s="47"/>
      <c r="J1319" s="47"/>
      <c r="K1319" s="47"/>
      <c r="L1319" s="11"/>
    </row>
    <row r="1320" spans="2:12" x14ac:dyDescent="0.2">
      <c r="B1320" s="10"/>
      <c r="C1320" s="46"/>
      <c r="D1320" s="47"/>
      <c r="E1320" s="47"/>
      <c r="F1320" s="47"/>
      <c r="G1320" s="47"/>
      <c r="H1320" s="47"/>
      <c r="I1320" s="47"/>
      <c r="J1320" s="47"/>
      <c r="K1320" s="47"/>
      <c r="L1320" s="11"/>
    </row>
    <row r="1321" spans="2:12" x14ac:dyDescent="0.2">
      <c r="B1321" s="10"/>
      <c r="C1321" s="46"/>
      <c r="D1321" s="47"/>
      <c r="E1321" s="47"/>
      <c r="F1321" s="47"/>
      <c r="G1321" s="47"/>
      <c r="H1321" s="47"/>
      <c r="I1321" s="47"/>
      <c r="J1321" s="47"/>
      <c r="K1321" s="47"/>
      <c r="L1321" s="11"/>
    </row>
    <row r="1322" spans="2:12" x14ac:dyDescent="0.2">
      <c r="B1322" s="10"/>
      <c r="C1322" s="46"/>
      <c r="D1322" s="47"/>
      <c r="E1322" s="47"/>
      <c r="F1322" s="47"/>
      <c r="G1322" s="47"/>
      <c r="H1322" s="47"/>
      <c r="I1322" s="47"/>
      <c r="J1322" s="47"/>
      <c r="K1322" s="47"/>
      <c r="L1322" s="11"/>
    </row>
    <row r="1323" spans="2:12" x14ac:dyDescent="0.2">
      <c r="B1323" s="10"/>
      <c r="C1323" s="46"/>
      <c r="D1323" s="47"/>
      <c r="E1323" s="47"/>
      <c r="F1323" s="47"/>
      <c r="G1323" s="47"/>
      <c r="H1323" s="47"/>
      <c r="I1323" s="47"/>
      <c r="J1323" s="47"/>
      <c r="K1323" s="47"/>
      <c r="L1323" s="11"/>
    </row>
    <row r="1324" spans="2:12" x14ac:dyDescent="0.2">
      <c r="B1324" s="10"/>
      <c r="C1324" s="46"/>
      <c r="D1324" s="47"/>
      <c r="E1324" s="47"/>
      <c r="F1324" s="47"/>
      <c r="G1324" s="47"/>
      <c r="H1324" s="47"/>
      <c r="I1324" s="47"/>
      <c r="J1324" s="47"/>
      <c r="K1324" s="47"/>
      <c r="L1324" s="11"/>
    </row>
    <row r="1325" spans="2:12" x14ac:dyDescent="0.2">
      <c r="B1325" s="10"/>
      <c r="C1325" s="46"/>
      <c r="D1325" s="47"/>
      <c r="E1325" s="47"/>
      <c r="F1325" s="47"/>
      <c r="G1325" s="47"/>
      <c r="H1325" s="47"/>
      <c r="I1325" s="47"/>
      <c r="J1325" s="47"/>
      <c r="K1325" s="47"/>
      <c r="L1325" s="11"/>
    </row>
    <row r="1326" spans="2:12" x14ac:dyDescent="0.2">
      <c r="B1326" s="10"/>
      <c r="C1326" s="46"/>
      <c r="D1326" s="47"/>
      <c r="E1326" s="47"/>
      <c r="F1326" s="47"/>
      <c r="G1326" s="47"/>
      <c r="H1326" s="47"/>
      <c r="I1326" s="47"/>
      <c r="J1326" s="47"/>
      <c r="K1326" s="47"/>
      <c r="L1326" s="11"/>
    </row>
    <row r="1327" spans="2:12" x14ac:dyDescent="0.2">
      <c r="B1327" s="10"/>
      <c r="C1327" s="46"/>
      <c r="D1327" s="47"/>
      <c r="E1327" s="47"/>
      <c r="F1327" s="47"/>
      <c r="G1327" s="47"/>
      <c r="H1327" s="47"/>
      <c r="I1327" s="47"/>
      <c r="J1327" s="47"/>
      <c r="K1327" s="47"/>
      <c r="L1327" s="11"/>
    </row>
    <row r="1328" spans="2:12" x14ac:dyDescent="0.2">
      <c r="B1328" s="10"/>
      <c r="C1328" s="46"/>
      <c r="D1328" s="47"/>
      <c r="E1328" s="47"/>
      <c r="F1328" s="47"/>
      <c r="G1328" s="47"/>
      <c r="H1328" s="47"/>
      <c r="I1328" s="47"/>
      <c r="J1328" s="47"/>
      <c r="K1328" s="47"/>
      <c r="L1328" s="11"/>
    </row>
    <row r="1329" spans="2:12" x14ac:dyDescent="0.2">
      <c r="B1329" s="10"/>
      <c r="C1329" s="46"/>
      <c r="D1329" s="47"/>
      <c r="E1329" s="47"/>
      <c r="F1329" s="47"/>
      <c r="G1329" s="47"/>
      <c r="H1329" s="47"/>
      <c r="I1329" s="47"/>
      <c r="J1329" s="47"/>
      <c r="K1329" s="47"/>
      <c r="L1329" s="11"/>
    </row>
    <row r="1330" spans="2:12" x14ac:dyDescent="0.2">
      <c r="B1330" s="10"/>
      <c r="C1330" s="46"/>
      <c r="D1330" s="47"/>
      <c r="E1330" s="47"/>
      <c r="F1330" s="47"/>
      <c r="G1330" s="47"/>
      <c r="H1330" s="47"/>
      <c r="I1330" s="47"/>
      <c r="J1330" s="47"/>
      <c r="K1330" s="47"/>
      <c r="L1330" s="11"/>
    </row>
    <row r="1331" spans="2:12" x14ac:dyDescent="0.2">
      <c r="B1331" s="10"/>
      <c r="C1331" s="46"/>
      <c r="D1331" s="47"/>
      <c r="E1331" s="47"/>
      <c r="F1331" s="47"/>
      <c r="G1331" s="47"/>
      <c r="H1331" s="47"/>
      <c r="I1331" s="47"/>
      <c r="J1331" s="47"/>
      <c r="K1331" s="47"/>
      <c r="L1331" s="11"/>
    </row>
    <row r="1332" spans="2:12" x14ac:dyDescent="0.2">
      <c r="B1332" s="10"/>
      <c r="C1332" s="46"/>
      <c r="D1332" s="47"/>
      <c r="E1332" s="47"/>
      <c r="F1332" s="47"/>
      <c r="G1332" s="47"/>
      <c r="H1332" s="47"/>
      <c r="I1332" s="47"/>
      <c r="J1332" s="47"/>
      <c r="K1332" s="47"/>
      <c r="L1332" s="11"/>
    </row>
    <row r="1333" spans="2:12" x14ac:dyDescent="0.2">
      <c r="B1333" s="10"/>
      <c r="C1333" s="46"/>
      <c r="D1333" s="47"/>
      <c r="E1333" s="47"/>
      <c r="F1333" s="47"/>
      <c r="G1333" s="47"/>
      <c r="H1333" s="47"/>
      <c r="I1333" s="47"/>
      <c r="J1333" s="47"/>
      <c r="K1333" s="47"/>
      <c r="L1333" s="11"/>
    </row>
    <row r="1334" spans="2:12" x14ac:dyDescent="0.2">
      <c r="B1334" s="10"/>
      <c r="C1334" s="46"/>
      <c r="D1334" s="47"/>
      <c r="E1334" s="47"/>
      <c r="F1334" s="47"/>
      <c r="G1334" s="47"/>
      <c r="H1334" s="47"/>
      <c r="I1334" s="47"/>
      <c r="J1334" s="47"/>
      <c r="K1334" s="47"/>
      <c r="L1334" s="11"/>
    </row>
    <row r="1335" spans="2:12" x14ac:dyDescent="0.2">
      <c r="B1335" s="10"/>
      <c r="C1335" s="46"/>
      <c r="D1335" s="47"/>
      <c r="E1335" s="47"/>
      <c r="F1335" s="47"/>
      <c r="G1335" s="47"/>
      <c r="H1335" s="47"/>
      <c r="I1335" s="47"/>
      <c r="J1335" s="47"/>
      <c r="K1335" s="47"/>
      <c r="L1335" s="11"/>
    </row>
    <row r="1336" spans="2:12" x14ac:dyDescent="0.2">
      <c r="B1336" s="10"/>
      <c r="C1336" s="46"/>
      <c r="D1336" s="47"/>
      <c r="E1336" s="47"/>
      <c r="F1336" s="47"/>
      <c r="G1336" s="47"/>
      <c r="H1336" s="47"/>
      <c r="I1336" s="47"/>
      <c r="J1336" s="47"/>
      <c r="K1336" s="47"/>
      <c r="L1336" s="11"/>
    </row>
    <row r="1337" spans="2:12" x14ac:dyDescent="0.2">
      <c r="B1337" s="10"/>
      <c r="C1337" s="46"/>
      <c r="D1337" s="47"/>
      <c r="E1337" s="47"/>
      <c r="F1337" s="47"/>
      <c r="G1337" s="47"/>
      <c r="H1337" s="47"/>
      <c r="I1337" s="47"/>
      <c r="J1337" s="47"/>
      <c r="K1337" s="47"/>
      <c r="L1337" s="11"/>
    </row>
    <row r="1338" spans="2:12" x14ac:dyDescent="0.2">
      <c r="B1338" s="10"/>
      <c r="C1338" s="46"/>
      <c r="D1338" s="47"/>
      <c r="E1338" s="47"/>
      <c r="F1338" s="47"/>
      <c r="G1338" s="47"/>
      <c r="H1338" s="47"/>
      <c r="I1338" s="47"/>
      <c r="J1338" s="47"/>
      <c r="K1338" s="47"/>
      <c r="L1338" s="11"/>
    </row>
    <row r="1339" spans="2:12" x14ac:dyDescent="0.2">
      <c r="B1339" s="10"/>
      <c r="C1339" s="46"/>
      <c r="D1339" s="47"/>
      <c r="E1339" s="47"/>
      <c r="F1339" s="47"/>
      <c r="G1339" s="47"/>
      <c r="H1339" s="47"/>
      <c r="I1339" s="47"/>
      <c r="J1339" s="47"/>
      <c r="K1339" s="47"/>
      <c r="L1339" s="11"/>
    </row>
    <row r="1340" spans="2:12" x14ac:dyDescent="0.2">
      <c r="B1340" s="10"/>
      <c r="C1340" s="46"/>
      <c r="D1340" s="47"/>
      <c r="E1340" s="47"/>
      <c r="F1340" s="47"/>
      <c r="G1340" s="47"/>
      <c r="H1340" s="47"/>
      <c r="I1340" s="47"/>
      <c r="J1340" s="47"/>
      <c r="K1340" s="47"/>
      <c r="L1340" s="11"/>
    </row>
    <row r="1341" spans="2:12" x14ac:dyDescent="0.2">
      <c r="B1341" s="10"/>
      <c r="C1341" s="46"/>
      <c r="D1341" s="47"/>
      <c r="E1341" s="47"/>
      <c r="F1341" s="47"/>
      <c r="G1341" s="47"/>
      <c r="H1341" s="47"/>
      <c r="I1341" s="47"/>
      <c r="J1341" s="47"/>
      <c r="K1341" s="47"/>
      <c r="L1341" s="11"/>
    </row>
    <row r="1342" spans="2:12" x14ac:dyDescent="0.2">
      <c r="B1342" s="10"/>
      <c r="C1342" s="46"/>
      <c r="D1342" s="47"/>
      <c r="E1342" s="47"/>
      <c r="F1342" s="47"/>
      <c r="G1342" s="47"/>
      <c r="H1342" s="47"/>
      <c r="I1342" s="47"/>
      <c r="J1342" s="47"/>
      <c r="K1342" s="47"/>
      <c r="L1342" s="11"/>
    </row>
    <row r="1343" spans="2:12" x14ac:dyDescent="0.2">
      <c r="B1343" s="10"/>
      <c r="C1343" s="46"/>
      <c r="D1343" s="47"/>
      <c r="E1343" s="47"/>
      <c r="F1343" s="47"/>
      <c r="G1343" s="47"/>
      <c r="H1343" s="47"/>
      <c r="I1343" s="47"/>
      <c r="J1343" s="47"/>
      <c r="K1343" s="47"/>
      <c r="L1343" s="11"/>
    </row>
    <row r="1344" spans="2:12" x14ac:dyDescent="0.2">
      <c r="B1344" s="10"/>
      <c r="C1344" s="46"/>
      <c r="D1344" s="47"/>
      <c r="E1344" s="47"/>
      <c r="F1344" s="47"/>
      <c r="G1344" s="47"/>
      <c r="H1344" s="47"/>
      <c r="I1344" s="47"/>
      <c r="J1344" s="47"/>
      <c r="K1344" s="47"/>
      <c r="L1344" s="11"/>
    </row>
    <row r="1345" spans="2:12" x14ac:dyDescent="0.2">
      <c r="B1345" s="10"/>
      <c r="C1345" s="46"/>
      <c r="D1345" s="47"/>
      <c r="E1345" s="47"/>
      <c r="F1345" s="47"/>
      <c r="G1345" s="47"/>
      <c r="H1345" s="47"/>
      <c r="I1345" s="47"/>
      <c r="J1345" s="47"/>
      <c r="K1345" s="47"/>
      <c r="L1345" s="11"/>
    </row>
    <row r="1346" spans="2:12" x14ac:dyDescent="0.2">
      <c r="B1346" s="10"/>
      <c r="C1346" s="46"/>
      <c r="D1346" s="47"/>
      <c r="E1346" s="47"/>
      <c r="F1346" s="47"/>
      <c r="G1346" s="47"/>
      <c r="H1346" s="47"/>
      <c r="I1346" s="47"/>
      <c r="J1346" s="47"/>
      <c r="K1346" s="47"/>
      <c r="L1346" s="11"/>
    </row>
    <row r="1347" spans="2:12" x14ac:dyDescent="0.2">
      <c r="B1347" s="10"/>
      <c r="C1347" s="46"/>
      <c r="D1347" s="47"/>
      <c r="E1347" s="47"/>
      <c r="F1347" s="47"/>
      <c r="G1347" s="47"/>
      <c r="H1347" s="47"/>
      <c r="I1347" s="47"/>
      <c r="J1347" s="47"/>
      <c r="K1347" s="47"/>
      <c r="L1347" s="11"/>
    </row>
    <row r="1348" spans="2:12" x14ac:dyDescent="0.2">
      <c r="B1348" s="10"/>
      <c r="C1348" s="46"/>
      <c r="D1348" s="47"/>
      <c r="E1348" s="47"/>
      <c r="F1348" s="47"/>
      <c r="G1348" s="47"/>
      <c r="H1348" s="47"/>
      <c r="I1348" s="47"/>
      <c r="J1348" s="47"/>
      <c r="K1348" s="47"/>
      <c r="L1348" s="11"/>
    </row>
    <row r="1349" spans="2:12" x14ac:dyDescent="0.2">
      <c r="B1349" s="10"/>
      <c r="C1349" s="46"/>
      <c r="D1349" s="47"/>
      <c r="E1349" s="47"/>
      <c r="F1349" s="47"/>
      <c r="G1349" s="47"/>
      <c r="H1349" s="47"/>
      <c r="I1349" s="47"/>
      <c r="J1349" s="47"/>
      <c r="K1349" s="47"/>
      <c r="L1349" s="11"/>
    </row>
    <row r="1350" spans="2:12" x14ac:dyDescent="0.2">
      <c r="B1350" s="10"/>
      <c r="C1350" s="46"/>
      <c r="D1350" s="47"/>
      <c r="E1350" s="47"/>
      <c r="F1350" s="47"/>
      <c r="G1350" s="47"/>
      <c r="H1350" s="47"/>
      <c r="I1350" s="47"/>
      <c r="J1350" s="47"/>
      <c r="K1350" s="47"/>
      <c r="L1350" s="11"/>
    </row>
    <row r="1351" spans="2:12" x14ac:dyDescent="0.2">
      <c r="B1351" s="10"/>
      <c r="C1351" s="26"/>
      <c r="D1351" s="27"/>
      <c r="E1351" s="27"/>
      <c r="F1351" s="27"/>
      <c r="G1351" s="27"/>
      <c r="H1351" s="27"/>
      <c r="I1351" s="27"/>
      <c r="J1351" s="27"/>
      <c r="K1351" s="47"/>
      <c r="L1351" s="11"/>
    </row>
    <row r="1352" spans="2:12" x14ac:dyDescent="0.2">
      <c r="B1352" s="10"/>
      <c r="C1352" s="26"/>
      <c r="D1352" s="27"/>
      <c r="E1352" s="27"/>
      <c r="F1352" s="27"/>
      <c r="G1352" s="27"/>
      <c r="H1352" s="27"/>
      <c r="I1352" s="27"/>
      <c r="J1352" s="27"/>
      <c r="K1352" s="47"/>
      <c r="L1352" s="11"/>
    </row>
    <row r="1353" spans="2:12" x14ac:dyDescent="0.2">
      <c r="B1353" s="10"/>
      <c r="C1353" s="26"/>
      <c r="D1353" s="27"/>
      <c r="E1353" s="27"/>
      <c r="F1353" s="27"/>
      <c r="G1353" s="27"/>
      <c r="H1353" s="27"/>
      <c r="I1353" s="27"/>
      <c r="J1353" s="27"/>
      <c r="K1353" s="47"/>
      <c r="L1353" s="11"/>
    </row>
    <row r="1354" spans="2:12" x14ac:dyDescent="0.2">
      <c r="B1354" s="10"/>
      <c r="C1354" s="26"/>
      <c r="D1354" s="27"/>
      <c r="E1354" s="27"/>
      <c r="F1354" s="27"/>
      <c r="G1354" s="27"/>
      <c r="H1354" s="27"/>
      <c r="I1354" s="27"/>
      <c r="J1354" s="27"/>
      <c r="K1354" s="47"/>
      <c r="L1354" s="11"/>
    </row>
    <row r="1355" spans="2:12" x14ac:dyDescent="0.2">
      <c r="B1355" s="10"/>
      <c r="C1355" s="26"/>
      <c r="D1355" s="27"/>
      <c r="E1355" s="27"/>
      <c r="F1355" s="27"/>
      <c r="G1355" s="27"/>
      <c r="H1355" s="27"/>
      <c r="I1355" s="27"/>
      <c r="J1355" s="27"/>
      <c r="K1355" s="47"/>
      <c r="L1355" s="11"/>
    </row>
    <row r="1356" spans="2:12" x14ac:dyDescent="0.2">
      <c r="B1356" s="10"/>
      <c r="C1356" s="26"/>
      <c r="D1356" s="27"/>
      <c r="E1356" s="27"/>
      <c r="F1356" s="27"/>
      <c r="G1356" s="27"/>
      <c r="H1356" s="27"/>
      <c r="I1356" s="27"/>
      <c r="J1356" s="27"/>
      <c r="K1356" s="47"/>
      <c r="L1356" s="11"/>
    </row>
    <row r="1357" spans="2:12" x14ac:dyDescent="0.2">
      <c r="B1357" s="10"/>
      <c r="C1357" s="26"/>
      <c r="D1357" s="27"/>
      <c r="E1357" s="27"/>
      <c r="F1357" s="27"/>
      <c r="G1357" s="27"/>
      <c r="H1357" s="27"/>
      <c r="I1357" s="27"/>
      <c r="J1357" s="27"/>
      <c r="K1357" s="47"/>
      <c r="L1357" s="11"/>
    </row>
    <row r="1358" spans="2:12" x14ac:dyDescent="0.2">
      <c r="B1358" s="10"/>
      <c r="C1358" s="26"/>
      <c r="D1358" s="27"/>
      <c r="E1358" s="27"/>
      <c r="F1358" s="27"/>
      <c r="G1358" s="27"/>
      <c r="H1358" s="27"/>
      <c r="I1358" s="27"/>
      <c r="J1358" s="27"/>
      <c r="K1358" s="47"/>
      <c r="L1358" s="11"/>
    </row>
    <row r="1359" spans="2:12" x14ac:dyDescent="0.2">
      <c r="B1359" s="10"/>
      <c r="C1359" s="26"/>
      <c r="D1359" s="27"/>
      <c r="E1359" s="27"/>
      <c r="F1359" s="27"/>
      <c r="G1359" s="27"/>
      <c r="H1359" s="27"/>
      <c r="I1359" s="27"/>
      <c r="J1359" s="27"/>
      <c r="K1359" s="47"/>
      <c r="L1359" s="11"/>
    </row>
    <row r="1360" spans="2:12" x14ac:dyDescent="0.2">
      <c r="B1360" s="10"/>
      <c r="C1360" s="26"/>
      <c r="D1360" s="27"/>
      <c r="E1360" s="27"/>
      <c r="F1360" s="27"/>
      <c r="G1360" s="27"/>
      <c r="H1360" s="27"/>
      <c r="I1360" s="27"/>
      <c r="J1360" s="27"/>
      <c r="K1360" s="47"/>
      <c r="L1360" s="11"/>
    </row>
    <row r="1361" spans="2:12" x14ac:dyDescent="0.2">
      <c r="B1361" s="10"/>
      <c r="C1361" s="26"/>
      <c r="D1361" s="27"/>
      <c r="E1361" s="27"/>
      <c r="F1361" s="27"/>
      <c r="G1361" s="27"/>
      <c r="H1361" s="27"/>
      <c r="I1361" s="27"/>
      <c r="J1361" s="27"/>
      <c r="K1361" s="47"/>
      <c r="L1361" s="11"/>
    </row>
    <row r="1362" spans="2:12" x14ac:dyDescent="0.2">
      <c r="B1362" s="10"/>
      <c r="C1362" s="26"/>
      <c r="D1362" s="27"/>
      <c r="E1362" s="27"/>
      <c r="F1362" s="27"/>
      <c r="G1362" s="27"/>
      <c r="H1362" s="27"/>
      <c r="I1362" s="27"/>
      <c r="J1362" s="27"/>
      <c r="K1362" s="47"/>
      <c r="L1362" s="11"/>
    </row>
    <row r="1363" spans="2:12" x14ac:dyDescent="0.2">
      <c r="B1363" s="10"/>
      <c r="C1363" s="26"/>
      <c r="D1363" s="27"/>
      <c r="E1363" s="27"/>
      <c r="F1363" s="27"/>
      <c r="G1363" s="27"/>
      <c r="H1363" s="27"/>
      <c r="I1363" s="27"/>
      <c r="J1363" s="27"/>
      <c r="K1363" s="47"/>
      <c r="L1363" s="11"/>
    </row>
    <row r="1364" spans="2:12" x14ac:dyDescent="0.2">
      <c r="B1364" s="10"/>
      <c r="C1364" s="26"/>
      <c r="D1364" s="27"/>
      <c r="E1364" s="27"/>
      <c r="F1364" s="27"/>
      <c r="G1364" s="27"/>
      <c r="H1364" s="27"/>
      <c r="I1364" s="27"/>
      <c r="J1364" s="27"/>
      <c r="K1364" s="47"/>
      <c r="L1364" s="11"/>
    </row>
    <row r="1365" spans="2:12" x14ac:dyDescent="0.2">
      <c r="B1365" s="10"/>
      <c r="C1365" s="26"/>
      <c r="D1365" s="27"/>
      <c r="E1365" s="27"/>
      <c r="F1365" s="27"/>
      <c r="G1365" s="27"/>
      <c r="H1365" s="27"/>
      <c r="I1365" s="27"/>
      <c r="J1365" s="27"/>
      <c r="K1365" s="47"/>
      <c r="L1365" s="11"/>
    </row>
    <row r="1366" spans="2:12" x14ac:dyDescent="0.2">
      <c r="B1366" s="10"/>
      <c r="C1366" s="26"/>
      <c r="D1366" s="27"/>
      <c r="E1366" s="27"/>
      <c r="F1366" s="27"/>
      <c r="G1366" s="27"/>
      <c r="H1366" s="27"/>
      <c r="I1366" s="27"/>
      <c r="J1366" s="27"/>
      <c r="K1366" s="47"/>
      <c r="L1366" s="11"/>
    </row>
    <row r="1367" spans="2:12" x14ac:dyDescent="0.2">
      <c r="B1367" s="10"/>
      <c r="C1367" s="26"/>
      <c r="D1367" s="27"/>
      <c r="E1367" s="27"/>
      <c r="F1367" s="27"/>
      <c r="G1367" s="27"/>
      <c r="H1367" s="27"/>
      <c r="I1367" s="27"/>
      <c r="J1367" s="27"/>
      <c r="K1367" s="47"/>
      <c r="L1367" s="11"/>
    </row>
    <row r="1368" spans="2:12" x14ac:dyDescent="0.2">
      <c r="B1368" s="10"/>
      <c r="C1368" s="26"/>
      <c r="D1368" s="27"/>
      <c r="E1368" s="27"/>
      <c r="F1368" s="27"/>
      <c r="G1368" s="27"/>
      <c r="H1368" s="27"/>
      <c r="I1368" s="27"/>
      <c r="J1368" s="27"/>
      <c r="K1368" s="47"/>
      <c r="L1368" s="11"/>
    </row>
    <row r="1369" spans="2:12" x14ac:dyDescent="0.2">
      <c r="B1369" s="10"/>
      <c r="C1369" s="26"/>
      <c r="D1369" s="27"/>
      <c r="E1369" s="27"/>
      <c r="F1369" s="27"/>
      <c r="G1369" s="27"/>
      <c r="H1369" s="27"/>
      <c r="I1369" s="27"/>
      <c r="J1369" s="27"/>
      <c r="K1369" s="47"/>
      <c r="L1369" s="11"/>
    </row>
    <row r="1370" spans="2:12" x14ac:dyDescent="0.2">
      <c r="B1370" s="10"/>
      <c r="C1370" s="26"/>
      <c r="D1370" s="27"/>
      <c r="E1370" s="27"/>
      <c r="F1370" s="27"/>
      <c r="G1370" s="27"/>
      <c r="H1370" s="27"/>
      <c r="I1370" s="27"/>
      <c r="J1370" s="27"/>
      <c r="K1370" s="47"/>
      <c r="L1370" s="11"/>
    </row>
    <row r="1371" spans="2:12" x14ac:dyDescent="0.2">
      <c r="B1371" s="10"/>
      <c r="C1371" s="26"/>
      <c r="D1371" s="27"/>
      <c r="E1371" s="27"/>
      <c r="F1371" s="27"/>
      <c r="G1371" s="27"/>
      <c r="H1371" s="27"/>
      <c r="I1371" s="27"/>
      <c r="J1371" s="27"/>
      <c r="K1371" s="47"/>
      <c r="L1371" s="11"/>
    </row>
    <row r="1372" spans="2:12" x14ac:dyDescent="0.2">
      <c r="B1372" s="10"/>
      <c r="C1372" s="26"/>
      <c r="D1372" s="27"/>
      <c r="E1372" s="27"/>
      <c r="F1372" s="27"/>
      <c r="G1372" s="27"/>
      <c r="H1372" s="27"/>
      <c r="I1372" s="27"/>
      <c r="J1372" s="27"/>
      <c r="K1372" s="47"/>
      <c r="L1372" s="11"/>
    </row>
    <row r="1373" spans="2:12" x14ac:dyDescent="0.2">
      <c r="B1373" s="10"/>
      <c r="C1373" s="26"/>
      <c r="D1373" s="27"/>
      <c r="E1373" s="27"/>
      <c r="F1373" s="27"/>
      <c r="G1373" s="27"/>
      <c r="H1373" s="27"/>
      <c r="I1373" s="27"/>
      <c r="J1373" s="27"/>
      <c r="K1373" s="47"/>
      <c r="L1373" s="11"/>
    </row>
    <row r="1374" spans="2:12" x14ac:dyDescent="0.2">
      <c r="B1374" s="10"/>
      <c r="C1374" s="26"/>
      <c r="D1374" s="27"/>
      <c r="E1374" s="27"/>
      <c r="F1374" s="27"/>
      <c r="G1374" s="27"/>
      <c r="H1374" s="27"/>
      <c r="I1374" s="27"/>
      <c r="J1374" s="27"/>
      <c r="K1374" s="47"/>
      <c r="L1374" s="11"/>
    </row>
    <row r="1375" spans="2:12" x14ac:dyDescent="0.2">
      <c r="B1375" s="10"/>
      <c r="C1375" s="26"/>
      <c r="D1375" s="27"/>
      <c r="E1375" s="27"/>
      <c r="F1375" s="27"/>
      <c r="G1375" s="27"/>
      <c r="H1375" s="27"/>
      <c r="I1375" s="27"/>
      <c r="J1375" s="27"/>
      <c r="K1375" s="47"/>
      <c r="L1375" s="11"/>
    </row>
    <row r="1376" spans="2:12" x14ac:dyDescent="0.2">
      <c r="B1376" s="10"/>
      <c r="C1376" s="26"/>
      <c r="D1376" s="27"/>
      <c r="E1376" s="27"/>
      <c r="F1376" s="27"/>
      <c r="G1376" s="27"/>
      <c r="H1376" s="27"/>
      <c r="I1376" s="27"/>
      <c r="J1376" s="27"/>
      <c r="K1376" s="47"/>
      <c r="L1376" s="11"/>
    </row>
    <row r="1377" spans="2:12" x14ac:dyDescent="0.2">
      <c r="B1377" s="10"/>
      <c r="C1377" s="26"/>
      <c r="D1377" s="27"/>
      <c r="E1377" s="27"/>
      <c r="F1377" s="27"/>
      <c r="G1377" s="27"/>
      <c r="H1377" s="27"/>
      <c r="I1377" s="27"/>
      <c r="J1377" s="27"/>
      <c r="K1377" s="47"/>
      <c r="L1377" s="11"/>
    </row>
    <row r="1378" spans="2:12" x14ac:dyDescent="0.2">
      <c r="B1378" s="10"/>
      <c r="C1378" s="26"/>
      <c r="D1378" s="27"/>
      <c r="E1378" s="27"/>
      <c r="F1378" s="27"/>
      <c r="G1378" s="27"/>
      <c r="H1378" s="27"/>
      <c r="I1378" s="27"/>
      <c r="J1378" s="27"/>
      <c r="K1378" s="47"/>
      <c r="L1378" s="11"/>
    </row>
    <row r="1379" spans="2:12" x14ac:dyDescent="0.2">
      <c r="B1379" s="10"/>
      <c r="C1379" s="26"/>
      <c r="D1379" s="27"/>
      <c r="E1379" s="27"/>
      <c r="F1379" s="27"/>
      <c r="G1379" s="27"/>
      <c r="H1379" s="27"/>
      <c r="I1379" s="27"/>
      <c r="J1379" s="27"/>
      <c r="K1379" s="47"/>
      <c r="L1379" s="11"/>
    </row>
    <row r="1380" spans="2:12" x14ac:dyDescent="0.2">
      <c r="B1380" s="10"/>
      <c r="C1380" s="26"/>
      <c r="D1380" s="27"/>
      <c r="E1380" s="27"/>
      <c r="F1380" s="27"/>
      <c r="G1380" s="27"/>
      <c r="H1380" s="27"/>
      <c r="I1380" s="27"/>
      <c r="J1380" s="27"/>
      <c r="K1380" s="47"/>
      <c r="L1380" s="11"/>
    </row>
    <row r="1381" spans="2:12" x14ac:dyDescent="0.2">
      <c r="B1381" s="10"/>
      <c r="C1381" s="26"/>
      <c r="D1381" s="27"/>
      <c r="E1381" s="27"/>
      <c r="F1381" s="27"/>
      <c r="G1381" s="27"/>
      <c r="H1381" s="27"/>
      <c r="I1381" s="27"/>
      <c r="J1381" s="27"/>
      <c r="K1381" s="47"/>
      <c r="L1381" s="11"/>
    </row>
    <row r="1382" spans="2:12" x14ac:dyDescent="0.2">
      <c r="B1382" s="10"/>
      <c r="C1382" s="26"/>
      <c r="D1382" s="27"/>
      <c r="E1382" s="27"/>
      <c r="F1382" s="27"/>
      <c r="G1382" s="27"/>
      <c r="H1382" s="27"/>
      <c r="I1382" s="27"/>
      <c r="J1382" s="27"/>
      <c r="K1382" s="47"/>
      <c r="L1382" s="11"/>
    </row>
    <row r="1383" spans="2:12" x14ac:dyDescent="0.2">
      <c r="B1383" s="10"/>
      <c r="C1383" s="26"/>
      <c r="D1383" s="27"/>
      <c r="E1383" s="27"/>
      <c r="F1383" s="27"/>
      <c r="G1383" s="27"/>
      <c r="H1383" s="27"/>
      <c r="I1383" s="27"/>
      <c r="J1383" s="27"/>
      <c r="K1383" s="47"/>
      <c r="L1383" s="11"/>
    </row>
    <row r="1384" spans="2:12" x14ac:dyDescent="0.2">
      <c r="B1384" s="10"/>
      <c r="C1384" s="26"/>
      <c r="D1384" s="27"/>
      <c r="E1384" s="27"/>
      <c r="F1384" s="27"/>
      <c r="G1384" s="27"/>
      <c r="H1384" s="27"/>
      <c r="I1384" s="27"/>
      <c r="J1384" s="27"/>
      <c r="K1384" s="47"/>
      <c r="L1384" s="11"/>
    </row>
    <row r="1385" spans="2:12" x14ac:dyDescent="0.2">
      <c r="B1385" s="10"/>
      <c r="C1385" s="26"/>
      <c r="D1385" s="27"/>
      <c r="E1385" s="27"/>
      <c r="F1385" s="27"/>
      <c r="G1385" s="27"/>
      <c r="H1385" s="27"/>
      <c r="I1385" s="27"/>
      <c r="J1385" s="27"/>
      <c r="K1385" s="47"/>
      <c r="L1385" s="11"/>
    </row>
    <row r="1386" spans="2:12" x14ac:dyDescent="0.2">
      <c r="B1386" s="10"/>
      <c r="C1386" s="26"/>
      <c r="D1386" s="27"/>
      <c r="E1386" s="27"/>
      <c r="F1386" s="27"/>
      <c r="G1386" s="27"/>
      <c r="H1386" s="27"/>
      <c r="I1386" s="27"/>
      <c r="J1386" s="27"/>
      <c r="K1386" s="47"/>
      <c r="L1386" s="11"/>
    </row>
    <row r="1387" spans="2:12" x14ac:dyDescent="0.2">
      <c r="B1387" s="10"/>
      <c r="C1387" s="26"/>
      <c r="D1387" s="27"/>
      <c r="E1387" s="27"/>
      <c r="F1387" s="27"/>
      <c r="G1387" s="27"/>
      <c r="H1387" s="27"/>
      <c r="I1387" s="27"/>
      <c r="J1387" s="27"/>
      <c r="K1387" s="47"/>
      <c r="L1387" s="11"/>
    </row>
    <row r="1388" spans="2:12" x14ac:dyDescent="0.2">
      <c r="B1388" s="10"/>
      <c r="C1388" s="26"/>
      <c r="D1388" s="27"/>
      <c r="E1388" s="27"/>
      <c r="F1388" s="27"/>
      <c r="G1388" s="27"/>
      <c r="H1388" s="27"/>
      <c r="I1388" s="27"/>
      <c r="J1388" s="27"/>
      <c r="K1388" s="47"/>
      <c r="L1388" s="11"/>
    </row>
    <row r="1389" spans="2:12" x14ac:dyDescent="0.2">
      <c r="B1389" s="10"/>
      <c r="C1389" s="26"/>
      <c r="D1389" s="27"/>
      <c r="E1389" s="27"/>
      <c r="F1389" s="27"/>
      <c r="G1389" s="27"/>
      <c r="H1389" s="27"/>
      <c r="I1389" s="27"/>
      <c r="J1389" s="27"/>
      <c r="K1389" s="47"/>
      <c r="L1389" s="11"/>
    </row>
    <row r="1390" spans="2:12" x14ac:dyDescent="0.2">
      <c r="B1390" s="10"/>
      <c r="C1390" s="26"/>
      <c r="D1390" s="27"/>
      <c r="E1390" s="27"/>
      <c r="F1390" s="27"/>
      <c r="G1390" s="27"/>
      <c r="H1390" s="27"/>
      <c r="I1390" s="27"/>
      <c r="J1390" s="27"/>
      <c r="K1390" s="47"/>
      <c r="L1390" s="11"/>
    </row>
    <row r="1391" spans="2:12" x14ac:dyDescent="0.2">
      <c r="B1391" s="10"/>
      <c r="C1391" s="26"/>
      <c r="D1391" s="27"/>
      <c r="E1391" s="27"/>
      <c r="F1391" s="27"/>
      <c r="G1391" s="27"/>
      <c r="H1391" s="27"/>
      <c r="I1391" s="27"/>
      <c r="J1391" s="27"/>
      <c r="K1391" s="47"/>
      <c r="L1391" s="11"/>
    </row>
    <row r="1392" spans="2:12" x14ac:dyDescent="0.2">
      <c r="B1392" s="10"/>
      <c r="C1392" s="26"/>
      <c r="D1392" s="27"/>
      <c r="E1392" s="27"/>
      <c r="F1392" s="27"/>
      <c r="G1392" s="27"/>
      <c r="H1392" s="27"/>
      <c r="I1392" s="27"/>
      <c r="J1392" s="27"/>
      <c r="K1392" s="47"/>
      <c r="L1392" s="11"/>
    </row>
    <row r="1393" spans="2:12" x14ac:dyDescent="0.2">
      <c r="B1393" s="10"/>
      <c r="C1393" s="26"/>
      <c r="D1393" s="27"/>
      <c r="E1393" s="27"/>
      <c r="F1393" s="27"/>
      <c r="G1393" s="27"/>
      <c r="H1393" s="27"/>
      <c r="I1393" s="27"/>
      <c r="J1393" s="27"/>
      <c r="K1393" s="47"/>
      <c r="L1393" s="11"/>
    </row>
    <row r="1394" spans="2:12" x14ac:dyDescent="0.2">
      <c r="B1394" s="10"/>
      <c r="C1394" s="26"/>
      <c r="D1394" s="27"/>
      <c r="E1394" s="27"/>
      <c r="F1394" s="27"/>
      <c r="G1394" s="27"/>
      <c r="H1394" s="27"/>
      <c r="I1394" s="27"/>
      <c r="J1394" s="27"/>
      <c r="K1394" s="47"/>
      <c r="L1394" s="11"/>
    </row>
    <row r="1395" spans="2:12" x14ac:dyDescent="0.2">
      <c r="B1395" s="10"/>
      <c r="C1395" s="26"/>
      <c r="D1395" s="27"/>
      <c r="E1395" s="27"/>
      <c r="F1395" s="27"/>
      <c r="G1395" s="27"/>
      <c r="H1395" s="27"/>
      <c r="I1395" s="27"/>
      <c r="J1395" s="27"/>
      <c r="K1395" s="47"/>
      <c r="L1395" s="11"/>
    </row>
    <row r="1396" spans="2:12" x14ac:dyDescent="0.2">
      <c r="B1396" s="10"/>
      <c r="C1396" s="26"/>
      <c r="D1396" s="27"/>
      <c r="E1396" s="27"/>
      <c r="F1396" s="27"/>
      <c r="G1396" s="27"/>
      <c r="H1396" s="27"/>
      <c r="I1396" s="27"/>
      <c r="J1396" s="27"/>
      <c r="K1396" s="47"/>
      <c r="L1396" s="11"/>
    </row>
    <row r="1397" spans="2:12" x14ac:dyDescent="0.2">
      <c r="B1397" s="10"/>
      <c r="C1397" s="26"/>
      <c r="D1397" s="27"/>
      <c r="E1397" s="27"/>
      <c r="F1397" s="27"/>
      <c r="G1397" s="27"/>
      <c r="H1397" s="27"/>
      <c r="I1397" s="27"/>
      <c r="J1397" s="27"/>
      <c r="K1397" s="47"/>
      <c r="L1397" s="11"/>
    </row>
    <row r="1398" spans="2:12" x14ac:dyDescent="0.2">
      <c r="B1398" s="10"/>
      <c r="C1398" s="26"/>
      <c r="D1398" s="27"/>
      <c r="E1398" s="27"/>
      <c r="F1398" s="27"/>
      <c r="G1398" s="27"/>
      <c r="H1398" s="27"/>
      <c r="I1398" s="27"/>
      <c r="J1398" s="27"/>
      <c r="K1398" s="47"/>
      <c r="L1398" s="11"/>
    </row>
    <row r="1399" spans="2:12" x14ac:dyDescent="0.2">
      <c r="B1399" s="10"/>
      <c r="C1399" s="26"/>
      <c r="D1399" s="27"/>
      <c r="E1399" s="27"/>
      <c r="F1399" s="27"/>
      <c r="G1399" s="27"/>
      <c r="H1399" s="27"/>
      <c r="I1399" s="27"/>
      <c r="J1399" s="27"/>
      <c r="K1399" s="47"/>
      <c r="L1399" s="11"/>
    </row>
    <row r="1400" spans="2:12" x14ac:dyDescent="0.2">
      <c r="B1400" s="10"/>
      <c r="C1400" s="26"/>
      <c r="D1400" s="27"/>
      <c r="E1400" s="27"/>
      <c r="F1400" s="27"/>
      <c r="G1400" s="27"/>
      <c r="H1400" s="27"/>
      <c r="I1400" s="27"/>
      <c r="J1400" s="27"/>
      <c r="K1400" s="47"/>
      <c r="L1400" s="11"/>
    </row>
    <row r="1401" spans="2:12" x14ac:dyDescent="0.2">
      <c r="B1401" s="10"/>
      <c r="C1401" s="26"/>
      <c r="D1401" s="27"/>
      <c r="E1401" s="27"/>
      <c r="F1401" s="27"/>
      <c r="G1401" s="27"/>
      <c r="H1401" s="27"/>
      <c r="I1401" s="27"/>
      <c r="J1401" s="27"/>
      <c r="K1401" s="47"/>
      <c r="L1401" s="11"/>
    </row>
    <row r="1402" spans="2:12" x14ac:dyDescent="0.2">
      <c r="B1402" s="10"/>
      <c r="C1402" s="26"/>
      <c r="D1402" s="27"/>
      <c r="E1402" s="27"/>
      <c r="F1402" s="27"/>
      <c r="G1402" s="27"/>
      <c r="H1402" s="27"/>
      <c r="I1402" s="27"/>
      <c r="J1402" s="27"/>
      <c r="K1402" s="47"/>
      <c r="L1402" s="11"/>
    </row>
    <row r="1403" spans="2:12" x14ac:dyDescent="0.2">
      <c r="B1403" s="10"/>
      <c r="C1403" s="26"/>
      <c r="D1403" s="27"/>
      <c r="E1403" s="27"/>
      <c r="F1403" s="27"/>
      <c r="G1403" s="27"/>
      <c r="H1403" s="27"/>
      <c r="I1403" s="27"/>
      <c r="J1403" s="27"/>
      <c r="K1403" s="47"/>
      <c r="L1403" s="11"/>
    </row>
    <row r="1404" spans="2:12" x14ac:dyDescent="0.2">
      <c r="B1404" s="10"/>
      <c r="C1404" s="26"/>
      <c r="D1404" s="27"/>
      <c r="E1404" s="27"/>
      <c r="F1404" s="27"/>
      <c r="G1404" s="27"/>
      <c r="H1404" s="27"/>
      <c r="I1404" s="27"/>
      <c r="J1404" s="27"/>
      <c r="K1404" s="47"/>
      <c r="L1404" s="11"/>
    </row>
    <row r="1405" spans="2:12" x14ac:dyDescent="0.2">
      <c r="B1405" s="10"/>
      <c r="C1405" s="26"/>
      <c r="D1405" s="27"/>
      <c r="E1405" s="27"/>
      <c r="F1405" s="27"/>
      <c r="G1405" s="27"/>
      <c r="H1405" s="27"/>
      <c r="I1405" s="27"/>
      <c r="J1405" s="27"/>
      <c r="K1405" s="47"/>
      <c r="L1405" s="11"/>
    </row>
    <row r="1406" spans="2:12" x14ac:dyDescent="0.2">
      <c r="B1406" s="10"/>
      <c r="C1406" s="26"/>
      <c r="D1406" s="27"/>
      <c r="E1406" s="27"/>
      <c r="F1406" s="27"/>
      <c r="G1406" s="27"/>
      <c r="H1406" s="27"/>
      <c r="I1406" s="27"/>
      <c r="J1406" s="27"/>
      <c r="K1406" s="47"/>
      <c r="L1406" s="11"/>
    </row>
    <row r="1407" spans="2:12" x14ac:dyDescent="0.2">
      <c r="B1407" s="10"/>
      <c r="C1407" s="26"/>
      <c r="D1407" s="27"/>
      <c r="E1407" s="27"/>
      <c r="F1407" s="27"/>
      <c r="G1407" s="27"/>
      <c r="H1407" s="27"/>
      <c r="I1407" s="27"/>
      <c r="J1407" s="27"/>
      <c r="K1407" s="47"/>
      <c r="L1407" s="11"/>
    </row>
    <row r="1408" spans="2:12" x14ac:dyDescent="0.2">
      <c r="B1408" s="10"/>
      <c r="C1408" s="26"/>
      <c r="D1408" s="27"/>
      <c r="E1408" s="27"/>
      <c r="F1408" s="27"/>
      <c r="G1408" s="27"/>
      <c r="H1408" s="27"/>
      <c r="I1408" s="27"/>
      <c r="J1408" s="27"/>
      <c r="K1408" s="47"/>
      <c r="L1408" s="11"/>
    </row>
    <row r="1409" spans="2:12" x14ac:dyDescent="0.2">
      <c r="B1409" s="10"/>
      <c r="C1409" s="26"/>
      <c r="D1409" s="27"/>
      <c r="E1409" s="27"/>
      <c r="F1409" s="27"/>
      <c r="G1409" s="27"/>
      <c r="H1409" s="27"/>
      <c r="I1409" s="27"/>
      <c r="J1409" s="27"/>
      <c r="K1409" s="47"/>
      <c r="L1409" s="11"/>
    </row>
    <row r="1410" spans="2:12" x14ac:dyDescent="0.2">
      <c r="B1410" s="10"/>
      <c r="C1410" s="26"/>
      <c r="D1410" s="27"/>
      <c r="E1410" s="27"/>
      <c r="F1410" s="27"/>
      <c r="G1410" s="27"/>
      <c r="H1410" s="27"/>
      <c r="I1410" s="27"/>
      <c r="J1410" s="27"/>
      <c r="K1410" s="47"/>
      <c r="L1410" s="11"/>
    </row>
    <row r="1411" spans="2:12" x14ac:dyDescent="0.2">
      <c r="B1411" s="10"/>
      <c r="C1411" s="26"/>
      <c r="D1411" s="27"/>
      <c r="E1411" s="27"/>
      <c r="F1411" s="27"/>
      <c r="G1411" s="27"/>
      <c r="H1411" s="27"/>
      <c r="I1411" s="27"/>
      <c r="J1411" s="27"/>
      <c r="K1411" s="47"/>
      <c r="L1411" s="11"/>
    </row>
    <row r="1412" spans="2:12" x14ac:dyDescent="0.2">
      <c r="B1412" s="10"/>
      <c r="C1412" s="26"/>
      <c r="D1412" s="27"/>
      <c r="E1412" s="27"/>
      <c r="F1412" s="27"/>
      <c r="G1412" s="27"/>
      <c r="H1412" s="27"/>
      <c r="I1412" s="27"/>
      <c r="J1412" s="27"/>
      <c r="K1412" s="47"/>
      <c r="L1412" s="11"/>
    </row>
    <row r="1413" spans="2:12" x14ac:dyDescent="0.2">
      <c r="B1413" s="10"/>
      <c r="C1413" s="26"/>
      <c r="D1413" s="27"/>
      <c r="E1413" s="27"/>
      <c r="F1413" s="27"/>
      <c r="G1413" s="27"/>
      <c r="H1413" s="27"/>
      <c r="I1413" s="27"/>
      <c r="J1413" s="27"/>
      <c r="K1413" s="47"/>
      <c r="L1413" s="11"/>
    </row>
    <row r="1414" spans="2:12" x14ac:dyDescent="0.2">
      <c r="B1414" s="10"/>
      <c r="C1414" s="26"/>
      <c r="D1414" s="27"/>
      <c r="E1414" s="27"/>
      <c r="F1414" s="27"/>
      <c r="G1414" s="27"/>
      <c r="H1414" s="27"/>
      <c r="I1414" s="27"/>
      <c r="J1414" s="27"/>
      <c r="K1414" s="47"/>
      <c r="L1414" s="11"/>
    </row>
    <row r="1415" spans="2:12" x14ac:dyDescent="0.2">
      <c r="B1415" s="10"/>
      <c r="C1415" s="26"/>
      <c r="D1415" s="27"/>
      <c r="E1415" s="27"/>
      <c r="F1415" s="27"/>
      <c r="G1415" s="27"/>
      <c r="H1415" s="27"/>
      <c r="I1415" s="27"/>
      <c r="J1415" s="27"/>
      <c r="K1415" s="47"/>
      <c r="L1415" s="11"/>
    </row>
    <row r="1416" spans="2:12" x14ac:dyDescent="0.2">
      <c r="B1416" s="10"/>
      <c r="C1416" s="26"/>
      <c r="D1416" s="27"/>
      <c r="E1416" s="27"/>
      <c r="F1416" s="27"/>
      <c r="G1416" s="27"/>
      <c r="H1416" s="27"/>
      <c r="I1416" s="27"/>
      <c r="J1416" s="27"/>
      <c r="K1416" s="47"/>
      <c r="L1416" s="11"/>
    </row>
    <row r="1417" spans="2:12" x14ac:dyDescent="0.2">
      <c r="B1417" s="10"/>
      <c r="C1417" s="26"/>
      <c r="D1417" s="27"/>
      <c r="E1417" s="27"/>
      <c r="F1417" s="27"/>
      <c r="G1417" s="27"/>
      <c r="H1417" s="27"/>
      <c r="I1417" s="27"/>
      <c r="J1417" s="27"/>
      <c r="K1417" s="47"/>
      <c r="L1417" s="11"/>
    </row>
    <row r="1418" spans="2:12" x14ac:dyDescent="0.2">
      <c r="B1418" s="10"/>
      <c r="C1418" s="26"/>
      <c r="D1418" s="27"/>
      <c r="E1418" s="27"/>
      <c r="F1418" s="27"/>
      <c r="G1418" s="27"/>
      <c r="H1418" s="27"/>
      <c r="I1418" s="27"/>
      <c r="J1418" s="27"/>
      <c r="K1418" s="47"/>
      <c r="L1418" s="11"/>
    </row>
    <row r="1419" spans="2:12" x14ac:dyDescent="0.2">
      <c r="B1419" s="10"/>
      <c r="C1419" s="26"/>
      <c r="D1419" s="27"/>
      <c r="E1419" s="27"/>
      <c r="F1419" s="27"/>
      <c r="G1419" s="27"/>
      <c r="H1419" s="27"/>
      <c r="I1419" s="27"/>
      <c r="J1419" s="27"/>
      <c r="K1419" s="47"/>
      <c r="L1419" s="11"/>
    </row>
    <row r="1420" spans="2:12" x14ac:dyDescent="0.2">
      <c r="B1420" s="10"/>
      <c r="C1420" s="26"/>
      <c r="D1420" s="27"/>
      <c r="E1420" s="27"/>
      <c r="F1420" s="27"/>
      <c r="G1420" s="27"/>
      <c r="H1420" s="27"/>
      <c r="I1420" s="27"/>
      <c r="J1420" s="27"/>
      <c r="K1420" s="47"/>
      <c r="L1420" s="11"/>
    </row>
    <row r="1421" spans="2:12" x14ac:dyDescent="0.2">
      <c r="B1421" s="10"/>
      <c r="C1421" s="26"/>
      <c r="D1421" s="27"/>
      <c r="E1421" s="27"/>
      <c r="F1421" s="27"/>
      <c r="G1421" s="27"/>
      <c r="H1421" s="27"/>
      <c r="I1421" s="27"/>
      <c r="J1421" s="27"/>
      <c r="K1421" s="47"/>
      <c r="L1421" s="11"/>
    </row>
    <row r="1422" spans="2:12" x14ac:dyDescent="0.2">
      <c r="B1422" s="10"/>
      <c r="C1422" s="26"/>
      <c r="D1422" s="27"/>
      <c r="E1422" s="27"/>
      <c r="F1422" s="27"/>
      <c r="G1422" s="27"/>
      <c r="H1422" s="27"/>
      <c r="I1422" s="27"/>
      <c r="J1422" s="27"/>
      <c r="K1422" s="47"/>
      <c r="L1422" s="11"/>
    </row>
    <row r="1423" spans="2:12" x14ac:dyDescent="0.2">
      <c r="B1423" s="10"/>
      <c r="C1423" s="26"/>
      <c r="D1423" s="27"/>
      <c r="E1423" s="27"/>
      <c r="F1423" s="27"/>
      <c r="G1423" s="27"/>
      <c r="H1423" s="27"/>
      <c r="I1423" s="27"/>
      <c r="J1423" s="27"/>
      <c r="K1423" s="47"/>
      <c r="L1423" s="11"/>
    </row>
    <row r="1424" spans="2:12" x14ac:dyDescent="0.2">
      <c r="B1424" s="10"/>
      <c r="C1424" s="26"/>
      <c r="D1424" s="27"/>
      <c r="E1424" s="27"/>
      <c r="F1424" s="27"/>
      <c r="G1424" s="27"/>
      <c r="H1424" s="27"/>
      <c r="I1424" s="27"/>
      <c r="J1424" s="27"/>
      <c r="K1424" s="47"/>
      <c r="L1424" s="11"/>
    </row>
    <row r="1425" spans="2:12" x14ac:dyDescent="0.2">
      <c r="B1425" s="10"/>
      <c r="C1425" s="26"/>
      <c r="D1425" s="27"/>
      <c r="E1425" s="27"/>
      <c r="F1425" s="27"/>
      <c r="G1425" s="27"/>
      <c r="H1425" s="27"/>
      <c r="I1425" s="27"/>
      <c r="J1425" s="27"/>
      <c r="K1425" s="47"/>
      <c r="L1425" s="11"/>
    </row>
    <row r="1426" spans="2:12" x14ac:dyDescent="0.2">
      <c r="B1426" s="10"/>
      <c r="C1426" s="26"/>
      <c r="D1426" s="27"/>
      <c r="E1426" s="27"/>
      <c r="F1426" s="27"/>
      <c r="G1426" s="27"/>
      <c r="H1426" s="27"/>
      <c r="I1426" s="27"/>
      <c r="J1426" s="27"/>
      <c r="K1426" s="47"/>
      <c r="L1426" s="11"/>
    </row>
    <row r="1427" spans="2:12" x14ac:dyDescent="0.2">
      <c r="B1427" s="10"/>
      <c r="C1427" s="26"/>
      <c r="D1427" s="27"/>
      <c r="E1427" s="27"/>
      <c r="F1427" s="27"/>
      <c r="G1427" s="27"/>
      <c r="H1427" s="27"/>
      <c r="I1427" s="27"/>
      <c r="J1427" s="27"/>
      <c r="K1427" s="47"/>
      <c r="L1427" s="11"/>
    </row>
    <row r="1428" spans="2:12" x14ac:dyDescent="0.2">
      <c r="B1428" s="10"/>
      <c r="C1428" s="26"/>
      <c r="D1428" s="27"/>
      <c r="E1428" s="27"/>
      <c r="F1428" s="27"/>
      <c r="G1428" s="27"/>
      <c r="H1428" s="27"/>
      <c r="I1428" s="27"/>
      <c r="J1428" s="27"/>
      <c r="K1428" s="47"/>
      <c r="L1428" s="11"/>
    </row>
    <row r="1429" spans="2:12" x14ac:dyDescent="0.2">
      <c r="B1429" s="10"/>
      <c r="C1429" s="26"/>
      <c r="D1429" s="27"/>
      <c r="E1429" s="27"/>
      <c r="F1429" s="27"/>
      <c r="G1429" s="27"/>
      <c r="H1429" s="27"/>
      <c r="I1429" s="27"/>
      <c r="J1429" s="27"/>
      <c r="K1429" s="47"/>
      <c r="L1429" s="11"/>
    </row>
    <row r="1430" spans="2:12" x14ac:dyDescent="0.2">
      <c r="B1430" s="10"/>
      <c r="C1430" s="26"/>
      <c r="D1430" s="27"/>
      <c r="E1430" s="27"/>
      <c r="F1430" s="27"/>
      <c r="G1430" s="27"/>
      <c r="H1430" s="27"/>
      <c r="I1430" s="27"/>
      <c r="J1430" s="27"/>
      <c r="K1430" s="47"/>
      <c r="L1430" s="11"/>
    </row>
    <row r="1431" spans="2:12" x14ac:dyDescent="0.2">
      <c r="B1431" s="10"/>
      <c r="C1431" s="26"/>
      <c r="D1431" s="27"/>
      <c r="E1431" s="27"/>
      <c r="F1431" s="27"/>
      <c r="G1431" s="27"/>
      <c r="H1431" s="27"/>
      <c r="I1431" s="27"/>
      <c r="J1431" s="27"/>
      <c r="K1431" s="47"/>
      <c r="L1431" s="11"/>
    </row>
    <row r="1432" spans="2:12" x14ac:dyDescent="0.2">
      <c r="B1432" s="10"/>
      <c r="C1432" s="26"/>
      <c r="D1432" s="27"/>
      <c r="E1432" s="27"/>
      <c r="F1432" s="27"/>
      <c r="G1432" s="27"/>
      <c r="H1432" s="27"/>
      <c r="I1432" s="27"/>
      <c r="J1432" s="27"/>
      <c r="K1432" s="47"/>
      <c r="L1432" s="11"/>
    </row>
    <row r="1433" spans="2:12" x14ac:dyDescent="0.2">
      <c r="B1433" s="10"/>
      <c r="C1433" s="26"/>
      <c r="D1433" s="27"/>
      <c r="E1433" s="27"/>
      <c r="F1433" s="27"/>
      <c r="G1433" s="27"/>
      <c r="H1433" s="27"/>
      <c r="I1433" s="27"/>
      <c r="J1433" s="27"/>
      <c r="K1433" s="47"/>
      <c r="L1433" s="11"/>
    </row>
    <row r="1434" spans="2:12" x14ac:dyDescent="0.2">
      <c r="B1434" s="10"/>
      <c r="C1434" s="26"/>
      <c r="D1434" s="27"/>
      <c r="E1434" s="27"/>
      <c r="F1434" s="27"/>
      <c r="G1434" s="27"/>
      <c r="H1434" s="27"/>
      <c r="I1434" s="27"/>
      <c r="J1434" s="27"/>
      <c r="K1434" s="47"/>
      <c r="L1434" s="11"/>
    </row>
    <row r="1435" spans="2:12" x14ac:dyDescent="0.2">
      <c r="B1435" s="10"/>
      <c r="C1435" s="26"/>
      <c r="D1435" s="27"/>
      <c r="E1435" s="27"/>
      <c r="F1435" s="27"/>
      <c r="G1435" s="27"/>
      <c r="H1435" s="27"/>
      <c r="I1435" s="27"/>
      <c r="J1435" s="27"/>
      <c r="K1435" s="47"/>
      <c r="L1435" s="11"/>
    </row>
    <row r="1436" spans="2:12" x14ac:dyDescent="0.2">
      <c r="B1436" s="10"/>
      <c r="C1436" s="26"/>
      <c r="D1436" s="27"/>
      <c r="E1436" s="27"/>
      <c r="F1436" s="27"/>
      <c r="G1436" s="27"/>
      <c r="H1436" s="27"/>
      <c r="I1436" s="27"/>
      <c r="J1436" s="27"/>
      <c r="K1436" s="47"/>
      <c r="L1436" s="11"/>
    </row>
    <row r="1437" spans="2:12" x14ac:dyDescent="0.2">
      <c r="B1437" s="10"/>
      <c r="C1437" s="26"/>
      <c r="D1437" s="27"/>
      <c r="E1437" s="27"/>
      <c r="F1437" s="27"/>
      <c r="G1437" s="27"/>
      <c r="H1437" s="27"/>
      <c r="I1437" s="27"/>
      <c r="J1437" s="27"/>
      <c r="K1437" s="47"/>
      <c r="L1437" s="11"/>
    </row>
    <row r="1438" spans="2:12" x14ac:dyDescent="0.2">
      <c r="B1438" s="10"/>
      <c r="C1438" s="26"/>
      <c r="D1438" s="27"/>
      <c r="E1438" s="27"/>
      <c r="F1438" s="27"/>
      <c r="G1438" s="27"/>
      <c r="H1438" s="27"/>
      <c r="I1438" s="27"/>
      <c r="J1438" s="27"/>
      <c r="K1438" s="47"/>
      <c r="L1438" s="11"/>
    </row>
    <row r="1439" spans="2:12" x14ac:dyDescent="0.2">
      <c r="B1439" s="10"/>
      <c r="C1439" s="26"/>
      <c r="D1439" s="27"/>
      <c r="E1439" s="27"/>
      <c r="F1439" s="27"/>
      <c r="G1439" s="27"/>
      <c r="H1439" s="27"/>
      <c r="I1439" s="27"/>
      <c r="J1439" s="27"/>
      <c r="K1439" s="47"/>
      <c r="L1439" s="11"/>
    </row>
    <row r="1440" spans="2:12" x14ac:dyDescent="0.2">
      <c r="B1440" s="10"/>
      <c r="C1440" s="26"/>
      <c r="D1440" s="27"/>
      <c r="E1440" s="27"/>
      <c r="F1440" s="27"/>
      <c r="G1440" s="27"/>
      <c r="H1440" s="27"/>
      <c r="I1440" s="27"/>
      <c r="J1440" s="27"/>
      <c r="K1440" s="47"/>
      <c r="L1440" s="11"/>
    </row>
    <row r="1441" spans="2:12" x14ac:dyDescent="0.2">
      <c r="B1441" s="10"/>
      <c r="C1441" s="26"/>
      <c r="D1441" s="27"/>
      <c r="E1441" s="27"/>
      <c r="F1441" s="27"/>
      <c r="G1441" s="27"/>
      <c r="H1441" s="27"/>
      <c r="I1441" s="27"/>
      <c r="J1441" s="27"/>
      <c r="K1441" s="47"/>
      <c r="L1441" s="11"/>
    </row>
    <row r="1442" spans="2:12" x14ac:dyDescent="0.2">
      <c r="B1442" s="10"/>
      <c r="C1442" s="26"/>
      <c r="D1442" s="27"/>
      <c r="E1442" s="27"/>
      <c r="F1442" s="27"/>
      <c r="G1442" s="27"/>
      <c r="H1442" s="27"/>
      <c r="I1442" s="27"/>
      <c r="J1442" s="27"/>
      <c r="K1442" s="47"/>
      <c r="L1442" s="11"/>
    </row>
    <row r="1443" spans="2:12" x14ac:dyDescent="0.2">
      <c r="B1443" s="10"/>
      <c r="C1443" s="26"/>
      <c r="D1443" s="27"/>
      <c r="E1443" s="27"/>
      <c r="F1443" s="27"/>
      <c r="G1443" s="27"/>
      <c r="H1443" s="27"/>
      <c r="I1443" s="27"/>
      <c r="J1443" s="27"/>
      <c r="K1443" s="47"/>
      <c r="L1443" s="11"/>
    </row>
    <row r="1444" spans="2:12" x14ac:dyDescent="0.2">
      <c r="B1444" s="10"/>
      <c r="C1444" s="26"/>
      <c r="D1444" s="27"/>
      <c r="E1444" s="27"/>
      <c r="F1444" s="27"/>
      <c r="G1444" s="27"/>
      <c r="H1444" s="27"/>
      <c r="I1444" s="27"/>
      <c r="J1444" s="27"/>
      <c r="K1444" s="47"/>
      <c r="L1444" s="11"/>
    </row>
    <row r="1445" spans="2:12" x14ac:dyDescent="0.2">
      <c r="B1445" s="10"/>
      <c r="C1445" s="26"/>
      <c r="D1445" s="27"/>
      <c r="E1445" s="27"/>
      <c r="F1445" s="27"/>
      <c r="G1445" s="27"/>
      <c r="H1445" s="27"/>
      <c r="I1445" s="27"/>
      <c r="J1445" s="27"/>
      <c r="K1445" s="47"/>
      <c r="L1445" s="11"/>
    </row>
    <row r="1446" spans="2:12" x14ac:dyDescent="0.2">
      <c r="B1446" s="10"/>
      <c r="C1446" s="26"/>
      <c r="D1446" s="27"/>
      <c r="E1446" s="27"/>
      <c r="F1446" s="27"/>
      <c r="G1446" s="27"/>
      <c r="H1446" s="27"/>
      <c r="I1446" s="27"/>
      <c r="J1446" s="27"/>
      <c r="K1446" s="47"/>
      <c r="L1446" s="11"/>
    </row>
    <row r="1447" spans="2:12" x14ac:dyDescent="0.2">
      <c r="B1447" s="10"/>
      <c r="C1447" s="26"/>
      <c r="D1447" s="27"/>
      <c r="E1447" s="27"/>
      <c r="F1447" s="27"/>
      <c r="G1447" s="27"/>
      <c r="H1447" s="27"/>
      <c r="I1447" s="27"/>
      <c r="J1447" s="27"/>
      <c r="K1447" s="47"/>
      <c r="L1447" s="11"/>
    </row>
    <row r="1448" spans="2:12" x14ac:dyDescent="0.2">
      <c r="B1448" s="10"/>
      <c r="C1448" s="26"/>
      <c r="D1448" s="27"/>
      <c r="E1448" s="27"/>
      <c r="F1448" s="27"/>
      <c r="G1448" s="27"/>
      <c r="H1448" s="27"/>
      <c r="I1448" s="27"/>
      <c r="J1448" s="27"/>
      <c r="K1448" s="47"/>
      <c r="L1448" s="11"/>
    </row>
    <row r="1449" spans="2:12" x14ac:dyDescent="0.2">
      <c r="B1449" s="10"/>
      <c r="C1449" s="26"/>
      <c r="D1449" s="27"/>
      <c r="E1449" s="27"/>
      <c r="F1449" s="27"/>
      <c r="G1449" s="27"/>
      <c r="H1449" s="27"/>
      <c r="I1449" s="27"/>
      <c r="J1449" s="27"/>
      <c r="K1449" s="47"/>
      <c r="L1449" s="11"/>
    </row>
    <row r="1450" spans="2:12" x14ac:dyDescent="0.2">
      <c r="B1450" s="10"/>
      <c r="C1450" s="26"/>
      <c r="D1450" s="27"/>
      <c r="E1450" s="27"/>
      <c r="F1450" s="27"/>
      <c r="G1450" s="27"/>
      <c r="H1450" s="27"/>
      <c r="I1450" s="27"/>
      <c r="J1450" s="27"/>
      <c r="K1450" s="47"/>
      <c r="L1450" s="11"/>
    </row>
    <row r="1451" spans="2:12" x14ac:dyDescent="0.2">
      <c r="B1451" s="10"/>
      <c r="C1451" s="26"/>
      <c r="D1451" s="27"/>
      <c r="E1451" s="27"/>
      <c r="F1451" s="27"/>
      <c r="G1451" s="27"/>
      <c r="H1451" s="27"/>
      <c r="I1451" s="27"/>
      <c r="J1451" s="27"/>
      <c r="K1451" s="47"/>
      <c r="L1451" s="11"/>
    </row>
    <row r="1452" spans="2:12" x14ac:dyDescent="0.2">
      <c r="B1452" s="10"/>
      <c r="C1452" s="26"/>
      <c r="D1452" s="27"/>
      <c r="E1452" s="27"/>
      <c r="F1452" s="27"/>
      <c r="G1452" s="27"/>
      <c r="H1452" s="27"/>
      <c r="I1452" s="27"/>
      <c r="J1452" s="27"/>
      <c r="K1452" s="47"/>
      <c r="L1452" s="11"/>
    </row>
    <row r="1453" spans="2:12" x14ac:dyDescent="0.2">
      <c r="B1453" s="10"/>
      <c r="C1453" s="26"/>
      <c r="D1453" s="27"/>
      <c r="E1453" s="27"/>
      <c r="F1453" s="27"/>
      <c r="G1453" s="27"/>
      <c r="H1453" s="27"/>
      <c r="I1453" s="27"/>
      <c r="J1453" s="27"/>
      <c r="K1453" s="47"/>
      <c r="L1453" s="11"/>
    </row>
    <row r="1454" spans="2:12" x14ac:dyDescent="0.2">
      <c r="B1454" s="10"/>
      <c r="C1454" s="26"/>
      <c r="D1454" s="27"/>
      <c r="E1454" s="27"/>
      <c r="F1454" s="27"/>
      <c r="G1454" s="27"/>
      <c r="H1454" s="27"/>
      <c r="I1454" s="27"/>
      <c r="J1454" s="27"/>
      <c r="K1454" s="47"/>
      <c r="L1454" s="11"/>
    </row>
    <row r="1455" spans="2:12" x14ac:dyDescent="0.2">
      <c r="B1455" s="10"/>
      <c r="C1455" s="26"/>
      <c r="D1455" s="27"/>
      <c r="E1455" s="27"/>
      <c r="F1455" s="27"/>
      <c r="G1455" s="27"/>
      <c r="H1455" s="27"/>
      <c r="I1455" s="27"/>
      <c r="J1455" s="27"/>
      <c r="K1455" s="47"/>
      <c r="L1455" s="11"/>
    </row>
    <row r="1456" spans="2:12" x14ac:dyDescent="0.2">
      <c r="B1456" s="10"/>
      <c r="C1456" s="26"/>
      <c r="D1456" s="27"/>
      <c r="E1456" s="27"/>
      <c r="F1456" s="27"/>
      <c r="G1456" s="27"/>
      <c r="H1456" s="27"/>
      <c r="I1456" s="27"/>
      <c r="J1456" s="27"/>
      <c r="K1456" s="47"/>
      <c r="L1456" s="11"/>
    </row>
    <row r="1457" spans="2:12" x14ac:dyDescent="0.2">
      <c r="B1457" s="10"/>
      <c r="C1457" s="26"/>
      <c r="D1457" s="27"/>
      <c r="E1457" s="27"/>
      <c r="F1457" s="27"/>
      <c r="G1457" s="27"/>
      <c r="H1457" s="27"/>
      <c r="I1457" s="27"/>
      <c r="J1457" s="27"/>
      <c r="K1457" s="47"/>
      <c r="L1457" s="11"/>
    </row>
    <row r="1458" spans="2:12" x14ac:dyDescent="0.2">
      <c r="B1458" s="10"/>
      <c r="C1458" s="26"/>
      <c r="D1458" s="27"/>
      <c r="E1458" s="27"/>
      <c r="F1458" s="27"/>
      <c r="G1458" s="27"/>
      <c r="H1458" s="27"/>
      <c r="I1458" s="27"/>
      <c r="J1458" s="27"/>
      <c r="K1458" s="47"/>
      <c r="L1458" s="11"/>
    </row>
    <row r="1459" spans="2:12" x14ac:dyDescent="0.2">
      <c r="B1459" s="10"/>
      <c r="C1459" s="26"/>
      <c r="D1459" s="27"/>
      <c r="E1459" s="27"/>
      <c r="F1459" s="27"/>
      <c r="G1459" s="27"/>
      <c r="H1459" s="27"/>
      <c r="I1459" s="27"/>
      <c r="J1459" s="27"/>
      <c r="K1459" s="47"/>
      <c r="L1459" s="11"/>
    </row>
    <row r="1460" spans="2:12" x14ac:dyDescent="0.2">
      <c r="B1460" s="10"/>
      <c r="C1460" s="26"/>
      <c r="D1460" s="27"/>
      <c r="E1460" s="27"/>
      <c r="F1460" s="27"/>
      <c r="G1460" s="27"/>
      <c r="H1460" s="27"/>
      <c r="I1460" s="27"/>
      <c r="J1460" s="27"/>
      <c r="K1460" s="47"/>
      <c r="L1460" s="11"/>
    </row>
    <row r="1461" spans="2:12" x14ac:dyDescent="0.2">
      <c r="B1461" s="10"/>
      <c r="C1461" s="26"/>
      <c r="D1461" s="27"/>
      <c r="E1461" s="27"/>
      <c r="F1461" s="27"/>
      <c r="G1461" s="27"/>
      <c r="H1461" s="27"/>
      <c r="I1461" s="27"/>
      <c r="J1461" s="27"/>
      <c r="K1461" s="47"/>
      <c r="L1461" s="11"/>
    </row>
    <row r="1462" spans="2:12" x14ac:dyDescent="0.2">
      <c r="B1462" s="10"/>
      <c r="C1462" s="26"/>
      <c r="D1462" s="27"/>
      <c r="E1462" s="27"/>
      <c r="F1462" s="27"/>
      <c r="G1462" s="27"/>
      <c r="H1462" s="27"/>
      <c r="I1462" s="27"/>
      <c r="J1462" s="27"/>
      <c r="K1462" s="47"/>
      <c r="L1462" s="11"/>
    </row>
    <row r="1463" spans="2:12" x14ac:dyDescent="0.2">
      <c r="B1463" s="10"/>
      <c r="C1463" s="26"/>
      <c r="D1463" s="27"/>
      <c r="E1463" s="27"/>
      <c r="F1463" s="27"/>
      <c r="G1463" s="27"/>
      <c r="H1463" s="27"/>
      <c r="I1463" s="27"/>
      <c r="J1463" s="27"/>
      <c r="K1463" s="47"/>
      <c r="L1463" s="11"/>
    </row>
    <row r="1464" spans="2:12" x14ac:dyDescent="0.2">
      <c r="B1464" s="10"/>
      <c r="C1464" s="26"/>
      <c r="D1464" s="27"/>
      <c r="E1464" s="27"/>
      <c r="F1464" s="27"/>
      <c r="G1464" s="27"/>
      <c r="H1464" s="27"/>
      <c r="I1464" s="27"/>
      <c r="J1464" s="27"/>
      <c r="K1464" s="27"/>
      <c r="L1464" s="11"/>
    </row>
    <row r="1465" spans="2:12" x14ac:dyDescent="0.2">
      <c r="B1465" s="10"/>
      <c r="C1465" s="26"/>
      <c r="D1465" s="27"/>
      <c r="E1465" s="27"/>
      <c r="F1465" s="27"/>
      <c r="G1465" s="27"/>
      <c r="H1465" s="27"/>
      <c r="I1465" s="27"/>
      <c r="J1465" s="27"/>
      <c r="K1465" s="27"/>
      <c r="L1465" s="11"/>
    </row>
    <row r="1466" spans="2:12" x14ac:dyDescent="0.2">
      <c r="B1466" s="10"/>
      <c r="C1466" s="26"/>
      <c r="D1466" s="27"/>
      <c r="E1466" s="27"/>
      <c r="F1466" s="27"/>
      <c r="G1466" s="27"/>
      <c r="H1466" s="27"/>
      <c r="I1466" s="27"/>
      <c r="J1466" s="27"/>
      <c r="K1466" s="27"/>
      <c r="L1466" s="11"/>
    </row>
    <row r="1467" spans="2:12" x14ac:dyDescent="0.2">
      <c r="B1467" s="10"/>
      <c r="C1467" s="26"/>
      <c r="D1467" s="27"/>
      <c r="E1467" s="27"/>
      <c r="F1467" s="27"/>
      <c r="G1467" s="27"/>
      <c r="H1467" s="27"/>
      <c r="I1467" s="27"/>
      <c r="J1467" s="27"/>
      <c r="K1467" s="27"/>
      <c r="L1467" s="11"/>
    </row>
    <row r="1468" spans="2:12" x14ac:dyDescent="0.2">
      <c r="B1468" s="10"/>
      <c r="C1468" s="26"/>
      <c r="D1468" s="27"/>
      <c r="E1468" s="27"/>
      <c r="F1468" s="27"/>
      <c r="G1468" s="27"/>
      <c r="H1468" s="27"/>
      <c r="I1468" s="27"/>
      <c r="J1468" s="27"/>
      <c r="K1468" s="27"/>
      <c r="L1468" s="11"/>
    </row>
    <row r="1469" spans="2:12" x14ac:dyDescent="0.2">
      <c r="B1469" s="10"/>
      <c r="C1469" s="26"/>
      <c r="D1469" s="27"/>
      <c r="E1469" s="27"/>
      <c r="F1469" s="27"/>
      <c r="G1469" s="27"/>
      <c r="H1469" s="27"/>
      <c r="I1469" s="27"/>
      <c r="J1469" s="27"/>
      <c r="K1469" s="27"/>
      <c r="L1469" s="11"/>
    </row>
    <row r="1470" spans="2:12" x14ac:dyDescent="0.2">
      <c r="B1470" s="10"/>
      <c r="C1470" s="26"/>
      <c r="D1470" s="27"/>
      <c r="E1470" s="27"/>
      <c r="F1470" s="27"/>
      <c r="G1470" s="27"/>
      <c r="H1470" s="27"/>
      <c r="I1470" s="27"/>
      <c r="J1470" s="27"/>
      <c r="K1470" s="27"/>
      <c r="L1470" s="11"/>
    </row>
    <row r="1471" spans="2:12" x14ac:dyDescent="0.2">
      <c r="B1471" s="10"/>
      <c r="C1471" s="26"/>
      <c r="D1471" s="27"/>
      <c r="E1471" s="27"/>
      <c r="F1471" s="27"/>
      <c r="G1471" s="27"/>
      <c r="H1471" s="27"/>
      <c r="I1471" s="27"/>
      <c r="J1471" s="27"/>
      <c r="K1471" s="27"/>
      <c r="L1471" s="11"/>
    </row>
    <row r="1472" spans="2:12" x14ac:dyDescent="0.2">
      <c r="B1472" s="10"/>
      <c r="C1472" s="26"/>
      <c r="D1472" s="27"/>
      <c r="E1472" s="27"/>
      <c r="F1472" s="27"/>
      <c r="G1472" s="27"/>
      <c r="H1472" s="27"/>
      <c r="I1472" s="27"/>
      <c r="J1472" s="27"/>
      <c r="K1472" s="27"/>
      <c r="L1472" s="11"/>
    </row>
    <row r="1473" spans="2:12" x14ac:dyDescent="0.2">
      <c r="B1473" s="10"/>
      <c r="C1473" s="26"/>
      <c r="D1473" s="27"/>
      <c r="E1473" s="27"/>
      <c r="F1473" s="27"/>
      <c r="G1473" s="27"/>
      <c r="H1473" s="27"/>
      <c r="I1473" s="27"/>
      <c r="J1473" s="27"/>
      <c r="K1473" s="27"/>
      <c r="L1473" s="11"/>
    </row>
    <row r="1474" spans="2:12" x14ac:dyDescent="0.2">
      <c r="B1474" s="10"/>
      <c r="C1474" s="26"/>
      <c r="D1474" s="27"/>
      <c r="E1474" s="27"/>
      <c r="F1474" s="27"/>
      <c r="G1474" s="27"/>
      <c r="H1474" s="27"/>
      <c r="I1474" s="27"/>
      <c r="J1474" s="27"/>
      <c r="K1474" s="27"/>
      <c r="L1474" s="11"/>
    </row>
    <row r="1475" spans="2:12" x14ac:dyDescent="0.2">
      <c r="B1475" s="10"/>
      <c r="C1475" s="26"/>
      <c r="D1475" s="27"/>
      <c r="E1475" s="27"/>
      <c r="F1475" s="27"/>
      <c r="G1475" s="27"/>
      <c r="H1475" s="27"/>
      <c r="I1475" s="27"/>
      <c r="J1475" s="27"/>
      <c r="K1475" s="27"/>
      <c r="L1475" s="11"/>
    </row>
    <row r="1476" spans="2:12" x14ac:dyDescent="0.2">
      <c r="B1476" s="10"/>
      <c r="C1476" s="26"/>
      <c r="D1476" s="27"/>
      <c r="E1476" s="27"/>
      <c r="F1476" s="27"/>
      <c r="G1476" s="27"/>
      <c r="H1476" s="27"/>
      <c r="I1476" s="27"/>
      <c r="J1476" s="27"/>
      <c r="K1476" s="27"/>
      <c r="L1476" s="11"/>
    </row>
    <row r="1477" spans="2:12" x14ac:dyDescent="0.2">
      <c r="B1477" s="10"/>
      <c r="C1477" s="26"/>
      <c r="D1477" s="27"/>
      <c r="E1477" s="27"/>
      <c r="F1477" s="27"/>
      <c r="G1477" s="27"/>
      <c r="H1477" s="27"/>
      <c r="I1477" s="27"/>
      <c r="J1477" s="27"/>
      <c r="K1477" s="27"/>
      <c r="L1477" s="11"/>
    </row>
    <row r="1478" spans="2:12" x14ac:dyDescent="0.2">
      <c r="B1478" s="10"/>
      <c r="C1478" s="26"/>
      <c r="D1478" s="27"/>
      <c r="E1478" s="27"/>
      <c r="F1478" s="27"/>
      <c r="G1478" s="27"/>
      <c r="H1478" s="27"/>
      <c r="I1478" s="27"/>
      <c r="J1478" s="27"/>
      <c r="K1478" s="27"/>
      <c r="L1478" s="11"/>
    </row>
    <row r="1479" spans="2:12" x14ac:dyDescent="0.2">
      <c r="B1479" s="10"/>
      <c r="C1479" s="26"/>
      <c r="D1479" s="27"/>
      <c r="E1479" s="27"/>
      <c r="F1479" s="27"/>
      <c r="G1479" s="27"/>
      <c r="H1479" s="27"/>
      <c r="I1479" s="27"/>
      <c r="J1479" s="27"/>
      <c r="K1479" s="27"/>
      <c r="L1479" s="11"/>
    </row>
    <row r="1480" spans="2:12" x14ac:dyDescent="0.2">
      <c r="B1480" s="10"/>
      <c r="C1480" s="26"/>
      <c r="D1480" s="27"/>
      <c r="E1480" s="27"/>
      <c r="F1480" s="27"/>
      <c r="G1480" s="27"/>
      <c r="H1480" s="27"/>
      <c r="I1480" s="27"/>
      <c r="J1480" s="27"/>
      <c r="K1480" s="27"/>
      <c r="L1480" s="11"/>
    </row>
    <row r="1481" spans="2:12" x14ac:dyDescent="0.2">
      <c r="B1481" s="10"/>
      <c r="C1481" s="26"/>
      <c r="D1481" s="27"/>
      <c r="E1481" s="27"/>
      <c r="F1481" s="27"/>
      <c r="G1481" s="27"/>
      <c r="H1481" s="27"/>
      <c r="I1481" s="27"/>
      <c r="J1481" s="27"/>
      <c r="K1481" s="27"/>
      <c r="L1481" s="11"/>
    </row>
    <row r="1482" spans="2:12" x14ac:dyDescent="0.2">
      <c r="B1482" s="10"/>
      <c r="C1482" s="26"/>
      <c r="D1482" s="27"/>
      <c r="E1482" s="27"/>
      <c r="F1482" s="27"/>
      <c r="G1482" s="27"/>
      <c r="H1482" s="27"/>
      <c r="I1482" s="27"/>
      <c r="J1482" s="27"/>
      <c r="K1482" s="27"/>
      <c r="L1482" s="11"/>
    </row>
    <row r="1483" spans="2:12" x14ac:dyDescent="0.2">
      <c r="B1483" s="10"/>
      <c r="C1483" s="26"/>
      <c r="D1483" s="27"/>
      <c r="E1483" s="27"/>
      <c r="F1483" s="27"/>
      <c r="G1483" s="27"/>
      <c r="H1483" s="27"/>
      <c r="I1483" s="27"/>
      <c r="J1483" s="27"/>
      <c r="K1483" s="27"/>
      <c r="L1483" s="11"/>
    </row>
    <row r="1484" spans="2:12" x14ac:dyDescent="0.2">
      <c r="B1484" s="10"/>
      <c r="C1484" s="26"/>
      <c r="D1484" s="27"/>
      <c r="E1484" s="27"/>
      <c r="F1484" s="27"/>
      <c r="G1484" s="27"/>
      <c r="H1484" s="27"/>
      <c r="I1484" s="27"/>
      <c r="J1484" s="27"/>
      <c r="K1484" s="27"/>
      <c r="L1484" s="11"/>
    </row>
    <row r="1485" spans="2:12" x14ac:dyDescent="0.2">
      <c r="B1485" s="10"/>
      <c r="C1485" s="26"/>
      <c r="D1485" s="27"/>
      <c r="E1485" s="27"/>
      <c r="F1485" s="27"/>
      <c r="G1485" s="27"/>
      <c r="H1485" s="27"/>
      <c r="I1485" s="27"/>
      <c r="J1485" s="27"/>
      <c r="K1485" s="27"/>
      <c r="L1485" s="11"/>
    </row>
    <row r="1486" spans="2:12" x14ac:dyDescent="0.2">
      <c r="B1486" s="10"/>
      <c r="C1486" s="26"/>
      <c r="D1486" s="27"/>
      <c r="E1486" s="27"/>
      <c r="F1486" s="27"/>
      <c r="G1486" s="27"/>
      <c r="H1486" s="27"/>
      <c r="I1486" s="27"/>
      <c r="J1486" s="27"/>
      <c r="K1486" s="27"/>
      <c r="L1486" s="11"/>
    </row>
    <row r="1487" spans="2:12" x14ac:dyDescent="0.2">
      <c r="B1487" s="10"/>
      <c r="C1487" s="26"/>
      <c r="D1487" s="27"/>
      <c r="E1487" s="27"/>
      <c r="F1487" s="27"/>
      <c r="G1487" s="27"/>
      <c r="H1487" s="27"/>
      <c r="I1487" s="27"/>
      <c r="J1487" s="27"/>
      <c r="K1487" s="27"/>
      <c r="L1487" s="11"/>
    </row>
    <row r="1488" spans="2:12" x14ac:dyDescent="0.2">
      <c r="B1488" s="10"/>
      <c r="C1488" s="26"/>
      <c r="D1488" s="27"/>
      <c r="E1488" s="27"/>
      <c r="F1488" s="27"/>
      <c r="G1488" s="27"/>
      <c r="H1488" s="27"/>
      <c r="I1488" s="27"/>
      <c r="J1488" s="27"/>
      <c r="K1488" s="27"/>
      <c r="L1488" s="11"/>
    </row>
    <row r="1489" spans="2:12" x14ac:dyDescent="0.2">
      <c r="B1489" s="10"/>
      <c r="C1489" s="26"/>
      <c r="D1489" s="27"/>
      <c r="E1489" s="27"/>
      <c r="F1489" s="27"/>
      <c r="G1489" s="27"/>
      <c r="H1489" s="27"/>
      <c r="I1489" s="27"/>
      <c r="J1489" s="27"/>
      <c r="K1489" s="27"/>
      <c r="L1489" s="11"/>
    </row>
    <row r="1490" spans="2:12" x14ac:dyDescent="0.2">
      <c r="B1490" s="10"/>
      <c r="C1490" s="26"/>
      <c r="D1490" s="27"/>
      <c r="E1490" s="27"/>
      <c r="F1490" s="27"/>
      <c r="G1490" s="27"/>
      <c r="H1490" s="27"/>
      <c r="I1490" s="27"/>
      <c r="J1490" s="27"/>
      <c r="K1490" s="27"/>
      <c r="L1490" s="11"/>
    </row>
    <row r="1491" spans="2:12" x14ac:dyDescent="0.2">
      <c r="B1491" s="10"/>
      <c r="C1491" s="26"/>
      <c r="D1491" s="27"/>
      <c r="E1491" s="27"/>
      <c r="F1491" s="27"/>
      <c r="G1491" s="27"/>
      <c r="H1491" s="27"/>
      <c r="I1491" s="27"/>
      <c r="J1491" s="27"/>
      <c r="K1491" s="27"/>
      <c r="L1491" s="11"/>
    </row>
    <row r="1492" spans="2:12" x14ac:dyDescent="0.2">
      <c r="B1492" s="10"/>
      <c r="C1492" s="26"/>
      <c r="D1492" s="27"/>
      <c r="E1492" s="27"/>
      <c r="F1492" s="27"/>
      <c r="G1492" s="27"/>
      <c r="H1492" s="27"/>
      <c r="I1492" s="27"/>
      <c r="J1492" s="27"/>
      <c r="K1492" s="27"/>
      <c r="L1492" s="11"/>
    </row>
    <row r="1493" spans="2:12" x14ac:dyDescent="0.2">
      <c r="B1493" s="10"/>
      <c r="C1493" s="26"/>
      <c r="D1493" s="27"/>
      <c r="E1493" s="27"/>
      <c r="F1493" s="27"/>
      <c r="G1493" s="27"/>
      <c r="H1493" s="27"/>
      <c r="I1493" s="27"/>
      <c r="J1493" s="27"/>
      <c r="K1493" s="27"/>
      <c r="L1493" s="11"/>
    </row>
    <row r="1494" spans="2:12" x14ac:dyDescent="0.2">
      <c r="B1494" s="10"/>
      <c r="C1494" s="26"/>
      <c r="D1494" s="27"/>
      <c r="E1494" s="27"/>
      <c r="F1494" s="27"/>
      <c r="G1494" s="27"/>
      <c r="H1494" s="27"/>
      <c r="I1494" s="27"/>
      <c r="J1494" s="27"/>
      <c r="K1494" s="27"/>
      <c r="L1494" s="11"/>
    </row>
    <row r="1495" spans="2:12" x14ac:dyDescent="0.2">
      <c r="B1495" s="10"/>
      <c r="C1495" s="26"/>
      <c r="D1495" s="27"/>
      <c r="E1495" s="27"/>
      <c r="F1495" s="27"/>
      <c r="G1495" s="27"/>
      <c r="H1495" s="27"/>
      <c r="I1495" s="27"/>
      <c r="J1495" s="27"/>
      <c r="K1495" s="27"/>
      <c r="L1495" s="11"/>
    </row>
    <row r="1496" spans="2:12" x14ac:dyDescent="0.2">
      <c r="B1496" s="10"/>
      <c r="C1496" s="26"/>
      <c r="D1496" s="27"/>
      <c r="E1496" s="27"/>
      <c r="F1496" s="27"/>
      <c r="G1496" s="27"/>
      <c r="H1496" s="27"/>
      <c r="I1496" s="27"/>
      <c r="J1496" s="27"/>
      <c r="K1496" s="27"/>
      <c r="L1496" s="11"/>
    </row>
    <row r="1497" spans="2:12" x14ac:dyDescent="0.2">
      <c r="B1497" s="10"/>
      <c r="C1497" s="26"/>
      <c r="D1497" s="27"/>
      <c r="E1497" s="27"/>
      <c r="F1497" s="27"/>
      <c r="G1497" s="27"/>
      <c r="H1497" s="27"/>
      <c r="I1497" s="27"/>
      <c r="J1497" s="27"/>
      <c r="K1497" s="27"/>
      <c r="L1497" s="11"/>
    </row>
    <row r="1498" spans="2:12" x14ac:dyDescent="0.2">
      <c r="B1498" s="10"/>
      <c r="C1498" s="26"/>
      <c r="D1498" s="27"/>
      <c r="E1498" s="27"/>
      <c r="F1498" s="27"/>
      <c r="G1498" s="27"/>
      <c r="H1498" s="27"/>
      <c r="I1498" s="27"/>
      <c r="J1498" s="27"/>
      <c r="K1498" s="27"/>
      <c r="L1498" s="11"/>
    </row>
    <row r="1499" spans="2:12" x14ac:dyDescent="0.2">
      <c r="B1499" s="10"/>
      <c r="C1499" s="26"/>
      <c r="D1499" s="27"/>
      <c r="E1499" s="27"/>
      <c r="F1499" s="27"/>
      <c r="G1499" s="27"/>
      <c r="H1499" s="27"/>
      <c r="I1499" s="27"/>
      <c r="J1499" s="27"/>
      <c r="K1499" s="27"/>
      <c r="L1499" s="11"/>
    </row>
    <row r="1500" spans="2:12" x14ac:dyDescent="0.2">
      <c r="B1500" s="10"/>
      <c r="C1500" s="26"/>
      <c r="D1500" s="27"/>
      <c r="E1500" s="27"/>
      <c r="F1500" s="27"/>
      <c r="G1500" s="27"/>
      <c r="H1500" s="27"/>
      <c r="I1500" s="27"/>
      <c r="J1500" s="27"/>
      <c r="K1500" s="27"/>
      <c r="L1500" s="11"/>
    </row>
    <row r="1501" spans="2:12" x14ac:dyDescent="0.2">
      <c r="B1501" s="10"/>
      <c r="C1501" s="26"/>
      <c r="D1501" s="27"/>
      <c r="E1501" s="27"/>
      <c r="F1501" s="27"/>
      <c r="G1501" s="27"/>
      <c r="H1501" s="27"/>
      <c r="I1501" s="27"/>
      <c r="J1501" s="27"/>
      <c r="K1501" s="27"/>
      <c r="L1501" s="11"/>
    </row>
    <row r="1502" spans="2:12" x14ac:dyDescent="0.2">
      <c r="B1502" s="10"/>
      <c r="C1502" s="26"/>
      <c r="D1502" s="27"/>
      <c r="E1502" s="27"/>
      <c r="F1502" s="27"/>
      <c r="G1502" s="27"/>
      <c r="H1502" s="27"/>
      <c r="I1502" s="27"/>
      <c r="J1502" s="27"/>
      <c r="K1502" s="27"/>
      <c r="L1502" s="11"/>
    </row>
    <row r="1503" spans="2:12" x14ac:dyDescent="0.2">
      <c r="B1503" s="10"/>
      <c r="C1503" s="26"/>
      <c r="D1503" s="27"/>
      <c r="E1503" s="27"/>
      <c r="F1503" s="27"/>
      <c r="G1503" s="27"/>
      <c r="H1503" s="27"/>
      <c r="I1503" s="27"/>
      <c r="J1503" s="27"/>
      <c r="K1503" s="27"/>
      <c r="L1503" s="11"/>
    </row>
    <row r="1504" spans="2:12" x14ac:dyDescent="0.2">
      <c r="B1504" s="10"/>
      <c r="C1504" s="26"/>
      <c r="D1504" s="27"/>
      <c r="E1504" s="27"/>
      <c r="F1504" s="27"/>
      <c r="G1504" s="27"/>
      <c r="H1504" s="27"/>
      <c r="I1504" s="27"/>
      <c r="J1504" s="27"/>
      <c r="K1504" s="27"/>
      <c r="L1504" s="11"/>
    </row>
    <row r="1505" spans="2:12" x14ac:dyDescent="0.2">
      <c r="B1505" s="10"/>
      <c r="C1505" s="26"/>
      <c r="D1505" s="27"/>
      <c r="E1505" s="27"/>
      <c r="F1505" s="27"/>
      <c r="G1505" s="27"/>
      <c r="H1505" s="27"/>
      <c r="I1505" s="27"/>
      <c r="J1505" s="27"/>
      <c r="K1505" s="27"/>
      <c r="L1505" s="11"/>
    </row>
    <row r="1506" spans="2:12" x14ac:dyDescent="0.2">
      <c r="B1506" s="10"/>
      <c r="C1506" s="26"/>
      <c r="D1506" s="27"/>
      <c r="E1506" s="27"/>
      <c r="F1506" s="27"/>
      <c r="G1506" s="27"/>
      <c r="H1506" s="27"/>
      <c r="I1506" s="27"/>
      <c r="J1506" s="27"/>
      <c r="K1506" s="27"/>
      <c r="L1506" s="11"/>
    </row>
    <row r="1507" spans="2:12" x14ac:dyDescent="0.2">
      <c r="B1507" s="10"/>
      <c r="C1507" s="26"/>
      <c r="D1507" s="27"/>
      <c r="E1507" s="27"/>
      <c r="F1507" s="27"/>
      <c r="G1507" s="27"/>
      <c r="H1507" s="27"/>
      <c r="I1507" s="27"/>
      <c r="J1507" s="27"/>
      <c r="K1507" s="27"/>
      <c r="L1507" s="11"/>
    </row>
    <row r="1508" spans="2:12" x14ac:dyDescent="0.2">
      <c r="B1508" s="10"/>
      <c r="C1508" s="26"/>
      <c r="D1508" s="27"/>
      <c r="E1508" s="27"/>
      <c r="F1508" s="27"/>
      <c r="G1508" s="27"/>
      <c r="H1508" s="27"/>
      <c r="I1508" s="27"/>
      <c r="J1508" s="27"/>
      <c r="K1508" s="27"/>
      <c r="L1508" s="11"/>
    </row>
    <row r="1509" spans="2:12" x14ac:dyDescent="0.2">
      <c r="B1509" s="10"/>
      <c r="C1509" s="26"/>
      <c r="D1509" s="27"/>
      <c r="E1509" s="27"/>
      <c r="F1509" s="27"/>
      <c r="G1509" s="27"/>
      <c r="H1509" s="27"/>
      <c r="I1509" s="27"/>
      <c r="J1509" s="27"/>
      <c r="K1509" s="27"/>
      <c r="L1509" s="11"/>
    </row>
    <row r="1510" spans="2:12" x14ac:dyDescent="0.2">
      <c r="B1510" s="10"/>
      <c r="C1510" s="26"/>
      <c r="D1510" s="27"/>
      <c r="E1510" s="27"/>
      <c r="F1510" s="27"/>
      <c r="G1510" s="27"/>
      <c r="H1510" s="27"/>
      <c r="I1510" s="27"/>
      <c r="J1510" s="27"/>
      <c r="K1510" s="27"/>
      <c r="L1510" s="11"/>
    </row>
    <row r="1511" spans="2:12" x14ac:dyDescent="0.2">
      <c r="B1511" s="10"/>
      <c r="C1511" s="26"/>
      <c r="D1511" s="27"/>
      <c r="E1511" s="27"/>
      <c r="F1511" s="27"/>
      <c r="G1511" s="27"/>
      <c r="H1511" s="27"/>
      <c r="I1511" s="27"/>
      <c r="J1511" s="27"/>
      <c r="K1511" s="27"/>
      <c r="L1511" s="11"/>
    </row>
    <row r="1512" spans="2:12" x14ac:dyDescent="0.2">
      <c r="B1512" s="10"/>
      <c r="C1512" s="26"/>
      <c r="D1512" s="27"/>
      <c r="E1512" s="27"/>
      <c r="F1512" s="27"/>
      <c r="G1512" s="27"/>
      <c r="H1512" s="27"/>
      <c r="I1512" s="27"/>
      <c r="J1512" s="27"/>
      <c r="K1512" s="27"/>
      <c r="L1512" s="11"/>
    </row>
    <row r="1513" spans="2:12" x14ac:dyDescent="0.2">
      <c r="B1513" s="12"/>
      <c r="C1513" s="17"/>
      <c r="D1513" s="18"/>
      <c r="E1513" s="18"/>
      <c r="F1513" s="18"/>
      <c r="G1513" s="18"/>
      <c r="H1513" s="18"/>
      <c r="I1513" s="18"/>
      <c r="J1513" s="18"/>
      <c r="K1513" s="18"/>
      <c r="L1513" s="14"/>
    </row>
  </sheetData>
  <mergeCells count="20">
    <mergeCell ref="N164:Q164"/>
    <mergeCell ref="N111:Q111"/>
    <mergeCell ref="N58:Q58"/>
    <mergeCell ref="B10:L10"/>
    <mergeCell ref="N10:Q10"/>
    <mergeCell ref="C3:K3"/>
    <mergeCell ref="C4:K4"/>
    <mergeCell ref="C5:K5"/>
    <mergeCell ref="C6:K6"/>
    <mergeCell ref="N21:Q21"/>
    <mergeCell ref="P258:Q258"/>
    <mergeCell ref="P259:Q259"/>
    <mergeCell ref="P260:Q260"/>
    <mergeCell ref="P261:Q261"/>
    <mergeCell ref="P262:Q262"/>
    <mergeCell ref="P263:Q263"/>
    <mergeCell ref="P266:Q266"/>
    <mergeCell ref="P267:Q267"/>
    <mergeCell ref="P268:Q268"/>
    <mergeCell ref="P269:Q269"/>
  </mergeCells>
  <phoneticPr fontId="31" type="noConversion"/>
  <conditionalFormatting sqref="P138:P161">
    <cfRule type="colorScale" priority="18">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ignoredErrors>
    <ignoredError sqref="P89:P90 P92 P94:P96 P44:P45" emptyCellReference="1"/>
    <ignoredError sqref="P70 P245 P250:P251" formula="1"/>
    <ignoredError sqref="P93 P91" formula="1" emptyCellReference="1"/>
  </ignoredErrors>
  <drawing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Inputs!$C$2:$C$5</xm:f>
          </x14:formula1>
          <xm:sqref>P97 P43</xm:sqref>
        </x14:dataValidation>
        <x14:dataValidation type="list" allowBlank="1" showInputMessage="1" showErrorMessage="1">
          <x14:formula1>
            <xm:f>Inputs!$F$2:$F$3</xm:f>
          </x14:formula1>
          <xm:sqref>P75</xm:sqref>
        </x14:dataValidation>
        <x14:dataValidation type="list" allowBlank="1" showInputMessage="1" showErrorMessage="1">
          <x14:formula1>
            <xm:f>Inputs!$G$2:$G$5</xm:f>
          </x14:formula1>
          <xm:sqref>P64</xm:sqref>
        </x14:dataValidation>
        <x14:dataValidation type="list" allowBlank="1" showInputMessage="1" showErrorMessage="1">
          <x14:formula1>
            <xm:f>CPULookup!$A$2:$A$22</xm:f>
          </x14:formula1>
          <xm:sqref>P65 P27</xm:sqref>
        </x14:dataValidation>
        <x14:dataValidation type="list" allowBlank="1" showInputMessage="1" showErrorMessage="1">
          <x14:formula1>
            <xm:f>Inputs!$D$2:$D$25</xm:f>
          </x14:formula1>
          <xm:sqref>P86 P40</xm:sqref>
        </x14:dataValidation>
        <x14:dataValidation type="list" allowBlank="1" showInputMessage="1" showErrorMessage="1">
          <x14:formula1>
            <xm:f>Inputs!$B$2:$B$3</xm:f>
          </x14:formula1>
          <xm:sqref>P87 P41</xm:sqref>
        </x14:dataValidation>
        <x14:dataValidation type="list" allowBlank="1" showInputMessage="1" showErrorMessage="1">
          <x14:formula1>
            <xm:f>RAMLookup!$A$2:$A$10</xm:f>
          </x14:formula1>
          <xm:sqref>P80 P34</xm:sqref>
        </x14:dataValidation>
        <x14:dataValidation type="list" allowBlank="1" showInputMessage="1" showErrorMessage="1">
          <x14:formula1>
            <xm:f>DiskLookup!$A$2:$A$26</xm:f>
          </x14:formula1>
          <xm:sqref>P88 P42</xm:sqref>
        </x14:dataValidation>
        <x14:dataValidation type="list" allowBlank="1" showInputMessage="1" showErrorMessage="1">
          <x14:formula1>
            <xm:f>Inputs!$A$2:$A$5</xm:f>
          </x14:formula1>
          <xm:sqref>P23 P25 P60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tabColor theme="6" tint="0.59999389629810485"/>
  </sheetPr>
  <dimension ref="B1:R1514"/>
  <sheetViews>
    <sheetView topLeftCell="B1" workbookViewId="0">
      <selection activeCell="I35" sqref="I35"/>
    </sheetView>
  </sheetViews>
  <sheetFormatPr baseColWidth="10" defaultColWidth="8.83203125" defaultRowHeight="14" x14ac:dyDescent="0.2"/>
  <cols>
    <col min="1" max="2" width="1.33203125" style="50" customWidth="1"/>
    <col min="3" max="3" width="5.1640625" style="50" bestFit="1" customWidth="1"/>
    <col min="4" max="4" width="9" style="50" bestFit="1" customWidth="1"/>
    <col min="5" max="5" width="11" style="50" bestFit="1" customWidth="1"/>
    <col min="6" max="6" width="9.1640625" style="50" bestFit="1" customWidth="1"/>
    <col min="7" max="7" width="6.1640625" style="50" bestFit="1" customWidth="1"/>
    <col min="8" max="8" width="1.6640625" style="50" customWidth="1"/>
    <col min="9" max="9" width="46.1640625" style="50" bestFit="1" customWidth="1"/>
    <col min="10" max="10" width="7.1640625" style="50" bestFit="1" customWidth="1"/>
    <col min="11" max="11" width="7" style="50" bestFit="1" customWidth="1"/>
    <col min="12" max="12" width="7.1640625" style="50" customWidth="1"/>
    <col min="13" max="13" width="1.6640625" style="50" customWidth="1"/>
    <col min="14" max="14" width="46.1640625" style="50" bestFit="1" customWidth="1"/>
    <col min="15" max="15" width="7.1640625" style="50" bestFit="1" customWidth="1"/>
    <col min="16" max="16" width="7" style="50" bestFit="1" customWidth="1"/>
    <col min="17" max="17" width="7.1640625" style="50" customWidth="1"/>
    <col min="18" max="18" width="1.33203125" style="50" customWidth="1"/>
    <col min="19" max="16384" width="8.83203125" style="50"/>
  </cols>
  <sheetData>
    <row r="1" spans="2:18" ht="9" customHeight="1" x14ac:dyDescent="0.2"/>
    <row r="2" spans="2:18" ht="7.5" customHeight="1" x14ac:dyDescent="0.2">
      <c r="B2" s="51"/>
      <c r="C2" s="6"/>
      <c r="D2" s="6"/>
      <c r="E2" s="6"/>
      <c r="F2" s="6"/>
      <c r="G2" s="6"/>
      <c r="H2" s="6"/>
      <c r="I2" s="6"/>
      <c r="J2" s="6"/>
      <c r="K2" s="6"/>
      <c r="L2" s="6"/>
      <c r="M2" s="6"/>
      <c r="N2" s="6"/>
      <c r="O2" s="6"/>
      <c r="P2" s="6"/>
      <c r="Q2" s="6"/>
      <c r="R2" s="52"/>
    </row>
    <row r="3" spans="2:18" s="59" customFormat="1" x14ac:dyDescent="0.2">
      <c r="B3" s="57"/>
      <c r="C3" s="64" t="s">
        <v>67</v>
      </c>
      <c r="D3" s="63"/>
      <c r="E3" s="63"/>
      <c r="F3" s="74" t="s">
        <v>78</v>
      </c>
      <c r="G3" s="25"/>
      <c r="H3" s="64" t="s">
        <v>68</v>
      </c>
      <c r="I3" s="63"/>
      <c r="J3" s="65"/>
      <c r="K3" s="25"/>
      <c r="L3" s="64" t="s">
        <v>71</v>
      </c>
      <c r="M3" s="63"/>
      <c r="N3" s="65"/>
      <c r="O3" s="77">
        <f>'All-Servers'!P18</f>
        <v>183</v>
      </c>
      <c r="P3" s="64" t="s">
        <v>73</v>
      </c>
      <c r="Q3" s="65"/>
      <c r="R3" s="58"/>
    </row>
    <row r="4" spans="2:18" s="59" customFormat="1" x14ac:dyDescent="0.2">
      <c r="B4" s="57"/>
      <c r="C4" s="69" t="str">
        <f>"Each: " &amp; 'All-Servers'!$P$77&amp;" vCPU, "&amp;'All-Servers'!$P$80&amp;" GB RAM, "&amp;'All-Servers'!$P$108&amp;" TB Disk"</f>
        <v>Each: 144 vCPU, 384 GB RAM, 10.22 TB Disk</v>
      </c>
      <c r="D4" s="66"/>
      <c r="E4" s="67"/>
      <c r="F4" s="68"/>
      <c r="G4" s="25"/>
      <c r="H4" s="69" t="s">
        <v>69</v>
      </c>
      <c r="I4" s="66"/>
      <c r="J4" s="73"/>
      <c r="K4" s="25"/>
      <c r="L4" s="69" t="s">
        <v>72</v>
      </c>
      <c r="M4" s="66"/>
      <c r="N4" s="73"/>
      <c r="O4" s="77">
        <f>ROUNDUP('All-Servers'!P18/'All-Servers'!P6,0)</f>
        <v>183</v>
      </c>
      <c r="P4" s="76" t="s">
        <v>74</v>
      </c>
      <c r="Q4" s="75"/>
      <c r="R4" s="58"/>
    </row>
    <row r="5" spans="2:18" s="59" customFormat="1" ht="6" customHeight="1" x14ac:dyDescent="0.2">
      <c r="B5" s="70"/>
      <c r="C5" s="83"/>
      <c r="D5" s="84">
        <f>'All-Servers'!$P$77</f>
        <v>144</v>
      </c>
      <c r="E5" s="84">
        <f>'All-Servers'!$P$80*1024</f>
        <v>393216</v>
      </c>
      <c r="F5" s="84">
        <f>'All-Servers'!P108*1024</f>
        <v>10465.280000000001</v>
      </c>
      <c r="G5" s="71"/>
      <c r="H5" s="71"/>
      <c r="I5" s="71"/>
      <c r="J5" s="71"/>
      <c r="K5" s="71"/>
      <c r="L5" s="71"/>
      <c r="M5" s="71"/>
      <c r="N5" s="71"/>
      <c r="O5" s="71"/>
      <c r="P5" s="71"/>
      <c r="Q5" s="71"/>
      <c r="R5" s="72"/>
    </row>
    <row r="6" spans="2:18" s="59" customFormat="1" ht="6.75" customHeight="1" x14ac:dyDescent="0.2"/>
    <row r="7" spans="2:18" s="59" customFormat="1" ht="6" customHeight="1" x14ac:dyDescent="0.2">
      <c r="B7" s="60"/>
      <c r="C7" s="6"/>
      <c r="D7" s="6"/>
      <c r="E7" s="6"/>
      <c r="F7" s="6"/>
      <c r="G7" s="6"/>
      <c r="H7" s="6"/>
      <c r="I7" s="6"/>
      <c r="J7" s="6"/>
      <c r="K7" s="6"/>
      <c r="L7" s="6"/>
      <c r="M7" s="61"/>
      <c r="N7" s="61"/>
      <c r="O7" s="61"/>
      <c r="P7" s="61"/>
      <c r="Q7" s="61"/>
      <c r="R7" s="62"/>
    </row>
    <row r="8" spans="2:18" ht="15" x14ac:dyDescent="0.2">
      <c r="B8" s="53"/>
      <c r="C8" s="356" t="str">
        <f>"Hypervisors Count:  Estimate ("&amp;IF(F3="U240",'All-Servers'!P117)&amp;") Actual = (" &amp; MAX($C$10:$C301)&amp;")"</f>
        <v>Hypervisors Count:  Estimate (5) Actual = (0)</v>
      </c>
      <c r="D8" s="356"/>
      <c r="E8" s="356"/>
      <c r="F8" s="356"/>
      <c r="G8" s="356"/>
      <c r="H8" s="16"/>
      <c r="I8" s="356" t="s">
        <v>70</v>
      </c>
      <c r="J8" s="356"/>
      <c r="K8" s="356"/>
      <c r="L8" s="356"/>
      <c r="M8" s="16"/>
      <c r="N8" s="356" t="str">
        <f>"Instance Total: "&amp;O4</f>
        <v>Instance Total: 183</v>
      </c>
      <c r="O8" s="356"/>
      <c r="P8" s="356"/>
      <c r="Q8" s="356"/>
      <c r="R8" s="54"/>
    </row>
    <row r="9" spans="2:18" x14ac:dyDescent="0.2">
      <c r="B9" s="53"/>
      <c r="C9" s="80" t="s">
        <v>49</v>
      </c>
      <c r="D9" s="80" t="s">
        <v>44</v>
      </c>
      <c r="E9" s="80" t="s">
        <v>46</v>
      </c>
      <c r="F9" s="80" t="s">
        <v>47</v>
      </c>
      <c r="G9" s="80" t="s">
        <v>48</v>
      </c>
      <c r="H9" s="16"/>
      <c r="I9" s="81" t="s">
        <v>45</v>
      </c>
      <c r="J9" s="81" t="s">
        <v>50</v>
      </c>
      <c r="K9" s="81" t="s">
        <v>51</v>
      </c>
      <c r="L9" s="81" t="s">
        <v>52</v>
      </c>
      <c r="M9" s="16"/>
      <c r="N9" s="81" t="s">
        <v>45</v>
      </c>
      <c r="O9" s="81" t="s">
        <v>50</v>
      </c>
      <c r="P9" s="81" t="s">
        <v>51</v>
      </c>
      <c r="Q9" s="81" t="s">
        <v>52</v>
      </c>
      <c r="R9" s="54"/>
    </row>
    <row r="10" spans="2:18" x14ac:dyDescent="0.2">
      <c r="B10" s="53"/>
      <c r="C10" s="78"/>
      <c r="D10" s="78"/>
      <c r="E10" s="78"/>
      <c r="F10" s="78"/>
      <c r="G10" s="78"/>
      <c r="H10" s="79"/>
      <c r="I10" s="78"/>
      <c r="J10" s="78"/>
      <c r="K10" s="78"/>
      <c r="L10" s="78"/>
      <c r="M10" s="16"/>
      <c r="N10" s="78"/>
      <c r="O10" s="78"/>
      <c r="P10" s="78"/>
      <c r="Q10" s="78"/>
      <c r="R10" s="54"/>
    </row>
    <row r="11" spans="2:18" x14ac:dyDescent="0.2">
      <c r="B11" s="53"/>
      <c r="C11" s="78"/>
      <c r="D11" s="78"/>
      <c r="E11" s="78"/>
      <c r="F11" s="78"/>
      <c r="G11" s="78"/>
      <c r="H11" s="79"/>
      <c r="I11" s="78"/>
      <c r="J11" s="78"/>
      <c r="K11" s="78"/>
      <c r="L11" s="78"/>
      <c r="M11" s="16"/>
      <c r="N11" s="78"/>
      <c r="O11" s="78"/>
      <c r="P11" s="78"/>
      <c r="Q11" s="78"/>
      <c r="R11" s="54"/>
    </row>
    <row r="12" spans="2:18" x14ac:dyDescent="0.2">
      <c r="B12" s="53"/>
      <c r="C12" s="78"/>
      <c r="D12" s="78"/>
      <c r="E12" s="78"/>
      <c r="F12" s="78"/>
      <c r="G12" s="78"/>
      <c r="H12" s="79"/>
      <c r="I12" s="78"/>
      <c r="J12" s="78"/>
      <c r="K12" s="78"/>
      <c r="L12" s="78"/>
      <c r="M12" s="16"/>
      <c r="N12" s="78"/>
      <c r="O12" s="78"/>
      <c r="P12" s="78"/>
      <c r="Q12" s="78"/>
      <c r="R12" s="54"/>
    </row>
    <row r="13" spans="2:18" x14ac:dyDescent="0.2">
      <c r="B13" s="53"/>
      <c r="C13" s="78"/>
      <c r="D13" s="78"/>
      <c r="E13" s="78"/>
      <c r="F13" s="78"/>
      <c r="G13" s="78"/>
      <c r="H13" s="79"/>
      <c r="I13" s="78"/>
      <c r="J13" s="78"/>
      <c r="K13" s="78"/>
      <c r="L13" s="78"/>
      <c r="M13" s="16"/>
      <c r="N13" s="78"/>
      <c r="O13" s="78"/>
      <c r="P13" s="78"/>
      <c r="Q13" s="78"/>
      <c r="R13" s="54"/>
    </row>
    <row r="14" spans="2:18" x14ac:dyDescent="0.2">
      <c r="B14" s="53"/>
      <c r="C14" s="78"/>
      <c r="D14" s="78"/>
      <c r="E14" s="78"/>
      <c r="F14" s="78"/>
      <c r="G14" s="78"/>
      <c r="H14" s="79"/>
      <c r="I14" s="78"/>
      <c r="J14" s="78"/>
      <c r="K14" s="78"/>
      <c r="L14" s="78"/>
      <c r="M14" s="16"/>
      <c r="N14" s="78"/>
      <c r="O14" s="78"/>
      <c r="P14" s="78"/>
      <c r="Q14" s="78"/>
      <c r="R14" s="54"/>
    </row>
    <row r="15" spans="2:18" x14ac:dyDescent="0.2">
      <c r="B15" s="53"/>
      <c r="C15" s="78"/>
      <c r="D15" s="78"/>
      <c r="E15" s="78"/>
      <c r="F15" s="78"/>
      <c r="G15" s="78"/>
      <c r="H15" s="79"/>
      <c r="I15" s="78"/>
      <c r="J15" s="78"/>
      <c r="K15" s="78"/>
      <c r="L15" s="78"/>
      <c r="M15" s="16"/>
      <c r="N15" s="78"/>
      <c r="O15" s="78"/>
      <c r="P15" s="78"/>
      <c r="Q15" s="78"/>
      <c r="R15" s="54"/>
    </row>
    <row r="16" spans="2:18" x14ac:dyDescent="0.2">
      <c r="B16" s="53"/>
      <c r="C16" s="78"/>
      <c r="D16" s="78"/>
      <c r="E16" s="78"/>
      <c r="F16" s="78"/>
      <c r="G16" s="78"/>
      <c r="H16" s="79"/>
      <c r="I16" s="78"/>
      <c r="J16" s="78"/>
      <c r="K16" s="78"/>
      <c r="L16" s="78"/>
      <c r="M16" s="16"/>
      <c r="N16" s="78"/>
      <c r="O16" s="78"/>
      <c r="P16" s="78"/>
      <c r="Q16" s="78"/>
      <c r="R16" s="54"/>
    </row>
    <row r="17" spans="2:18" x14ac:dyDescent="0.2">
      <c r="B17" s="53"/>
      <c r="C17" s="78"/>
      <c r="D17" s="78"/>
      <c r="E17" s="78"/>
      <c r="F17" s="78"/>
      <c r="G17" s="78"/>
      <c r="H17" s="79"/>
      <c r="I17" s="78"/>
      <c r="J17" s="78"/>
      <c r="K17" s="78"/>
      <c r="L17" s="78"/>
      <c r="M17" s="16"/>
      <c r="N17" s="78"/>
      <c r="O17" s="78"/>
      <c r="P17" s="78"/>
      <c r="Q17" s="78"/>
      <c r="R17" s="54"/>
    </row>
    <row r="18" spans="2:18" x14ac:dyDescent="0.2">
      <c r="B18" s="53"/>
      <c r="C18" s="78"/>
      <c r="D18" s="78"/>
      <c r="E18" s="78"/>
      <c r="F18" s="78"/>
      <c r="G18" s="78"/>
      <c r="H18" s="79"/>
      <c r="I18" s="78"/>
      <c r="J18" s="78"/>
      <c r="K18" s="78"/>
      <c r="L18" s="78"/>
      <c r="M18" s="16"/>
      <c r="N18" s="78"/>
      <c r="O18" s="78"/>
      <c r="P18" s="78"/>
      <c r="Q18" s="78"/>
      <c r="R18" s="54"/>
    </row>
    <row r="19" spans="2:18" x14ac:dyDescent="0.2">
      <c r="B19" s="53"/>
      <c r="C19" s="78"/>
      <c r="D19" s="78"/>
      <c r="E19" s="78"/>
      <c r="F19" s="78"/>
      <c r="G19" s="78"/>
      <c r="H19" s="79"/>
      <c r="I19" s="78"/>
      <c r="J19" s="78"/>
      <c r="K19" s="78"/>
      <c r="L19" s="78"/>
      <c r="M19" s="16"/>
      <c r="N19" s="78"/>
      <c r="O19" s="78"/>
      <c r="P19" s="78"/>
      <c r="Q19" s="78"/>
      <c r="R19" s="54"/>
    </row>
    <row r="20" spans="2:18" x14ac:dyDescent="0.2">
      <c r="B20" s="53"/>
      <c r="C20" s="78"/>
      <c r="D20" s="78"/>
      <c r="E20" s="78"/>
      <c r="F20" s="78"/>
      <c r="G20" s="78"/>
      <c r="H20" s="79"/>
      <c r="I20" s="78"/>
      <c r="J20" s="78"/>
      <c r="K20" s="78"/>
      <c r="L20" s="78"/>
      <c r="M20" s="16"/>
      <c r="N20" s="78"/>
      <c r="O20" s="78"/>
      <c r="P20" s="78"/>
      <c r="Q20" s="78"/>
      <c r="R20" s="54"/>
    </row>
    <row r="21" spans="2:18" x14ac:dyDescent="0.2">
      <c r="B21" s="53"/>
      <c r="C21" s="78"/>
      <c r="D21" s="78"/>
      <c r="E21" s="78"/>
      <c r="F21" s="78"/>
      <c r="G21" s="78"/>
      <c r="H21" s="79"/>
      <c r="I21" s="78"/>
      <c r="J21" s="78"/>
      <c r="K21" s="78"/>
      <c r="L21" s="78"/>
      <c r="M21" s="16"/>
      <c r="N21" s="78"/>
      <c r="O21" s="78"/>
      <c r="P21" s="78"/>
      <c r="Q21" s="78"/>
      <c r="R21" s="54"/>
    </row>
    <row r="22" spans="2:18" x14ac:dyDescent="0.2">
      <c r="B22" s="53"/>
      <c r="C22" s="78"/>
      <c r="D22" s="78"/>
      <c r="E22" s="78"/>
      <c r="F22" s="78"/>
      <c r="G22" s="78"/>
      <c r="H22" s="79"/>
      <c r="I22" s="78"/>
      <c r="J22" s="78"/>
      <c r="K22" s="78"/>
      <c r="L22" s="78"/>
      <c r="M22" s="16"/>
      <c r="N22" s="78"/>
      <c r="O22" s="78"/>
      <c r="P22" s="78"/>
      <c r="Q22" s="78"/>
      <c r="R22" s="54"/>
    </row>
    <row r="23" spans="2:18" x14ac:dyDescent="0.2">
      <c r="B23" s="53"/>
      <c r="C23" s="78"/>
      <c r="D23" s="78"/>
      <c r="E23" s="78"/>
      <c r="F23" s="78"/>
      <c r="G23" s="78"/>
      <c r="H23" s="79"/>
      <c r="I23" s="78"/>
      <c r="J23" s="78"/>
      <c r="K23" s="78"/>
      <c r="L23" s="78"/>
      <c r="M23" s="16"/>
      <c r="N23" s="78"/>
      <c r="O23" s="78"/>
      <c r="P23" s="78"/>
      <c r="Q23" s="78"/>
      <c r="R23" s="54"/>
    </row>
    <row r="24" spans="2:18" x14ac:dyDescent="0.2">
      <c r="B24" s="53"/>
      <c r="C24" s="78"/>
      <c r="D24" s="78"/>
      <c r="E24" s="78"/>
      <c r="F24" s="78"/>
      <c r="G24" s="78"/>
      <c r="H24" s="79"/>
      <c r="I24" s="78"/>
      <c r="J24" s="78"/>
      <c r="K24" s="78"/>
      <c r="L24" s="78"/>
      <c r="M24" s="16"/>
      <c r="N24" s="78"/>
      <c r="O24" s="78"/>
      <c r="P24" s="78"/>
      <c r="Q24" s="78"/>
      <c r="R24" s="54"/>
    </row>
    <row r="25" spans="2:18" x14ac:dyDescent="0.2">
      <c r="B25" s="53"/>
      <c r="C25" s="78"/>
      <c r="D25" s="78"/>
      <c r="E25" s="78"/>
      <c r="F25" s="78"/>
      <c r="G25" s="78"/>
      <c r="H25" s="79"/>
      <c r="I25" s="78"/>
      <c r="J25" s="78"/>
      <c r="K25" s="78"/>
      <c r="L25" s="78"/>
      <c r="M25" s="16"/>
      <c r="N25" s="78"/>
      <c r="O25" s="78"/>
      <c r="P25" s="78"/>
      <c r="Q25" s="78"/>
      <c r="R25" s="54"/>
    </row>
    <row r="26" spans="2:18" x14ac:dyDescent="0.2">
      <c r="B26" s="53"/>
      <c r="C26" s="78"/>
      <c r="D26" s="78"/>
      <c r="E26" s="78"/>
      <c r="F26" s="78"/>
      <c r="G26" s="78"/>
      <c r="H26" s="79"/>
      <c r="I26" s="78"/>
      <c r="J26" s="78"/>
      <c r="K26" s="78"/>
      <c r="L26" s="78"/>
      <c r="M26" s="16"/>
      <c r="N26" s="78"/>
      <c r="O26" s="78"/>
      <c r="P26" s="78"/>
      <c r="Q26" s="78"/>
      <c r="R26" s="54"/>
    </row>
    <row r="27" spans="2:18" x14ac:dyDescent="0.2">
      <c r="B27" s="53"/>
      <c r="C27" s="78"/>
      <c r="D27" s="78"/>
      <c r="E27" s="78"/>
      <c r="F27" s="78"/>
      <c r="G27" s="78"/>
      <c r="H27" s="79"/>
      <c r="I27" s="78"/>
      <c r="J27" s="78"/>
      <c r="K27" s="78"/>
      <c r="L27" s="78"/>
      <c r="M27" s="16"/>
      <c r="N27" s="78"/>
      <c r="O27" s="78"/>
      <c r="P27" s="78"/>
      <c r="Q27" s="78"/>
      <c r="R27" s="54"/>
    </row>
    <row r="28" spans="2:18" x14ac:dyDescent="0.2">
      <c r="B28" s="53"/>
      <c r="C28" s="78"/>
      <c r="D28" s="78"/>
      <c r="E28" s="78"/>
      <c r="F28" s="78"/>
      <c r="G28" s="78"/>
      <c r="H28" s="79"/>
      <c r="I28" s="78"/>
      <c r="J28" s="78"/>
      <c r="K28" s="78"/>
      <c r="L28" s="78"/>
      <c r="M28" s="16"/>
      <c r="N28" s="78"/>
      <c r="O28" s="78"/>
      <c r="P28" s="78"/>
      <c r="Q28" s="78"/>
      <c r="R28" s="54"/>
    </row>
    <row r="29" spans="2:18" x14ac:dyDescent="0.2">
      <c r="B29" s="53"/>
      <c r="C29" s="78"/>
      <c r="D29" s="78"/>
      <c r="E29" s="78"/>
      <c r="F29" s="78"/>
      <c r="G29" s="78"/>
      <c r="H29" s="79"/>
      <c r="I29" s="78"/>
      <c r="J29" s="78"/>
      <c r="K29" s="78"/>
      <c r="L29" s="78"/>
      <c r="M29" s="16"/>
      <c r="N29" s="78"/>
      <c r="O29" s="78"/>
      <c r="P29" s="78"/>
      <c r="Q29" s="78"/>
      <c r="R29" s="54"/>
    </row>
    <row r="30" spans="2:18" x14ac:dyDescent="0.2">
      <c r="B30" s="53"/>
      <c r="C30" s="78"/>
      <c r="D30" s="78"/>
      <c r="E30" s="78"/>
      <c r="F30" s="78"/>
      <c r="G30" s="78"/>
      <c r="H30" s="79"/>
      <c r="I30" s="78"/>
      <c r="J30" s="78"/>
      <c r="K30" s="78"/>
      <c r="L30" s="78"/>
      <c r="M30" s="16"/>
      <c r="N30" s="78"/>
      <c r="O30" s="78"/>
      <c r="P30" s="78"/>
      <c r="Q30" s="78"/>
      <c r="R30" s="54"/>
    </row>
    <row r="31" spans="2:18" x14ac:dyDescent="0.2">
      <c r="B31" s="53"/>
      <c r="C31" s="78"/>
      <c r="D31" s="78"/>
      <c r="E31" s="78"/>
      <c r="F31" s="78"/>
      <c r="G31" s="78"/>
      <c r="H31" s="79"/>
      <c r="I31" s="78"/>
      <c r="J31" s="78"/>
      <c r="K31" s="78"/>
      <c r="L31" s="78"/>
      <c r="M31" s="16"/>
      <c r="N31" s="78"/>
      <c r="O31" s="78"/>
      <c r="P31" s="78"/>
      <c r="Q31" s="78"/>
      <c r="R31" s="54"/>
    </row>
    <row r="32" spans="2:18" x14ac:dyDescent="0.2">
      <c r="B32" s="53"/>
      <c r="C32" s="78"/>
      <c r="D32" s="78"/>
      <c r="E32" s="78"/>
      <c r="F32" s="78"/>
      <c r="G32" s="78"/>
      <c r="H32" s="79"/>
      <c r="I32" s="78"/>
      <c r="J32" s="78"/>
      <c r="K32" s="78"/>
      <c r="L32" s="78"/>
      <c r="M32" s="16"/>
      <c r="N32" s="78"/>
      <c r="O32" s="78"/>
      <c r="P32" s="78"/>
      <c r="Q32" s="78"/>
      <c r="R32" s="54"/>
    </row>
    <row r="33" spans="2:18" x14ac:dyDescent="0.2">
      <c r="B33" s="53"/>
      <c r="C33" s="78"/>
      <c r="D33" s="78"/>
      <c r="E33" s="78"/>
      <c r="F33" s="78"/>
      <c r="G33" s="78"/>
      <c r="H33" s="79"/>
      <c r="I33" s="78"/>
      <c r="J33" s="78"/>
      <c r="K33" s="78"/>
      <c r="L33" s="78"/>
      <c r="M33" s="16"/>
      <c r="N33" s="78"/>
      <c r="O33" s="78"/>
      <c r="P33" s="78"/>
      <c r="Q33" s="78"/>
      <c r="R33" s="54"/>
    </row>
    <row r="34" spans="2:18" x14ac:dyDescent="0.2">
      <c r="B34" s="53"/>
      <c r="C34" s="78"/>
      <c r="D34" s="78"/>
      <c r="E34" s="78"/>
      <c r="F34" s="78"/>
      <c r="G34" s="78"/>
      <c r="H34" s="79"/>
      <c r="I34" s="78"/>
      <c r="J34" s="78"/>
      <c r="K34" s="78"/>
      <c r="L34" s="78"/>
      <c r="M34" s="16"/>
      <c r="N34" s="78"/>
      <c r="O34" s="78"/>
      <c r="P34" s="78"/>
      <c r="Q34" s="78"/>
      <c r="R34" s="54"/>
    </row>
    <row r="35" spans="2:18" x14ac:dyDescent="0.2">
      <c r="B35" s="53"/>
      <c r="C35" s="78"/>
      <c r="D35" s="78"/>
      <c r="E35" s="78"/>
      <c r="F35" s="78"/>
      <c r="G35" s="78"/>
      <c r="H35" s="79"/>
      <c r="I35" s="78"/>
      <c r="J35" s="78"/>
      <c r="K35" s="78"/>
      <c r="L35" s="78"/>
      <c r="M35" s="16"/>
      <c r="N35" s="78"/>
      <c r="O35" s="78"/>
      <c r="P35" s="78"/>
      <c r="Q35" s="78"/>
      <c r="R35" s="54"/>
    </row>
    <row r="36" spans="2:18" x14ac:dyDescent="0.2">
      <c r="B36" s="53"/>
      <c r="C36" s="78"/>
      <c r="D36" s="78"/>
      <c r="E36" s="78"/>
      <c r="F36" s="78"/>
      <c r="G36" s="78"/>
      <c r="H36" s="79"/>
      <c r="I36" s="78"/>
      <c r="J36" s="78"/>
      <c r="K36" s="78"/>
      <c r="L36" s="78"/>
      <c r="M36" s="16"/>
      <c r="N36" s="78"/>
      <c r="O36" s="78"/>
      <c r="P36" s="78"/>
      <c r="Q36" s="78"/>
      <c r="R36" s="54"/>
    </row>
    <row r="37" spans="2:18" x14ac:dyDescent="0.2">
      <c r="B37" s="53"/>
      <c r="C37" s="78"/>
      <c r="D37" s="78"/>
      <c r="E37" s="78"/>
      <c r="F37" s="78"/>
      <c r="G37" s="78"/>
      <c r="H37" s="79"/>
      <c r="I37" s="78"/>
      <c r="J37" s="78"/>
      <c r="K37" s="78"/>
      <c r="L37" s="78"/>
      <c r="M37" s="16"/>
      <c r="N37" s="78"/>
      <c r="O37" s="78"/>
      <c r="P37" s="78"/>
      <c r="Q37" s="78"/>
      <c r="R37" s="54"/>
    </row>
    <row r="38" spans="2:18" x14ac:dyDescent="0.2">
      <c r="B38" s="53"/>
      <c r="C38" s="78"/>
      <c r="D38" s="78"/>
      <c r="E38" s="78"/>
      <c r="F38" s="78"/>
      <c r="G38" s="78"/>
      <c r="H38" s="79"/>
      <c r="I38" s="78"/>
      <c r="J38" s="78"/>
      <c r="K38" s="78"/>
      <c r="L38" s="78"/>
      <c r="M38" s="16"/>
      <c r="N38" s="78"/>
      <c r="O38" s="78"/>
      <c r="P38" s="78"/>
      <c r="Q38" s="78"/>
      <c r="R38" s="54"/>
    </row>
    <row r="39" spans="2:18" x14ac:dyDescent="0.2">
      <c r="B39" s="53"/>
      <c r="C39" s="78"/>
      <c r="D39" s="78"/>
      <c r="E39" s="78"/>
      <c r="F39" s="78"/>
      <c r="G39" s="78"/>
      <c r="H39" s="79"/>
      <c r="I39" s="78"/>
      <c r="J39" s="78"/>
      <c r="K39" s="78"/>
      <c r="L39" s="78"/>
      <c r="M39" s="16"/>
      <c r="N39" s="78"/>
      <c r="O39" s="78"/>
      <c r="P39" s="78"/>
      <c r="Q39" s="78"/>
      <c r="R39" s="54"/>
    </row>
    <row r="40" spans="2:18" x14ac:dyDescent="0.2">
      <c r="B40" s="53"/>
      <c r="C40" s="78"/>
      <c r="D40" s="78"/>
      <c r="E40" s="78"/>
      <c r="F40" s="78"/>
      <c r="G40" s="78"/>
      <c r="H40" s="79"/>
      <c r="I40" s="78"/>
      <c r="J40" s="78"/>
      <c r="K40" s="78"/>
      <c r="L40" s="78"/>
      <c r="M40" s="16"/>
      <c r="N40" s="78"/>
      <c r="O40" s="78"/>
      <c r="P40" s="78"/>
      <c r="Q40" s="78"/>
      <c r="R40" s="54"/>
    </row>
    <row r="41" spans="2:18" x14ac:dyDescent="0.2">
      <c r="B41" s="53"/>
      <c r="C41" s="78"/>
      <c r="D41" s="78"/>
      <c r="E41" s="78"/>
      <c r="F41" s="78"/>
      <c r="G41" s="78"/>
      <c r="H41" s="79"/>
      <c r="I41" s="78"/>
      <c r="J41" s="78"/>
      <c r="K41" s="78"/>
      <c r="L41" s="78"/>
      <c r="M41" s="16"/>
      <c r="N41" s="78"/>
      <c r="O41" s="78"/>
      <c r="P41" s="78"/>
      <c r="Q41" s="78"/>
      <c r="R41" s="54"/>
    </row>
    <row r="42" spans="2:18" x14ac:dyDescent="0.2">
      <c r="B42" s="53"/>
      <c r="C42" s="78"/>
      <c r="D42" s="78"/>
      <c r="E42" s="78"/>
      <c r="F42" s="78"/>
      <c r="G42" s="78"/>
      <c r="H42" s="79"/>
      <c r="I42" s="78"/>
      <c r="J42" s="78"/>
      <c r="K42" s="78"/>
      <c r="L42" s="78"/>
      <c r="M42" s="16"/>
      <c r="N42" s="78"/>
      <c r="O42" s="78"/>
      <c r="P42" s="78"/>
      <c r="Q42" s="78"/>
      <c r="R42" s="54"/>
    </row>
    <row r="43" spans="2:18" x14ac:dyDescent="0.2">
      <c r="B43" s="53"/>
      <c r="C43" s="78"/>
      <c r="D43" s="78"/>
      <c r="E43" s="78"/>
      <c r="F43" s="78"/>
      <c r="G43" s="78"/>
      <c r="H43" s="79"/>
      <c r="I43" s="78"/>
      <c r="J43" s="78"/>
      <c r="K43" s="78"/>
      <c r="L43" s="78"/>
      <c r="M43" s="16"/>
      <c r="N43" s="78"/>
      <c r="O43" s="78"/>
      <c r="P43" s="78"/>
      <c r="Q43" s="78"/>
      <c r="R43" s="54"/>
    </row>
    <row r="44" spans="2:18" x14ac:dyDescent="0.2">
      <c r="B44" s="53"/>
      <c r="C44" s="78"/>
      <c r="D44" s="78"/>
      <c r="E44" s="78"/>
      <c r="F44" s="78"/>
      <c r="G44" s="78"/>
      <c r="H44" s="79"/>
      <c r="I44" s="78"/>
      <c r="J44" s="78"/>
      <c r="K44" s="78"/>
      <c r="L44" s="78"/>
      <c r="M44" s="16"/>
      <c r="N44" s="78"/>
      <c r="O44" s="78"/>
      <c r="P44" s="78"/>
      <c r="Q44" s="78"/>
      <c r="R44" s="54"/>
    </row>
    <row r="45" spans="2:18" x14ac:dyDescent="0.2">
      <c r="B45" s="53"/>
      <c r="C45" s="78"/>
      <c r="D45" s="78"/>
      <c r="E45" s="78"/>
      <c r="F45" s="78"/>
      <c r="G45" s="78"/>
      <c r="H45" s="79"/>
      <c r="I45" s="78"/>
      <c r="J45" s="78"/>
      <c r="K45" s="78"/>
      <c r="L45" s="78"/>
      <c r="M45" s="16"/>
      <c r="N45" s="78"/>
      <c r="O45" s="78"/>
      <c r="P45" s="78"/>
      <c r="Q45" s="78"/>
      <c r="R45" s="54"/>
    </row>
    <row r="46" spans="2:18" x14ac:dyDescent="0.2">
      <c r="B46" s="53"/>
      <c r="C46" s="78"/>
      <c r="D46" s="78"/>
      <c r="E46" s="78"/>
      <c r="F46" s="78"/>
      <c r="G46" s="78"/>
      <c r="H46" s="79"/>
      <c r="I46" s="78"/>
      <c r="J46" s="78"/>
      <c r="K46" s="78"/>
      <c r="L46" s="78"/>
      <c r="M46" s="16"/>
      <c r="N46" s="78"/>
      <c r="O46" s="78"/>
      <c r="P46" s="78"/>
      <c r="Q46" s="78"/>
      <c r="R46" s="54"/>
    </row>
    <row r="47" spans="2:18" x14ac:dyDescent="0.2">
      <c r="B47" s="53"/>
      <c r="C47" s="78"/>
      <c r="D47" s="78"/>
      <c r="E47" s="78"/>
      <c r="F47" s="78"/>
      <c r="G47" s="78"/>
      <c r="H47" s="79"/>
      <c r="I47" s="78"/>
      <c r="J47" s="78"/>
      <c r="K47" s="78"/>
      <c r="L47" s="78"/>
      <c r="M47" s="16"/>
      <c r="N47" s="78"/>
      <c r="O47" s="78"/>
      <c r="P47" s="78"/>
      <c r="Q47" s="78"/>
      <c r="R47" s="54"/>
    </row>
    <row r="48" spans="2:18" x14ac:dyDescent="0.2">
      <c r="B48" s="53"/>
      <c r="C48" s="78"/>
      <c r="D48" s="78"/>
      <c r="E48" s="78"/>
      <c r="F48" s="78"/>
      <c r="G48" s="78"/>
      <c r="H48" s="79"/>
      <c r="I48" s="78"/>
      <c r="J48" s="78"/>
      <c r="K48" s="78"/>
      <c r="L48" s="78"/>
      <c r="M48" s="16"/>
      <c r="N48" s="78"/>
      <c r="O48" s="78"/>
      <c r="P48" s="78"/>
      <c r="Q48" s="78"/>
      <c r="R48" s="54"/>
    </row>
    <row r="49" spans="2:18" x14ac:dyDescent="0.2">
      <c r="B49" s="53"/>
      <c r="C49" s="78"/>
      <c r="D49" s="78"/>
      <c r="E49" s="78"/>
      <c r="F49" s="78"/>
      <c r="G49" s="78"/>
      <c r="H49" s="79"/>
      <c r="I49" s="78"/>
      <c r="J49" s="78"/>
      <c r="K49" s="78"/>
      <c r="L49" s="78"/>
      <c r="M49" s="16"/>
      <c r="N49" s="78"/>
      <c r="O49" s="78"/>
      <c r="P49" s="78"/>
      <c r="Q49" s="78"/>
      <c r="R49" s="54"/>
    </row>
    <row r="50" spans="2:18" x14ac:dyDescent="0.2">
      <c r="B50" s="53"/>
      <c r="C50" s="78"/>
      <c r="D50" s="78"/>
      <c r="E50" s="78"/>
      <c r="F50" s="78"/>
      <c r="G50" s="78"/>
      <c r="H50" s="79"/>
      <c r="I50" s="78"/>
      <c r="J50" s="78"/>
      <c r="K50" s="78"/>
      <c r="L50" s="78"/>
      <c r="M50" s="16"/>
      <c r="N50" s="78"/>
      <c r="O50" s="78"/>
      <c r="P50" s="78"/>
      <c r="Q50" s="78"/>
      <c r="R50" s="54"/>
    </row>
    <row r="51" spans="2:18" x14ac:dyDescent="0.2">
      <c r="B51" s="53"/>
      <c r="C51" s="78"/>
      <c r="D51" s="78"/>
      <c r="E51" s="78"/>
      <c r="F51" s="78"/>
      <c r="G51" s="78"/>
      <c r="H51" s="79"/>
      <c r="I51" s="78"/>
      <c r="J51" s="78"/>
      <c r="K51" s="78"/>
      <c r="L51" s="78"/>
      <c r="M51" s="16"/>
      <c r="N51" s="78"/>
      <c r="O51" s="78"/>
      <c r="P51" s="78"/>
      <c r="Q51" s="78"/>
      <c r="R51" s="54"/>
    </row>
    <row r="52" spans="2:18" x14ac:dyDescent="0.2">
      <c r="B52" s="53"/>
      <c r="C52" s="78"/>
      <c r="D52" s="78"/>
      <c r="E52" s="78"/>
      <c r="F52" s="78"/>
      <c r="G52" s="78"/>
      <c r="H52" s="79"/>
      <c r="I52" s="78"/>
      <c r="J52" s="78"/>
      <c r="K52" s="78"/>
      <c r="L52" s="78"/>
      <c r="M52" s="16"/>
      <c r="N52" s="78"/>
      <c r="O52" s="78"/>
      <c r="P52" s="78"/>
      <c r="Q52" s="78"/>
      <c r="R52" s="54"/>
    </row>
    <row r="53" spans="2:18" x14ac:dyDescent="0.2">
      <c r="B53" s="53"/>
      <c r="C53" s="78"/>
      <c r="D53" s="78"/>
      <c r="E53" s="78"/>
      <c r="F53" s="78"/>
      <c r="G53" s="78"/>
      <c r="H53" s="79"/>
      <c r="I53" s="78"/>
      <c r="J53" s="78"/>
      <c r="K53" s="78"/>
      <c r="L53" s="78"/>
      <c r="M53" s="16"/>
      <c r="N53" s="78"/>
      <c r="O53" s="78"/>
      <c r="P53" s="78"/>
      <c r="Q53" s="78"/>
      <c r="R53" s="54"/>
    </row>
    <row r="54" spans="2:18" x14ac:dyDescent="0.2">
      <c r="B54" s="53"/>
      <c r="C54" s="78"/>
      <c r="D54" s="78"/>
      <c r="E54" s="78"/>
      <c r="F54" s="78"/>
      <c r="G54" s="78"/>
      <c r="H54" s="79"/>
      <c r="I54" s="78"/>
      <c r="J54" s="78"/>
      <c r="K54" s="78"/>
      <c r="L54" s="78"/>
      <c r="M54" s="16"/>
      <c r="N54" s="78"/>
      <c r="O54" s="78"/>
      <c r="P54" s="78"/>
      <c r="Q54" s="78"/>
      <c r="R54" s="54"/>
    </row>
    <row r="55" spans="2:18" x14ac:dyDescent="0.2">
      <c r="B55" s="53"/>
      <c r="C55" s="78"/>
      <c r="D55" s="78"/>
      <c r="E55" s="78"/>
      <c r="F55" s="78"/>
      <c r="G55" s="78"/>
      <c r="H55" s="79"/>
      <c r="I55" s="78"/>
      <c r="J55" s="78"/>
      <c r="K55" s="78"/>
      <c r="L55" s="78"/>
      <c r="M55" s="16"/>
      <c r="N55" s="78"/>
      <c r="O55" s="78"/>
      <c r="P55" s="78"/>
      <c r="Q55" s="78"/>
      <c r="R55" s="54"/>
    </row>
    <row r="56" spans="2:18" x14ac:dyDescent="0.2">
      <c r="B56" s="53"/>
      <c r="C56" s="78"/>
      <c r="D56" s="78"/>
      <c r="E56" s="78"/>
      <c r="F56" s="78"/>
      <c r="G56" s="78"/>
      <c r="H56" s="79"/>
      <c r="I56" s="78"/>
      <c r="J56" s="78"/>
      <c r="K56" s="78"/>
      <c r="L56" s="78"/>
      <c r="M56" s="16"/>
      <c r="N56" s="78"/>
      <c r="O56" s="78"/>
      <c r="P56" s="78"/>
      <c r="Q56" s="78"/>
      <c r="R56" s="54"/>
    </row>
    <row r="57" spans="2:18" x14ac:dyDescent="0.2">
      <c r="B57" s="53"/>
      <c r="C57" s="78"/>
      <c r="D57" s="78"/>
      <c r="E57" s="78"/>
      <c r="F57" s="78"/>
      <c r="G57" s="78"/>
      <c r="H57" s="79"/>
      <c r="I57" s="78"/>
      <c r="J57" s="78"/>
      <c r="K57" s="78"/>
      <c r="L57" s="78"/>
      <c r="M57" s="16"/>
      <c r="N57" s="78"/>
      <c r="O57" s="78"/>
      <c r="P57" s="78"/>
      <c r="Q57" s="78"/>
      <c r="R57" s="54"/>
    </row>
    <row r="58" spans="2:18" x14ac:dyDescent="0.2">
      <c r="B58" s="53"/>
      <c r="C58" s="78"/>
      <c r="D58" s="78"/>
      <c r="E58" s="78"/>
      <c r="F58" s="78"/>
      <c r="G58" s="78"/>
      <c r="H58" s="79"/>
      <c r="I58" s="78"/>
      <c r="J58" s="78"/>
      <c r="K58" s="78"/>
      <c r="L58" s="78"/>
      <c r="M58" s="16"/>
      <c r="N58" s="78"/>
      <c r="O58" s="78"/>
      <c r="P58" s="78"/>
      <c r="Q58" s="78"/>
      <c r="R58" s="54"/>
    </row>
    <row r="59" spans="2:18" x14ac:dyDescent="0.2">
      <c r="B59" s="53"/>
      <c r="C59" s="78"/>
      <c r="D59" s="78"/>
      <c r="E59" s="78"/>
      <c r="F59" s="78"/>
      <c r="G59" s="78"/>
      <c r="H59" s="79"/>
      <c r="I59" s="78"/>
      <c r="J59" s="78"/>
      <c r="K59" s="78"/>
      <c r="L59" s="78"/>
      <c r="M59" s="16"/>
      <c r="N59" s="78"/>
      <c r="O59" s="78"/>
      <c r="P59" s="78"/>
      <c r="Q59" s="78"/>
      <c r="R59" s="54"/>
    </row>
    <row r="60" spans="2:18" x14ac:dyDescent="0.2">
      <c r="B60" s="53"/>
      <c r="C60" s="78"/>
      <c r="D60" s="78"/>
      <c r="E60" s="78"/>
      <c r="F60" s="78"/>
      <c r="G60" s="78"/>
      <c r="H60" s="79"/>
      <c r="I60" s="78"/>
      <c r="J60" s="78"/>
      <c r="K60" s="78"/>
      <c r="L60" s="78"/>
      <c r="M60" s="16"/>
      <c r="N60" s="78"/>
      <c r="O60" s="78"/>
      <c r="P60" s="78"/>
      <c r="Q60" s="78"/>
      <c r="R60" s="54"/>
    </row>
    <row r="61" spans="2:18" x14ac:dyDescent="0.2">
      <c r="B61" s="53"/>
      <c r="C61" s="78"/>
      <c r="D61" s="78"/>
      <c r="E61" s="78"/>
      <c r="F61" s="78"/>
      <c r="G61" s="78"/>
      <c r="H61" s="79"/>
      <c r="I61" s="78"/>
      <c r="J61" s="78"/>
      <c r="K61" s="78"/>
      <c r="L61" s="78"/>
      <c r="M61" s="16"/>
      <c r="N61" s="78"/>
      <c r="O61" s="78"/>
      <c r="P61" s="78"/>
      <c r="Q61" s="78"/>
      <c r="R61" s="54"/>
    </row>
    <row r="62" spans="2:18" x14ac:dyDescent="0.2">
      <c r="B62" s="53"/>
      <c r="C62" s="78"/>
      <c r="D62" s="78"/>
      <c r="E62" s="78"/>
      <c r="F62" s="78"/>
      <c r="G62" s="78"/>
      <c r="H62" s="79"/>
      <c r="I62" s="78"/>
      <c r="J62" s="78"/>
      <c r="K62" s="78"/>
      <c r="L62" s="78"/>
      <c r="M62" s="16"/>
      <c r="N62" s="78"/>
      <c r="O62" s="78"/>
      <c r="P62" s="78"/>
      <c r="Q62" s="78"/>
      <c r="R62" s="54"/>
    </row>
    <row r="63" spans="2:18" x14ac:dyDescent="0.2">
      <c r="B63" s="53"/>
      <c r="C63" s="78"/>
      <c r="D63" s="78"/>
      <c r="E63" s="78"/>
      <c r="F63" s="78"/>
      <c r="G63" s="78"/>
      <c r="H63" s="79"/>
      <c r="I63" s="78"/>
      <c r="J63" s="78"/>
      <c r="K63" s="78"/>
      <c r="L63" s="78"/>
      <c r="M63" s="16"/>
      <c r="N63" s="78"/>
      <c r="O63" s="78"/>
      <c r="P63" s="78"/>
      <c r="Q63" s="78"/>
      <c r="R63" s="54"/>
    </row>
    <row r="64" spans="2:18" x14ac:dyDescent="0.2">
      <c r="B64" s="53"/>
      <c r="C64" s="78"/>
      <c r="D64" s="78"/>
      <c r="E64" s="78"/>
      <c r="F64" s="78"/>
      <c r="G64" s="78"/>
      <c r="H64" s="79"/>
      <c r="I64" s="78"/>
      <c r="J64" s="78"/>
      <c r="K64" s="78"/>
      <c r="L64" s="78"/>
      <c r="M64" s="16"/>
      <c r="N64" s="78"/>
      <c r="O64" s="78"/>
      <c r="P64" s="78"/>
      <c r="Q64" s="78"/>
      <c r="R64" s="54"/>
    </row>
    <row r="65" spans="2:18" x14ac:dyDescent="0.2">
      <c r="B65" s="53"/>
      <c r="C65" s="78"/>
      <c r="D65" s="78"/>
      <c r="E65" s="78"/>
      <c r="F65" s="78"/>
      <c r="G65" s="78"/>
      <c r="H65" s="79"/>
      <c r="I65" s="78"/>
      <c r="J65" s="78"/>
      <c r="K65" s="78"/>
      <c r="L65" s="78"/>
      <c r="M65" s="16"/>
      <c r="N65" s="78"/>
      <c r="O65" s="78"/>
      <c r="P65" s="78"/>
      <c r="Q65" s="78"/>
      <c r="R65" s="54"/>
    </row>
    <row r="66" spans="2:18" x14ac:dyDescent="0.2">
      <c r="B66" s="53"/>
      <c r="C66" s="78"/>
      <c r="D66" s="78"/>
      <c r="E66" s="78"/>
      <c r="F66" s="78"/>
      <c r="G66" s="78"/>
      <c r="H66" s="79"/>
      <c r="I66" s="78"/>
      <c r="J66" s="78"/>
      <c r="K66" s="78"/>
      <c r="L66" s="78"/>
      <c r="M66" s="16"/>
      <c r="N66" s="78"/>
      <c r="O66" s="78"/>
      <c r="P66" s="78"/>
      <c r="Q66" s="78"/>
      <c r="R66" s="54"/>
    </row>
    <row r="67" spans="2:18" x14ac:dyDescent="0.2">
      <c r="B67" s="53"/>
      <c r="C67" s="78"/>
      <c r="D67" s="78"/>
      <c r="E67" s="78"/>
      <c r="F67" s="78"/>
      <c r="G67" s="78"/>
      <c r="H67" s="79"/>
      <c r="I67" s="78"/>
      <c r="J67" s="78"/>
      <c r="K67" s="78"/>
      <c r="L67" s="78"/>
      <c r="M67" s="16"/>
      <c r="N67" s="78"/>
      <c r="O67" s="78"/>
      <c r="P67" s="78"/>
      <c r="Q67" s="78"/>
      <c r="R67" s="54"/>
    </row>
    <row r="68" spans="2:18" x14ac:dyDescent="0.2">
      <c r="B68" s="53"/>
      <c r="C68" s="78"/>
      <c r="D68" s="78"/>
      <c r="E68" s="78"/>
      <c r="F68" s="78"/>
      <c r="G68" s="78"/>
      <c r="H68" s="79"/>
      <c r="I68" s="78"/>
      <c r="J68" s="78"/>
      <c r="K68" s="78"/>
      <c r="L68" s="78"/>
      <c r="M68" s="16"/>
      <c r="N68" s="78"/>
      <c r="O68" s="78"/>
      <c r="P68" s="78"/>
      <c r="Q68" s="78"/>
      <c r="R68" s="54"/>
    </row>
    <row r="69" spans="2:18" x14ac:dyDescent="0.2">
      <c r="B69" s="53"/>
      <c r="C69" s="78"/>
      <c r="D69" s="78"/>
      <c r="E69" s="78"/>
      <c r="F69" s="78"/>
      <c r="G69" s="78"/>
      <c r="H69" s="79"/>
      <c r="I69" s="78"/>
      <c r="J69" s="78"/>
      <c r="K69" s="78"/>
      <c r="L69" s="78"/>
      <c r="M69" s="16"/>
      <c r="N69" s="78"/>
      <c r="O69" s="78"/>
      <c r="P69" s="78"/>
      <c r="Q69" s="78"/>
      <c r="R69" s="54"/>
    </row>
    <row r="70" spans="2:18" x14ac:dyDescent="0.2">
      <c r="B70" s="53"/>
      <c r="C70" s="78"/>
      <c r="D70" s="78"/>
      <c r="E70" s="78"/>
      <c r="F70" s="78"/>
      <c r="G70" s="78"/>
      <c r="H70" s="79"/>
      <c r="I70" s="78"/>
      <c r="J70" s="78"/>
      <c r="K70" s="78"/>
      <c r="L70" s="78"/>
      <c r="M70" s="16"/>
      <c r="N70" s="78"/>
      <c r="O70" s="78"/>
      <c r="P70" s="78"/>
      <c r="Q70" s="78"/>
      <c r="R70" s="54"/>
    </row>
    <row r="71" spans="2:18" x14ac:dyDescent="0.2">
      <c r="B71" s="53"/>
      <c r="C71" s="78"/>
      <c r="D71" s="78"/>
      <c r="E71" s="78"/>
      <c r="F71" s="78"/>
      <c r="G71" s="78"/>
      <c r="H71" s="79"/>
      <c r="I71" s="78"/>
      <c r="J71" s="78"/>
      <c r="K71" s="78"/>
      <c r="L71" s="78"/>
      <c r="M71" s="16"/>
      <c r="N71" s="78"/>
      <c r="O71" s="78"/>
      <c r="P71" s="78"/>
      <c r="Q71" s="78"/>
      <c r="R71" s="54"/>
    </row>
    <row r="72" spans="2:18" x14ac:dyDescent="0.2">
      <c r="B72" s="53"/>
      <c r="C72" s="78"/>
      <c r="D72" s="78"/>
      <c r="E72" s="78"/>
      <c r="F72" s="78"/>
      <c r="G72" s="78"/>
      <c r="H72" s="79"/>
      <c r="I72" s="78"/>
      <c r="J72" s="78"/>
      <c r="K72" s="78"/>
      <c r="L72" s="78"/>
      <c r="M72" s="16"/>
      <c r="N72" s="78"/>
      <c r="O72" s="78"/>
      <c r="P72" s="78"/>
      <c r="Q72" s="78"/>
      <c r="R72" s="54"/>
    </row>
    <row r="73" spans="2:18" x14ac:dyDescent="0.2">
      <c r="B73" s="53"/>
      <c r="C73" s="78"/>
      <c r="D73" s="78"/>
      <c r="E73" s="78"/>
      <c r="F73" s="78"/>
      <c r="G73" s="78"/>
      <c r="H73" s="79"/>
      <c r="I73" s="78"/>
      <c r="J73" s="78"/>
      <c r="K73" s="78"/>
      <c r="L73" s="78"/>
      <c r="M73" s="16"/>
      <c r="N73" s="78"/>
      <c r="O73" s="78"/>
      <c r="P73" s="78"/>
      <c r="Q73" s="78"/>
      <c r="R73" s="54"/>
    </row>
    <row r="74" spans="2:18" x14ac:dyDescent="0.2">
      <c r="B74" s="53"/>
      <c r="C74" s="78"/>
      <c r="D74" s="78"/>
      <c r="E74" s="78"/>
      <c r="F74" s="78"/>
      <c r="G74" s="78"/>
      <c r="H74" s="79"/>
      <c r="I74" s="78"/>
      <c r="J74" s="78"/>
      <c r="K74" s="78"/>
      <c r="L74" s="78"/>
      <c r="M74" s="16"/>
      <c r="N74" s="78"/>
      <c r="O74" s="78"/>
      <c r="P74" s="78"/>
      <c r="Q74" s="78"/>
      <c r="R74" s="54"/>
    </row>
    <row r="75" spans="2:18" x14ac:dyDescent="0.2">
      <c r="B75" s="53"/>
      <c r="C75" s="78"/>
      <c r="D75" s="78"/>
      <c r="E75" s="78"/>
      <c r="F75" s="78"/>
      <c r="G75" s="78"/>
      <c r="H75" s="79"/>
      <c r="I75" s="78"/>
      <c r="J75" s="78"/>
      <c r="K75" s="78"/>
      <c r="L75" s="78"/>
      <c r="M75" s="16"/>
      <c r="N75" s="78"/>
      <c r="O75" s="78"/>
      <c r="P75" s="78"/>
      <c r="Q75" s="78"/>
      <c r="R75" s="54"/>
    </row>
    <row r="76" spans="2:18" x14ac:dyDescent="0.2">
      <c r="B76" s="53"/>
      <c r="C76" s="78"/>
      <c r="D76" s="78"/>
      <c r="E76" s="78"/>
      <c r="F76" s="78"/>
      <c r="G76" s="78"/>
      <c r="H76" s="79"/>
      <c r="I76" s="78"/>
      <c r="J76" s="78"/>
      <c r="K76" s="78"/>
      <c r="L76" s="78"/>
      <c r="M76" s="16"/>
      <c r="N76" s="78"/>
      <c r="O76" s="78"/>
      <c r="P76" s="78"/>
      <c r="Q76" s="78"/>
      <c r="R76" s="54"/>
    </row>
    <row r="77" spans="2:18" x14ac:dyDescent="0.2">
      <c r="B77" s="53"/>
      <c r="C77" s="78"/>
      <c r="D77" s="78"/>
      <c r="E77" s="78"/>
      <c r="F77" s="78"/>
      <c r="G77" s="78"/>
      <c r="H77" s="79"/>
      <c r="I77" s="78"/>
      <c r="J77" s="78"/>
      <c r="K77" s="78"/>
      <c r="L77" s="78"/>
      <c r="M77" s="16"/>
      <c r="N77" s="78"/>
      <c r="O77" s="78"/>
      <c r="P77" s="78"/>
      <c r="Q77" s="78"/>
      <c r="R77" s="54"/>
    </row>
    <row r="78" spans="2:18" x14ac:dyDescent="0.2">
      <c r="B78" s="53"/>
      <c r="C78" s="78"/>
      <c r="D78" s="78"/>
      <c r="E78" s="78"/>
      <c r="F78" s="78"/>
      <c r="G78" s="78"/>
      <c r="H78" s="79"/>
      <c r="I78" s="78"/>
      <c r="J78" s="78"/>
      <c r="K78" s="78"/>
      <c r="L78" s="78"/>
      <c r="M78" s="16"/>
      <c r="N78" s="78"/>
      <c r="O78" s="78"/>
      <c r="P78" s="78"/>
      <c r="Q78" s="78"/>
      <c r="R78" s="54"/>
    </row>
    <row r="79" spans="2:18" x14ac:dyDescent="0.2">
      <c r="B79" s="53"/>
      <c r="C79" s="78"/>
      <c r="D79" s="78"/>
      <c r="E79" s="78"/>
      <c r="F79" s="78"/>
      <c r="G79" s="78"/>
      <c r="H79" s="79"/>
      <c r="I79" s="78"/>
      <c r="J79" s="78"/>
      <c r="K79" s="78"/>
      <c r="L79" s="78"/>
      <c r="M79" s="16"/>
      <c r="N79" s="78"/>
      <c r="O79" s="78"/>
      <c r="P79" s="78"/>
      <c r="Q79" s="78"/>
      <c r="R79" s="54"/>
    </row>
    <row r="80" spans="2:18" x14ac:dyDescent="0.2">
      <c r="B80" s="53"/>
      <c r="C80" s="78"/>
      <c r="D80" s="78"/>
      <c r="E80" s="78"/>
      <c r="F80" s="78"/>
      <c r="G80" s="78"/>
      <c r="H80" s="79"/>
      <c r="I80" s="78"/>
      <c r="J80" s="78"/>
      <c r="K80" s="78"/>
      <c r="L80" s="78"/>
      <c r="M80" s="16"/>
      <c r="N80" s="78"/>
      <c r="O80" s="78"/>
      <c r="P80" s="78"/>
      <c r="Q80" s="78"/>
      <c r="R80" s="54"/>
    </row>
    <row r="81" spans="2:18" x14ac:dyDescent="0.2">
      <c r="B81" s="53"/>
      <c r="C81" s="78"/>
      <c r="D81" s="78"/>
      <c r="E81" s="78"/>
      <c r="F81" s="78"/>
      <c r="G81" s="78"/>
      <c r="H81" s="79"/>
      <c r="I81" s="78"/>
      <c r="J81" s="78"/>
      <c r="K81" s="78"/>
      <c r="L81" s="78"/>
      <c r="M81" s="16"/>
      <c r="N81" s="78"/>
      <c r="O81" s="78"/>
      <c r="P81" s="78"/>
      <c r="Q81" s="78"/>
      <c r="R81" s="54"/>
    </row>
    <row r="82" spans="2:18" x14ac:dyDescent="0.2">
      <c r="B82" s="53"/>
      <c r="C82" s="78"/>
      <c r="D82" s="78"/>
      <c r="E82" s="78"/>
      <c r="F82" s="78"/>
      <c r="G82" s="78"/>
      <c r="H82" s="79"/>
      <c r="I82" s="78"/>
      <c r="J82" s="78"/>
      <c r="K82" s="78"/>
      <c r="L82" s="78"/>
      <c r="M82" s="16"/>
      <c r="N82" s="78"/>
      <c r="O82" s="78"/>
      <c r="P82" s="78"/>
      <c r="Q82" s="78"/>
      <c r="R82" s="54"/>
    </row>
    <row r="83" spans="2:18" x14ac:dyDescent="0.2">
      <c r="B83" s="53"/>
      <c r="C83" s="78"/>
      <c r="D83" s="78"/>
      <c r="E83" s="78"/>
      <c r="F83" s="78"/>
      <c r="G83" s="78"/>
      <c r="H83" s="79"/>
      <c r="I83" s="78"/>
      <c r="J83" s="78"/>
      <c r="K83" s="78"/>
      <c r="L83" s="78"/>
      <c r="M83" s="16"/>
      <c r="N83" s="78"/>
      <c r="O83" s="78"/>
      <c r="P83" s="78"/>
      <c r="Q83" s="78"/>
      <c r="R83" s="54"/>
    </row>
    <row r="84" spans="2:18" x14ac:dyDescent="0.2">
      <c r="B84" s="53"/>
      <c r="C84" s="78"/>
      <c r="D84" s="78"/>
      <c r="E84" s="78"/>
      <c r="F84" s="78"/>
      <c r="G84" s="78"/>
      <c r="H84" s="79"/>
      <c r="I84" s="78"/>
      <c r="J84" s="78"/>
      <c r="K84" s="78"/>
      <c r="L84" s="78"/>
      <c r="M84" s="16"/>
      <c r="N84" s="78"/>
      <c r="O84" s="78"/>
      <c r="P84" s="78"/>
      <c r="Q84" s="78"/>
      <c r="R84" s="54"/>
    </row>
    <row r="85" spans="2:18" x14ac:dyDescent="0.2">
      <c r="B85" s="53"/>
      <c r="C85" s="78"/>
      <c r="D85" s="78"/>
      <c r="E85" s="78"/>
      <c r="F85" s="78"/>
      <c r="G85" s="78"/>
      <c r="H85" s="79"/>
      <c r="I85" s="78"/>
      <c r="J85" s="78"/>
      <c r="K85" s="78"/>
      <c r="L85" s="78"/>
      <c r="M85" s="16"/>
      <c r="N85" s="78"/>
      <c r="O85" s="78"/>
      <c r="P85" s="78"/>
      <c r="Q85" s="78"/>
      <c r="R85" s="54"/>
    </row>
    <row r="86" spans="2:18" x14ac:dyDescent="0.2">
      <c r="B86" s="53"/>
      <c r="C86" s="78"/>
      <c r="D86" s="78"/>
      <c r="E86" s="78"/>
      <c r="F86" s="78"/>
      <c r="G86" s="78"/>
      <c r="H86" s="79"/>
      <c r="I86" s="78"/>
      <c r="J86" s="78"/>
      <c r="K86" s="78"/>
      <c r="L86" s="78"/>
      <c r="M86" s="16"/>
      <c r="N86" s="78"/>
      <c r="O86" s="78"/>
      <c r="P86" s="78"/>
      <c r="Q86" s="78"/>
      <c r="R86" s="54"/>
    </row>
    <row r="87" spans="2:18" x14ac:dyDescent="0.2">
      <c r="B87" s="53"/>
      <c r="C87" s="78"/>
      <c r="D87" s="78"/>
      <c r="E87" s="78"/>
      <c r="F87" s="78"/>
      <c r="G87" s="78"/>
      <c r="H87" s="79"/>
      <c r="I87" s="78"/>
      <c r="J87" s="78"/>
      <c r="K87" s="78"/>
      <c r="L87" s="78"/>
      <c r="M87" s="16"/>
      <c r="N87" s="78"/>
      <c r="O87" s="78"/>
      <c r="P87" s="78"/>
      <c r="Q87" s="78"/>
      <c r="R87" s="54"/>
    </row>
    <row r="88" spans="2:18" x14ac:dyDescent="0.2">
      <c r="B88" s="53"/>
      <c r="C88" s="78"/>
      <c r="D88" s="78"/>
      <c r="E88" s="78"/>
      <c r="F88" s="78"/>
      <c r="G88" s="78"/>
      <c r="H88" s="79"/>
      <c r="I88" s="78"/>
      <c r="J88" s="78"/>
      <c r="K88" s="78"/>
      <c r="L88" s="78"/>
      <c r="M88" s="16"/>
      <c r="N88" s="78"/>
      <c r="O88" s="78"/>
      <c r="P88" s="78"/>
      <c r="Q88" s="78"/>
      <c r="R88" s="54"/>
    </row>
    <row r="89" spans="2:18" x14ac:dyDescent="0.2">
      <c r="B89" s="53"/>
      <c r="C89" s="78"/>
      <c r="D89" s="78"/>
      <c r="E89" s="78"/>
      <c r="F89" s="78"/>
      <c r="G89" s="78"/>
      <c r="H89" s="79"/>
      <c r="I89" s="78"/>
      <c r="J89" s="78"/>
      <c r="K89" s="78"/>
      <c r="L89" s="78"/>
      <c r="M89" s="16"/>
      <c r="N89" s="78"/>
      <c r="O89" s="78"/>
      <c r="P89" s="78"/>
      <c r="Q89" s="78"/>
      <c r="R89" s="54"/>
    </row>
    <row r="90" spans="2:18" x14ac:dyDescent="0.2">
      <c r="B90" s="53"/>
      <c r="C90" s="78"/>
      <c r="D90" s="78"/>
      <c r="E90" s="78"/>
      <c r="F90" s="78"/>
      <c r="G90" s="78"/>
      <c r="H90" s="79"/>
      <c r="I90" s="78"/>
      <c r="J90" s="78"/>
      <c r="K90" s="78"/>
      <c r="L90" s="78"/>
      <c r="M90" s="16"/>
      <c r="N90" s="78"/>
      <c r="O90" s="78"/>
      <c r="P90" s="78"/>
      <c r="Q90" s="78"/>
      <c r="R90" s="54"/>
    </row>
    <row r="91" spans="2:18" x14ac:dyDescent="0.2">
      <c r="B91" s="53"/>
      <c r="C91" s="78"/>
      <c r="D91" s="78"/>
      <c r="E91" s="78"/>
      <c r="F91" s="78"/>
      <c r="G91" s="78"/>
      <c r="H91" s="79"/>
      <c r="I91" s="78"/>
      <c r="J91" s="78"/>
      <c r="K91" s="78"/>
      <c r="L91" s="78"/>
      <c r="M91" s="16"/>
      <c r="N91" s="78"/>
      <c r="O91" s="78"/>
      <c r="P91" s="78"/>
      <c r="Q91" s="78"/>
      <c r="R91" s="54"/>
    </row>
    <row r="92" spans="2:18" x14ac:dyDescent="0.2">
      <c r="B92" s="53"/>
      <c r="C92" s="78"/>
      <c r="D92" s="78"/>
      <c r="E92" s="78"/>
      <c r="F92" s="78"/>
      <c r="G92" s="78"/>
      <c r="H92" s="79"/>
      <c r="I92" s="78"/>
      <c r="J92" s="78"/>
      <c r="K92" s="78"/>
      <c r="L92" s="78"/>
      <c r="M92" s="16"/>
      <c r="N92" s="78"/>
      <c r="O92" s="78"/>
      <c r="P92" s="78"/>
      <c r="Q92" s="78"/>
      <c r="R92" s="54"/>
    </row>
    <row r="93" spans="2:18" x14ac:dyDescent="0.2">
      <c r="B93" s="53"/>
      <c r="C93" s="78"/>
      <c r="D93" s="78"/>
      <c r="E93" s="78"/>
      <c r="F93" s="78"/>
      <c r="G93" s="78"/>
      <c r="H93" s="79"/>
      <c r="I93" s="78"/>
      <c r="J93" s="78"/>
      <c r="K93" s="78"/>
      <c r="L93" s="78"/>
      <c r="M93" s="16"/>
      <c r="N93" s="78"/>
      <c r="O93" s="78"/>
      <c r="P93" s="78"/>
      <c r="Q93" s="78"/>
      <c r="R93" s="54"/>
    </row>
    <row r="94" spans="2:18" x14ac:dyDescent="0.2">
      <c r="B94" s="53"/>
      <c r="C94" s="78"/>
      <c r="D94" s="78"/>
      <c r="E94" s="78"/>
      <c r="F94" s="78"/>
      <c r="G94" s="78"/>
      <c r="H94" s="79"/>
      <c r="I94" s="78"/>
      <c r="J94" s="78"/>
      <c r="K94" s="78"/>
      <c r="L94" s="78"/>
      <c r="M94" s="16"/>
      <c r="N94" s="78"/>
      <c r="O94" s="78"/>
      <c r="P94" s="78"/>
      <c r="Q94" s="78"/>
      <c r="R94" s="54"/>
    </row>
    <row r="95" spans="2:18" x14ac:dyDescent="0.2">
      <c r="B95" s="53"/>
      <c r="C95" s="78"/>
      <c r="D95" s="78"/>
      <c r="E95" s="78"/>
      <c r="F95" s="78"/>
      <c r="G95" s="78"/>
      <c r="H95" s="79"/>
      <c r="I95" s="78"/>
      <c r="J95" s="78"/>
      <c r="K95" s="78"/>
      <c r="L95" s="78"/>
      <c r="M95" s="16"/>
      <c r="N95" s="78"/>
      <c r="O95" s="78"/>
      <c r="P95" s="78"/>
      <c r="Q95" s="78"/>
      <c r="R95" s="54"/>
    </row>
    <row r="96" spans="2:18" x14ac:dyDescent="0.2">
      <c r="B96" s="53"/>
      <c r="C96" s="78"/>
      <c r="D96" s="78"/>
      <c r="E96" s="78"/>
      <c r="F96" s="78"/>
      <c r="G96" s="78"/>
      <c r="H96" s="79"/>
      <c r="I96" s="78"/>
      <c r="J96" s="78"/>
      <c r="K96" s="78"/>
      <c r="L96" s="78"/>
      <c r="M96" s="16"/>
      <c r="N96" s="78"/>
      <c r="O96" s="78"/>
      <c r="P96" s="78"/>
      <c r="Q96" s="78"/>
      <c r="R96" s="54"/>
    </row>
    <row r="97" spans="2:18" x14ac:dyDescent="0.2">
      <c r="B97" s="53"/>
      <c r="C97" s="78"/>
      <c r="D97" s="78"/>
      <c r="E97" s="78"/>
      <c r="F97" s="78"/>
      <c r="G97" s="78"/>
      <c r="H97" s="79"/>
      <c r="I97" s="78"/>
      <c r="J97" s="78"/>
      <c r="K97" s="78"/>
      <c r="L97" s="78"/>
      <c r="M97" s="16"/>
      <c r="N97" s="78"/>
      <c r="O97" s="78"/>
      <c r="P97" s="78"/>
      <c r="Q97" s="78"/>
      <c r="R97" s="54"/>
    </row>
    <row r="98" spans="2:18" x14ac:dyDescent="0.2">
      <c r="B98" s="53"/>
      <c r="C98" s="78"/>
      <c r="D98" s="78"/>
      <c r="E98" s="78"/>
      <c r="F98" s="78"/>
      <c r="G98" s="78"/>
      <c r="H98" s="79"/>
      <c r="I98" s="78"/>
      <c r="J98" s="78"/>
      <c r="K98" s="78"/>
      <c r="L98" s="78"/>
      <c r="M98" s="16"/>
      <c r="N98" s="78"/>
      <c r="O98" s="78"/>
      <c r="P98" s="78"/>
      <c r="Q98" s="78"/>
      <c r="R98" s="54"/>
    </row>
    <row r="99" spans="2:18" x14ac:dyDescent="0.2">
      <c r="B99" s="53"/>
      <c r="C99" s="78"/>
      <c r="D99" s="78"/>
      <c r="E99" s="78"/>
      <c r="F99" s="78"/>
      <c r="G99" s="78"/>
      <c r="H99" s="79"/>
      <c r="I99" s="78"/>
      <c r="J99" s="78"/>
      <c r="K99" s="78"/>
      <c r="L99" s="78"/>
      <c r="M99" s="16"/>
      <c r="N99" s="78"/>
      <c r="O99" s="78"/>
      <c r="P99" s="78"/>
      <c r="Q99" s="78"/>
      <c r="R99" s="54"/>
    </row>
    <row r="100" spans="2:18" x14ac:dyDescent="0.2">
      <c r="B100" s="53"/>
      <c r="C100" s="78"/>
      <c r="D100" s="78"/>
      <c r="E100" s="78"/>
      <c r="F100" s="78"/>
      <c r="G100" s="78"/>
      <c r="H100" s="79"/>
      <c r="I100" s="78"/>
      <c r="J100" s="78"/>
      <c r="K100" s="78"/>
      <c r="L100" s="78"/>
      <c r="M100" s="16"/>
      <c r="N100" s="78"/>
      <c r="O100" s="78"/>
      <c r="P100" s="78"/>
      <c r="Q100" s="78"/>
      <c r="R100" s="54"/>
    </row>
    <row r="101" spans="2:18" x14ac:dyDescent="0.2">
      <c r="B101" s="53"/>
      <c r="C101" s="78"/>
      <c r="D101" s="78"/>
      <c r="E101" s="78"/>
      <c r="F101" s="78"/>
      <c r="G101" s="78"/>
      <c r="H101" s="79"/>
      <c r="I101" s="78"/>
      <c r="J101" s="78"/>
      <c r="K101" s="78"/>
      <c r="L101" s="78"/>
      <c r="M101" s="16"/>
      <c r="N101" s="78"/>
      <c r="O101" s="78"/>
      <c r="P101" s="78"/>
      <c r="Q101" s="78"/>
      <c r="R101" s="54"/>
    </row>
    <row r="102" spans="2:18" x14ac:dyDescent="0.2">
      <c r="B102" s="53"/>
      <c r="C102" s="78"/>
      <c r="D102" s="78"/>
      <c r="E102" s="78"/>
      <c r="F102" s="78"/>
      <c r="G102" s="78"/>
      <c r="H102" s="79"/>
      <c r="I102" s="78"/>
      <c r="J102" s="78"/>
      <c r="K102" s="78"/>
      <c r="L102" s="78"/>
      <c r="M102" s="16"/>
      <c r="N102" s="78"/>
      <c r="O102" s="78"/>
      <c r="P102" s="78"/>
      <c r="Q102" s="78"/>
      <c r="R102" s="54"/>
    </row>
    <row r="103" spans="2:18" x14ac:dyDescent="0.2">
      <c r="B103" s="53"/>
      <c r="C103" s="78"/>
      <c r="D103" s="78"/>
      <c r="E103" s="78"/>
      <c r="F103" s="78"/>
      <c r="G103" s="78"/>
      <c r="H103" s="79"/>
      <c r="I103" s="78"/>
      <c r="J103" s="78"/>
      <c r="K103" s="78"/>
      <c r="L103" s="78"/>
      <c r="M103" s="16"/>
      <c r="N103" s="78"/>
      <c r="O103" s="78"/>
      <c r="P103" s="78"/>
      <c r="Q103" s="78"/>
      <c r="R103" s="54"/>
    </row>
    <row r="104" spans="2:18" x14ac:dyDescent="0.2">
      <c r="B104" s="53"/>
      <c r="C104" s="78"/>
      <c r="D104" s="78"/>
      <c r="E104" s="78"/>
      <c r="F104" s="78"/>
      <c r="G104" s="78"/>
      <c r="H104" s="79"/>
      <c r="I104" s="78"/>
      <c r="J104" s="78"/>
      <c r="K104" s="78"/>
      <c r="L104" s="78"/>
      <c r="M104" s="16"/>
      <c r="N104" s="78"/>
      <c r="O104" s="78"/>
      <c r="P104" s="78"/>
      <c r="Q104" s="78"/>
      <c r="R104" s="54"/>
    </row>
    <row r="105" spans="2:18" x14ac:dyDescent="0.2">
      <c r="B105" s="53"/>
      <c r="C105" s="78"/>
      <c r="D105" s="78"/>
      <c r="E105" s="78"/>
      <c r="F105" s="78"/>
      <c r="G105" s="78"/>
      <c r="H105" s="79"/>
      <c r="I105" s="78"/>
      <c r="J105" s="78"/>
      <c r="K105" s="78"/>
      <c r="L105" s="78"/>
      <c r="M105" s="16"/>
      <c r="N105" s="78"/>
      <c r="O105" s="78"/>
      <c r="P105" s="78"/>
      <c r="Q105" s="78"/>
      <c r="R105" s="54"/>
    </row>
    <row r="106" spans="2:18" x14ac:dyDescent="0.2">
      <c r="B106" s="53"/>
      <c r="C106" s="78"/>
      <c r="D106" s="78"/>
      <c r="E106" s="78"/>
      <c r="F106" s="78"/>
      <c r="G106" s="78"/>
      <c r="H106" s="79"/>
      <c r="I106" s="78"/>
      <c r="J106" s="78"/>
      <c r="K106" s="78"/>
      <c r="L106" s="78"/>
      <c r="M106" s="16"/>
      <c r="N106" s="78"/>
      <c r="O106" s="78"/>
      <c r="P106" s="78"/>
      <c r="Q106" s="78"/>
      <c r="R106" s="54"/>
    </row>
    <row r="107" spans="2:18" x14ac:dyDescent="0.2">
      <c r="B107" s="53"/>
      <c r="C107" s="78"/>
      <c r="D107" s="78"/>
      <c r="E107" s="78"/>
      <c r="F107" s="78"/>
      <c r="G107" s="78"/>
      <c r="H107" s="79"/>
      <c r="I107" s="78"/>
      <c r="J107" s="78"/>
      <c r="K107" s="78"/>
      <c r="L107" s="78"/>
      <c r="M107" s="16"/>
      <c r="N107" s="78"/>
      <c r="O107" s="78"/>
      <c r="P107" s="78"/>
      <c r="Q107" s="78"/>
      <c r="R107" s="54"/>
    </row>
    <row r="108" spans="2:18" x14ac:dyDescent="0.2">
      <c r="B108" s="53"/>
      <c r="C108" s="78"/>
      <c r="D108" s="78"/>
      <c r="E108" s="78"/>
      <c r="F108" s="78"/>
      <c r="G108" s="78"/>
      <c r="H108" s="79"/>
      <c r="I108" s="78"/>
      <c r="J108" s="78"/>
      <c r="K108" s="78"/>
      <c r="L108" s="78"/>
      <c r="M108" s="16"/>
      <c r="N108" s="78"/>
      <c r="O108" s="78"/>
      <c r="P108" s="78"/>
      <c r="Q108" s="78"/>
      <c r="R108" s="54"/>
    </row>
    <row r="109" spans="2:18" x14ac:dyDescent="0.2">
      <c r="B109" s="53"/>
      <c r="C109" s="78"/>
      <c r="D109" s="78"/>
      <c r="E109" s="78"/>
      <c r="F109" s="78"/>
      <c r="G109" s="78"/>
      <c r="H109" s="79"/>
      <c r="I109" s="78"/>
      <c r="J109" s="78"/>
      <c r="K109" s="78"/>
      <c r="L109" s="78"/>
      <c r="M109" s="16"/>
      <c r="N109" s="78"/>
      <c r="O109" s="78"/>
      <c r="P109" s="78"/>
      <c r="Q109" s="78"/>
      <c r="R109" s="54"/>
    </row>
    <row r="110" spans="2:18" x14ac:dyDescent="0.2">
      <c r="B110" s="53"/>
      <c r="C110" s="78"/>
      <c r="D110" s="78"/>
      <c r="E110" s="78"/>
      <c r="F110" s="78"/>
      <c r="G110" s="78"/>
      <c r="H110" s="79"/>
      <c r="I110" s="78"/>
      <c r="J110" s="78"/>
      <c r="K110" s="78"/>
      <c r="L110" s="78"/>
      <c r="M110" s="16"/>
      <c r="N110" s="78"/>
      <c r="O110" s="78"/>
      <c r="P110" s="78"/>
      <c r="Q110" s="78"/>
      <c r="R110" s="54"/>
    </row>
    <row r="111" spans="2:18" x14ac:dyDescent="0.2">
      <c r="B111" s="53"/>
      <c r="C111" s="78"/>
      <c r="D111" s="78"/>
      <c r="E111" s="78"/>
      <c r="F111" s="78"/>
      <c r="G111" s="78"/>
      <c r="H111" s="79"/>
      <c r="I111" s="78"/>
      <c r="J111" s="78"/>
      <c r="K111" s="78"/>
      <c r="L111" s="78"/>
      <c r="M111" s="16"/>
      <c r="N111" s="78"/>
      <c r="O111" s="78"/>
      <c r="P111" s="78"/>
      <c r="Q111" s="78"/>
      <c r="R111" s="54"/>
    </row>
    <row r="112" spans="2:18" x14ac:dyDescent="0.2">
      <c r="B112" s="53"/>
      <c r="C112" s="78"/>
      <c r="D112" s="78"/>
      <c r="E112" s="78"/>
      <c r="F112" s="78"/>
      <c r="G112" s="78"/>
      <c r="H112" s="79"/>
      <c r="I112" s="78"/>
      <c r="J112" s="78"/>
      <c r="K112" s="78"/>
      <c r="L112" s="78"/>
      <c r="M112" s="16"/>
      <c r="N112" s="78"/>
      <c r="O112" s="78"/>
      <c r="P112" s="78"/>
      <c r="Q112" s="78"/>
      <c r="R112" s="54"/>
    </row>
    <row r="113" spans="2:18" x14ac:dyDescent="0.2">
      <c r="B113" s="53"/>
      <c r="C113" s="78"/>
      <c r="D113" s="78"/>
      <c r="E113" s="78"/>
      <c r="F113" s="78"/>
      <c r="G113" s="78"/>
      <c r="H113" s="79"/>
      <c r="I113" s="78"/>
      <c r="J113" s="78"/>
      <c r="K113" s="78"/>
      <c r="L113" s="78"/>
      <c r="M113" s="16"/>
      <c r="N113" s="78"/>
      <c r="O113" s="78"/>
      <c r="P113" s="78"/>
      <c r="Q113" s="78"/>
      <c r="R113" s="54"/>
    </row>
    <row r="114" spans="2:18" x14ac:dyDescent="0.2">
      <c r="B114" s="53"/>
      <c r="C114" s="78"/>
      <c r="D114" s="78"/>
      <c r="E114" s="78"/>
      <c r="F114" s="78"/>
      <c r="G114" s="78"/>
      <c r="H114" s="79"/>
      <c r="I114" s="78"/>
      <c r="J114" s="78"/>
      <c r="K114" s="78"/>
      <c r="L114" s="78"/>
      <c r="M114" s="16"/>
      <c r="N114" s="78"/>
      <c r="O114" s="78"/>
      <c r="P114" s="78"/>
      <c r="Q114" s="78"/>
      <c r="R114" s="54"/>
    </row>
    <row r="115" spans="2:18" x14ac:dyDescent="0.2">
      <c r="B115" s="53"/>
      <c r="C115" s="78"/>
      <c r="D115" s="78"/>
      <c r="E115" s="78"/>
      <c r="F115" s="78"/>
      <c r="G115" s="78"/>
      <c r="H115" s="79"/>
      <c r="I115" s="78"/>
      <c r="J115" s="78"/>
      <c r="K115" s="78"/>
      <c r="L115" s="78"/>
      <c r="M115" s="16"/>
      <c r="N115" s="78"/>
      <c r="O115" s="78"/>
      <c r="P115" s="78"/>
      <c r="Q115" s="78"/>
      <c r="R115" s="54"/>
    </row>
    <row r="116" spans="2:18" x14ac:dyDescent="0.2">
      <c r="B116" s="53"/>
      <c r="C116" s="78"/>
      <c r="D116" s="78"/>
      <c r="E116" s="78"/>
      <c r="F116" s="78"/>
      <c r="G116" s="78"/>
      <c r="H116" s="79"/>
      <c r="I116" s="78"/>
      <c r="J116" s="78"/>
      <c r="K116" s="78"/>
      <c r="L116" s="78"/>
      <c r="M116" s="16"/>
      <c r="N116" s="78"/>
      <c r="O116" s="78"/>
      <c r="P116" s="78"/>
      <c r="Q116" s="78"/>
      <c r="R116" s="54"/>
    </row>
    <row r="117" spans="2:18" x14ac:dyDescent="0.2">
      <c r="B117" s="53"/>
      <c r="C117" s="78"/>
      <c r="D117" s="78"/>
      <c r="E117" s="78"/>
      <c r="F117" s="78"/>
      <c r="G117" s="78"/>
      <c r="H117" s="79"/>
      <c r="I117" s="78"/>
      <c r="J117" s="78"/>
      <c r="K117" s="78"/>
      <c r="L117" s="78"/>
      <c r="M117" s="16"/>
      <c r="N117" s="78"/>
      <c r="O117" s="78"/>
      <c r="P117" s="78"/>
      <c r="Q117" s="78"/>
      <c r="R117" s="54"/>
    </row>
    <row r="118" spans="2:18" x14ac:dyDescent="0.2">
      <c r="B118" s="53"/>
      <c r="C118" s="78"/>
      <c r="D118" s="78"/>
      <c r="E118" s="78"/>
      <c r="F118" s="78"/>
      <c r="G118" s="78"/>
      <c r="H118" s="79"/>
      <c r="I118" s="78"/>
      <c r="J118" s="78"/>
      <c r="K118" s="78"/>
      <c r="L118" s="78"/>
      <c r="M118" s="16"/>
      <c r="N118" s="78"/>
      <c r="O118" s="78"/>
      <c r="P118" s="78"/>
      <c r="Q118" s="78"/>
      <c r="R118" s="54"/>
    </row>
    <row r="119" spans="2:18" x14ac:dyDescent="0.2">
      <c r="B119" s="53"/>
      <c r="C119" s="78"/>
      <c r="D119" s="78"/>
      <c r="E119" s="78"/>
      <c r="F119" s="78"/>
      <c r="G119" s="78"/>
      <c r="H119" s="79"/>
      <c r="I119" s="78"/>
      <c r="J119" s="78"/>
      <c r="K119" s="78"/>
      <c r="L119" s="78"/>
      <c r="M119" s="16"/>
      <c r="N119" s="78"/>
      <c r="O119" s="78"/>
      <c r="P119" s="78"/>
      <c r="Q119" s="78"/>
      <c r="R119" s="54"/>
    </row>
    <row r="120" spans="2:18" x14ac:dyDescent="0.2">
      <c r="B120" s="53"/>
      <c r="C120" s="78"/>
      <c r="D120" s="78"/>
      <c r="E120" s="78"/>
      <c r="F120" s="78"/>
      <c r="G120" s="78"/>
      <c r="H120" s="79"/>
      <c r="I120" s="78"/>
      <c r="J120" s="78"/>
      <c r="K120" s="78"/>
      <c r="L120" s="78"/>
      <c r="M120" s="16"/>
      <c r="N120" s="78"/>
      <c r="O120" s="78"/>
      <c r="P120" s="78"/>
      <c r="Q120" s="78"/>
      <c r="R120" s="54"/>
    </row>
    <row r="121" spans="2:18" x14ac:dyDescent="0.2">
      <c r="B121" s="53"/>
      <c r="C121" s="78"/>
      <c r="D121" s="78"/>
      <c r="E121" s="78"/>
      <c r="F121" s="78"/>
      <c r="G121" s="78"/>
      <c r="H121" s="79"/>
      <c r="I121" s="78"/>
      <c r="J121" s="78"/>
      <c r="K121" s="78"/>
      <c r="L121" s="78"/>
      <c r="M121" s="16"/>
      <c r="N121" s="78"/>
      <c r="O121" s="78"/>
      <c r="P121" s="78"/>
      <c r="Q121" s="78"/>
      <c r="R121" s="54"/>
    </row>
    <row r="122" spans="2:18" x14ac:dyDescent="0.2">
      <c r="B122" s="53"/>
      <c r="C122" s="78"/>
      <c r="D122" s="78"/>
      <c r="E122" s="78"/>
      <c r="F122" s="78"/>
      <c r="G122" s="78"/>
      <c r="H122" s="79"/>
      <c r="I122" s="78"/>
      <c r="J122" s="78"/>
      <c r="K122" s="78"/>
      <c r="L122" s="78"/>
      <c r="M122" s="16"/>
      <c r="N122" s="78"/>
      <c r="O122" s="78"/>
      <c r="P122" s="78"/>
      <c r="Q122" s="78"/>
      <c r="R122" s="54"/>
    </row>
    <row r="123" spans="2:18" x14ac:dyDescent="0.2">
      <c r="B123" s="53"/>
      <c r="C123" s="78"/>
      <c r="D123" s="78"/>
      <c r="E123" s="78"/>
      <c r="F123" s="78"/>
      <c r="G123" s="78"/>
      <c r="H123" s="79"/>
      <c r="I123" s="78"/>
      <c r="J123" s="78"/>
      <c r="K123" s="78"/>
      <c r="L123" s="78"/>
      <c r="M123" s="16"/>
      <c r="N123" s="78"/>
      <c r="O123" s="78"/>
      <c r="P123" s="78"/>
      <c r="Q123" s="78"/>
      <c r="R123" s="54"/>
    </row>
    <row r="124" spans="2:18" x14ac:dyDescent="0.2">
      <c r="B124" s="53"/>
      <c r="C124" s="78"/>
      <c r="D124" s="78"/>
      <c r="E124" s="78"/>
      <c r="F124" s="78"/>
      <c r="G124" s="78"/>
      <c r="H124" s="79"/>
      <c r="I124" s="78"/>
      <c r="J124" s="78"/>
      <c r="K124" s="78"/>
      <c r="L124" s="78"/>
      <c r="M124" s="16"/>
      <c r="N124" s="78"/>
      <c r="O124" s="78"/>
      <c r="P124" s="78"/>
      <c r="Q124" s="78"/>
      <c r="R124" s="54"/>
    </row>
    <row r="125" spans="2:18" x14ac:dyDescent="0.2">
      <c r="B125" s="53"/>
      <c r="C125" s="78"/>
      <c r="D125" s="78"/>
      <c r="E125" s="78"/>
      <c r="F125" s="78"/>
      <c r="G125" s="78"/>
      <c r="H125" s="79"/>
      <c r="I125" s="78"/>
      <c r="J125" s="78"/>
      <c r="K125" s="78"/>
      <c r="L125" s="78"/>
      <c r="M125" s="16"/>
      <c r="N125" s="78"/>
      <c r="O125" s="78"/>
      <c r="P125" s="78"/>
      <c r="Q125" s="78"/>
      <c r="R125" s="54"/>
    </row>
    <row r="126" spans="2:18" x14ac:dyDescent="0.2">
      <c r="B126" s="53"/>
      <c r="C126" s="78"/>
      <c r="D126" s="78"/>
      <c r="E126" s="78"/>
      <c r="F126" s="78"/>
      <c r="G126" s="78"/>
      <c r="H126" s="79"/>
      <c r="I126" s="78"/>
      <c r="J126" s="78"/>
      <c r="K126" s="78"/>
      <c r="L126" s="78"/>
      <c r="M126" s="16"/>
      <c r="N126" s="78"/>
      <c r="O126" s="78"/>
      <c r="P126" s="78"/>
      <c r="Q126" s="78"/>
      <c r="R126" s="54"/>
    </row>
    <row r="127" spans="2:18" x14ac:dyDescent="0.2">
      <c r="B127" s="53"/>
      <c r="C127" s="78"/>
      <c r="D127" s="78"/>
      <c r="E127" s="78"/>
      <c r="F127" s="78"/>
      <c r="G127" s="78"/>
      <c r="H127" s="79"/>
      <c r="I127" s="78"/>
      <c r="J127" s="78"/>
      <c r="K127" s="78"/>
      <c r="L127" s="78"/>
      <c r="M127" s="16"/>
      <c r="N127" s="78"/>
      <c r="O127" s="78"/>
      <c r="P127" s="78"/>
      <c r="Q127" s="78"/>
      <c r="R127" s="54"/>
    </row>
    <row r="128" spans="2:18" x14ac:dyDescent="0.2">
      <c r="B128" s="53"/>
      <c r="C128" s="78"/>
      <c r="D128" s="78"/>
      <c r="E128" s="78"/>
      <c r="F128" s="78"/>
      <c r="G128" s="78"/>
      <c r="H128" s="79"/>
      <c r="I128" s="78"/>
      <c r="J128" s="78"/>
      <c r="K128" s="78"/>
      <c r="L128" s="78"/>
      <c r="M128" s="16"/>
      <c r="N128" s="78"/>
      <c r="O128" s="78"/>
      <c r="P128" s="78"/>
      <c r="Q128" s="78"/>
      <c r="R128" s="54"/>
    </row>
    <row r="129" spans="2:18" x14ac:dyDescent="0.2">
      <c r="B129" s="53"/>
      <c r="C129" s="78"/>
      <c r="D129" s="78"/>
      <c r="E129" s="78"/>
      <c r="F129" s="78"/>
      <c r="G129" s="78"/>
      <c r="H129" s="79"/>
      <c r="I129" s="78"/>
      <c r="J129" s="78"/>
      <c r="K129" s="78"/>
      <c r="L129" s="78"/>
      <c r="M129" s="16"/>
      <c r="N129" s="78"/>
      <c r="O129" s="78"/>
      <c r="P129" s="78"/>
      <c r="Q129" s="78"/>
      <c r="R129" s="54"/>
    </row>
    <row r="130" spans="2:18" x14ac:dyDescent="0.2">
      <c r="B130" s="53"/>
      <c r="C130" s="78"/>
      <c r="D130" s="78"/>
      <c r="E130" s="78"/>
      <c r="F130" s="78"/>
      <c r="G130" s="78"/>
      <c r="H130" s="79"/>
      <c r="I130" s="78"/>
      <c r="J130" s="78"/>
      <c r="K130" s="78"/>
      <c r="L130" s="78"/>
      <c r="M130" s="16"/>
      <c r="N130" s="78"/>
      <c r="O130" s="78"/>
      <c r="P130" s="78"/>
      <c r="Q130" s="78"/>
      <c r="R130" s="54"/>
    </row>
    <row r="131" spans="2:18" x14ac:dyDescent="0.2">
      <c r="B131" s="53"/>
      <c r="C131" s="78"/>
      <c r="D131" s="78"/>
      <c r="E131" s="78"/>
      <c r="F131" s="78"/>
      <c r="G131" s="78"/>
      <c r="H131" s="79"/>
      <c r="I131" s="78"/>
      <c r="J131" s="78"/>
      <c r="K131" s="78"/>
      <c r="L131" s="78"/>
      <c r="M131" s="16"/>
      <c r="N131" s="78"/>
      <c r="O131" s="78"/>
      <c r="P131" s="78"/>
      <c r="Q131" s="78"/>
      <c r="R131" s="54"/>
    </row>
    <row r="132" spans="2:18" x14ac:dyDescent="0.2">
      <c r="B132" s="53"/>
      <c r="C132" s="78"/>
      <c r="D132" s="78"/>
      <c r="E132" s="78"/>
      <c r="F132" s="78"/>
      <c r="G132" s="78"/>
      <c r="H132" s="79"/>
      <c r="I132" s="78"/>
      <c r="J132" s="78"/>
      <c r="K132" s="78"/>
      <c r="L132" s="78"/>
      <c r="M132" s="16"/>
      <c r="N132" s="78"/>
      <c r="O132" s="78"/>
      <c r="P132" s="78"/>
      <c r="Q132" s="78"/>
      <c r="R132" s="54"/>
    </row>
    <row r="133" spans="2:18" x14ac:dyDescent="0.2">
      <c r="B133" s="53"/>
      <c r="C133" s="78"/>
      <c r="D133" s="78"/>
      <c r="E133" s="78"/>
      <c r="F133" s="78"/>
      <c r="G133" s="78"/>
      <c r="H133" s="79"/>
      <c r="I133" s="78"/>
      <c r="J133" s="78"/>
      <c r="K133" s="78"/>
      <c r="L133" s="78"/>
      <c r="M133" s="16"/>
      <c r="N133" s="78"/>
      <c r="O133" s="78"/>
      <c r="P133" s="78"/>
      <c r="Q133" s="78"/>
      <c r="R133" s="54"/>
    </row>
    <row r="134" spans="2:18" x14ac:dyDescent="0.2">
      <c r="B134" s="53"/>
      <c r="C134" s="78"/>
      <c r="D134" s="78"/>
      <c r="E134" s="78"/>
      <c r="F134" s="78"/>
      <c r="G134" s="78"/>
      <c r="H134" s="79"/>
      <c r="I134" s="78"/>
      <c r="J134" s="78"/>
      <c r="K134" s="78"/>
      <c r="L134" s="78"/>
      <c r="M134" s="16"/>
      <c r="N134" s="78"/>
      <c r="O134" s="78"/>
      <c r="P134" s="78"/>
      <c r="Q134" s="78"/>
      <c r="R134" s="54"/>
    </row>
    <row r="135" spans="2:18" x14ac:dyDescent="0.2">
      <c r="B135" s="53"/>
      <c r="C135" s="78"/>
      <c r="D135" s="78"/>
      <c r="E135" s="78"/>
      <c r="F135" s="78"/>
      <c r="G135" s="78"/>
      <c r="H135" s="79"/>
      <c r="I135" s="78"/>
      <c r="J135" s="78"/>
      <c r="K135" s="78"/>
      <c r="L135" s="78"/>
      <c r="M135" s="16"/>
      <c r="N135" s="78"/>
      <c r="O135" s="78"/>
      <c r="P135" s="78"/>
      <c r="Q135" s="78"/>
      <c r="R135" s="54"/>
    </row>
    <row r="136" spans="2:18" x14ac:dyDescent="0.2">
      <c r="B136" s="53"/>
      <c r="C136" s="78"/>
      <c r="D136" s="78"/>
      <c r="E136" s="78"/>
      <c r="F136" s="78"/>
      <c r="G136" s="78"/>
      <c r="H136" s="79"/>
      <c r="I136" s="78"/>
      <c r="J136" s="78"/>
      <c r="K136" s="78"/>
      <c r="L136" s="78"/>
      <c r="M136" s="16"/>
      <c r="N136" s="78"/>
      <c r="O136" s="78"/>
      <c r="P136" s="78"/>
      <c r="Q136" s="78"/>
      <c r="R136" s="54"/>
    </row>
    <row r="137" spans="2:18" x14ac:dyDescent="0.2">
      <c r="B137" s="53"/>
      <c r="C137" s="78"/>
      <c r="D137" s="78"/>
      <c r="E137" s="78"/>
      <c r="F137" s="78"/>
      <c r="G137" s="78"/>
      <c r="H137" s="79"/>
      <c r="I137" s="78"/>
      <c r="J137" s="78"/>
      <c r="K137" s="78"/>
      <c r="L137" s="78"/>
      <c r="M137" s="16"/>
      <c r="N137" s="78"/>
      <c r="O137" s="78"/>
      <c r="P137" s="78"/>
      <c r="Q137" s="78"/>
      <c r="R137" s="54"/>
    </row>
    <row r="138" spans="2:18" x14ac:dyDescent="0.2">
      <c r="B138" s="53"/>
      <c r="C138" s="78"/>
      <c r="D138" s="78"/>
      <c r="E138" s="78"/>
      <c r="F138" s="78"/>
      <c r="G138" s="78"/>
      <c r="H138" s="79"/>
      <c r="I138" s="78"/>
      <c r="J138" s="78"/>
      <c r="K138" s="78"/>
      <c r="L138" s="78"/>
      <c r="M138" s="16"/>
      <c r="N138" s="78"/>
      <c r="O138" s="78"/>
      <c r="P138" s="78"/>
      <c r="Q138" s="78"/>
      <c r="R138" s="54"/>
    </row>
    <row r="139" spans="2:18" x14ac:dyDescent="0.2">
      <c r="B139" s="53"/>
      <c r="C139" s="78"/>
      <c r="D139" s="78"/>
      <c r="E139" s="78"/>
      <c r="F139" s="78"/>
      <c r="G139" s="78"/>
      <c r="H139" s="79"/>
      <c r="I139" s="78"/>
      <c r="J139" s="78"/>
      <c r="K139" s="78"/>
      <c r="L139" s="78"/>
      <c r="M139" s="16"/>
      <c r="N139" s="78"/>
      <c r="O139" s="78"/>
      <c r="P139" s="78"/>
      <c r="Q139" s="78"/>
      <c r="R139" s="54"/>
    </row>
    <row r="140" spans="2:18" x14ac:dyDescent="0.2">
      <c r="B140" s="53"/>
      <c r="C140" s="78"/>
      <c r="D140" s="78"/>
      <c r="E140" s="78"/>
      <c r="F140" s="78"/>
      <c r="G140" s="78"/>
      <c r="H140" s="79"/>
      <c r="I140" s="78"/>
      <c r="J140" s="78"/>
      <c r="K140" s="78"/>
      <c r="L140" s="78"/>
      <c r="M140" s="16"/>
      <c r="N140" s="78"/>
      <c r="O140" s="78"/>
      <c r="P140" s="78"/>
      <c r="Q140" s="78"/>
      <c r="R140" s="54"/>
    </row>
    <row r="141" spans="2:18" x14ac:dyDescent="0.2">
      <c r="B141" s="53"/>
      <c r="C141" s="78"/>
      <c r="D141" s="78"/>
      <c r="E141" s="78"/>
      <c r="F141" s="78"/>
      <c r="G141" s="78"/>
      <c r="H141" s="79"/>
      <c r="I141" s="78"/>
      <c r="J141" s="78"/>
      <c r="K141" s="78"/>
      <c r="L141" s="78"/>
      <c r="M141" s="16"/>
      <c r="N141" s="78"/>
      <c r="O141" s="78"/>
      <c r="P141" s="78"/>
      <c r="Q141" s="78"/>
      <c r="R141" s="54"/>
    </row>
    <row r="142" spans="2:18" x14ac:dyDescent="0.2">
      <c r="B142" s="53"/>
      <c r="C142" s="78"/>
      <c r="D142" s="78"/>
      <c r="E142" s="78"/>
      <c r="F142" s="78"/>
      <c r="G142" s="78"/>
      <c r="H142" s="79"/>
      <c r="I142" s="78"/>
      <c r="J142" s="78"/>
      <c r="K142" s="78"/>
      <c r="L142" s="78"/>
      <c r="M142" s="16"/>
      <c r="N142" s="78"/>
      <c r="O142" s="78"/>
      <c r="P142" s="78"/>
      <c r="Q142" s="78"/>
      <c r="R142" s="54"/>
    </row>
    <row r="143" spans="2:18" x14ac:dyDescent="0.2">
      <c r="B143" s="53"/>
      <c r="C143" s="78"/>
      <c r="D143" s="78"/>
      <c r="E143" s="78"/>
      <c r="F143" s="78"/>
      <c r="G143" s="78"/>
      <c r="H143" s="79"/>
      <c r="I143" s="78"/>
      <c r="J143" s="78"/>
      <c r="K143" s="78"/>
      <c r="L143" s="78"/>
      <c r="M143" s="16"/>
      <c r="N143" s="78"/>
      <c r="O143" s="78"/>
      <c r="P143" s="78"/>
      <c r="Q143" s="78"/>
      <c r="R143" s="54"/>
    </row>
    <row r="144" spans="2:18" x14ac:dyDescent="0.2">
      <c r="B144" s="53"/>
      <c r="C144" s="78"/>
      <c r="D144" s="78"/>
      <c r="E144" s="78"/>
      <c r="F144" s="78"/>
      <c r="G144" s="78"/>
      <c r="H144" s="79"/>
      <c r="I144" s="78"/>
      <c r="J144" s="78"/>
      <c r="K144" s="78"/>
      <c r="L144" s="78"/>
      <c r="M144" s="16"/>
      <c r="N144" s="78"/>
      <c r="O144" s="78"/>
      <c r="P144" s="78"/>
      <c r="Q144" s="78"/>
      <c r="R144" s="54"/>
    </row>
    <row r="145" spans="2:18" x14ac:dyDescent="0.2">
      <c r="B145" s="53"/>
      <c r="C145" s="78"/>
      <c r="D145" s="78"/>
      <c r="E145" s="78"/>
      <c r="F145" s="78"/>
      <c r="G145" s="78"/>
      <c r="H145" s="79"/>
      <c r="I145" s="78"/>
      <c r="J145" s="78"/>
      <c r="K145" s="78"/>
      <c r="L145" s="78"/>
      <c r="M145" s="16"/>
      <c r="N145" s="78"/>
      <c r="O145" s="78"/>
      <c r="P145" s="78"/>
      <c r="Q145" s="78"/>
      <c r="R145" s="54"/>
    </row>
    <row r="146" spans="2:18" x14ac:dyDescent="0.2">
      <c r="B146" s="53"/>
      <c r="C146" s="78"/>
      <c r="D146" s="78"/>
      <c r="E146" s="78"/>
      <c r="F146" s="78"/>
      <c r="G146" s="78"/>
      <c r="H146" s="79"/>
      <c r="I146" s="78"/>
      <c r="J146" s="78"/>
      <c r="K146" s="78"/>
      <c r="L146" s="78"/>
      <c r="M146" s="16"/>
      <c r="N146" s="78"/>
      <c r="O146" s="78"/>
      <c r="P146" s="78"/>
      <c r="Q146" s="78"/>
      <c r="R146" s="54"/>
    </row>
    <row r="147" spans="2:18" x14ac:dyDescent="0.2">
      <c r="B147" s="53"/>
      <c r="C147" s="78"/>
      <c r="D147" s="78"/>
      <c r="E147" s="78"/>
      <c r="F147" s="78"/>
      <c r="G147" s="78"/>
      <c r="H147" s="79"/>
      <c r="I147" s="78"/>
      <c r="J147" s="78"/>
      <c r="K147" s="78"/>
      <c r="L147" s="78"/>
      <c r="M147" s="16"/>
      <c r="N147" s="78"/>
      <c r="O147" s="78"/>
      <c r="P147" s="78"/>
      <c r="Q147" s="78"/>
      <c r="R147" s="54"/>
    </row>
    <row r="148" spans="2:18" x14ac:dyDescent="0.2">
      <c r="B148" s="53"/>
      <c r="C148" s="78"/>
      <c r="D148" s="78"/>
      <c r="E148" s="78"/>
      <c r="F148" s="78"/>
      <c r="G148" s="78"/>
      <c r="H148" s="79"/>
      <c r="I148" s="78"/>
      <c r="J148" s="78"/>
      <c r="K148" s="78"/>
      <c r="L148" s="78"/>
      <c r="M148" s="16"/>
      <c r="N148" s="78"/>
      <c r="O148" s="78"/>
      <c r="P148" s="78"/>
      <c r="Q148" s="78"/>
      <c r="R148" s="54"/>
    </row>
    <row r="149" spans="2:18" x14ac:dyDescent="0.2">
      <c r="B149" s="53"/>
      <c r="C149" s="78"/>
      <c r="D149" s="78"/>
      <c r="E149" s="78"/>
      <c r="F149" s="78"/>
      <c r="G149" s="78"/>
      <c r="H149" s="79"/>
      <c r="I149" s="78"/>
      <c r="J149" s="78"/>
      <c r="K149" s="78"/>
      <c r="L149" s="78"/>
      <c r="M149" s="16"/>
      <c r="N149" s="78"/>
      <c r="O149" s="78"/>
      <c r="P149" s="78"/>
      <c r="Q149" s="78"/>
      <c r="R149" s="54"/>
    </row>
    <row r="150" spans="2:18" x14ac:dyDescent="0.2">
      <c r="B150" s="53"/>
      <c r="C150" s="78"/>
      <c r="D150" s="78"/>
      <c r="E150" s="78"/>
      <c r="F150" s="78"/>
      <c r="G150" s="78"/>
      <c r="H150" s="79"/>
      <c r="I150" s="78"/>
      <c r="J150" s="78"/>
      <c r="K150" s="78"/>
      <c r="L150" s="78"/>
      <c r="M150" s="16"/>
      <c r="N150" s="78"/>
      <c r="O150" s="78"/>
      <c r="P150" s="78"/>
      <c r="Q150" s="78"/>
      <c r="R150" s="54"/>
    </row>
    <row r="151" spans="2:18" x14ac:dyDescent="0.2">
      <c r="B151" s="53"/>
      <c r="C151" s="78"/>
      <c r="D151" s="78"/>
      <c r="E151" s="78"/>
      <c r="F151" s="78"/>
      <c r="G151" s="78"/>
      <c r="H151" s="79"/>
      <c r="I151" s="78"/>
      <c r="J151" s="78"/>
      <c r="K151" s="78"/>
      <c r="L151" s="78"/>
      <c r="M151" s="16"/>
      <c r="N151" s="78"/>
      <c r="O151" s="78"/>
      <c r="P151" s="78"/>
      <c r="Q151" s="78"/>
      <c r="R151" s="54"/>
    </row>
    <row r="152" spans="2:18" x14ac:dyDescent="0.2">
      <c r="B152" s="53"/>
      <c r="C152" s="78"/>
      <c r="D152" s="78"/>
      <c r="E152" s="78"/>
      <c r="F152" s="78"/>
      <c r="G152" s="78"/>
      <c r="H152" s="79"/>
      <c r="I152" s="78"/>
      <c r="J152" s="78"/>
      <c r="K152" s="78"/>
      <c r="L152" s="78"/>
      <c r="M152" s="16"/>
      <c r="N152" s="78"/>
      <c r="O152" s="78"/>
      <c r="P152" s="78"/>
      <c r="Q152" s="78"/>
      <c r="R152" s="54"/>
    </row>
    <row r="153" spans="2:18" x14ac:dyDescent="0.2">
      <c r="B153" s="53"/>
      <c r="C153" s="78"/>
      <c r="D153" s="78"/>
      <c r="E153" s="78"/>
      <c r="F153" s="78"/>
      <c r="G153" s="78"/>
      <c r="H153" s="79"/>
      <c r="I153" s="78"/>
      <c r="J153" s="78"/>
      <c r="K153" s="78"/>
      <c r="L153" s="78"/>
      <c r="M153" s="16"/>
      <c r="N153" s="78"/>
      <c r="O153" s="78"/>
      <c r="P153" s="78"/>
      <c r="Q153" s="78"/>
      <c r="R153" s="54"/>
    </row>
    <row r="154" spans="2:18" x14ac:dyDescent="0.2">
      <c r="B154" s="53"/>
      <c r="C154" s="78"/>
      <c r="D154" s="78"/>
      <c r="E154" s="78"/>
      <c r="F154" s="78"/>
      <c r="G154" s="78"/>
      <c r="H154" s="79"/>
      <c r="I154" s="78"/>
      <c r="J154" s="78"/>
      <c r="K154" s="78"/>
      <c r="L154" s="78"/>
      <c r="M154" s="16"/>
      <c r="N154" s="78"/>
      <c r="O154" s="78"/>
      <c r="P154" s="78"/>
      <c r="Q154" s="78"/>
      <c r="R154" s="54"/>
    </row>
    <row r="155" spans="2:18" x14ac:dyDescent="0.2">
      <c r="B155" s="53"/>
      <c r="C155" s="78"/>
      <c r="D155" s="78"/>
      <c r="E155" s="78"/>
      <c r="F155" s="78"/>
      <c r="G155" s="78"/>
      <c r="H155" s="79"/>
      <c r="I155" s="78"/>
      <c r="J155" s="78"/>
      <c r="K155" s="78"/>
      <c r="L155" s="78"/>
      <c r="M155" s="16"/>
      <c r="N155" s="78"/>
      <c r="O155" s="78"/>
      <c r="P155" s="78"/>
      <c r="Q155" s="78"/>
      <c r="R155" s="54"/>
    </row>
    <row r="156" spans="2:18" x14ac:dyDescent="0.2">
      <c r="B156" s="53"/>
      <c r="C156" s="78"/>
      <c r="D156" s="78"/>
      <c r="E156" s="78"/>
      <c r="F156" s="78"/>
      <c r="G156" s="78"/>
      <c r="H156" s="79"/>
      <c r="I156" s="78"/>
      <c r="J156" s="78"/>
      <c r="K156" s="78"/>
      <c r="L156" s="78"/>
      <c r="M156" s="16"/>
      <c r="N156" s="78"/>
      <c r="O156" s="78"/>
      <c r="P156" s="78"/>
      <c r="Q156" s="78"/>
      <c r="R156" s="54"/>
    </row>
    <row r="157" spans="2:18" x14ac:dyDescent="0.2">
      <c r="B157" s="53"/>
      <c r="C157" s="78"/>
      <c r="D157" s="78"/>
      <c r="E157" s="78"/>
      <c r="F157" s="78"/>
      <c r="G157" s="78"/>
      <c r="H157" s="79"/>
      <c r="I157" s="78"/>
      <c r="J157" s="78"/>
      <c r="K157" s="78"/>
      <c r="L157" s="78"/>
      <c r="M157" s="16"/>
      <c r="N157" s="78"/>
      <c r="O157" s="78"/>
      <c r="P157" s="78"/>
      <c r="Q157" s="78"/>
      <c r="R157" s="54"/>
    </row>
    <row r="158" spans="2:18" x14ac:dyDescent="0.2">
      <c r="B158" s="53"/>
      <c r="C158" s="78"/>
      <c r="D158" s="78"/>
      <c r="E158" s="78"/>
      <c r="F158" s="78"/>
      <c r="G158" s="78"/>
      <c r="H158" s="79"/>
      <c r="I158" s="78"/>
      <c r="J158" s="78"/>
      <c r="K158" s="78"/>
      <c r="L158" s="78"/>
      <c r="M158" s="16"/>
      <c r="N158" s="78"/>
      <c r="O158" s="78"/>
      <c r="P158" s="78"/>
      <c r="Q158" s="78"/>
      <c r="R158" s="54"/>
    </row>
    <row r="159" spans="2:18" x14ac:dyDescent="0.2">
      <c r="B159" s="53"/>
      <c r="C159" s="78"/>
      <c r="D159" s="78"/>
      <c r="E159" s="78"/>
      <c r="F159" s="78"/>
      <c r="G159" s="78"/>
      <c r="H159" s="79"/>
      <c r="I159" s="78"/>
      <c r="J159" s="78"/>
      <c r="K159" s="78"/>
      <c r="L159" s="78"/>
      <c r="M159" s="16"/>
      <c r="N159" s="78"/>
      <c r="O159" s="78"/>
      <c r="P159" s="78"/>
      <c r="Q159" s="78"/>
      <c r="R159" s="54"/>
    </row>
    <row r="160" spans="2:18" x14ac:dyDescent="0.2">
      <c r="B160" s="53"/>
      <c r="C160" s="78"/>
      <c r="D160" s="78"/>
      <c r="E160" s="78"/>
      <c r="F160" s="78"/>
      <c r="G160" s="78"/>
      <c r="H160" s="79"/>
      <c r="I160" s="78"/>
      <c r="J160" s="78"/>
      <c r="K160" s="78"/>
      <c r="L160" s="78"/>
      <c r="M160" s="16"/>
      <c r="N160" s="78"/>
      <c r="O160" s="78"/>
      <c r="P160" s="78"/>
      <c r="Q160" s="78"/>
      <c r="R160" s="54"/>
    </row>
    <row r="161" spans="2:18" x14ac:dyDescent="0.2">
      <c r="B161" s="53"/>
      <c r="C161" s="78"/>
      <c r="D161" s="78"/>
      <c r="E161" s="78"/>
      <c r="F161" s="78"/>
      <c r="G161" s="78"/>
      <c r="H161" s="79"/>
      <c r="I161" s="78"/>
      <c r="J161" s="78"/>
      <c r="K161" s="78"/>
      <c r="L161" s="78"/>
      <c r="M161" s="16"/>
      <c r="N161" s="78"/>
      <c r="O161" s="78"/>
      <c r="P161" s="78"/>
      <c r="Q161" s="78"/>
      <c r="R161" s="54"/>
    </row>
    <row r="162" spans="2:18" x14ac:dyDescent="0.2">
      <c r="B162" s="53"/>
      <c r="C162" s="78"/>
      <c r="D162" s="78"/>
      <c r="E162" s="78"/>
      <c r="F162" s="78"/>
      <c r="G162" s="78"/>
      <c r="H162" s="79"/>
      <c r="I162" s="78"/>
      <c r="J162" s="78"/>
      <c r="K162" s="78"/>
      <c r="L162" s="78"/>
      <c r="M162" s="16"/>
      <c r="N162" s="78"/>
      <c r="O162" s="78"/>
      <c r="P162" s="78"/>
      <c r="Q162" s="78"/>
      <c r="R162" s="54"/>
    </row>
    <row r="163" spans="2:18" x14ac:dyDescent="0.2">
      <c r="B163" s="53"/>
      <c r="C163" s="78"/>
      <c r="D163" s="78"/>
      <c r="E163" s="78"/>
      <c r="F163" s="78"/>
      <c r="G163" s="78"/>
      <c r="H163" s="79"/>
      <c r="I163" s="78"/>
      <c r="J163" s="78"/>
      <c r="K163" s="78"/>
      <c r="L163" s="78"/>
      <c r="M163" s="16"/>
      <c r="N163" s="78"/>
      <c r="O163" s="78"/>
      <c r="P163" s="78"/>
      <c r="Q163" s="78"/>
      <c r="R163" s="54"/>
    </row>
    <row r="164" spans="2:18" x14ac:dyDescent="0.2">
      <c r="B164" s="53"/>
      <c r="C164" s="78"/>
      <c r="D164" s="78"/>
      <c r="E164" s="78"/>
      <c r="F164" s="78"/>
      <c r="G164" s="78"/>
      <c r="H164" s="79"/>
      <c r="I164" s="78"/>
      <c r="J164" s="78"/>
      <c r="K164" s="78"/>
      <c r="L164" s="78"/>
      <c r="M164" s="16"/>
      <c r="N164" s="78"/>
      <c r="O164" s="78"/>
      <c r="P164" s="78"/>
      <c r="Q164" s="78"/>
      <c r="R164" s="54"/>
    </row>
    <row r="165" spans="2:18" x14ac:dyDescent="0.2">
      <c r="B165" s="53"/>
      <c r="C165" s="78"/>
      <c r="D165" s="78"/>
      <c r="E165" s="78"/>
      <c r="F165" s="78"/>
      <c r="G165" s="78"/>
      <c r="H165" s="79"/>
      <c r="I165" s="78"/>
      <c r="J165" s="78"/>
      <c r="K165" s="78"/>
      <c r="L165" s="78"/>
      <c r="M165" s="16"/>
      <c r="N165" s="78"/>
      <c r="O165" s="78"/>
      <c r="P165" s="78"/>
      <c r="Q165" s="78"/>
      <c r="R165" s="54"/>
    </row>
    <row r="166" spans="2:18" x14ac:dyDescent="0.2">
      <c r="B166" s="53"/>
      <c r="C166" s="78"/>
      <c r="D166" s="78"/>
      <c r="E166" s="78"/>
      <c r="F166" s="78"/>
      <c r="G166" s="78"/>
      <c r="H166" s="79"/>
      <c r="I166" s="78"/>
      <c r="J166" s="78"/>
      <c r="K166" s="78"/>
      <c r="L166" s="78"/>
      <c r="M166" s="16"/>
      <c r="N166" s="78"/>
      <c r="O166" s="78"/>
      <c r="P166" s="78"/>
      <c r="Q166" s="78"/>
      <c r="R166" s="54"/>
    </row>
    <row r="167" spans="2:18" x14ac:dyDescent="0.2">
      <c r="B167" s="53"/>
      <c r="C167" s="78"/>
      <c r="D167" s="78"/>
      <c r="E167" s="78"/>
      <c r="F167" s="78"/>
      <c r="G167" s="78"/>
      <c r="H167" s="79"/>
      <c r="I167" s="78"/>
      <c r="J167" s="78"/>
      <c r="K167" s="78"/>
      <c r="L167" s="78"/>
      <c r="M167" s="16"/>
      <c r="N167" s="78"/>
      <c r="O167" s="78"/>
      <c r="P167" s="78"/>
      <c r="Q167" s="78"/>
      <c r="R167" s="54"/>
    </row>
    <row r="168" spans="2:18" x14ac:dyDescent="0.2">
      <c r="B168" s="53"/>
      <c r="C168" s="78"/>
      <c r="D168" s="78"/>
      <c r="E168" s="78"/>
      <c r="F168" s="78"/>
      <c r="G168" s="78"/>
      <c r="H168" s="79"/>
      <c r="I168" s="78"/>
      <c r="J168" s="78"/>
      <c r="K168" s="78"/>
      <c r="L168" s="78"/>
      <c r="M168" s="16"/>
      <c r="N168" s="78"/>
      <c r="O168" s="78"/>
      <c r="P168" s="78"/>
      <c r="Q168" s="78"/>
      <c r="R168" s="54"/>
    </row>
    <row r="169" spans="2:18" x14ac:dyDescent="0.2">
      <c r="B169" s="53"/>
      <c r="C169" s="78"/>
      <c r="D169" s="78"/>
      <c r="E169" s="78"/>
      <c r="F169" s="78"/>
      <c r="G169" s="78"/>
      <c r="H169" s="79"/>
      <c r="I169" s="78"/>
      <c r="J169" s="78"/>
      <c r="K169" s="78"/>
      <c r="L169" s="78"/>
      <c r="M169" s="16"/>
      <c r="N169" s="78"/>
      <c r="O169" s="78"/>
      <c r="P169" s="78"/>
      <c r="Q169" s="78"/>
      <c r="R169" s="54"/>
    </row>
    <row r="170" spans="2:18" x14ac:dyDescent="0.2">
      <c r="B170" s="53"/>
      <c r="C170" s="78"/>
      <c r="D170" s="78"/>
      <c r="E170" s="78"/>
      <c r="F170" s="78"/>
      <c r="G170" s="78"/>
      <c r="H170" s="79"/>
      <c r="I170" s="78"/>
      <c r="J170" s="78"/>
      <c r="K170" s="78"/>
      <c r="L170" s="78"/>
      <c r="M170" s="16"/>
      <c r="N170" s="78"/>
      <c r="O170" s="78"/>
      <c r="P170" s="78"/>
      <c r="Q170" s="78"/>
      <c r="R170" s="54"/>
    </row>
    <row r="171" spans="2:18" x14ac:dyDescent="0.2">
      <c r="B171" s="53"/>
      <c r="C171" s="78"/>
      <c r="D171" s="78"/>
      <c r="E171" s="78"/>
      <c r="F171" s="78"/>
      <c r="G171" s="78"/>
      <c r="H171" s="79"/>
      <c r="I171" s="78"/>
      <c r="J171" s="78"/>
      <c r="K171" s="78"/>
      <c r="L171" s="78"/>
      <c r="M171" s="16"/>
      <c r="N171" s="78"/>
      <c r="O171" s="78"/>
      <c r="P171" s="78"/>
      <c r="Q171" s="78"/>
      <c r="R171" s="54"/>
    </row>
    <row r="172" spans="2:18" x14ac:dyDescent="0.2">
      <c r="B172" s="53"/>
      <c r="C172" s="78"/>
      <c r="D172" s="78"/>
      <c r="E172" s="78"/>
      <c r="F172" s="78"/>
      <c r="G172" s="78"/>
      <c r="H172" s="79"/>
      <c r="I172" s="78"/>
      <c r="J172" s="78"/>
      <c r="K172" s="78"/>
      <c r="L172" s="78"/>
      <c r="M172" s="16"/>
      <c r="N172" s="78"/>
      <c r="O172" s="78"/>
      <c r="P172" s="78"/>
      <c r="Q172" s="78"/>
      <c r="R172" s="54"/>
    </row>
    <row r="173" spans="2:18" x14ac:dyDescent="0.2">
      <c r="B173" s="53"/>
      <c r="C173" s="78"/>
      <c r="D173" s="78"/>
      <c r="E173" s="78"/>
      <c r="F173" s="78"/>
      <c r="G173" s="78"/>
      <c r="H173" s="79"/>
      <c r="I173" s="78"/>
      <c r="J173" s="78"/>
      <c r="K173" s="78"/>
      <c r="L173" s="78"/>
      <c r="M173" s="16"/>
      <c r="N173" s="78"/>
      <c r="O173" s="78"/>
      <c r="P173" s="78"/>
      <c r="Q173" s="78"/>
      <c r="R173" s="54"/>
    </row>
    <row r="174" spans="2:18" x14ac:dyDescent="0.2">
      <c r="B174" s="53"/>
      <c r="C174" s="78"/>
      <c r="D174" s="78"/>
      <c r="E174" s="78"/>
      <c r="F174" s="78"/>
      <c r="G174" s="78"/>
      <c r="H174" s="79"/>
      <c r="I174" s="78"/>
      <c r="J174" s="78"/>
      <c r="K174" s="78"/>
      <c r="L174" s="78"/>
      <c r="M174" s="16"/>
      <c r="N174" s="78"/>
      <c r="O174" s="78"/>
      <c r="P174" s="78"/>
      <c r="Q174" s="78"/>
      <c r="R174" s="54"/>
    </row>
    <row r="175" spans="2:18" x14ac:dyDescent="0.2">
      <c r="B175" s="53"/>
      <c r="C175" s="78"/>
      <c r="D175" s="78"/>
      <c r="E175" s="78"/>
      <c r="F175" s="78"/>
      <c r="G175" s="78"/>
      <c r="H175" s="79"/>
      <c r="I175" s="78"/>
      <c r="J175" s="78"/>
      <c r="K175" s="78"/>
      <c r="L175" s="78"/>
      <c r="M175" s="16"/>
      <c r="N175" s="78"/>
      <c r="O175" s="78"/>
      <c r="P175" s="78"/>
      <c r="Q175" s="78"/>
      <c r="R175" s="54"/>
    </row>
    <row r="176" spans="2:18" x14ac:dyDescent="0.2">
      <c r="B176" s="53"/>
      <c r="C176" s="78"/>
      <c r="D176" s="78"/>
      <c r="E176" s="78"/>
      <c r="F176" s="78"/>
      <c r="G176" s="78"/>
      <c r="H176" s="79"/>
      <c r="I176" s="78"/>
      <c r="J176" s="78"/>
      <c r="K176" s="78"/>
      <c r="L176" s="78"/>
      <c r="M176" s="16"/>
      <c r="N176" s="78"/>
      <c r="O176" s="78"/>
      <c r="P176" s="78"/>
      <c r="Q176" s="78"/>
      <c r="R176" s="54"/>
    </row>
    <row r="177" spans="2:18" x14ac:dyDescent="0.2">
      <c r="B177" s="53"/>
      <c r="C177" s="78"/>
      <c r="D177" s="78"/>
      <c r="E177" s="78"/>
      <c r="F177" s="78"/>
      <c r="G177" s="78"/>
      <c r="H177" s="79"/>
      <c r="I177" s="78"/>
      <c r="J177" s="78"/>
      <c r="K177" s="78"/>
      <c r="L177" s="78"/>
      <c r="M177" s="16"/>
      <c r="N177" s="78"/>
      <c r="O177" s="78"/>
      <c r="P177" s="78"/>
      <c r="Q177" s="78"/>
      <c r="R177" s="54"/>
    </row>
    <row r="178" spans="2:18" x14ac:dyDescent="0.2">
      <c r="B178" s="53"/>
      <c r="C178" s="78"/>
      <c r="D178" s="78"/>
      <c r="E178" s="78"/>
      <c r="F178" s="78"/>
      <c r="G178" s="78"/>
      <c r="H178" s="79"/>
      <c r="I178" s="78"/>
      <c r="J178" s="78"/>
      <c r="K178" s="78"/>
      <c r="L178" s="78"/>
      <c r="M178" s="16"/>
      <c r="N178" s="78"/>
      <c r="O178" s="78"/>
      <c r="P178" s="78"/>
      <c r="Q178" s="78"/>
      <c r="R178" s="54"/>
    </row>
    <row r="179" spans="2:18" x14ac:dyDescent="0.2">
      <c r="B179" s="53"/>
      <c r="C179" s="78"/>
      <c r="D179" s="78"/>
      <c r="E179" s="78"/>
      <c r="F179" s="78"/>
      <c r="G179" s="78"/>
      <c r="H179" s="79"/>
      <c r="I179" s="78"/>
      <c r="J179" s="78"/>
      <c r="K179" s="78"/>
      <c r="L179" s="78"/>
      <c r="M179" s="16"/>
      <c r="N179" s="78"/>
      <c r="O179" s="78"/>
      <c r="P179" s="78"/>
      <c r="Q179" s="78"/>
      <c r="R179" s="54"/>
    </row>
    <row r="180" spans="2:18" x14ac:dyDescent="0.2">
      <c r="B180" s="53"/>
      <c r="C180" s="78"/>
      <c r="D180" s="78"/>
      <c r="E180" s="78"/>
      <c r="F180" s="78"/>
      <c r="G180" s="78"/>
      <c r="H180" s="79"/>
      <c r="I180" s="78"/>
      <c r="J180" s="78"/>
      <c r="K180" s="78"/>
      <c r="L180" s="78"/>
      <c r="M180" s="16"/>
      <c r="N180" s="78"/>
      <c r="O180" s="78"/>
      <c r="P180" s="78"/>
      <c r="Q180" s="78"/>
      <c r="R180" s="54"/>
    </row>
    <row r="181" spans="2:18" x14ac:dyDescent="0.2">
      <c r="B181" s="53"/>
      <c r="C181" s="78"/>
      <c r="D181" s="78"/>
      <c r="E181" s="78"/>
      <c r="F181" s="78"/>
      <c r="G181" s="78"/>
      <c r="H181" s="79"/>
      <c r="I181" s="78"/>
      <c r="J181" s="78"/>
      <c r="K181" s="78"/>
      <c r="L181" s="78"/>
      <c r="M181" s="16"/>
      <c r="N181" s="78"/>
      <c r="O181" s="78"/>
      <c r="P181" s="78"/>
      <c r="Q181" s="78"/>
      <c r="R181" s="54"/>
    </row>
    <row r="182" spans="2:18" x14ac:dyDescent="0.2">
      <c r="B182" s="53"/>
      <c r="C182" s="78"/>
      <c r="D182" s="78"/>
      <c r="E182" s="78"/>
      <c r="F182" s="78"/>
      <c r="G182" s="78"/>
      <c r="H182" s="79"/>
      <c r="I182" s="78"/>
      <c r="J182" s="78"/>
      <c r="K182" s="78"/>
      <c r="L182" s="78"/>
      <c r="M182" s="16"/>
      <c r="N182" s="78"/>
      <c r="O182" s="78"/>
      <c r="P182" s="78"/>
      <c r="Q182" s="78"/>
      <c r="R182" s="54"/>
    </row>
    <row r="183" spans="2:18" x14ac:dyDescent="0.2">
      <c r="B183" s="53"/>
      <c r="C183" s="78"/>
      <c r="D183" s="78"/>
      <c r="E183" s="78"/>
      <c r="F183" s="78"/>
      <c r="G183" s="78"/>
      <c r="H183" s="79"/>
      <c r="I183" s="78"/>
      <c r="J183" s="78"/>
      <c r="K183" s="78"/>
      <c r="L183" s="78"/>
      <c r="M183" s="16"/>
      <c r="N183" s="78"/>
      <c r="O183" s="78"/>
      <c r="P183" s="78"/>
      <c r="Q183" s="78"/>
      <c r="R183" s="54"/>
    </row>
    <row r="184" spans="2:18" x14ac:dyDescent="0.2">
      <c r="B184" s="53"/>
      <c r="C184" s="78"/>
      <c r="D184" s="78"/>
      <c r="E184" s="78"/>
      <c r="F184" s="78"/>
      <c r="G184" s="78"/>
      <c r="H184" s="79"/>
      <c r="I184" s="78"/>
      <c r="J184" s="78"/>
      <c r="K184" s="78"/>
      <c r="L184" s="78"/>
      <c r="M184" s="16"/>
      <c r="N184" s="78"/>
      <c r="O184" s="78"/>
      <c r="P184" s="78"/>
      <c r="Q184" s="78"/>
      <c r="R184" s="54"/>
    </row>
    <row r="185" spans="2:18" x14ac:dyDescent="0.2">
      <c r="B185" s="53"/>
      <c r="C185" s="78"/>
      <c r="D185" s="78"/>
      <c r="E185" s="78"/>
      <c r="F185" s="78"/>
      <c r="G185" s="78"/>
      <c r="H185" s="79"/>
      <c r="I185" s="78"/>
      <c r="J185" s="78"/>
      <c r="K185" s="78"/>
      <c r="L185" s="78"/>
      <c r="M185" s="16"/>
      <c r="N185" s="78"/>
      <c r="O185" s="78"/>
      <c r="P185" s="78"/>
      <c r="Q185" s="78"/>
      <c r="R185" s="54"/>
    </row>
    <row r="186" spans="2:18" x14ac:dyDescent="0.2">
      <c r="B186" s="53"/>
      <c r="C186" s="78"/>
      <c r="D186" s="78"/>
      <c r="E186" s="78"/>
      <c r="F186" s="78"/>
      <c r="G186" s="78"/>
      <c r="H186" s="79"/>
      <c r="I186" s="78"/>
      <c r="J186" s="78"/>
      <c r="K186" s="78"/>
      <c r="L186" s="78"/>
      <c r="M186" s="16"/>
      <c r="N186" s="78"/>
      <c r="O186" s="78"/>
      <c r="P186" s="78"/>
      <c r="Q186" s="78"/>
      <c r="R186" s="54"/>
    </row>
    <row r="187" spans="2:18" x14ac:dyDescent="0.2">
      <c r="B187" s="53"/>
      <c r="C187" s="78"/>
      <c r="D187" s="78"/>
      <c r="E187" s="78"/>
      <c r="F187" s="78"/>
      <c r="G187" s="78"/>
      <c r="H187" s="79"/>
      <c r="I187" s="78"/>
      <c r="J187" s="78"/>
      <c r="K187" s="78"/>
      <c r="L187" s="78"/>
      <c r="M187" s="16"/>
      <c r="N187" s="78"/>
      <c r="O187" s="78"/>
      <c r="P187" s="78"/>
      <c r="Q187" s="78"/>
      <c r="R187" s="54"/>
    </row>
    <row r="188" spans="2:18" x14ac:dyDescent="0.2">
      <c r="B188" s="53"/>
      <c r="C188" s="78"/>
      <c r="D188" s="78"/>
      <c r="E188" s="78"/>
      <c r="F188" s="78"/>
      <c r="G188" s="78"/>
      <c r="H188" s="79"/>
      <c r="I188" s="78"/>
      <c r="J188" s="78"/>
      <c r="K188" s="78"/>
      <c r="L188" s="78"/>
      <c r="M188" s="16"/>
      <c r="N188" s="78"/>
      <c r="O188" s="78"/>
      <c r="P188" s="78"/>
      <c r="Q188" s="78"/>
      <c r="R188" s="54"/>
    </row>
    <row r="189" spans="2:18" x14ac:dyDescent="0.2">
      <c r="B189" s="53"/>
      <c r="C189" s="78"/>
      <c r="D189" s="78"/>
      <c r="E189" s="78"/>
      <c r="F189" s="78"/>
      <c r="G189" s="78"/>
      <c r="H189" s="79"/>
      <c r="I189" s="78"/>
      <c r="J189" s="78"/>
      <c r="K189" s="78"/>
      <c r="L189" s="78"/>
      <c r="M189" s="16"/>
      <c r="N189" s="78"/>
      <c r="O189" s="78"/>
      <c r="P189" s="78"/>
      <c r="Q189" s="78"/>
      <c r="R189" s="54"/>
    </row>
    <row r="190" spans="2:18" x14ac:dyDescent="0.2">
      <c r="B190" s="53"/>
      <c r="C190" s="78"/>
      <c r="D190" s="78"/>
      <c r="E190" s="78"/>
      <c r="F190" s="78"/>
      <c r="G190" s="78"/>
      <c r="H190" s="79"/>
      <c r="I190" s="78"/>
      <c r="J190" s="78"/>
      <c r="K190" s="78"/>
      <c r="L190" s="78"/>
      <c r="M190" s="16"/>
      <c r="N190" s="78"/>
      <c r="O190" s="78"/>
      <c r="P190" s="78"/>
      <c r="Q190" s="78"/>
      <c r="R190" s="54"/>
    </row>
    <row r="191" spans="2:18" x14ac:dyDescent="0.2">
      <c r="B191" s="53"/>
      <c r="C191" s="78"/>
      <c r="D191" s="78"/>
      <c r="E191" s="78"/>
      <c r="F191" s="78"/>
      <c r="G191" s="78"/>
      <c r="H191" s="79"/>
      <c r="I191" s="78"/>
      <c r="J191" s="78"/>
      <c r="K191" s="78"/>
      <c r="L191" s="78"/>
      <c r="M191" s="16"/>
      <c r="N191" s="78"/>
      <c r="O191" s="78"/>
      <c r="P191" s="78"/>
      <c r="Q191" s="78"/>
      <c r="R191" s="54"/>
    </row>
    <row r="192" spans="2:18" x14ac:dyDescent="0.2">
      <c r="B192" s="53"/>
      <c r="C192" s="78"/>
      <c r="D192" s="78"/>
      <c r="E192" s="78"/>
      <c r="F192" s="78"/>
      <c r="G192" s="78"/>
      <c r="H192" s="79"/>
      <c r="I192" s="78"/>
      <c r="J192" s="78"/>
      <c r="K192" s="78"/>
      <c r="L192" s="78"/>
      <c r="M192" s="16"/>
      <c r="N192" s="78"/>
      <c r="O192" s="78"/>
      <c r="P192" s="78"/>
      <c r="Q192" s="78"/>
      <c r="R192" s="54"/>
    </row>
    <row r="193" spans="2:18" x14ac:dyDescent="0.2">
      <c r="B193" s="53"/>
      <c r="C193" s="78"/>
      <c r="D193" s="78"/>
      <c r="E193" s="78"/>
      <c r="F193" s="78"/>
      <c r="G193" s="78"/>
      <c r="H193" s="79"/>
      <c r="I193" s="78"/>
      <c r="J193" s="78"/>
      <c r="K193" s="78"/>
      <c r="L193" s="78"/>
      <c r="M193" s="16"/>
      <c r="N193" s="78"/>
      <c r="O193" s="78"/>
      <c r="P193" s="78"/>
      <c r="Q193" s="78"/>
      <c r="R193" s="54"/>
    </row>
    <row r="194" spans="2:18" x14ac:dyDescent="0.2">
      <c r="B194" s="53"/>
      <c r="C194" s="78"/>
      <c r="D194" s="78"/>
      <c r="E194" s="78"/>
      <c r="F194" s="78"/>
      <c r="G194" s="78"/>
      <c r="H194" s="79"/>
      <c r="I194" s="78"/>
      <c r="J194" s="78"/>
      <c r="K194" s="78"/>
      <c r="L194" s="78"/>
      <c r="M194" s="16"/>
      <c r="N194" s="78"/>
      <c r="O194" s="78"/>
      <c r="P194" s="78"/>
      <c r="Q194" s="78"/>
      <c r="R194" s="54"/>
    </row>
    <row r="195" spans="2:18" x14ac:dyDescent="0.2">
      <c r="B195" s="53"/>
      <c r="C195" s="78"/>
      <c r="D195" s="78"/>
      <c r="E195" s="78"/>
      <c r="F195" s="78"/>
      <c r="G195" s="78"/>
      <c r="H195" s="79"/>
      <c r="I195" s="78"/>
      <c r="J195" s="78"/>
      <c r="K195" s="78"/>
      <c r="L195" s="78"/>
      <c r="M195" s="16"/>
      <c r="N195" s="78"/>
      <c r="O195" s="78"/>
      <c r="P195" s="78"/>
      <c r="Q195" s="78"/>
      <c r="R195" s="54"/>
    </row>
    <row r="196" spans="2:18" x14ac:dyDescent="0.2">
      <c r="B196" s="53"/>
      <c r="C196" s="78"/>
      <c r="D196" s="78"/>
      <c r="E196" s="78"/>
      <c r="F196" s="78"/>
      <c r="G196" s="78"/>
      <c r="H196" s="79"/>
      <c r="I196" s="78"/>
      <c r="J196" s="78"/>
      <c r="K196" s="78"/>
      <c r="L196" s="78"/>
      <c r="M196" s="16"/>
      <c r="N196" s="78"/>
      <c r="O196" s="78"/>
      <c r="P196" s="78"/>
      <c r="Q196" s="78"/>
      <c r="R196" s="54"/>
    </row>
    <row r="197" spans="2:18" x14ac:dyDescent="0.2">
      <c r="B197" s="53"/>
      <c r="C197" s="78"/>
      <c r="D197" s="78"/>
      <c r="E197" s="78"/>
      <c r="F197" s="78"/>
      <c r="G197" s="78"/>
      <c r="H197" s="79"/>
      <c r="I197" s="78"/>
      <c r="J197" s="78"/>
      <c r="K197" s="78"/>
      <c r="L197" s="78"/>
      <c r="M197" s="16"/>
      <c r="N197" s="78"/>
      <c r="O197" s="78"/>
      <c r="P197" s="78"/>
      <c r="Q197" s="78"/>
      <c r="R197" s="54"/>
    </row>
    <row r="198" spans="2:18" x14ac:dyDescent="0.2">
      <c r="B198" s="53"/>
      <c r="C198" s="78"/>
      <c r="D198" s="78"/>
      <c r="E198" s="78"/>
      <c r="F198" s="78"/>
      <c r="G198" s="78"/>
      <c r="H198" s="79"/>
      <c r="I198" s="78"/>
      <c r="J198" s="78"/>
      <c r="K198" s="78"/>
      <c r="L198" s="78"/>
      <c r="M198" s="16"/>
      <c r="N198" s="78"/>
      <c r="O198" s="78"/>
      <c r="P198" s="78"/>
      <c r="Q198" s="78"/>
      <c r="R198" s="54"/>
    </row>
    <row r="199" spans="2:18" x14ac:dyDescent="0.2">
      <c r="B199" s="53"/>
      <c r="C199" s="78"/>
      <c r="D199" s="78"/>
      <c r="E199" s="78"/>
      <c r="F199" s="78"/>
      <c r="G199" s="78"/>
      <c r="H199" s="79"/>
      <c r="I199" s="78"/>
      <c r="J199" s="78"/>
      <c r="K199" s="78"/>
      <c r="L199" s="78"/>
      <c r="M199" s="16"/>
      <c r="N199" s="78"/>
      <c r="O199" s="78"/>
      <c r="P199" s="78"/>
      <c r="Q199" s="78"/>
      <c r="R199" s="54"/>
    </row>
    <row r="200" spans="2:18" x14ac:dyDescent="0.2">
      <c r="B200" s="53"/>
      <c r="C200" s="78"/>
      <c r="D200" s="78"/>
      <c r="E200" s="78"/>
      <c r="F200" s="78"/>
      <c r="G200" s="78"/>
      <c r="H200" s="79"/>
      <c r="I200" s="78"/>
      <c r="J200" s="78"/>
      <c r="K200" s="78"/>
      <c r="L200" s="78"/>
      <c r="M200" s="16"/>
      <c r="N200" s="78"/>
      <c r="O200" s="78"/>
      <c r="P200" s="78"/>
      <c r="Q200" s="78"/>
      <c r="R200" s="54"/>
    </row>
    <row r="201" spans="2:18" x14ac:dyDescent="0.2">
      <c r="B201" s="53"/>
      <c r="C201" s="78"/>
      <c r="D201" s="78"/>
      <c r="E201" s="78"/>
      <c r="F201" s="78"/>
      <c r="G201" s="78"/>
      <c r="H201" s="79"/>
      <c r="I201" s="78"/>
      <c r="J201" s="78"/>
      <c r="K201" s="78"/>
      <c r="L201" s="78"/>
      <c r="M201" s="16"/>
      <c r="N201" s="78"/>
      <c r="O201" s="78"/>
      <c r="P201" s="78"/>
      <c r="Q201" s="78"/>
      <c r="R201" s="54"/>
    </row>
    <row r="202" spans="2:18" x14ac:dyDescent="0.2">
      <c r="B202" s="53"/>
      <c r="C202" s="78"/>
      <c r="D202" s="78"/>
      <c r="E202" s="78"/>
      <c r="F202" s="78"/>
      <c r="G202" s="78"/>
      <c r="H202" s="79"/>
      <c r="I202" s="78"/>
      <c r="J202" s="78"/>
      <c r="K202" s="78"/>
      <c r="L202" s="78"/>
      <c r="M202" s="16"/>
      <c r="N202" s="78"/>
      <c r="O202" s="78"/>
      <c r="P202" s="78"/>
      <c r="Q202" s="78"/>
      <c r="R202" s="54"/>
    </row>
    <row r="203" spans="2:18" x14ac:dyDescent="0.2">
      <c r="B203" s="53"/>
      <c r="C203" s="78"/>
      <c r="D203" s="78"/>
      <c r="E203" s="78"/>
      <c r="F203" s="78"/>
      <c r="G203" s="78"/>
      <c r="H203" s="79"/>
      <c r="I203" s="78"/>
      <c r="J203" s="78"/>
      <c r="K203" s="78"/>
      <c r="L203" s="78"/>
      <c r="M203" s="16"/>
      <c r="N203" s="78"/>
      <c r="O203" s="78"/>
      <c r="P203" s="78"/>
      <c r="Q203" s="78"/>
      <c r="R203" s="54"/>
    </row>
    <row r="204" spans="2:18" x14ac:dyDescent="0.2">
      <c r="B204" s="53"/>
      <c r="C204" s="78"/>
      <c r="D204" s="78"/>
      <c r="E204" s="78"/>
      <c r="F204" s="78"/>
      <c r="G204" s="78"/>
      <c r="H204" s="79"/>
      <c r="I204" s="78"/>
      <c r="J204" s="78"/>
      <c r="K204" s="78"/>
      <c r="L204" s="78"/>
      <c r="M204" s="16"/>
      <c r="N204" s="78"/>
      <c r="O204" s="78"/>
      <c r="P204" s="78"/>
      <c r="Q204" s="78"/>
      <c r="R204" s="54"/>
    </row>
    <row r="205" spans="2:18" x14ac:dyDescent="0.2">
      <c r="B205" s="53"/>
      <c r="C205" s="78"/>
      <c r="D205" s="78"/>
      <c r="E205" s="78"/>
      <c r="F205" s="78"/>
      <c r="G205" s="78"/>
      <c r="H205" s="79"/>
      <c r="I205" s="78"/>
      <c r="J205" s="78"/>
      <c r="K205" s="78"/>
      <c r="L205" s="78"/>
      <c r="M205" s="16"/>
      <c r="N205" s="78"/>
      <c r="O205" s="78"/>
      <c r="P205" s="78"/>
      <c r="Q205" s="78"/>
      <c r="R205" s="54"/>
    </row>
    <row r="206" spans="2:18" x14ac:dyDescent="0.2">
      <c r="B206" s="53"/>
      <c r="C206" s="78"/>
      <c r="D206" s="78"/>
      <c r="E206" s="78"/>
      <c r="F206" s="78"/>
      <c r="G206" s="78"/>
      <c r="H206" s="79"/>
      <c r="I206" s="78"/>
      <c r="J206" s="78"/>
      <c r="K206" s="78"/>
      <c r="L206" s="78"/>
      <c r="M206" s="16"/>
      <c r="N206" s="78"/>
      <c r="O206" s="78"/>
      <c r="P206" s="78"/>
      <c r="Q206" s="78"/>
      <c r="R206" s="54"/>
    </row>
    <row r="207" spans="2:18" x14ac:dyDescent="0.2">
      <c r="B207" s="53"/>
      <c r="C207" s="78"/>
      <c r="D207" s="78"/>
      <c r="E207" s="78"/>
      <c r="F207" s="78"/>
      <c r="G207" s="78"/>
      <c r="H207" s="79"/>
      <c r="I207" s="78"/>
      <c r="J207" s="78"/>
      <c r="K207" s="78"/>
      <c r="L207" s="78"/>
      <c r="M207" s="16"/>
      <c r="N207" s="78"/>
      <c r="O207" s="78"/>
      <c r="P207" s="78"/>
      <c r="Q207" s="78"/>
      <c r="R207" s="54"/>
    </row>
    <row r="208" spans="2:18" x14ac:dyDescent="0.2">
      <c r="B208" s="53"/>
      <c r="C208" s="78"/>
      <c r="D208" s="78"/>
      <c r="E208" s="78"/>
      <c r="F208" s="78"/>
      <c r="G208" s="78"/>
      <c r="H208" s="79"/>
      <c r="I208" s="78"/>
      <c r="J208" s="78"/>
      <c r="K208" s="78"/>
      <c r="L208" s="78"/>
      <c r="M208" s="16"/>
      <c r="N208" s="78"/>
      <c r="O208" s="78"/>
      <c r="P208" s="78"/>
      <c r="Q208" s="78"/>
      <c r="R208" s="54"/>
    </row>
    <row r="209" spans="2:18" x14ac:dyDescent="0.2">
      <c r="B209" s="53"/>
      <c r="C209" s="78"/>
      <c r="D209" s="78"/>
      <c r="E209" s="78"/>
      <c r="F209" s="78"/>
      <c r="G209" s="78"/>
      <c r="H209" s="79"/>
      <c r="I209" s="78"/>
      <c r="J209" s="78"/>
      <c r="K209" s="78"/>
      <c r="L209" s="78"/>
      <c r="M209" s="16"/>
      <c r="N209" s="78"/>
      <c r="O209" s="78"/>
      <c r="P209" s="78"/>
      <c r="Q209" s="78"/>
      <c r="R209" s="54"/>
    </row>
    <row r="210" spans="2:18" x14ac:dyDescent="0.2">
      <c r="B210" s="53"/>
      <c r="C210" s="78"/>
      <c r="D210" s="78"/>
      <c r="E210" s="78"/>
      <c r="F210" s="78"/>
      <c r="G210" s="78"/>
      <c r="H210" s="79"/>
      <c r="I210" s="78"/>
      <c r="J210" s="78"/>
      <c r="K210" s="78"/>
      <c r="L210" s="78"/>
      <c r="M210" s="16"/>
      <c r="N210" s="78"/>
      <c r="O210" s="78"/>
      <c r="P210" s="78"/>
      <c r="Q210" s="78"/>
      <c r="R210" s="54"/>
    </row>
    <row r="211" spans="2:18" x14ac:dyDescent="0.2">
      <c r="B211" s="53"/>
      <c r="C211" s="78"/>
      <c r="D211" s="78"/>
      <c r="E211" s="78"/>
      <c r="F211" s="78"/>
      <c r="G211" s="78"/>
      <c r="H211" s="79"/>
      <c r="I211" s="78"/>
      <c r="J211" s="78"/>
      <c r="K211" s="78"/>
      <c r="L211" s="78"/>
      <c r="M211" s="16"/>
      <c r="N211" s="78"/>
      <c r="O211" s="78"/>
      <c r="P211" s="78"/>
      <c r="Q211" s="78"/>
      <c r="R211" s="54"/>
    </row>
    <row r="212" spans="2:18" x14ac:dyDescent="0.2">
      <c r="B212" s="53"/>
      <c r="C212" s="78"/>
      <c r="D212" s="78"/>
      <c r="E212" s="78"/>
      <c r="F212" s="78"/>
      <c r="G212" s="78"/>
      <c r="H212" s="79"/>
      <c r="I212" s="78"/>
      <c r="J212" s="78"/>
      <c r="K212" s="78"/>
      <c r="L212" s="78"/>
      <c r="M212" s="16"/>
      <c r="N212" s="78"/>
      <c r="O212" s="78"/>
      <c r="P212" s="78"/>
      <c r="Q212" s="78"/>
      <c r="R212" s="54"/>
    </row>
    <row r="213" spans="2:18" x14ac:dyDescent="0.2">
      <c r="B213" s="53"/>
      <c r="C213" s="78"/>
      <c r="D213" s="78"/>
      <c r="E213" s="78"/>
      <c r="F213" s="78"/>
      <c r="G213" s="78"/>
      <c r="H213" s="79"/>
      <c r="I213" s="78"/>
      <c r="J213" s="78"/>
      <c r="K213" s="78"/>
      <c r="L213" s="78"/>
      <c r="M213" s="16"/>
      <c r="N213" s="78"/>
      <c r="O213" s="78"/>
      <c r="P213" s="78"/>
      <c r="Q213" s="78"/>
      <c r="R213" s="54"/>
    </row>
    <row r="214" spans="2:18" x14ac:dyDescent="0.2">
      <c r="B214" s="53"/>
      <c r="C214" s="78"/>
      <c r="D214" s="78"/>
      <c r="E214" s="78"/>
      <c r="F214" s="78"/>
      <c r="G214" s="78"/>
      <c r="H214" s="79"/>
      <c r="I214" s="78"/>
      <c r="J214" s="78"/>
      <c r="K214" s="78"/>
      <c r="L214" s="78"/>
      <c r="M214" s="16"/>
      <c r="N214" s="78"/>
      <c r="O214" s="78"/>
      <c r="P214" s="78"/>
      <c r="Q214" s="78"/>
      <c r="R214" s="54"/>
    </row>
    <row r="215" spans="2:18" x14ac:dyDescent="0.2">
      <c r="B215" s="53"/>
      <c r="C215" s="78"/>
      <c r="D215" s="78"/>
      <c r="E215" s="78"/>
      <c r="F215" s="78"/>
      <c r="G215" s="78"/>
      <c r="H215" s="79"/>
      <c r="I215" s="78"/>
      <c r="J215" s="78"/>
      <c r="K215" s="78"/>
      <c r="L215" s="78"/>
      <c r="M215" s="16"/>
      <c r="N215" s="78"/>
      <c r="O215" s="78"/>
      <c r="P215" s="78"/>
      <c r="Q215" s="78"/>
      <c r="R215" s="54"/>
    </row>
    <row r="216" spans="2:18" x14ac:dyDescent="0.2">
      <c r="B216" s="53"/>
      <c r="C216" s="78"/>
      <c r="D216" s="78"/>
      <c r="E216" s="78"/>
      <c r="F216" s="78"/>
      <c r="G216" s="78"/>
      <c r="H216" s="79"/>
      <c r="I216" s="78"/>
      <c r="J216" s="78"/>
      <c r="K216" s="78"/>
      <c r="L216" s="78"/>
      <c r="M216" s="16"/>
      <c r="N216" s="78"/>
      <c r="O216" s="78"/>
      <c r="P216" s="78"/>
      <c r="Q216" s="78"/>
      <c r="R216" s="54"/>
    </row>
    <row r="217" spans="2:18" x14ac:dyDescent="0.2">
      <c r="B217" s="53"/>
      <c r="C217" s="78"/>
      <c r="D217" s="78"/>
      <c r="E217" s="78"/>
      <c r="F217" s="78"/>
      <c r="G217" s="78"/>
      <c r="H217" s="79"/>
      <c r="I217" s="78"/>
      <c r="J217" s="78"/>
      <c r="K217" s="78"/>
      <c r="L217" s="78"/>
      <c r="M217" s="16"/>
      <c r="N217" s="78"/>
      <c r="O217" s="78"/>
      <c r="P217" s="78"/>
      <c r="Q217" s="78"/>
      <c r="R217" s="54"/>
    </row>
    <row r="218" spans="2:18" x14ac:dyDescent="0.2">
      <c r="B218" s="53"/>
      <c r="C218" s="78"/>
      <c r="D218" s="78"/>
      <c r="E218" s="78"/>
      <c r="F218" s="78"/>
      <c r="G218" s="78"/>
      <c r="H218" s="79"/>
      <c r="I218" s="78"/>
      <c r="J218" s="78"/>
      <c r="K218" s="78"/>
      <c r="L218" s="78"/>
      <c r="M218" s="16"/>
      <c r="N218" s="78"/>
      <c r="O218" s="78"/>
      <c r="P218" s="78"/>
      <c r="Q218" s="78"/>
      <c r="R218" s="54"/>
    </row>
    <row r="219" spans="2:18" x14ac:dyDescent="0.2">
      <c r="B219" s="53"/>
      <c r="C219" s="78"/>
      <c r="D219" s="78"/>
      <c r="E219" s="78"/>
      <c r="F219" s="78"/>
      <c r="G219" s="78"/>
      <c r="H219" s="79"/>
      <c r="I219" s="78"/>
      <c r="J219" s="78"/>
      <c r="K219" s="78"/>
      <c r="L219" s="78"/>
      <c r="M219" s="16"/>
      <c r="N219" s="78"/>
      <c r="O219" s="78"/>
      <c r="P219" s="78"/>
      <c r="Q219" s="78"/>
      <c r="R219" s="54"/>
    </row>
    <row r="220" spans="2:18" x14ac:dyDescent="0.2">
      <c r="B220" s="53"/>
      <c r="C220" s="78"/>
      <c r="D220" s="78"/>
      <c r="E220" s="78"/>
      <c r="F220" s="78"/>
      <c r="G220" s="78"/>
      <c r="H220" s="79"/>
      <c r="I220" s="78"/>
      <c r="J220" s="78"/>
      <c r="K220" s="78"/>
      <c r="L220" s="78"/>
      <c r="M220" s="16"/>
      <c r="N220" s="78"/>
      <c r="O220" s="78"/>
      <c r="P220" s="78"/>
      <c r="Q220" s="78"/>
      <c r="R220" s="54"/>
    </row>
    <row r="221" spans="2:18" x14ac:dyDescent="0.2">
      <c r="B221" s="53"/>
      <c r="C221" s="78"/>
      <c r="D221" s="78"/>
      <c r="E221" s="78"/>
      <c r="F221" s="78"/>
      <c r="G221" s="78"/>
      <c r="H221" s="79"/>
      <c r="I221" s="78"/>
      <c r="J221" s="78"/>
      <c r="K221" s="78"/>
      <c r="L221" s="78"/>
      <c r="M221" s="16"/>
      <c r="N221" s="78"/>
      <c r="O221" s="78"/>
      <c r="P221" s="78"/>
      <c r="Q221" s="78"/>
      <c r="R221" s="54"/>
    </row>
    <row r="222" spans="2:18" x14ac:dyDescent="0.2">
      <c r="B222" s="53"/>
      <c r="C222" s="78"/>
      <c r="D222" s="78"/>
      <c r="E222" s="78"/>
      <c r="F222" s="78"/>
      <c r="G222" s="78"/>
      <c r="H222" s="79"/>
      <c r="I222" s="78"/>
      <c r="J222" s="78"/>
      <c r="K222" s="78"/>
      <c r="L222" s="78"/>
      <c r="M222" s="16"/>
      <c r="N222" s="78"/>
      <c r="O222" s="78"/>
      <c r="P222" s="78"/>
      <c r="Q222" s="78"/>
      <c r="R222" s="54"/>
    </row>
    <row r="223" spans="2:18" x14ac:dyDescent="0.2">
      <c r="B223" s="53"/>
      <c r="C223" s="78"/>
      <c r="D223" s="78"/>
      <c r="E223" s="78"/>
      <c r="F223" s="78"/>
      <c r="G223" s="78"/>
      <c r="H223" s="79"/>
      <c r="I223" s="78"/>
      <c r="J223" s="78"/>
      <c r="K223" s="78"/>
      <c r="L223" s="78"/>
      <c r="M223" s="16"/>
      <c r="N223" s="78"/>
      <c r="O223" s="78"/>
      <c r="P223" s="78"/>
      <c r="Q223" s="78"/>
      <c r="R223" s="54"/>
    </row>
    <row r="224" spans="2:18" x14ac:dyDescent="0.2">
      <c r="B224" s="53"/>
      <c r="C224" s="78"/>
      <c r="D224" s="78"/>
      <c r="E224" s="78"/>
      <c r="F224" s="78"/>
      <c r="G224" s="78"/>
      <c r="H224" s="79"/>
      <c r="I224" s="78"/>
      <c r="J224" s="78"/>
      <c r="K224" s="78"/>
      <c r="L224" s="78"/>
      <c r="M224" s="16"/>
      <c r="N224" s="78"/>
      <c r="O224" s="78"/>
      <c r="P224" s="78"/>
      <c r="Q224" s="78"/>
      <c r="R224" s="54"/>
    </row>
    <row r="225" spans="2:18" x14ac:dyDescent="0.2">
      <c r="B225" s="53"/>
      <c r="C225" s="78"/>
      <c r="D225" s="78"/>
      <c r="E225" s="78"/>
      <c r="F225" s="78"/>
      <c r="G225" s="78"/>
      <c r="H225" s="79"/>
      <c r="I225" s="78"/>
      <c r="J225" s="78"/>
      <c r="K225" s="78"/>
      <c r="L225" s="78"/>
      <c r="M225" s="16"/>
      <c r="N225" s="78"/>
      <c r="O225" s="78"/>
      <c r="P225" s="78"/>
      <c r="Q225" s="78"/>
      <c r="R225" s="54"/>
    </row>
    <row r="226" spans="2:18" x14ac:dyDescent="0.2">
      <c r="B226" s="53"/>
      <c r="C226" s="78"/>
      <c r="D226" s="78"/>
      <c r="E226" s="78"/>
      <c r="F226" s="78"/>
      <c r="G226" s="78"/>
      <c r="H226" s="79"/>
      <c r="I226" s="78"/>
      <c r="J226" s="78"/>
      <c r="K226" s="78"/>
      <c r="L226" s="78"/>
      <c r="M226" s="16"/>
      <c r="N226" s="78"/>
      <c r="O226" s="78"/>
      <c r="P226" s="78"/>
      <c r="Q226" s="78"/>
      <c r="R226" s="54"/>
    </row>
    <row r="227" spans="2:18" x14ac:dyDescent="0.2">
      <c r="B227" s="53"/>
      <c r="C227" s="78"/>
      <c r="D227" s="78"/>
      <c r="E227" s="78"/>
      <c r="F227" s="78"/>
      <c r="G227" s="78"/>
      <c r="H227" s="79"/>
      <c r="I227" s="78"/>
      <c r="J227" s="78"/>
      <c r="K227" s="78"/>
      <c r="L227" s="78"/>
      <c r="M227" s="16"/>
      <c r="N227" s="78"/>
      <c r="O227" s="78"/>
      <c r="P227" s="78"/>
      <c r="Q227" s="78"/>
      <c r="R227" s="54"/>
    </row>
    <row r="228" spans="2:18" x14ac:dyDescent="0.2">
      <c r="B228" s="53"/>
      <c r="C228" s="78"/>
      <c r="D228" s="78"/>
      <c r="E228" s="78"/>
      <c r="F228" s="78"/>
      <c r="G228" s="78"/>
      <c r="H228" s="79"/>
      <c r="I228" s="78"/>
      <c r="J228" s="78"/>
      <c r="K228" s="78"/>
      <c r="L228" s="78"/>
      <c r="M228" s="16"/>
      <c r="N228" s="78"/>
      <c r="O228" s="78"/>
      <c r="P228" s="78"/>
      <c r="Q228" s="78"/>
      <c r="R228" s="54"/>
    </row>
    <row r="229" spans="2:18" x14ac:dyDescent="0.2">
      <c r="B229" s="53"/>
      <c r="C229" s="78"/>
      <c r="D229" s="78"/>
      <c r="E229" s="78"/>
      <c r="F229" s="78"/>
      <c r="G229" s="78"/>
      <c r="H229" s="79"/>
      <c r="I229" s="78"/>
      <c r="J229" s="78"/>
      <c r="K229" s="78"/>
      <c r="L229" s="78"/>
      <c r="M229" s="16"/>
      <c r="N229" s="78"/>
      <c r="O229" s="78"/>
      <c r="P229" s="78"/>
      <c r="Q229" s="78"/>
      <c r="R229" s="54"/>
    </row>
    <row r="230" spans="2:18" x14ac:dyDescent="0.2">
      <c r="B230" s="53"/>
      <c r="C230" s="78"/>
      <c r="D230" s="78"/>
      <c r="E230" s="78"/>
      <c r="F230" s="78"/>
      <c r="G230" s="78"/>
      <c r="H230" s="79"/>
      <c r="I230" s="78"/>
      <c r="J230" s="78"/>
      <c r="K230" s="78"/>
      <c r="L230" s="78"/>
      <c r="M230" s="16"/>
      <c r="N230" s="78"/>
      <c r="O230" s="78"/>
      <c r="P230" s="78"/>
      <c r="Q230" s="78"/>
      <c r="R230" s="54"/>
    </row>
    <row r="231" spans="2:18" x14ac:dyDescent="0.2">
      <c r="B231" s="53"/>
      <c r="C231" s="78"/>
      <c r="D231" s="78"/>
      <c r="E231" s="78"/>
      <c r="F231" s="78"/>
      <c r="G231" s="78"/>
      <c r="H231" s="79"/>
      <c r="I231" s="78"/>
      <c r="J231" s="78"/>
      <c r="K231" s="78"/>
      <c r="L231" s="78"/>
      <c r="M231" s="16"/>
      <c r="N231" s="78"/>
      <c r="O231" s="78"/>
      <c r="P231" s="78"/>
      <c r="Q231" s="78"/>
      <c r="R231" s="54"/>
    </row>
    <row r="232" spans="2:18" x14ac:dyDescent="0.2">
      <c r="B232" s="53"/>
      <c r="C232" s="78"/>
      <c r="D232" s="78"/>
      <c r="E232" s="78"/>
      <c r="F232" s="78"/>
      <c r="G232" s="78"/>
      <c r="H232" s="79"/>
      <c r="I232" s="78"/>
      <c r="J232" s="78"/>
      <c r="K232" s="78"/>
      <c r="L232" s="78"/>
      <c r="M232" s="16"/>
      <c r="N232" s="78"/>
      <c r="O232" s="78"/>
      <c r="P232" s="78"/>
      <c r="Q232" s="78"/>
      <c r="R232" s="54"/>
    </row>
    <row r="233" spans="2:18" x14ac:dyDescent="0.2">
      <c r="B233" s="53"/>
      <c r="C233" s="78"/>
      <c r="D233" s="78"/>
      <c r="E233" s="78"/>
      <c r="F233" s="78"/>
      <c r="G233" s="78"/>
      <c r="H233" s="79"/>
      <c r="I233" s="78"/>
      <c r="J233" s="78"/>
      <c r="K233" s="78"/>
      <c r="L233" s="78"/>
      <c r="M233" s="16"/>
      <c r="N233" s="78"/>
      <c r="O233" s="78"/>
      <c r="P233" s="78"/>
      <c r="Q233" s="78"/>
      <c r="R233" s="54"/>
    </row>
    <row r="234" spans="2:18" x14ac:dyDescent="0.2">
      <c r="B234" s="53"/>
      <c r="C234" s="78"/>
      <c r="D234" s="78"/>
      <c r="E234" s="78"/>
      <c r="F234" s="78"/>
      <c r="G234" s="78"/>
      <c r="H234" s="79"/>
      <c r="I234" s="78"/>
      <c r="J234" s="78"/>
      <c r="K234" s="78"/>
      <c r="L234" s="78"/>
      <c r="M234" s="16"/>
      <c r="N234" s="78"/>
      <c r="O234" s="78"/>
      <c r="P234" s="78"/>
      <c r="Q234" s="78"/>
      <c r="R234" s="54"/>
    </row>
    <row r="235" spans="2:18" x14ac:dyDescent="0.2">
      <c r="B235" s="53"/>
      <c r="C235" s="78"/>
      <c r="D235" s="78"/>
      <c r="E235" s="78"/>
      <c r="F235" s="78"/>
      <c r="G235" s="78"/>
      <c r="H235" s="79"/>
      <c r="I235" s="78"/>
      <c r="J235" s="78"/>
      <c r="K235" s="78"/>
      <c r="L235" s="78"/>
      <c r="M235" s="16"/>
      <c r="N235" s="78"/>
      <c r="O235" s="78"/>
      <c r="P235" s="78"/>
      <c r="Q235" s="78"/>
      <c r="R235" s="54"/>
    </row>
    <row r="236" spans="2:18" x14ac:dyDescent="0.2">
      <c r="B236" s="53"/>
      <c r="C236" s="78"/>
      <c r="D236" s="78"/>
      <c r="E236" s="78"/>
      <c r="F236" s="78"/>
      <c r="G236" s="78"/>
      <c r="H236" s="79"/>
      <c r="I236" s="78"/>
      <c r="J236" s="78"/>
      <c r="K236" s="78"/>
      <c r="L236" s="78"/>
      <c r="M236" s="16"/>
      <c r="N236" s="78"/>
      <c r="O236" s="78"/>
      <c r="P236" s="78"/>
      <c r="Q236" s="78"/>
      <c r="R236" s="54"/>
    </row>
    <row r="237" spans="2:18" x14ac:dyDescent="0.2">
      <c r="B237" s="53"/>
      <c r="C237" s="78"/>
      <c r="D237" s="78"/>
      <c r="E237" s="78"/>
      <c r="F237" s="78"/>
      <c r="G237" s="78"/>
      <c r="H237" s="79"/>
      <c r="I237" s="78"/>
      <c r="J237" s="78"/>
      <c r="K237" s="78"/>
      <c r="L237" s="78"/>
      <c r="M237" s="16"/>
      <c r="N237" s="78"/>
      <c r="O237" s="78"/>
      <c r="P237" s="78"/>
      <c r="Q237" s="78"/>
      <c r="R237" s="54"/>
    </row>
    <row r="238" spans="2:18" x14ac:dyDescent="0.2">
      <c r="B238" s="53"/>
      <c r="C238" s="78"/>
      <c r="D238" s="78"/>
      <c r="E238" s="78"/>
      <c r="F238" s="78"/>
      <c r="G238" s="78"/>
      <c r="H238" s="79"/>
      <c r="I238" s="78"/>
      <c r="J238" s="78"/>
      <c r="K238" s="78"/>
      <c r="L238" s="78"/>
      <c r="M238" s="16"/>
      <c r="N238" s="78"/>
      <c r="O238" s="78"/>
      <c r="P238" s="78"/>
      <c r="Q238" s="78"/>
      <c r="R238" s="54"/>
    </row>
    <row r="239" spans="2:18" x14ac:dyDescent="0.2">
      <c r="B239" s="53"/>
      <c r="C239" s="78"/>
      <c r="D239" s="78"/>
      <c r="E239" s="78"/>
      <c r="F239" s="78"/>
      <c r="G239" s="78"/>
      <c r="H239" s="79"/>
      <c r="I239" s="78"/>
      <c r="J239" s="78"/>
      <c r="K239" s="78"/>
      <c r="L239" s="78"/>
      <c r="M239" s="16"/>
      <c r="N239" s="78"/>
      <c r="O239" s="78"/>
      <c r="P239" s="78"/>
      <c r="Q239" s="78"/>
      <c r="R239" s="54"/>
    </row>
    <row r="240" spans="2:18" x14ac:dyDescent="0.2">
      <c r="B240" s="53"/>
      <c r="C240" s="78"/>
      <c r="D240" s="78"/>
      <c r="E240" s="78"/>
      <c r="F240" s="78"/>
      <c r="G240" s="78"/>
      <c r="H240" s="79"/>
      <c r="I240" s="78"/>
      <c r="J240" s="78"/>
      <c r="K240" s="78"/>
      <c r="L240" s="78"/>
      <c r="M240" s="16"/>
      <c r="N240" s="78"/>
      <c r="O240" s="78"/>
      <c r="P240" s="78"/>
      <c r="Q240" s="78"/>
      <c r="R240" s="54"/>
    </row>
    <row r="241" spans="2:18" x14ac:dyDescent="0.2">
      <c r="B241" s="53"/>
      <c r="C241" s="78"/>
      <c r="D241" s="78"/>
      <c r="E241" s="78"/>
      <c r="F241" s="78"/>
      <c r="G241" s="78"/>
      <c r="H241" s="79"/>
      <c r="I241" s="78"/>
      <c r="J241" s="78"/>
      <c r="K241" s="78"/>
      <c r="L241" s="78"/>
      <c r="M241" s="16"/>
      <c r="N241" s="78"/>
      <c r="O241" s="78"/>
      <c r="P241" s="78"/>
      <c r="Q241" s="78"/>
      <c r="R241" s="54"/>
    </row>
    <row r="242" spans="2:18" x14ac:dyDescent="0.2">
      <c r="B242" s="53"/>
      <c r="C242" s="78"/>
      <c r="D242" s="78"/>
      <c r="E242" s="78"/>
      <c r="F242" s="78"/>
      <c r="G242" s="78"/>
      <c r="H242" s="79"/>
      <c r="I242" s="78"/>
      <c r="J242" s="78"/>
      <c r="K242" s="78"/>
      <c r="L242" s="78"/>
      <c r="M242" s="16"/>
      <c r="N242" s="78"/>
      <c r="O242" s="78"/>
      <c r="P242" s="78"/>
      <c r="Q242" s="78"/>
      <c r="R242" s="54"/>
    </row>
    <row r="243" spans="2:18" x14ac:dyDescent="0.2">
      <c r="B243" s="53"/>
      <c r="C243" s="78"/>
      <c r="D243" s="78"/>
      <c r="E243" s="78"/>
      <c r="F243" s="78"/>
      <c r="G243" s="78"/>
      <c r="H243" s="79"/>
      <c r="I243" s="78"/>
      <c r="J243" s="78"/>
      <c r="K243" s="78"/>
      <c r="L243" s="78"/>
      <c r="M243" s="16"/>
      <c r="N243" s="78"/>
      <c r="O243" s="78"/>
      <c r="P243" s="78"/>
      <c r="Q243" s="78"/>
      <c r="R243" s="54"/>
    </row>
    <row r="244" spans="2:18" x14ac:dyDescent="0.2">
      <c r="B244" s="53"/>
      <c r="C244" s="78"/>
      <c r="D244" s="78"/>
      <c r="E244" s="78"/>
      <c r="F244" s="78"/>
      <c r="G244" s="78"/>
      <c r="H244" s="79"/>
      <c r="I244" s="78"/>
      <c r="J244" s="78"/>
      <c r="K244" s="78"/>
      <c r="L244" s="78"/>
      <c r="M244" s="16"/>
      <c r="N244" s="78"/>
      <c r="O244" s="78"/>
      <c r="P244" s="78"/>
      <c r="Q244" s="78"/>
      <c r="R244" s="54"/>
    </row>
    <row r="245" spans="2:18" x14ac:dyDescent="0.2">
      <c r="B245" s="53"/>
      <c r="C245" s="78"/>
      <c r="D245" s="78"/>
      <c r="E245" s="78"/>
      <c r="F245" s="78"/>
      <c r="G245" s="78"/>
      <c r="H245" s="79"/>
      <c r="I245" s="78"/>
      <c r="J245" s="78"/>
      <c r="K245" s="78"/>
      <c r="L245" s="78"/>
      <c r="M245" s="16"/>
      <c r="N245" s="78"/>
      <c r="O245" s="78"/>
      <c r="P245" s="78"/>
      <c r="Q245" s="78"/>
      <c r="R245" s="54"/>
    </row>
    <row r="246" spans="2:18" x14ac:dyDescent="0.2">
      <c r="B246" s="53"/>
      <c r="C246" s="78"/>
      <c r="D246" s="78"/>
      <c r="E246" s="78"/>
      <c r="F246" s="78"/>
      <c r="G246" s="78"/>
      <c r="H246" s="79"/>
      <c r="I246" s="78"/>
      <c r="J246" s="78"/>
      <c r="K246" s="78"/>
      <c r="L246" s="78"/>
      <c r="M246" s="16"/>
      <c r="N246" s="78"/>
      <c r="O246" s="78"/>
      <c r="P246" s="78"/>
      <c r="Q246" s="78"/>
      <c r="R246" s="54"/>
    </row>
    <row r="247" spans="2:18" x14ac:dyDescent="0.2">
      <c r="B247" s="53"/>
      <c r="C247" s="78"/>
      <c r="D247" s="78"/>
      <c r="E247" s="78"/>
      <c r="F247" s="78"/>
      <c r="G247" s="78"/>
      <c r="H247" s="79"/>
      <c r="I247" s="78"/>
      <c r="J247" s="78"/>
      <c r="K247" s="78"/>
      <c r="L247" s="78"/>
      <c r="M247" s="16"/>
      <c r="N247" s="78"/>
      <c r="O247" s="78"/>
      <c r="P247" s="78"/>
      <c r="Q247" s="78"/>
      <c r="R247" s="54"/>
    </row>
    <row r="248" spans="2:18" x14ac:dyDescent="0.2">
      <c r="B248" s="53"/>
      <c r="C248" s="78"/>
      <c r="D248" s="78"/>
      <c r="E248" s="78"/>
      <c r="F248" s="78"/>
      <c r="G248" s="78"/>
      <c r="H248" s="79"/>
      <c r="I248" s="78"/>
      <c r="J248" s="78"/>
      <c r="K248" s="78"/>
      <c r="L248" s="78"/>
      <c r="M248" s="16"/>
      <c r="N248" s="78"/>
      <c r="O248" s="78"/>
      <c r="P248" s="78"/>
      <c r="Q248" s="78"/>
      <c r="R248" s="54"/>
    </row>
    <row r="249" spans="2:18" x14ac:dyDescent="0.2">
      <c r="B249" s="53"/>
      <c r="C249" s="78"/>
      <c r="D249" s="78"/>
      <c r="E249" s="78"/>
      <c r="F249" s="78"/>
      <c r="G249" s="78"/>
      <c r="H249" s="79"/>
      <c r="I249" s="78"/>
      <c r="J249" s="78"/>
      <c r="K249" s="78"/>
      <c r="L249" s="78"/>
      <c r="M249" s="16"/>
      <c r="N249" s="78"/>
      <c r="O249" s="78"/>
      <c r="P249" s="78"/>
      <c r="Q249" s="78"/>
      <c r="R249" s="54"/>
    </row>
    <row r="250" spans="2:18" x14ac:dyDescent="0.2">
      <c r="B250" s="53"/>
      <c r="C250" s="78"/>
      <c r="D250" s="78"/>
      <c r="E250" s="78"/>
      <c r="F250" s="78"/>
      <c r="G250" s="78"/>
      <c r="H250" s="79"/>
      <c r="I250" s="78"/>
      <c r="J250" s="78"/>
      <c r="K250" s="78"/>
      <c r="L250" s="78"/>
      <c r="M250" s="16"/>
      <c r="N250" s="78"/>
      <c r="O250" s="78"/>
      <c r="P250" s="78"/>
      <c r="Q250" s="78"/>
      <c r="R250" s="54"/>
    </row>
    <row r="251" spans="2:18" x14ac:dyDescent="0.2">
      <c r="B251" s="53"/>
      <c r="C251" s="78"/>
      <c r="D251" s="78"/>
      <c r="E251" s="78"/>
      <c r="F251" s="78"/>
      <c r="G251" s="78"/>
      <c r="H251" s="79"/>
      <c r="I251" s="78"/>
      <c r="J251" s="78"/>
      <c r="K251" s="78"/>
      <c r="L251" s="78"/>
      <c r="M251" s="16"/>
      <c r="N251" s="78"/>
      <c r="O251" s="78"/>
      <c r="P251" s="78"/>
      <c r="Q251" s="78"/>
      <c r="R251" s="54"/>
    </row>
    <row r="252" spans="2:18" x14ac:dyDescent="0.2">
      <c r="B252" s="53"/>
      <c r="C252" s="78"/>
      <c r="D252" s="78"/>
      <c r="E252" s="78"/>
      <c r="F252" s="78"/>
      <c r="G252" s="78"/>
      <c r="H252" s="79"/>
      <c r="I252" s="78"/>
      <c r="J252" s="78"/>
      <c r="K252" s="78"/>
      <c r="L252" s="78"/>
      <c r="M252" s="16"/>
      <c r="N252" s="78"/>
      <c r="O252" s="78"/>
      <c r="P252" s="78"/>
      <c r="Q252" s="78"/>
      <c r="R252" s="54"/>
    </row>
    <row r="253" spans="2:18" x14ac:dyDescent="0.2">
      <c r="B253" s="53"/>
      <c r="C253" s="78"/>
      <c r="D253" s="78"/>
      <c r="E253" s="78"/>
      <c r="F253" s="78"/>
      <c r="G253" s="78"/>
      <c r="H253" s="79"/>
      <c r="I253" s="78"/>
      <c r="J253" s="78"/>
      <c r="K253" s="78"/>
      <c r="L253" s="78"/>
      <c r="M253" s="16"/>
      <c r="N253" s="78"/>
      <c r="O253" s="78"/>
      <c r="P253" s="78"/>
      <c r="Q253" s="78"/>
      <c r="R253" s="54"/>
    </row>
    <row r="254" spans="2:18" x14ac:dyDescent="0.2">
      <c r="B254" s="53"/>
      <c r="C254" s="78"/>
      <c r="D254" s="78"/>
      <c r="E254" s="78"/>
      <c r="F254" s="78"/>
      <c r="G254" s="78"/>
      <c r="H254" s="79"/>
      <c r="I254" s="78"/>
      <c r="J254" s="78"/>
      <c r="K254" s="78"/>
      <c r="L254" s="78"/>
      <c r="M254" s="16"/>
      <c r="N254" s="78"/>
      <c r="O254" s="78"/>
      <c r="P254" s="78"/>
      <c r="Q254" s="78"/>
      <c r="R254" s="54"/>
    </row>
    <row r="255" spans="2:18" x14ac:dyDescent="0.2">
      <c r="B255" s="53"/>
      <c r="C255" s="78"/>
      <c r="D255" s="78"/>
      <c r="E255" s="78"/>
      <c r="F255" s="78"/>
      <c r="G255" s="78"/>
      <c r="H255" s="79"/>
      <c r="I255" s="78"/>
      <c r="J255" s="78"/>
      <c r="K255" s="78"/>
      <c r="L255" s="78"/>
      <c r="M255" s="16"/>
      <c r="N255" s="78"/>
      <c r="O255" s="78"/>
      <c r="P255" s="78"/>
      <c r="Q255" s="78"/>
      <c r="R255" s="54"/>
    </row>
    <row r="256" spans="2:18" x14ac:dyDescent="0.2">
      <c r="B256" s="53"/>
      <c r="C256" s="78"/>
      <c r="D256" s="78"/>
      <c r="E256" s="78"/>
      <c r="F256" s="78"/>
      <c r="G256" s="78"/>
      <c r="H256" s="79"/>
      <c r="I256" s="78"/>
      <c r="J256" s="78"/>
      <c r="K256" s="78"/>
      <c r="L256" s="78"/>
      <c r="M256" s="16"/>
      <c r="N256" s="78"/>
      <c r="O256" s="78"/>
      <c r="P256" s="78"/>
      <c r="Q256" s="78"/>
      <c r="R256" s="54"/>
    </row>
    <row r="257" spans="2:18" x14ac:dyDescent="0.2">
      <c r="B257" s="53"/>
      <c r="C257" s="78"/>
      <c r="D257" s="78"/>
      <c r="E257" s="78"/>
      <c r="F257" s="78"/>
      <c r="G257" s="78"/>
      <c r="H257" s="79"/>
      <c r="I257" s="78"/>
      <c r="J257" s="78"/>
      <c r="K257" s="78"/>
      <c r="L257" s="78"/>
      <c r="M257" s="16"/>
      <c r="N257" s="78"/>
      <c r="O257" s="78"/>
      <c r="P257" s="78"/>
      <c r="Q257" s="78"/>
      <c r="R257" s="54"/>
    </row>
    <row r="258" spans="2:18" x14ac:dyDescent="0.2">
      <c r="B258" s="53"/>
      <c r="C258" s="78"/>
      <c r="D258" s="78"/>
      <c r="E258" s="78"/>
      <c r="F258" s="78"/>
      <c r="G258" s="78"/>
      <c r="H258" s="79"/>
      <c r="I258" s="78"/>
      <c r="J258" s="78"/>
      <c r="K258" s="78"/>
      <c r="L258" s="78"/>
      <c r="M258" s="16"/>
      <c r="N258" s="78"/>
      <c r="O258" s="78"/>
      <c r="P258" s="78"/>
      <c r="Q258" s="78"/>
      <c r="R258" s="54"/>
    </row>
    <row r="259" spans="2:18" x14ac:dyDescent="0.2">
      <c r="B259" s="53"/>
      <c r="C259" s="78"/>
      <c r="D259" s="78"/>
      <c r="E259" s="78"/>
      <c r="F259" s="78"/>
      <c r="G259" s="78"/>
      <c r="H259" s="79"/>
      <c r="I259" s="78"/>
      <c r="J259" s="78"/>
      <c r="K259" s="78"/>
      <c r="L259" s="78"/>
      <c r="M259" s="16"/>
      <c r="N259" s="78"/>
      <c r="O259" s="78"/>
      <c r="P259" s="78"/>
      <c r="Q259" s="78"/>
      <c r="R259" s="54"/>
    </row>
    <row r="260" spans="2:18" x14ac:dyDescent="0.2">
      <c r="B260" s="53"/>
      <c r="C260" s="78"/>
      <c r="D260" s="78"/>
      <c r="E260" s="78"/>
      <c r="F260" s="78"/>
      <c r="G260" s="78"/>
      <c r="H260" s="79"/>
      <c r="I260" s="78"/>
      <c r="J260" s="78"/>
      <c r="K260" s="78"/>
      <c r="L260" s="78"/>
      <c r="M260" s="16"/>
      <c r="N260" s="78"/>
      <c r="O260" s="78"/>
      <c r="P260" s="78"/>
      <c r="Q260" s="78"/>
      <c r="R260" s="54"/>
    </row>
    <row r="261" spans="2:18" x14ac:dyDescent="0.2">
      <c r="B261" s="53"/>
      <c r="C261" s="78"/>
      <c r="D261" s="78"/>
      <c r="E261" s="78"/>
      <c r="F261" s="78"/>
      <c r="G261" s="78"/>
      <c r="H261" s="79"/>
      <c r="I261" s="78"/>
      <c r="J261" s="78"/>
      <c r="K261" s="78"/>
      <c r="L261" s="78"/>
      <c r="M261" s="16"/>
      <c r="N261" s="78"/>
      <c r="O261" s="78"/>
      <c r="P261" s="78"/>
      <c r="Q261" s="78"/>
      <c r="R261" s="54"/>
    </row>
    <row r="262" spans="2:18" x14ac:dyDescent="0.2">
      <c r="B262" s="53"/>
      <c r="C262" s="78"/>
      <c r="D262" s="78"/>
      <c r="E262" s="78"/>
      <c r="F262" s="78"/>
      <c r="G262" s="78"/>
      <c r="H262" s="79"/>
      <c r="I262" s="78"/>
      <c r="J262" s="78"/>
      <c r="K262" s="78"/>
      <c r="L262" s="78"/>
      <c r="M262" s="16"/>
      <c r="N262" s="78"/>
      <c r="O262" s="78"/>
      <c r="P262" s="78"/>
      <c r="Q262" s="78"/>
      <c r="R262" s="54"/>
    </row>
    <row r="263" spans="2:18" x14ac:dyDescent="0.2">
      <c r="B263" s="53"/>
      <c r="C263" s="78"/>
      <c r="D263" s="78"/>
      <c r="E263" s="78"/>
      <c r="F263" s="78"/>
      <c r="G263" s="78"/>
      <c r="H263" s="79"/>
      <c r="I263" s="78"/>
      <c r="J263" s="78"/>
      <c r="K263" s="78"/>
      <c r="L263" s="78"/>
      <c r="M263" s="16"/>
      <c r="N263" s="78"/>
      <c r="O263" s="78"/>
      <c r="P263" s="78"/>
      <c r="Q263" s="78"/>
      <c r="R263" s="54"/>
    </row>
    <row r="264" spans="2:18" x14ac:dyDescent="0.2">
      <c r="B264" s="53"/>
      <c r="C264" s="78"/>
      <c r="D264" s="78"/>
      <c r="E264" s="78"/>
      <c r="F264" s="78"/>
      <c r="G264" s="78"/>
      <c r="H264" s="79"/>
      <c r="I264" s="78"/>
      <c r="J264" s="78"/>
      <c r="K264" s="78"/>
      <c r="L264" s="78"/>
      <c r="M264" s="16"/>
      <c r="N264" s="78"/>
      <c r="O264" s="78"/>
      <c r="P264" s="78"/>
      <c r="Q264" s="78"/>
      <c r="R264" s="54"/>
    </row>
    <row r="265" spans="2:18" x14ac:dyDescent="0.2">
      <c r="B265" s="53"/>
      <c r="C265" s="78"/>
      <c r="D265" s="78"/>
      <c r="E265" s="78"/>
      <c r="F265" s="78"/>
      <c r="G265" s="78"/>
      <c r="H265" s="79"/>
      <c r="I265" s="78"/>
      <c r="J265" s="78"/>
      <c r="K265" s="78"/>
      <c r="L265" s="78"/>
      <c r="M265" s="16"/>
      <c r="N265" s="78"/>
      <c r="O265" s="78"/>
      <c r="P265" s="78"/>
      <c r="Q265" s="78"/>
      <c r="R265" s="54"/>
    </row>
    <row r="266" spans="2:18" x14ac:dyDescent="0.2">
      <c r="B266" s="53"/>
      <c r="C266" s="78"/>
      <c r="D266" s="78"/>
      <c r="E266" s="78"/>
      <c r="F266" s="78"/>
      <c r="G266" s="78"/>
      <c r="H266" s="79"/>
      <c r="I266" s="78"/>
      <c r="J266" s="78"/>
      <c r="K266" s="78"/>
      <c r="L266" s="78"/>
      <c r="M266" s="16"/>
      <c r="N266" s="78"/>
      <c r="O266" s="78"/>
      <c r="P266" s="78"/>
      <c r="Q266" s="78"/>
      <c r="R266" s="54"/>
    </row>
    <row r="267" spans="2:18" x14ac:dyDescent="0.2">
      <c r="B267" s="53"/>
      <c r="C267" s="78"/>
      <c r="D267" s="78"/>
      <c r="E267" s="78"/>
      <c r="F267" s="78"/>
      <c r="G267" s="78"/>
      <c r="H267" s="79"/>
      <c r="I267" s="78"/>
      <c r="J267" s="78"/>
      <c r="K267" s="78"/>
      <c r="L267" s="78"/>
      <c r="M267" s="16"/>
      <c r="N267" s="78"/>
      <c r="O267" s="78"/>
      <c r="P267" s="78"/>
      <c r="Q267" s="78"/>
      <c r="R267" s="54"/>
    </row>
    <row r="268" spans="2:18" x14ac:dyDescent="0.2">
      <c r="B268" s="53"/>
      <c r="C268" s="78"/>
      <c r="D268" s="78"/>
      <c r="E268" s="78"/>
      <c r="F268" s="78"/>
      <c r="G268" s="78"/>
      <c r="H268" s="79"/>
      <c r="I268" s="78"/>
      <c r="J268" s="78"/>
      <c r="K268" s="78"/>
      <c r="L268" s="78"/>
      <c r="M268" s="16"/>
      <c r="N268" s="78"/>
      <c r="O268" s="78"/>
      <c r="P268" s="78"/>
      <c r="Q268" s="78"/>
      <c r="R268" s="54"/>
    </row>
    <row r="269" spans="2:18" x14ac:dyDescent="0.2">
      <c r="B269" s="53"/>
      <c r="C269" s="78"/>
      <c r="D269" s="78"/>
      <c r="E269" s="78"/>
      <c r="F269" s="78"/>
      <c r="G269" s="78"/>
      <c r="H269" s="79"/>
      <c r="I269" s="78"/>
      <c r="J269" s="78"/>
      <c r="K269" s="78"/>
      <c r="L269" s="78"/>
      <c r="M269" s="16"/>
      <c r="N269" s="78"/>
      <c r="O269" s="78"/>
      <c r="P269" s="78"/>
      <c r="Q269" s="78"/>
      <c r="R269" s="54"/>
    </row>
    <row r="270" spans="2:18" x14ac:dyDescent="0.2">
      <c r="B270" s="53"/>
      <c r="C270" s="78"/>
      <c r="D270" s="78"/>
      <c r="E270" s="78"/>
      <c r="F270" s="78"/>
      <c r="G270" s="78"/>
      <c r="H270" s="79"/>
      <c r="I270" s="78"/>
      <c r="J270" s="78"/>
      <c r="K270" s="78"/>
      <c r="L270" s="78"/>
      <c r="M270" s="16"/>
      <c r="N270" s="78"/>
      <c r="O270" s="78"/>
      <c r="P270" s="78"/>
      <c r="Q270" s="78"/>
      <c r="R270" s="54"/>
    </row>
    <row r="271" spans="2:18" x14ac:dyDescent="0.2">
      <c r="B271" s="53"/>
      <c r="C271" s="78"/>
      <c r="D271" s="78"/>
      <c r="E271" s="78"/>
      <c r="F271" s="78"/>
      <c r="G271" s="78"/>
      <c r="H271" s="79"/>
      <c r="I271" s="78"/>
      <c r="J271" s="78"/>
      <c r="K271" s="78"/>
      <c r="L271" s="78"/>
      <c r="M271" s="16"/>
      <c r="N271" s="78"/>
      <c r="O271" s="78"/>
      <c r="P271" s="78"/>
      <c r="Q271" s="78"/>
      <c r="R271" s="54"/>
    </row>
    <row r="272" spans="2:18" x14ac:dyDescent="0.2">
      <c r="B272" s="53"/>
      <c r="C272" s="78"/>
      <c r="D272" s="78"/>
      <c r="E272" s="78"/>
      <c r="F272" s="78"/>
      <c r="G272" s="78"/>
      <c r="H272" s="79"/>
      <c r="I272" s="78"/>
      <c r="J272" s="78"/>
      <c r="K272" s="78"/>
      <c r="L272" s="78"/>
      <c r="M272" s="16"/>
      <c r="N272" s="78"/>
      <c r="O272" s="78"/>
      <c r="P272" s="78"/>
      <c r="Q272" s="78"/>
      <c r="R272" s="54"/>
    </row>
    <row r="273" spans="2:18" x14ac:dyDescent="0.2">
      <c r="B273" s="53"/>
      <c r="C273" s="78"/>
      <c r="D273" s="78"/>
      <c r="E273" s="78"/>
      <c r="F273" s="78"/>
      <c r="G273" s="78"/>
      <c r="H273" s="79"/>
      <c r="I273" s="78"/>
      <c r="J273" s="78"/>
      <c r="K273" s="78"/>
      <c r="L273" s="78"/>
      <c r="M273" s="16"/>
      <c r="N273" s="78"/>
      <c r="O273" s="78"/>
      <c r="P273" s="78"/>
      <c r="Q273" s="78"/>
      <c r="R273" s="54"/>
    </row>
    <row r="274" spans="2:18" x14ac:dyDescent="0.2">
      <c r="B274" s="53"/>
      <c r="C274" s="78"/>
      <c r="D274" s="78"/>
      <c r="E274" s="78"/>
      <c r="F274" s="78"/>
      <c r="G274" s="78"/>
      <c r="H274" s="79"/>
      <c r="I274" s="78"/>
      <c r="J274" s="78"/>
      <c r="K274" s="78"/>
      <c r="L274" s="78"/>
      <c r="M274" s="16"/>
      <c r="N274" s="78"/>
      <c r="O274" s="78"/>
      <c r="P274" s="78"/>
      <c r="Q274" s="78"/>
      <c r="R274" s="54"/>
    </row>
    <row r="275" spans="2:18" x14ac:dyDescent="0.2">
      <c r="B275" s="53"/>
      <c r="C275" s="78"/>
      <c r="D275" s="78"/>
      <c r="E275" s="78"/>
      <c r="F275" s="78"/>
      <c r="G275" s="78"/>
      <c r="H275" s="79"/>
      <c r="I275" s="78"/>
      <c r="J275" s="78"/>
      <c r="K275" s="78"/>
      <c r="L275" s="78"/>
      <c r="M275" s="16"/>
      <c r="N275" s="78"/>
      <c r="O275" s="78"/>
      <c r="P275" s="78"/>
      <c r="Q275" s="78"/>
      <c r="R275" s="54"/>
    </row>
    <row r="276" spans="2:18" x14ac:dyDescent="0.2">
      <c r="B276" s="53"/>
      <c r="C276" s="78"/>
      <c r="D276" s="78"/>
      <c r="E276" s="78"/>
      <c r="F276" s="78"/>
      <c r="G276" s="78"/>
      <c r="H276" s="79"/>
      <c r="I276" s="78"/>
      <c r="J276" s="78"/>
      <c r="K276" s="78"/>
      <c r="L276" s="78"/>
      <c r="M276" s="16"/>
      <c r="N276" s="78"/>
      <c r="O276" s="78"/>
      <c r="P276" s="78"/>
      <c r="Q276" s="78"/>
      <c r="R276" s="54"/>
    </row>
    <row r="277" spans="2:18" x14ac:dyDescent="0.2">
      <c r="B277" s="53"/>
      <c r="C277" s="78"/>
      <c r="D277" s="78"/>
      <c r="E277" s="78"/>
      <c r="F277" s="78"/>
      <c r="G277" s="78"/>
      <c r="H277" s="79"/>
      <c r="I277" s="78"/>
      <c r="J277" s="78"/>
      <c r="K277" s="78"/>
      <c r="L277" s="78"/>
      <c r="M277" s="16"/>
      <c r="N277" s="78"/>
      <c r="O277" s="78"/>
      <c r="P277" s="78"/>
      <c r="Q277" s="78"/>
      <c r="R277" s="54"/>
    </row>
    <row r="278" spans="2:18" x14ac:dyDescent="0.2">
      <c r="B278" s="53"/>
      <c r="C278" s="78"/>
      <c r="D278" s="78"/>
      <c r="E278" s="78"/>
      <c r="F278" s="78"/>
      <c r="G278" s="78"/>
      <c r="H278" s="79"/>
      <c r="I278" s="78"/>
      <c r="J278" s="78"/>
      <c r="K278" s="78"/>
      <c r="L278" s="78"/>
      <c r="M278" s="16"/>
      <c r="N278" s="78"/>
      <c r="O278" s="78"/>
      <c r="P278" s="78"/>
      <c r="Q278" s="78"/>
      <c r="R278" s="54"/>
    </row>
    <row r="279" spans="2:18" x14ac:dyDescent="0.2">
      <c r="B279" s="53"/>
      <c r="C279" s="78"/>
      <c r="D279" s="78"/>
      <c r="E279" s="78"/>
      <c r="F279" s="78"/>
      <c r="G279" s="78"/>
      <c r="H279" s="79"/>
      <c r="I279" s="78"/>
      <c r="J279" s="78"/>
      <c r="K279" s="78"/>
      <c r="L279" s="78"/>
      <c r="M279" s="16"/>
      <c r="N279" s="78"/>
      <c r="O279" s="78"/>
      <c r="P279" s="78"/>
      <c r="Q279" s="78"/>
      <c r="R279" s="54"/>
    </row>
    <row r="280" spans="2:18" x14ac:dyDescent="0.2">
      <c r="B280" s="53"/>
      <c r="C280" s="78"/>
      <c r="D280" s="78"/>
      <c r="E280" s="78"/>
      <c r="F280" s="78"/>
      <c r="G280" s="78"/>
      <c r="H280" s="79"/>
      <c r="I280" s="78"/>
      <c r="J280" s="78"/>
      <c r="K280" s="78"/>
      <c r="L280" s="78"/>
      <c r="M280" s="16"/>
      <c r="N280" s="78"/>
      <c r="O280" s="78"/>
      <c r="P280" s="78"/>
      <c r="Q280" s="78"/>
      <c r="R280" s="54"/>
    </row>
    <row r="281" spans="2:18" x14ac:dyDescent="0.2">
      <c r="B281" s="53"/>
      <c r="C281" s="78"/>
      <c r="D281" s="78"/>
      <c r="E281" s="78"/>
      <c r="F281" s="78"/>
      <c r="G281" s="78"/>
      <c r="H281" s="79"/>
      <c r="I281" s="78"/>
      <c r="J281" s="78"/>
      <c r="K281" s="78"/>
      <c r="L281" s="78"/>
      <c r="M281" s="16"/>
      <c r="N281" s="78"/>
      <c r="O281" s="78"/>
      <c r="P281" s="78"/>
      <c r="Q281" s="78"/>
      <c r="R281" s="54"/>
    </row>
    <row r="282" spans="2:18" x14ac:dyDescent="0.2">
      <c r="B282" s="53"/>
      <c r="C282" s="78"/>
      <c r="D282" s="78"/>
      <c r="E282" s="78"/>
      <c r="F282" s="78"/>
      <c r="G282" s="78"/>
      <c r="H282" s="79"/>
      <c r="I282" s="78"/>
      <c r="J282" s="78"/>
      <c r="K282" s="78"/>
      <c r="L282" s="78"/>
      <c r="M282" s="16"/>
      <c r="N282" s="78"/>
      <c r="O282" s="78"/>
      <c r="P282" s="78"/>
      <c r="Q282" s="78"/>
      <c r="R282" s="54"/>
    </row>
    <row r="283" spans="2:18" x14ac:dyDescent="0.2">
      <c r="B283" s="53"/>
      <c r="C283" s="78"/>
      <c r="D283" s="78"/>
      <c r="E283" s="78"/>
      <c r="F283" s="78"/>
      <c r="G283" s="78"/>
      <c r="H283" s="79"/>
      <c r="I283" s="78"/>
      <c r="J283" s="78"/>
      <c r="K283" s="78"/>
      <c r="L283" s="78"/>
      <c r="M283" s="16"/>
      <c r="N283" s="78"/>
      <c r="O283" s="78"/>
      <c r="P283" s="78"/>
      <c r="Q283" s="78"/>
      <c r="R283" s="54"/>
    </row>
    <row r="284" spans="2:18" x14ac:dyDescent="0.2">
      <c r="B284" s="53"/>
      <c r="C284" s="78"/>
      <c r="D284" s="78"/>
      <c r="E284" s="78"/>
      <c r="F284" s="78"/>
      <c r="G284" s="78"/>
      <c r="H284" s="79"/>
      <c r="I284" s="78"/>
      <c r="J284" s="78"/>
      <c r="K284" s="78"/>
      <c r="L284" s="78"/>
      <c r="M284" s="16"/>
      <c r="N284" s="78"/>
      <c r="O284" s="78"/>
      <c r="P284" s="78"/>
      <c r="Q284" s="78"/>
      <c r="R284" s="54"/>
    </row>
    <row r="285" spans="2:18" x14ac:dyDescent="0.2">
      <c r="B285" s="53"/>
      <c r="C285" s="78"/>
      <c r="D285" s="78"/>
      <c r="E285" s="78"/>
      <c r="F285" s="78"/>
      <c r="G285" s="78"/>
      <c r="H285" s="79"/>
      <c r="I285" s="78"/>
      <c r="J285" s="78"/>
      <c r="K285" s="78"/>
      <c r="L285" s="78"/>
      <c r="M285" s="16"/>
      <c r="N285" s="78"/>
      <c r="O285" s="78"/>
      <c r="P285" s="78"/>
      <c r="Q285" s="78"/>
      <c r="R285" s="54"/>
    </row>
    <row r="286" spans="2:18" x14ac:dyDescent="0.2">
      <c r="B286" s="53"/>
      <c r="C286" s="78"/>
      <c r="D286" s="78"/>
      <c r="E286" s="78"/>
      <c r="F286" s="78"/>
      <c r="G286" s="78"/>
      <c r="H286" s="79"/>
      <c r="I286" s="78"/>
      <c r="J286" s="78"/>
      <c r="K286" s="78"/>
      <c r="L286" s="78"/>
      <c r="M286" s="16"/>
      <c r="N286" s="78"/>
      <c r="O286" s="78"/>
      <c r="P286" s="78"/>
      <c r="Q286" s="78"/>
      <c r="R286" s="54"/>
    </row>
    <row r="287" spans="2:18" x14ac:dyDescent="0.2">
      <c r="B287" s="53"/>
      <c r="C287" s="78"/>
      <c r="D287" s="78"/>
      <c r="E287" s="78"/>
      <c r="F287" s="78"/>
      <c r="G287" s="78"/>
      <c r="H287" s="79"/>
      <c r="I287" s="78"/>
      <c r="J287" s="78"/>
      <c r="K287" s="78"/>
      <c r="L287" s="78"/>
      <c r="M287" s="16"/>
      <c r="N287" s="78"/>
      <c r="O287" s="78"/>
      <c r="P287" s="78"/>
      <c r="Q287" s="78"/>
      <c r="R287" s="54"/>
    </row>
    <row r="288" spans="2:18" x14ac:dyDescent="0.2">
      <c r="B288" s="53"/>
      <c r="C288" s="78"/>
      <c r="D288" s="78"/>
      <c r="E288" s="78"/>
      <c r="F288" s="78"/>
      <c r="G288" s="78"/>
      <c r="H288" s="79"/>
      <c r="I288" s="78"/>
      <c r="J288" s="78"/>
      <c r="K288" s="78"/>
      <c r="L288" s="78"/>
      <c r="M288" s="16"/>
      <c r="N288" s="78"/>
      <c r="O288" s="78"/>
      <c r="P288" s="78"/>
      <c r="Q288" s="78"/>
      <c r="R288" s="54"/>
    </row>
    <row r="289" spans="2:18" x14ac:dyDescent="0.2">
      <c r="B289" s="53"/>
      <c r="C289" s="78"/>
      <c r="D289" s="78"/>
      <c r="E289" s="78"/>
      <c r="F289" s="78"/>
      <c r="G289" s="78"/>
      <c r="H289" s="79"/>
      <c r="I289" s="78"/>
      <c r="J289" s="78"/>
      <c r="K289" s="78"/>
      <c r="L289" s="78"/>
      <c r="M289" s="16"/>
      <c r="N289" s="78"/>
      <c r="O289" s="78"/>
      <c r="P289" s="78"/>
      <c r="Q289" s="78"/>
      <c r="R289" s="54"/>
    </row>
    <row r="290" spans="2:18" x14ac:dyDescent="0.2">
      <c r="B290" s="53"/>
      <c r="C290" s="78"/>
      <c r="D290" s="78"/>
      <c r="E290" s="78"/>
      <c r="F290" s="78"/>
      <c r="G290" s="78"/>
      <c r="H290" s="79"/>
      <c r="I290" s="78"/>
      <c r="J290" s="78"/>
      <c r="K290" s="78"/>
      <c r="L290" s="78"/>
      <c r="M290" s="16"/>
      <c r="N290" s="78"/>
      <c r="O290" s="78"/>
      <c r="P290" s="78"/>
      <c r="Q290" s="78"/>
      <c r="R290" s="54"/>
    </row>
    <row r="291" spans="2:18" x14ac:dyDescent="0.2">
      <c r="B291" s="53"/>
      <c r="C291" s="78"/>
      <c r="D291" s="78"/>
      <c r="E291" s="78"/>
      <c r="F291" s="78"/>
      <c r="G291" s="78"/>
      <c r="H291" s="79"/>
      <c r="I291" s="78"/>
      <c r="J291" s="78"/>
      <c r="K291" s="78"/>
      <c r="L291" s="78"/>
      <c r="M291" s="16"/>
      <c r="N291" s="78"/>
      <c r="O291" s="78"/>
      <c r="P291" s="78"/>
      <c r="Q291" s="78"/>
      <c r="R291" s="54"/>
    </row>
    <row r="292" spans="2:18" x14ac:dyDescent="0.2">
      <c r="B292" s="53"/>
      <c r="C292" s="78"/>
      <c r="D292" s="78"/>
      <c r="E292" s="78"/>
      <c r="F292" s="78"/>
      <c r="G292" s="78"/>
      <c r="H292" s="79"/>
      <c r="I292" s="78"/>
      <c r="J292" s="78"/>
      <c r="K292" s="78"/>
      <c r="L292" s="78"/>
      <c r="M292" s="16"/>
      <c r="N292" s="78"/>
      <c r="O292" s="78"/>
      <c r="P292" s="78"/>
      <c r="Q292" s="78"/>
      <c r="R292" s="54"/>
    </row>
    <row r="293" spans="2:18" x14ac:dyDescent="0.2">
      <c r="B293" s="53"/>
      <c r="C293" s="78"/>
      <c r="D293" s="78"/>
      <c r="E293" s="78"/>
      <c r="F293" s="78"/>
      <c r="G293" s="78"/>
      <c r="H293" s="79"/>
      <c r="I293" s="78"/>
      <c r="J293" s="78"/>
      <c r="K293" s="78"/>
      <c r="L293" s="78"/>
      <c r="M293" s="16"/>
      <c r="N293" s="78"/>
      <c r="O293" s="78"/>
      <c r="P293" s="78"/>
      <c r="Q293" s="78"/>
      <c r="R293" s="54"/>
    </row>
    <row r="294" spans="2:18" x14ac:dyDescent="0.2">
      <c r="B294" s="53"/>
      <c r="C294" s="78"/>
      <c r="D294" s="78"/>
      <c r="E294" s="78"/>
      <c r="F294" s="78"/>
      <c r="G294" s="78"/>
      <c r="H294" s="79"/>
      <c r="I294" s="78"/>
      <c r="J294" s="78"/>
      <c r="K294" s="78"/>
      <c r="L294" s="78"/>
      <c r="M294" s="16"/>
      <c r="N294" s="78"/>
      <c r="O294" s="78"/>
      <c r="P294" s="78"/>
      <c r="Q294" s="78"/>
      <c r="R294" s="54"/>
    </row>
    <row r="295" spans="2:18" x14ac:dyDescent="0.2">
      <c r="B295" s="53"/>
      <c r="C295" s="78"/>
      <c r="D295" s="78"/>
      <c r="E295" s="78"/>
      <c r="F295" s="78"/>
      <c r="G295" s="78"/>
      <c r="H295" s="79"/>
      <c r="I295" s="78"/>
      <c r="J295" s="78"/>
      <c r="K295" s="78"/>
      <c r="L295" s="78"/>
      <c r="M295" s="16"/>
      <c r="N295" s="78"/>
      <c r="O295" s="78"/>
      <c r="P295" s="78"/>
      <c r="Q295" s="78"/>
      <c r="R295" s="54"/>
    </row>
    <row r="296" spans="2:18" x14ac:dyDescent="0.2">
      <c r="B296" s="53"/>
      <c r="C296" s="78"/>
      <c r="D296" s="78"/>
      <c r="E296" s="78"/>
      <c r="F296" s="78"/>
      <c r="G296" s="78"/>
      <c r="H296" s="79"/>
      <c r="I296" s="78"/>
      <c r="J296" s="78"/>
      <c r="K296" s="78"/>
      <c r="L296" s="78"/>
      <c r="M296" s="16"/>
      <c r="N296" s="78"/>
      <c r="O296" s="78"/>
      <c r="P296" s="78"/>
      <c r="Q296" s="78"/>
      <c r="R296" s="54"/>
    </row>
    <row r="297" spans="2:18" x14ac:dyDescent="0.2">
      <c r="B297" s="53"/>
      <c r="C297" s="78"/>
      <c r="D297" s="78"/>
      <c r="E297" s="78"/>
      <c r="F297" s="78"/>
      <c r="G297" s="78"/>
      <c r="H297" s="79"/>
      <c r="I297" s="78"/>
      <c r="J297" s="78"/>
      <c r="K297" s="78"/>
      <c r="L297" s="78"/>
      <c r="M297" s="16"/>
      <c r="N297" s="78"/>
      <c r="O297" s="78"/>
      <c r="P297" s="78"/>
      <c r="Q297" s="78"/>
      <c r="R297" s="54"/>
    </row>
    <row r="298" spans="2:18" x14ac:dyDescent="0.2">
      <c r="B298" s="53"/>
      <c r="C298" s="78"/>
      <c r="D298" s="78"/>
      <c r="E298" s="78"/>
      <c r="F298" s="78"/>
      <c r="G298" s="78"/>
      <c r="H298" s="79"/>
      <c r="I298" s="78"/>
      <c r="J298" s="78"/>
      <c r="K298" s="78"/>
      <c r="L298" s="78"/>
      <c r="M298" s="16"/>
      <c r="N298" s="78"/>
      <c r="O298" s="78"/>
      <c r="P298" s="78"/>
      <c r="Q298" s="78"/>
      <c r="R298" s="54"/>
    </row>
    <row r="299" spans="2:18" x14ac:dyDescent="0.2">
      <c r="B299" s="53"/>
      <c r="C299" s="78"/>
      <c r="D299" s="78"/>
      <c r="E299" s="78"/>
      <c r="F299" s="78"/>
      <c r="G299" s="78"/>
      <c r="H299" s="79"/>
      <c r="I299" s="78"/>
      <c r="J299" s="78"/>
      <c r="K299" s="78"/>
      <c r="L299" s="78"/>
      <c r="M299" s="16"/>
      <c r="N299" s="78"/>
      <c r="O299" s="78"/>
      <c r="P299" s="78"/>
      <c r="Q299" s="78"/>
      <c r="R299" s="54"/>
    </row>
    <row r="300" spans="2:18" x14ac:dyDescent="0.2">
      <c r="B300" s="53"/>
      <c r="C300" s="78"/>
      <c r="D300" s="78"/>
      <c r="E300" s="78"/>
      <c r="F300" s="78"/>
      <c r="G300" s="78"/>
      <c r="H300" s="79"/>
      <c r="I300" s="78"/>
      <c r="J300" s="78"/>
      <c r="K300" s="78"/>
      <c r="L300" s="78"/>
      <c r="M300" s="16"/>
      <c r="N300" s="78"/>
      <c r="O300" s="78"/>
      <c r="P300" s="78"/>
      <c r="Q300" s="78"/>
      <c r="R300" s="54"/>
    </row>
    <row r="301" spans="2:18" x14ac:dyDescent="0.2">
      <c r="B301" s="53"/>
      <c r="C301" s="78"/>
      <c r="D301" s="78"/>
      <c r="E301" s="78"/>
      <c r="F301" s="78"/>
      <c r="G301" s="78"/>
      <c r="H301" s="79"/>
      <c r="I301" s="78"/>
      <c r="J301" s="78"/>
      <c r="K301" s="78"/>
      <c r="L301" s="78"/>
      <c r="M301" s="16"/>
      <c r="N301" s="78"/>
      <c r="O301" s="78"/>
      <c r="P301" s="78"/>
      <c r="Q301" s="78"/>
      <c r="R301" s="54"/>
    </row>
    <row r="302" spans="2:18" x14ac:dyDescent="0.2">
      <c r="B302" s="53"/>
      <c r="C302" s="78"/>
      <c r="D302" s="78"/>
      <c r="E302" s="78"/>
      <c r="F302" s="78"/>
      <c r="G302" s="78"/>
      <c r="H302" s="79"/>
      <c r="I302" s="78"/>
      <c r="J302" s="78"/>
      <c r="K302" s="78"/>
      <c r="L302" s="78"/>
      <c r="M302" s="16"/>
      <c r="N302" s="78"/>
      <c r="O302" s="78"/>
      <c r="P302" s="78"/>
      <c r="Q302" s="78"/>
      <c r="R302" s="54"/>
    </row>
    <row r="303" spans="2:18" x14ac:dyDescent="0.2">
      <c r="B303" s="53"/>
      <c r="C303" s="78"/>
      <c r="D303" s="78"/>
      <c r="E303" s="78"/>
      <c r="F303" s="78"/>
      <c r="G303" s="78"/>
      <c r="H303" s="79"/>
      <c r="I303" s="78"/>
      <c r="J303" s="78"/>
      <c r="K303" s="78"/>
      <c r="L303" s="78"/>
      <c r="M303" s="16"/>
      <c r="N303" s="78"/>
      <c r="O303" s="78"/>
      <c r="P303" s="78"/>
      <c r="Q303" s="78"/>
      <c r="R303" s="54"/>
    </row>
    <row r="304" spans="2:18" x14ac:dyDescent="0.2">
      <c r="B304" s="53"/>
      <c r="C304" s="78"/>
      <c r="D304" s="78"/>
      <c r="E304" s="78"/>
      <c r="F304" s="78"/>
      <c r="G304" s="78"/>
      <c r="H304" s="79"/>
      <c r="I304" s="78"/>
      <c r="J304" s="78"/>
      <c r="K304" s="78"/>
      <c r="L304" s="78"/>
      <c r="M304" s="16"/>
      <c r="N304" s="78"/>
      <c r="O304" s="78"/>
      <c r="P304" s="78"/>
      <c r="Q304" s="78"/>
      <c r="R304" s="54"/>
    </row>
    <row r="305" spans="2:18" x14ac:dyDescent="0.2">
      <c r="B305" s="53"/>
      <c r="C305" s="78"/>
      <c r="D305" s="78"/>
      <c r="E305" s="78"/>
      <c r="F305" s="78"/>
      <c r="G305" s="78"/>
      <c r="H305" s="79"/>
      <c r="I305" s="78"/>
      <c r="J305" s="78"/>
      <c r="K305" s="78"/>
      <c r="L305" s="78"/>
      <c r="M305" s="16"/>
      <c r="N305" s="78"/>
      <c r="O305" s="78"/>
      <c r="P305" s="78"/>
      <c r="Q305" s="78"/>
      <c r="R305" s="54"/>
    </row>
    <row r="306" spans="2:18" x14ac:dyDescent="0.2">
      <c r="B306" s="53"/>
      <c r="C306" s="78"/>
      <c r="D306" s="78"/>
      <c r="E306" s="78"/>
      <c r="F306" s="78"/>
      <c r="G306" s="78"/>
      <c r="H306" s="79"/>
      <c r="I306" s="78"/>
      <c r="J306" s="78"/>
      <c r="K306" s="78"/>
      <c r="L306" s="78"/>
      <c r="M306" s="16"/>
      <c r="N306" s="78"/>
      <c r="O306" s="78"/>
      <c r="P306" s="78"/>
      <c r="Q306" s="78"/>
      <c r="R306" s="54"/>
    </row>
    <row r="307" spans="2:18" x14ac:dyDescent="0.2">
      <c r="B307" s="53"/>
      <c r="C307" s="78"/>
      <c r="D307" s="78"/>
      <c r="E307" s="78"/>
      <c r="F307" s="78"/>
      <c r="G307" s="78"/>
      <c r="H307" s="79"/>
      <c r="I307" s="78"/>
      <c r="J307" s="78"/>
      <c r="K307" s="78"/>
      <c r="L307" s="78"/>
      <c r="M307" s="16"/>
      <c r="N307" s="78"/>
      <c r="O307" s="78"/>
      <c r="P307" s="78"/>
      <c r="Q307" s="78"/>
      <c r="R307" s="54"/>
    </row>
    <row r="308" spans="2:18" x14ac:dyDescent="0.2">
      <c r="B308" s="53"/>
      <c r="C308" s="78"/>
      <c r="D308" s="78"/>
      <c r="E308" s="78"/>
      <c r="F308" s="78"/>
      <c r="G308" s="78"/>
      <c r="H308" s="79"/>
      <c r="I308" s="78"/>
      <c r="J308" s="78"/>
      <c r="K308" s="78"/>
      <c r="L308" s="78"/>
      <c r="M308" s="16"/>
      <c r="N308" s="78"/>
      <c r="O308" s="78"/>
      <c r="P308" s="78"/>
      <c r="Q308" s="78"/>
      <c r="R308" s="54"/>
    </row>
    <row r="309" spans="2:18" x14ac:dyDescent="0.2">
      <c r="B309" s="53"/>
      <c r="C309" s="78"/>
      <c r="D309" s="78"/>
      <c r="E309" s="78"/>
      <c r="F309" s="78"/>
      <c r="G309" s="78"/>
      <c r="H309" s="79"/>
      <c r="I309" s="78"/>
      <c r="J309" s="78"/>
      <c r="K309" s="78"/>
      <c r="L309" s="78"/>
      <c r="M309" s="16"/>
      <c r="N309" s="78"/>
      <c r="O309" s="78"/>
      <c r="P309" s="78"/>
      <c r="Q309" s="78"/>
      <c r="R309" s="54"/>
    </row>
    <row r="310" spans="2:18" x14ac:dyDescent="0.2">
      <c r="B310" s="53"/>
      <c r="C310" s="78"/>
      <c r="D310" s="78"/>
      <c r="E310" s="78"/>
      <c r="F310" s="78"/>
      <c r="G310" s="78"/>
      <c r="H310" s="79"/>
      <c r="I310" s="78"/>
      <c r="J310" s="78"/>
      <c r="K310" s="78"/>
      <c r="L310" s="78"/>
      <c r="M310" s="16"/>
      <c r="N310" s="78"/>
      <c r="O310" s="78"/>
      <c r="P310" s="78"/>
      <c r="Q310" s="78"/>
      <c r="R310" s="54"/>
    </row>
    <row r="311" spans="2:18" x14ac:dyDescent="0.2">
      <c r="B311" s="53"/>
      <c r="C311" s="78"/>
      <c r="D311" s="78"/>
      <c r="E311" s="78"/>
      <c r="F311" s="78"/>
      <c r="G311" s="78"/>
      <c r="H311" s="79"/>
      <c r="I311" s="78"/>
      <c r="J311" s="78"/>
      <c r="K311" s="78"/>
      <c r="L311" s="78"/>
      <c r="M311" s="16"/>
      <c r="N311" s="78"/>
      <c r="O311" s="78"/>
      <c r="P311" s="78"/>
      <c r="Q311" s="78"/>
      <c r="R311" s="54"/>
    </row>
    <row r="312" spans="2:18" x14ac:dyDescent="0.2">
      <c r="B312" s="53"/>
      <c r="C312" s="78"/>
      <c r="D312" s="78"/>
      <c r="E312" s="78"/>
      <c r="F312" s="78"/>
      <c r="G312" s="78"/>
      <c r="H312" s="79"/>
      <c r="I312" s="78"/>
      <c r="J312" s="78"/>
      <c r="K312" s="78"/>
      <c r="L312" s="78"/>
      <c r="M312" s="16"/>
      <c r="N312" s="78"/>
      <c r="O312" s="78"/>
      <c r="P312" s="78"/>
      <c r="Q312" s="78"/>
      <c r="R312" s="54"/>
    </row>
    <row r="313" spans="2:18" x14ac:dyDescent="0.2">
      <c r="B313" s="53"/>
      <c r="C313" s="78"/>
      <c r="D313" s="78"/>
      <c r="E313" s="78"/>
      <c r="F313" s="78"/>
      <c r="G313" s="78"/>
      <c r="H313" s="79"/>
      <c r="I313" s="78"/>
      <c r="J313" s="78"/>
      <c r="K313" s="78"/>
      <c r="L313" s="78"/>
      <c r="M313" s="16"/>
      <c r="N313" s="78"/>
      <c r="O313" s="78"/>
      <c r="P313" s="78"/>
      <c r="Q313" s="78"/>
      <c r="R313" s="54"/>
    </row>
    <row r="314" spans="2:18" x14ac:dyDescent="0.2">
      <c r="B314" s="53"/>
      <c r="C314" s="78"/>
      <c r="D314" s="78"/>
      <c r="E314" s="78"/>
      <c r="F314" s="78"/>
      <c r="G314" s="78"/>
      <c r="H314" s="79"/>
      <c r="I314" s="78"/>
      <c r="J314" s="78"/>
      <c r="K314" s="78"/>
      <c r="L314" s="78"/>
      <c r="M314" s="16"/>
      <c r="N314" s="78"/>
      <c r="O314" s="78"/>
      <c r="P314" s="78"/>
      <c r="Q314" s="78"/>
      <c r="R314" s="54"/>
    </row>
    <row r="315" spans="2:18" x14ac:dyDescent="0.2">
      <c r="B315" s="53"/>
      <c r="C315" s="78"/>
      <c r="D315" s="78"/>
      <c r="E315" s="78"/>
      <c r="F315" s="78"/>
      <c r="G315" s="78"/>
      <c r="H315" s="79"/>
      <c r="I315" s="78"/>
      <c r="J315" s="78"/>
      <c r="K315" s="78"/>
      <c r="L315" s="78"/>
      <c r="M315" s="16"/>
      <c r="N315" s="78"/>
      <c r="O315" s="78"/>
      <c r="P315" s="78"/>
      <c r="Q315" s="78"/>
      <c r="R315" s="54"/>
    </row>
    <row r="316" spans="2:18" x14ac:dyDescent="0.2">
      <c r="B316" s="53"/>
      <c r="C316" s="78"/>
      <c r="D316" s="78"/>
      <c r="E316" s="78"/>
      <c r="F316" s="78"/>
      <c r="G316" s="78"/>
      <c r="H316" s="79"/>
      <c r="I316" s="78"/>
      <c r="J316" s="78"/>
      <c r="K316" s="78"/>
      <c r="L316" s="78"/>
      <c r="M316" s="16"/>
      <c r="N316" s="78"/>
      <c r="O316" s="78"/>
      <c r="P316" s="78"/>
      <c r="Q316" s="78"/>
      <c r="R316" s="54"/>
    </row>
    <row r="317" spans="2:18" x14ac:dyDescent="0.2">
      <c r="B317" s="53"/>
      <c r="C317" s="78"/>
      <c r="D317" s="78"/>
      <c r="E317" s="78"/>
      <c r="F317" s="78"/>
      <c r="G317" s="78"/>
      <c r="H317" s="79"/>
      <c r="I317" s="78"/>
      <c r="J317" s="78"/>
      <c r="K317" s="78"/>
      <c r="L317" s="78"/>
      <c r="M317" s="16"/>
      <c r="N317" s="78"/>
      <c r="O317" s="78"/>
      <c r="P317" s="78"/>
      <c r="Q317" s="78"/>
      <c r="R317" s="54"/>
    </row>
    <row r="318" spans="2:18" x14ac:dyDescent="0.2">
      <c r="B318" s="53"/>
      <c r="C318" s="78"/>
      <c r="D318" s="78"/>
      <c r="E318" s="78"/>
      <c r="F318" s="78"/>
      <c r="G318" s="78"/>
      <c r="H318" s="79"/>
      <c r="I318" s="78"/>
      <c r="J318" s="78"/>
      <c r="K318" s="78"/>
      <c r="L318" s="78"/>
      <c r="M318" s="16"/>
      <c r="N318" s="78"/>
      <c r="O318" s="78"/>
      <c r="P318" s="78"/>
      <c r="Q318" s="78"/>
      <c r="R318" s="54"/>
    </row>
    <row r="319" spans="2:18" x14ac:dyDescent="0.2">
      <c r="B319" s="53"/>
      <c r="C319" s="78"/>
      <c r="D319" s="78"/>
      <c r="E319" s="78"/>
      <c r="F319" s="78"/>
      <c r="G319" s="78"/>
      <c r="H319" s="79"/>
      <c r="I319" s="78"/>
      <c r="J319" s="78"/>
      <c r="K319" s="78"/>
      <c r="L319" s="78"/>
      <c r="M319" s="16"/>
      <c r="N319" s="78"/>
      <c r="O319" s="78"/>
      <c r="P319" s="78"/>
      <c r="Q319" s="78"/>
      <c r="R319" s="54"/>
    </row>
    <row r="320" spans="2:18" x14ac:dyDescent="0.2">
      <c r="B320" s="53"/>
      <c r="C320" s="78"/>
      <c r="D320" s="78"/>
      <c r="E320" s="78"/>
      <c r="F320" s="78"/>
      <c r="G320" s="78"/>
      <c r="H320" s="79"/>
      <c r="I320" s="78"/>
      <c r="J320" s="78"/>
      <c r="K320" s="78"/>
      <c r="L320" s="78"/>
      <c r="M320" s="16"/>
      <c r="N320" s="78"/>
      <c r="O320" s="78"/>
      <c r="P320" s="78"/>
      <c r="Q320" s="78"/>
      <c r="R320" s="54"/>
    </row>
    <row r="321" spans="2:18" x14ac:dyDescent="0.2">
      <c r="B321" s="53"/>
      <c r="C321" s="78"/>
      <c r="D321" s="78"/>
      <c r="E321" s="78"/>
      <c r="F321" s="78"/>
      <c r="G321" s="78"/>
      <c r="H321" s="79"/>
      <c r="I321" s="78"/>
      <c r="J321" s="78"/>
      <c r="K321" s="78"/>
      <c r="L321" s="78"/>
      <c r="M321" s="16"/>
      <c r="N321" s="78"/>
      <c r="O321" s="78"/>
      <c r="P321" s="78"/>
      <c r="Q321" s="78"/>
      <c r="R321" s="54"/>
    </row>
    <row r="322" spans="2:18" x14ac:dyDescent="0.2">
      <c r="B322" s="53"/>
      <c r="C322" s="78"/>
      <c r="D322" s="78"/>
      <c r="E322" s="78"/>
      <c r="F322" s="78"/>
      <c r="G322" s="78"/>
      <c r="H322" s="79"/>
      <c r="I322" s="78"/>
      <c r="J322" s="78"/>
      <c r="K322" s="78"/>
      <c r="L322" s="78"/>
      <c r="M322" s="16"/>
      <c r="N322" s="78"/>
      <c r="O322" s="78"/>
      <c r="P322" s="78"/>
      <c r="Q322" s="78"/>
      <c r="R322" s="54"/>
    </row>
    <row r="323" spans="2:18" x14ac:dyDescent="0.2">
      <c r="B323" s="53"/>
      <c r="C323" s="78"/>
      <c r="D323" s="78"/>
      <c r="E323" s="78"/>
      <c r="F323" s="78"/>
      <c r="G323" s="78"/>
      <c r="H323" s="79"/>
      <c r="I323" s="78"/>
      <c r="J323" s="78"/>
      <c r="K323" s="78"/>
      <c r="L323" s="78"/>
      <c r="M323" s="16"/>
      <c r="N323" s="78"/>
      <c r="O323" s="78"/>
      <c r="P323" s="78"/>
      <c r="Q323" s="78"/>
      <c r="R323" s="54"/>
    </row>
    <row r="324" spans="2:18" x14ac:dyDescent="0.2">
      <c r="B324" s="53"/>
      <c r="C324" s="78"/>
      <c r="D324" s="78"/>
      <c r="E324" s="78"/>
      <c r="F324" s="78"/>
      <c r="G324" s="78"/>
      <c r="H324" s="79"/>
      <c r="I324" s="78"/>
      <c r="J324" s="78"/>
      <c r="K324" s="78"/>
      <c r="L324" s="78"/>
      <c r="M324" s="16"/>
      <c r="N324" s="78"/>
      <c r="O324" s="78"/>
      <c r="P324" s="78"/>
      <c r="Q324" s="78"/>
      <c r="R324" s="54"/>
    </row>
    <row r="325" spans="2:18" x14ac:dyDescent="0.2">
      <c r="B325" s="53"/>
      <c r="C325" s="78"/>
      <c r="D325" s="78"/>
      <c r="E325" s="78"/>
      <c r="F325" s="78"/>
      <c r="G325" s="78"/>
      <c r="H325" s="79"/>
      <c r="I325" s="78"/>
      <c r="J325" s="78"/>
      <c r="K325" s="78"/>
      <c r="L325" s="78"/>
      <c r="M325" s="16"/>
      <c r="N325" s="78"/>
      <c r="O325" s="78"/>
      <c r="P325" s="78"/>
      <c r="Q325" s="78"/>
      <c r="R325" s="54"/>
    </row>
    <row r="326" spans="2:18" x14ac:dyDescent="0.2">
      <c r="B326" s="53"/>
      <c r="C326" s="78"/>
      <c r="D326" s="78"/>
      <c r="E326" s="78"/>
      <c r="F326" s="78"/>
      <c r="G326" s="78"/>
      <c r="H326" s="79"/>
      <c r="I326" s="78"/>
      <c r="J326" s="78"/>
      <c r="K326" s="78"/>
      <c r="L326" s="78"/>
      <c r="M326" s="16"/>
      <c r="N326" s="78"/>
      <c r="O326" s="78"/>
      <c r="P326" s="78"/>
      <c r="Q326" s="78"/>
      <c r="R326" s="54"/>
    </row>
    <row r="327" spans="2:18" x14ac:dyDescent="0.2">
      <c r="B327" s="53"/>
      <c r="C327" s="78"/>
      <c r="D327" s="78"/>
      <c r="E327" s="78"/>
      <c r="F327" s="78"/>
      <c r="G327" s="78"/>
      <c r="H327" s="79"/>
      <c r="I327" s="78"/>
      <c r="J327" s="78"/>
      <c r="K327" s="78"/>
      <c r="L327" s="78"/>
      <c r="M327" s="16"/>
      <c r="N327" s="78"/>
      <c r="O327" s="78"/>
      <c r="P327" s="78"/>
      <c r="Q327" s="78"/>
      <c r="R327" s="54"/>
    </row>
    <row r="328" spans="2:18" x14ac:dyDescent="0.2">
      <c r="B328" s="53"/>
      <c r="C328" s="78"/>
      <c r="D328" s="78"/>
      <c r="E328" s="78"/>
      <c r="F328" s="78"/>
      <c r="G328" s="78"/>
      <c r="H328" s="79"/>
      <c r="I328" s="78"/>
      <c r="J328" s="78"/>
      <c r="K328" s="78"/>
      <c r="L328" s="78"/>
      <c r="M328" s="16"/>
      <c r="N328" s="78"/>
      <c r="O328" s="78"/>
      <c r="P328" s="78"/>
      <c r="Q328" s="78"/>
      <c r="R328" s="54"/>
    </row>
    <row r="329" spans="2:18" x14ac:dyDescent="0.2">
      <c r="B329" s="53"/>
      <c r="C329" s="78"/>
      <c r="D329" s="78"/>
      <c r="E329" s="78"/>
      <c r="F329" s="78"/>
      <c r="G329" s="78"/>
      <c r="H329" s="79"/>
      <c r="I329" s="78"/>
      <c r="J329" s="78"/>
      <c r="K329" s="78"/>
      <c r="L329" s="78"/>
      <c r="M329" s="16"/>
      <c r="N329" s="78"/>
      <c r="O329" s="78"/>
      <c r="P329" s="78"/>
      <c r="Q329" s="78"/>
      <c r="R329" s="54"/>
    </row>
    <row r="330" spans="2:18" x14ac:dyDescent="0.2">
      <c r="B330" s="53"/>
      <c r="C330" s="78"/>
      <c r="D330" s="78"/>
      <c r="E330" s="78"/>
      <c r="F330" s="78"/>
      <c r="G330" s="78"/>
      <c r="H330" s="79"/>
      <c r="I330" s="78"/>
      <c r="J330" s="78"/>
      <c r="K330" s="78"/>
      <c r="L330" s="78"/>
      <c r="M330" s="16"/>
      <c r="N330" s="78"/>
      <c r="O330" s="78"/>
      <c r="P330" s="78"/>
      <c r="Q330" s="78"/>
      <c r="R330" s="54"/>
    </row>
    <row r="331" spans="2:18" x14ac:dyDescent="0.2">
      <c r="B331" s="53"/>
      <c r="C331" s="78"/>
      <c r="D331" s="78"/>
      <c r="E331" s="78"/>
      <c r="F331" s="78"/>
      <c r="G331" s="78"/>
      <c r="H331" s="79"/>
      <c r="I331" s="78"/>
      <c r="J331" s="78"/>
      <c r="K331" s="78"/>
      <c r="L331" s="78"/>
      <c r="M331" s="16"/>
      <c r="N331" s="78"/>
      <c r="O331" s="78"/>
      <c r="P331" s="78"/>
      <c r="Q331" s="78"/>
      <c r="R331" s="54"/>
    </row>
    <row r="332" spans="2:18" x14ac:dyDescent="0.2">
      <c r="B332" s="53"/>
      <c r="C332" s="78"/>
      <c r="D332" s="78"/>
      <c r="E332" s="78"/>
      <c r="F332" s="78"/>
      <c r="G332" s="78"/>
      <c r="H332" s="79"/>
      <c r="I332" s="78"/>
      <c r="J332" s="78"/>
      <c r="K332" s="78"/>
      <c r="L332" s="78"/>
      <c r="M332" s="16"/>
      <c r="N332" s="78"/>
      <c r="O332" s="78"/>
      <c r="P332" s="78"/>
      <c r="Q332" s="78"/>
      <c r="R332" s="54"/>
    </row>
    <row r="333" spans="2:18" x14ac:dyDescent="0.2">
      <c r="B333" s="53"/>
      <c r="C333" s="78"/>
      <c r="D333" s="78"/>
      <c r="E333" s="78"/>
      <c r="F333" s="78"/>
      <c r="G333" s="78"/>
      <c r="H333" s="79"/>
      <c r="I333" s="78"/>
      <c r="J333" s="78"/>
      <c r="K333" s="78"/>
      <c r="L333" s="78"/>
      <c r="M333" s="16"/>
      <c r="N333" s="78"/>
      <c r="O333" s="78"/>
      <c r="P333" s="78"/>
      <c r="Q333" s="78"/>
      <c r="R333" s="54"/>
    </row>
    <row r="334" spans="2:18" x14ac:dyDescent="0.2">
      <c r="B334" s="53"/>
      <c r="C334" s="78"/>
      <c r="D334" s="78"/>
      <c r="E334" s="78"/>
      <c r="F334" s="78"/>
      <c r="G334" s="78"/>
      <c r="H334" s="79"/>
      <c r="I334" s="78"/>
      <c r="J334" s="78"/>
      <c r="K334" s="78"/>
      <c r="L334" s="78"/>
      <c r="M334" s="16"/>
      <c r="N334" s="78"/>
      <c r="O334" s="78"/>
      <c r="P334" s="78"/>
      <c r="Q334" s="78"/>
      <c r="R334" s="54"/>
    </row>
    <row r="335" spans="2:18" x14ac:dyDescent="0.2">
      <c r="B335" s="53"/>
      <c r="C335" s="78"/>
      <c r="D335" s="78"/>
      <c r="E335" s="78"/>
      <c r="F335" s="78"/>
      <c r="G335" s="78"/>
      <c r="H335" s="79"/>
      <c r="I335" s="78"/>
      <c r="J335" s="78"/>
      <c r="K335" s="78"/>
      <c r="L335" s="78"/>
      <c r="M335" s="16"/>
      <c r="N335" s="78"/>
      <c r="O335" s="78"/>
      <c r="P335" s="78"/>
      <c r="Q335" s="78"/>
      <c r="R335" s="54"/>
    </row>
    <row r="336" spans="2:18" x14ac:dyDescent="0.2">
      <c r="B336" s="53"/>
      <c r="C336" s="78"/>
      <c r="D336" s="78"/>
      <c r="E336" s="78"/>
      <c r="F336" s="78"/>
      <c r="G336" s="78"/>
      <c r="H336" s="79"/>
      <c r="I336" s="78"/>
      <c r="J336" s="78"/>
      <c r="K336" s="78"/>
      <c r="L336" s="78"/>
      <c r="M336" s="16"/>
      <c r="N336" s="78"/>
      <c r="O336" s="78"/>
      <c r="P336" s="78"/>
      <c r="Q336" s="78"/>
      <c r="R336" s="54"/>
    </row>
    <row r="337" spans="2:18" x14ac:dyDescent="0.2">
      <c r="B337" s="53"/>
      <c r="C337" s="78"/>
      <c r="D337" s="78"/>
      <c r="E337" s="78"/>
      <c r="F337" s="78"/>
      <c r="G337" s="78"/>
      <c r="H337" s="79"/>
      <c r="I337" s="78"/>
      <c r="J337" s="78"/>
      <c r="K337" s="78"/>
      <c r="L337" s="78"/>
      <c r="M337" s="16"/>
      <c r="N337" s="78"/>
      <c r="O337" s="78"/>
      <c r="P337" s="78"/>
      <c r="Q337" s="78"/>
      <c r="R337" s="54"/>
    </row>
    <row r="338" spans="2:18" x14ac:dyDescent="0.2">
      <c r="B338" s="53"/>
      <c r="C338" s="78"/>
      <c r="D338" s="78"/>
      <c r="E338" s="78"/>
      <c r="F338" s="78"/>
      <c r="G338" s="78"/>
      <c r="H338" s="79"/>
      <c r="I338" s="78"/>
      <c r="J338" s="78"/>
      <c r="K338" s="78"/>
      <c r="L338" s="78"/>
      <c r="M338" s="16"/>
      <c r="N338" s="78"/>
      <c r="O338" s="78"/>
      <c r="P338" s="78"/>
      <c r="Q338" s="78"/>
      <c r="R338" s="54"/>
    </row>
    <row r="339" spans="2:18" x14ac:dyDescent="0.2">
      <c r="B339" s="53"/>
      <c r="C339" s="78"/>
      <c r="D339" s="78"/>
      <c r="E339" s="78"/>
      <c r="F339" s="78"/>
      <c r="G339" s="78"/>
      <c r="H339" s="79"/>
      <c r="I339" s="78"/>
      <c r="J339" s="78"/>
      <c r="K339" s="78"/>
      <c r="L339" s="78"/>
      <c r="M339" s="16"/>
      <c r="N339" s="78"/>
      <c r="O339" s="78"/>
      <c r="P339" s="78"/>
      <c r="Q339" s="78"/>
      <c r="R339" s="54"/>
    </row>
    <row r="340" spans="2:18" x14ac:dyDescent="0.2">
      <c r="B340" s="53"/>
      <c r="C340" s="78"/>
      <c r="D340" s="78"/>
      <c r="E340" s="78"/>
      <c r="F340" s="78"/>
      <c r="G340" s="78"/>
      <c r="H340" s="79"/>
      <c r="I340" s="78"/>
      <c r="J340" s="78"/>
      <c r="K340" s="78"/>
      <c r="L340" s="78"/>
      <c r="M340" s="16"/>
      <c r="N340" s="78"/>
      <c r="O340" s="78"/>
      <c r="P340" s="78"/>
      <c r="Q340" s="78"/>
      <c r="R340" s="54"/>
    </row>
    <row r="341" spans="2:18" x14ac:dyDescent="0.2">
      <c r="B341" s="53"/>
      <c r="C341" s="78"/>
      <c r="D341" s="78"/>
      <c r="E341" s="78"/>
      <c r="F341" s="78"/>
      <c r="G341" s="78"/>
      <c r="H341" s="79"/>
      <c r="I341" s="78"/>
      <c r="J341" s="78"/>
      <c r="K341" s="78"/>
      <c r="L341" s="78"/>
      <c r="M341" s="16"/>
      <c r="N341" s="78"/>
      <c r="O341" s="78"/>
      <c r="P341" s="78"/>
      <c r="Q341" s="78"/>
      <c r="R341" s="54"/>
    </row>
    <row r="342" spans="2:18" x14ac:dyDescent="0.2">
      <c r="B342" s="53"/>
      <c r="C342" s="78"/>
      <c r="D342" s="78"/>
      <c r="E342" s="78"/>
      <c r="F342" s="78"/>
      <c r="G342" s="78"/>
      <c r="H342" s="79"/>
      <c r="I342" s="78"/>
      <c r="J342" s="78"/>
      <c r="K342" s="78"/>
      <c r="L342" s="78"/>
      <c r="M342" s="16"/>
      <c r="N342" s="78"/>
      <c r="O342" s="78"/>
      <c r="P342" s="78"/>
      <c r="Q342" s="78"/>
      <c r="R342" s="54"/>
    </row>
    <row r="343" spans="2:18" x14ac:dyDescent="0.2">
      <c r="B343" s="53"/>
      <c r="C343" s="78"/>
      <c r="D343" s="78"/>
      <c r="E343" s="78"/>
      <c r="F343" s="78"/>
      <c r="G343" s="78"/>
      <c r="H343" s="79"/>
      <c r="I343" s="78"/>
      <c r="J343" s="78"/>
      <c r="K343" s="78"/>
      <c r="L343" s="78"/>
      <c r="M343" s="16"/>
      <c r="N343" s="78"/>
      <c r="O343" s="78"/>
      <c r="P343" s="78"/>
      <c r="Q343" s="78"/>
      <c r="R343" s="54"/>
    </row>
    <row r="344" spans="2:18" x14ac:dyDescent="0.2">
      <c r="B344" s="53"/>
      <c r="C344" s="78"/>
      <c r="D344" s="78"/>
      <c r="E344" s="78"/>
      <c r="F344" s="78"/>
      <c r="G344" s="78"/>
      <c r="H344" s="79"/>
      <c r="I344" s="78"/>
      <c r="J344" s="78"/>
      <c r="K344" s="78"/>
      <c r="L344" s="78"/>
      <c r="M344" s="16"/>
      <c r="N344" s="78"/>
      <c r="O344" s="78"/>
      <c r="P344" s="78"/>
      <c r="Q344" s="78"/>
      <c r="R344" s="54"/>
    </row>
    <row r="345" spans="2:18" x14ac:dyDescent="0.2">
      <c r="B345" s="53"/>
      <c r="C345" s="78"/>
      <c r="D345" s="78"/>
      <c r="E345" s="78"/>
      <c r="F345" s="78"/>
      <c r="G345" s="78"/>
      <c r="H345" s="79"/>
      <c r="I345" s="78"/>
      <c r="J345" s="78"/>
      <c r="K345" s="78"/>
      <c r="L345" s="78"/>
      <c r="M345" s="16"/>
      <c r="N345" s="78"/>
      <c r="O345" s="78"/>
      <c r="P345" s="78"/>
      <c r="Q345" s="78"/>
      <c r="R345" s="54"/>
    </row>
    <row r="346" spans="2:18" x14ac:dyDescent="0.2">
      <c r="B346" s="53"/>
      <c r="C346" s="78"/>
      <c r="D346" s="78"/>
      <c r="E346" s="78"/>
      <c r="F346" s="78"/>
      <c r="G346" s="78"/>
      <c r="H346" s="79"/>
      <c r="I346" s="78"/>
      <c r="J346" s="78"/>
      <c r="K346" s="78"/>
      <c r="L346" s="78"/>
      <c r="M346" s="16"/>
      <c r="N346" s="78"/>
      <c r="O346" s="78"/>
      <c r="P346" s="78"/>
      <c r="Q346" s="78"/>
      <c r="R346" s="54"/>
    </row>
    <row r="347" spans="2:18" x14ac:dyDescent="0.2">
      <c r="B347" s="53"/>
      <c r="C347" s="78"/>
      <c r="D347" s="78"/>
      <c r="E347" s="78"/>
      <c r="F347" s="78"/>
      <c r="G347" s="78"/>
      <c r="H347" s="79"/>
      <c r="I347" s="78"/>
      <c r="J347" s="78"/>
      <c r="K347" s="78"/>
      <c r="L347" s="78"/>
      <c r="M347" s="16"/>
      <c r="N347" s="78"/>
      <c r="O347" s="78"/>
      <c r="P347" s="78"/>
      <c r="Q347" s="78"/>
      <c r="R347" s="54"/>
    </row>
    <row r="348" spans="2:18" x14ac:dyDescent="0.2">
      <c r="B348" s="53"/>
      <c r="C348" s="78"/>
      <c r="D348" s="78"/>
      <c r="E348" s="78"/>
      <c r="F348" s="78"/>
      <c r="G348" s="78"/>
      <c r="H348" s="79"/>
      <c r="I348" s="78"/>
      <c r="J348" s="78"/>
      <c r="K348" s="78"/>
      <c r="L348" s="78"/>
      <c r="M348" s="16"/>
      <c r="N348" s="78"/>
      <c r="O348" s="78"/>
      <c r="P348" s="78"/>
      <c r="Q348" s="78"/>
      <c r="R348" s="54"/>
    </row>
    <row r="349" spans="2:18" x14ac:dyDescent="0.2">
      <c r="B349" s="53"/>
      <c r="C349" s="78"/>
      <c r="D349" s="78"/>
      <c r="E349" s="78"/>
      <c r="F349" s="78"/>
      <c r="G349" s="78"/>
      <c r="H349" s="79"/>
      <c r="I349" s="78"/>
      <c r="J349" s="78"/>
      <c r="K349" s="78"/>
      <c r="L349" s="78"/>
      <c r="M349" s="16"/>
      <c r="N349" s="78"/>
      <c r="O349" s="78"/>
      <c r="P349" s="78"/>
      <c r="Q349" s="78"/>
      <c r="R349" s="54"/>
    </row>
    <row r="350" spans="2:18" x14ac:dyDescent="0.2">
      <c r="B350" s="53"/>
      <c r="C350" s="78"/>
      <c r="D350" s="78"/>
      <c r="E350" s="78"/>
      <c r="F350" s="78"/>
      <c r="G350" s="78"/>
      <c r="H350" s="79"/>
      <c r="I350" s="78"/>
      <c r="J350" s="78"/>
      <c r="K350" s="78"/>
      <c r="L350" s="78"/>
      <c r="M350" s="16"/>
      <c r="N350" s="78"/>
      <c r="O350" s="78"/>
      <c r="P350" s="78"/>
      <c r="Q350" s="78"/>
      <c r="R350" s="54"/>
    </row>
    <row r="351" spans="2:18" x14ac:dyDescent="0.2">
      <c r="B351" s="53"/>
      <c r="C351" s="78"/>
      <c r="D351" s="78"/>
      <c r="E351" s="78"/>
      <c r="F351" s="78"/>
      <c r="G351" s="78"/>
      <c r="H351" s="79"/>
      <c r="I351" s="78"/>
      <c r="J351" s="78"/>
      <c r="K351" s="78"/>
      <c r="L351" s="78"/>
      <c r="M351" s="16"/>
      <c r="N351" s="78"/>
      <c r="O351" s="78"/>
      <c r="P351" s="78"/>
      <c r="Q351" s="78"/>
      <c r="R351" s="54"/>
    </row>
    <row r="352" spans="2:18" x14ac:dyDescent="0.2">
      <c r="B352" s="53"/>
      <c r="C352" s="78"/>
      <c r="D352" s="78"/>
      <c r="E352" s="78"/>
      <c r="F352" s="78"/>
      <c r="G352" s="78"/>
      <c r="H352" s="79"/>
      <c r="I352" s="78"/>
      <c r="J352" s="78"/>
      <c r="K352" s="78"/>
      <c r="L352" s="78"/>
      <c r="M352" s="16"/>
      <c r="N352" s="78"/>
      <c r="O352" s="78"/>
      <c r="P352" s="78"/>
      <c r="Q352" s="78"/>
      <c r="R352" s="54"/>
    </row>
    <row r="353" spans="2:18" x14ac:dyDescent="0.2">
      <c r="B353" s="53"/>
      <c r="C353" s="78"/>
      <c r="D353" s="78"/>
      <c r="E353" s="78"/>
      <c r="F353" s="78"/>
      <c r="G353" s="78"/>
      <c r="H353" s="79"/>
      <c r="I353" s="78"/>
      <c r="J353" s="78"/>
      <c r="K353" s="78"/>
      <c r="L353" s="78"/>
      <c r="M353" s="16"/>
      <c r="N353" s="78"/>
      <c r="O353" s="78"/>
      <c r="P353" s="78"/>
      <c r="Q353" s="78"/>
      <c r="R353" s="54"/>
    </row>
    <row r="354" spans="2:18" x14ac:dyDescent="0.2">
      <c r="B354" s="53"/>
      <c r="C354" s="78"/>
      <c r="D354" s="78"/>
      <c r="E354" s="78"/>
      <c r="F354" s="78"/>
      <c r="G354" s="78"/>
      <c r="H354" s="79"/>
      <c r="I354" s="78"/>
      <c r="J354" s="78"/>
      <c r="K354" s="78"/>
      <c r="L354" s="78"/>
      <c r="M354" s="16"/>
      <c r="N354" s="78"/>
      <c r="O354" s="78"/>
      <c r="P354" s="78"/>
      <c r="Q354" s="78"/>
      <c r="R354" s="54"/>
    </row>
    <row r="355" spans="2:18" x14ac:dyDescent="0.2">
      <c r="B355" s="53"/>
      <c r="C355" s="78"/>
      <c r="D355" s="78"/>
      <c r="E355" s="78"/>
      <c r="F355" s="78"/>
      <c r="G355" s="78"/>
      <c r="H355" s="79"/>
      <c r="I355" s="78"/>
      <c r="J355" s="78"/>
      <c r="K355" s="78"/>
      <c r="L355" s="78"/>
      <c r="M355" s="16"/>
      <c r="N355" s="78"/>
      <c r="O355" s="78"/>
      <c r="P355" s="78"/>
      <c r="Q355" s="78"/>
      <c r="R355" s="54"/>
    </row>
    <row r="356" spans="2:18" x14ac:dyDescent="0.2">
      <c r="B356" s="53"/>
      <c r="C356" s="78"/>
      <c r="D356" s="78"/>
      <c r="E356" s="78"/>
      <c r="F356" s="78"/>
      <c r="G356" s="78"/>
      <c r="H356" s="79"/>
      <c r="I356" s="78"/>
      <c r="J356" s="78"/>
      <c r="K356" s="78"/>
      <c r="L356" s="78"/>
      <c r="M356" s="16"/>
      <c r="N356" s="78"/>
      <c r="O356" s="78"/>
      <c r="P356" s="78"/>
      <c r="Q356" s="78"/>
      <c r="R356" s="54"/>
    </row>
    <row r="357" spans="2:18" x14ac:dyDescent="0.2">
      <c r="B357" s="53"/>
      <c r="C357" s="78"/>
      <c r="D357" s="78"/>
      <c r="E357" s="78"/>
      <c r="F357" s="78"/>
      <c r="G357" s="78"/>
      <c r="H357" s="79"/>
      <c r="I357" s="78"/>
      <c r="J357" s="78"/>
      <c r="K357" s="78"/>
      <c r="L357" s="78"/>
      <c r="M357" s="16"/>
      <c r="N357" s="78"/>
      <c r="O357" s="78"/>
      <c r="P357" s="78"/>
      <c r="Q357" s="78"/>
      <c r="R357" s="54"/>
    </row>
    <row r="358" spans="2:18" x14ac:dyDescent="0.2">
      <c r="B358" s="53"/>
      <c r="C358" s="78"/>
      <c r="D358" s="78"/>
      <c r="E358" s="78"/>
      <c r="F358" s="78"/>
      <c r="G358" s="78"/>
      <c r="H358" s="79"/>
      <c r="I358" s="78"/>
      <c r="J358" s="78"/>
      <c r="K358" s="78"/>
      <c r="L358" s="78"/>
      <c r="M358" s="16"/>
      <c r="N358" s="78"/>
      <c r="O358" s="78"/>
      <c r="P358" s="78"/>
      <c r="Q358" s="78"/>
      <c r="R358" s="54"/>
    </row>
    <row r="359" spans="2:18" x14ac:dyDescent="0.2">
      <c r="B359" s="53"/>
      <c r="C359" s="78"/>
      <c r="D359" s="78"/>
      <c r="E359" s="78"/>
      <c r="F359" s="78"/>
      <c r="G359" s="78"/>
      <c r="H359" s="79"/>
      <c r="I359" s="78"/>
      <c r="J359" s="78"/>
      <c r="K359" s="78"/>
      <c r="L359" s="78"/>
      <c r="M359" s="16"/>
      <c r="N359" s="78"/>
      <c r="O359" s="78"/>
      <c r="P359" s="78"/>
      <c r="Q359" s="78"/>
      <c r="R359" s="54"/>
    </row>
    <row r="360" spans="2:18" x14ac:dyDescent="0.2">
      <c r="B360" s="53"/>
      <c r="C360" s="78"/>
      <c r="D360" s="78"/>
      <c r="E360" s="78"/>
      <c r="F360" s="78"/>
      <c r="G360" s="78"/>
      <c r="H360" s="79"/>
      <c r="I360" s="78"/>
      <c r="J360" s="78"/>
      <c r="K360" s="78"/>
      <c r="L360" s="78"/>
      <c r="M360" s="16"/>
      <c r="N360" s="78"/>
      <c r="O360" s="78"/>
      <c r="P360" s="78"/>
      <c r="Q360" s="78"/>
      <c r="R360" s="54"/>
    </row>
    <row r="361" spans="2:18" x14ac:dyDescent="0.2">
      <c r="B361" s="53"/>
      <c r="C361" s="78"/>
      <c r="D361" s="78"/>
      <c r="E361" s="78"/>
      <c r="F361" s="78"/>
      <c r="G361" s="78"/>
      <c r="H361" s="79"/>
      <c r="I361" s="78"/>
      <c r="J361" s="78"/>
      <c r="K361" s="78"/>
      <c r="L361" s="78"/>
      <c r="M361" s="16"/>
      <c r="N361" s="78"/>
      <c r="O361" s="78"/>
      <c r="P361" s="78"/>
      <c r="Q361" s="78"/>
      <c r="R361" s="54"/>
    </row>
    <row r="362" spans="2:18" x14ac:dyDescent="0.2">
      <c r="B362" s="53"/>
      <c r="C362" s="78"/>
      <c r="D362" s="78"/>
      <c r="E362" s="78"/>
      <c r="F362" s="78"/>
      <c r="G362" s="78"/>
      <c r="H362" s="79"/>
      <c r="I362" s="78"/>
      <c r="J362" s="78"/>
      <c r="K362" s="78"/>
      <c r="L362" s="78"/>
      <c r="M362" s="16"/>
      <c r="N362" s="78"/>
      <c r="O362" s="78"/>
      <c r="P362" s="78"/>
      <c r="Q362" s="78"/>
      <c r="R362" s="54"/>
    </row>
    <row r="363" spans="2:18" x14ac:dyDescent="0.2">
      <c r="B363" s="53"/>
      <c r="C363" s="78"/>
      <c r="D363" s="78"/>
      <c r="E363" s="78"/>
      <c r="F363" s="78"/>
      <c r="G363" s="78"/>
      <c r="H363" s="79"/>
      <c r="I363" s="78"/>
      <c r="J363" s="78"/>
      <c r="K363" s="78"/>
      <c r="L363" s="78"/>
      <c r="M363" s="16"/>
      <c r="N363" s="78"/>
      <c r="O363" s="78"/>
      <c r="P363" s="78"/>
      <c r="Q363" s="78"/>
      <c r="R363" s="54"/>
    </row>
    <row r="364" spans="2:18" x14ac:dyDescent="0.2">
      <c r="B364" s="53"/>
      <c r="C364" s="78"/>
      <c r="D364" s="78"/>
      <c r="E364" s="78"/>
      <c r="F364" s="78"/>
      <c r="G364" s="78"/>
      <c r="H364" s="79"/>
      <c r="I364" s="78"/>
      <c r="J364" s="78"/>
      <c r="K364" s="78"/>
      <c r="L364" s="78"/>
      <c r="M364" s="16"/>
      <c r="N364" s="78"/>
      <c r="O364" s="78"/>
      <c r="P364" s="78"/>
      <c r="Q364" s="78"/>
      <c r="R364" s="54"/>
    </row>
    <row r="365" spans="2:18" x14ac:dyDescent="0.2">
      <c r="B365" s="53"/>
      <c r="C365" s="78"/>
      <c r="D365" s="78"/>
      <c r="E365" s="78"/>
      <c r="F365" s="78"/>
      <c r="G365" s="78"/>
      <c r="H365" s="79"/>
      <c r="I365" s="78"/>
      <c r="J365" s="78"/>
      <c r="K365" s="78"/>
      <c r="L365" s="78"/>
      <c r="M365" s="16"/>
      <c r="N365" s="78"/>
      <c r="O365" s="78"/>
      <c r="P365" s="78"/>
      <c r="Q365" s="78"/>
      <c r="R365" s="54"/>
    </row>
    <row r="366" spans="2:18" x14ac:dyDescent="0.2">
      <c r="B366" s="53"/>
      <c r="C366" s="78"/>
      <c r="D366" s="78"/>
      <c r="E366" s="78"/>
      <c r="F366" s="78"/>
      <c r="G366" s="78"/>
      <c r="H366" s="79"/>
      <c r="I366" s="78"/>
      <c r="J366" s="78"/>
      <c r="K366" s="78"/>
      <c r="L366" s="78"/>
      <c r="M366" s="16"/>
      <c r="N366" s="78"/>
      <c r="O366" s="78"/>
      <c r="P366" s="78"/>
      <c r="Q366" s="78"/>
      <c r="R366" s="54"/>
    </row>
    <row r="367" spans="2:18" x14ac:dyDescent="0.2">
      <c r="B367" s="53"/>
      <c r="C367" s="78"/>
      <c r="D367" s="78"/>
      <c r="E367" s="78"/>
      <c r="F367" s="78"/>
      <c r="G367" s="78"/>
      <c r="H367" s="79"/>
      <c r="I367" s="78"/>
      <c r="J367" s="78"/>
      <c r="K367" s="78"/>
      <c r="L367" s="78"/>
      <c r="M367" s="16"/>
      <c r="N367" s="78"/>
      <c r="O367" s="78"/>
      <c r="P367" s="78"/>
      <c r="Q367" s="78"/>
      <c r="R367" s="54"/>
    </row>
    <row r="368" spans="2:18" x14ac:dyDescent="0.2">
      <c r="B368" s="53"/>
      <c r="C368" s="78"/>
      <c r="D368" s="78"/>
      <c r="E368" s="78"/>
      <c r="F368" s="78"/>
      <c r="G368" s="78"/>
      <c r="H368" s="79"/>
      <c r="I368" s="78"/>
      <c r="J368" s="78"/>
      <c r="K368" s="78"/>
      <c r="L368" s="78"/>
      <c r="M368" s="16"/>
      <c r="N368" s="78"/>
      <c r="O368" s="78"/>
      <c r="P368" s="78"/>
      <c r="Q368" s="78"/>
      <c r="R368" s="54"/>
    </row>
    <row r="369" spans="2:18" x14ac:dyDescent="0.2">
      <c r="B369" s="53"/>
      <c r="C369" s="78"/>
      <c r="D369" s="78"/>
      <c r="E369" s="78"/>
      <c r="F369" s="78"/>
      <c r="G369" s="78"/>
      <c r="H369" s="79"/>
      <c r="I369" s="78"/>
      <c r="J369" s="78"/>
      <c r="K369" s="78"/>
      <c r="L369" s="78"/>
      <c r="M369" s="16"/>
      <c r="N369" s="78"/>
      <c r="O369" s="78"/>
      <c r="P369" s="78"/>
      <c r="Q369" s="78"/>
      <c r="R369" s="54"/>
    </row>
    <row r="370" spans="2:18" x14ac:dyDescent="0.2">
      <c r="B370" s="53"/>
      <c r="C370" s="78"/>
      <c r="D370" s="78"/>
      <c r="E370" s="78"/>
      <c r="F370" s="78"/>
      <c r="G370" s="78"/>
      <c r="H370" s="79"/>
      <c r="I370" s="78"/>
      <c r="J370" s="78"/>
      <c r="K370" s="78"/>
      <c r="L370" s="78"/>
      <c r="M370" s="16"/>
      <c r="N370" s="78"/>
      <c r="O370" s="78"/>
      <c r="P370" s="78"/>
      <c r="Q370" s="78"/>
      <c r="R370" s="54"/>
    </row>
    <row r="371" spans="2:18" x14ac:dyDescent="0.2">
      <c r="B371" s="53"/>
      <c r="C371" s="78"/>
      <c r="D371" s="78"/>
      <c r="E371" s="78"/>
      <c r="F371" s="78"/>
      <c r="G371" s="78"/>
      <c r="H371" s="79"/>
      <c r="I371" s="78"/>
      <c r="J371" s="78"/>
      <c r="K371" s="78"/>
      <c r="L371" s="78"/>
      <c r="M371" s="16"/>
      <c r="N371" s="78"/>
      <c r="O371" s="78"/>
      <c r="P371" s="78"/>
      <c r="Q371" s="78"/>
      <c r="R371" s="54"/>
    </row>
    <row r="372" spans="2:18" x14ac:dyDescent="0.2">
      <c r="B372" s="53"/>
      <c r="C372" s="78"/>
      <c r="D372" s="78"/>
      <c r="E372" s="78"/>
      <c r="F372" s="78"/>
      <c r="G372" s="78"/>
      <c r="H372" s="79"/>
      <c r="I372" s="78"/>
      <c r="J372" s="78"/>
      <c r="K372" s="78"/>
      <c r="L372" s="78"/>
      <c r="M372" s="16"/>
      <c r="N372" s="78"/>
      <c r="O372" s="78"/>
      <c r="P372" s="78"/>
      <c r="Q372" s="78"/>
      <c r="R372" s="54"/>
    </row>
    <row r="373" spans="2:18" x14ac:dyDescent="0.2">
      <c r="B373" s="53"/>
      <c r="C373" s="78"/>
      <c r="D373" s="78"/>
      <c r="E373" s="78"/>
      <c r="F373" s="78"/>
      <c r="G373" s="78"/>
      <c r="H373" s="79"/>
      <c r="I373" s="78"/>
      <c r="J373" s="78"/>
      <c r="K373" s="78"/>
      <c r="L373" s="78"/>
      <c r="M373" s="16"/>
      <c r="N373" s="78"/>
      <c r="O373" s="78"/>
      <c r="P373" s="78"/>
      <c r="Q373" s="78"/>
      <c r="R373" s="54"/>
    </row>
    <row r="374" spans="2:18" x14ac:dyDescent="0.2">
      <c r="B374" s="53"/>
      <c r="C374" s="78"/>
      <c r="D374" s="78"/>
      <c r="E374" s="78"/>
      <c r="F374" s="78"/>
      <c r="G374" s="78"/>
      <c r="H374" s="79"/>
      <c r="I374" s="78"/>
      <c r="J374" s="78"/>
      <c r="K374" s="78"/>
      <c r="L374" s="78"/>
      <c r="M374" s="16"/>
      <c r="N374" s="78"/>
      <c r="O374" s="78"/>
      <c r="P374" s="78"/>
      <c r="Q374" s="78"/>
      <c r="R374" s="54"/>
    </row>
    <row r="375" spans="2:18" x14ac:dyDescent="0.2">
      <c r="B375" s="53"/>
      <c r="C375" s="78"/>
      <c r="D375" s="78"/>
      <c r="E375" s="78"/>
      <c r="F375" s="78"/>
      <c r="G375" s="78"/>
      <c r="H375" s="79"/>
      <c r="I375" s="78"/>
      <c r="J375" s="78"/>
      <c r="K375" s="78"/>
      <c r="L375" s="78"/>
      <c r="M375" s="16"/>
      <c r="N375" s="78"/>
      <c r="O375" s="78"/>
      <c r="P375" s="78"/>
      <c r="Q375" s="78"/>
      <c r="R375" s="54"/>
    </row>
    <row r="376" spans="2:18" x14ac:dyDescent="0.2">
      <c r="B376" s="53"/>
      <c r="C376" s="78"/>
      <c r="D376" s="78"/>
      <c r="E376" s="78"/>
      <c r="F376" s="78"/>
      <c r="G376" s="78"/>
      <c r="H376" s="79"/>
      <c r="I376" s="78"/>
      <c r="J376" s="78"/>
      <c r="K376" s="78"/>
      <c r="L376" s="78"/>
      <c r="M376" s="16"/>
      <c r="N376" s="78"/>
      <c r="O376" s="78"/>
      <c r="P376" s="78"/>
      <c r="Q376" s="78"/>
      <c r="R376" s="54"/>
    </row>
    <row r="377" spans="2:18" x14ac:dyDescent="0.2">
      <c r="B377" s="53"/>
      <c r="C377" s="78"/>
      <c r="D377" s="78"/>
      <c r="E377" s="78"/>
      <c r="F377" s="78"/>
      <c r="G377" s="78"/>
      <c r="H377" s="79"/>
      <c r="I377" s="78"/>
      <c r="J377" s="78"/>
      <c r="K377" s="78"/>
      <c r="L377" s="78"/>
      <c r="M377" s="16"/>
      <c r="N377" s="78"/>
      <c r="O377" s="78"/>
      <c r="P377" s="78"/>
      <c r="Q377" s="78"/>
      <c r="R377" s="54"/>
    </row>
    <row r="378" spans="2:18" x14ac:dyDescent="0.2">
      <c r="B378" s="53"/>
      <c r="C378" s="78"/>
      <c r="D378" s="78"/>
      <c r="E378" s="78"/>
      <c r="F378" s="78"/>
      <c r="G378" s="78"/>
      <c r="H378" s="79"/>
      <c r="I378" s="78"/>
      <c r="J378" s="78"/>
      <c r="K378" s="78"/>
      <c r="L378" s="78"/>
      <c r="M378" s="16"/>
      <c r="N378" s="78"/>
      <c r="O378" s="78"/>
      <c r="P378" s="78"/>
      <c r="Q378" s="78"/>
      <c r="R378" s="54"/>
    </row>
    <row r="379" spans="2:18" x14ac:dyDescent="0.2">
      <c r="B379" s="53"/>
      <c r="C379" s="78"/>
      <c r="D379" s="78"/>
      <c r="E379" s="78"/>
      <c r="F379" s="78"/>
      <c r="G379" s="78"/>
      <c r="H379" s="79"/>
      <c r="I379" s="78"/>
      <c r="J379" s="78"/>
      <c r="K379" s="78"/>
      <c r="L379" s="78"/>
      <c r="M379" s="16"/>
      <c r="N379" s="78"/>
      <c r="O379" s="78"/>
      <c r="P379" s="78"/>
      <c r="Q379" s="78"/>
      <c r="R379" s="54"/>
    </row>
    <row r="380" spans="2:18" x14ac:dyDescent="0.2">
      <c r="B380" s="53"/>
      <c r="C380" s="78"/>
      <c r="D380" s="78"/>
      <c r="E380" s="78"/>
      <c r="F380" s="78"/>
      <c r="G380" s="78"/>
      <c r="H380" s="79"/>
      <c r="I380" s="78"/>
      <c r="J380" s="78"/>
      <c r="K380" s="78"/>
      <c r="L380" s="78"/>
      <c r="M380" s="16"/>
      <c r="N380" s="78"/>
      <c r="O380" s="78"/>
      <c r="P380" s="78"/>
      <c r="Q380" s="78"/>
      <c r="R380" s="54"/>
    </row>
    <row r="381" spans="2:18" x14ac:dyDescent="0.2">
      <c r="B381" s="53"/>
      <c r="C381" s="78"/>
      <c r="D381" s="78"/>
      <c r="E381" s="78"/>
      <c r="F381" s="78"/>
      <c r="G381" s="78"/>
      <c r="H381" s="79"/>
      <c r="I381" s="78"/>
      <c r="J381" s="78"/>
      <c r="K381" s="78"/>
      <c r="L381" s="78"/>
      <c r="M381" s="16"/>
      <c r="N381" s="78"/>
      <c r="O381" s="78"/>
      <c r="P381" s="78"/>
      <c r="Q381" s="78"/>
      <c r="R381" s="54"/>
    </row>
    <row r="382" spans="2:18" x14ac:dyDescent="0.2">
      <c r="B382" s="53"/>
      <c r="C382" s="78"/>
      <c r="D382" s="78"/>
      <c r="E382" s="78"/>
      <c r="F382" s="78"/>
      <c r="G382" s="78"/>
      <c r="H382" s="79"/>
      <c r="I382" s="78"/>
      <c r="J382" s="78"/>
      <c r="K382" s="78"/>
      <c r="L382" s="78"/>
      <c r="M382" s="16"/>
      <c r="N382" s="78"/>
      <c r="O382" s="78"/>
      <c r="P382" s="78"/>
      <c r="Q382" s="78"/>
      <c r="R382" s="54"/>
    </row>
    <row r="383" spans="2:18" x14ac:dyDescent="0.2">
      <c r="B383" s="53"/>
      <c r="C383" s="78"/>
      <c r="D383" s="78"/>
      <c r="E383" s="78"/>
      <c r="F383" s="78"/>
      <c r="G383" s="78"/>
      <c r="H383" s="79"/>
      <c r="I383" s="78"/>
      <c r="J383" s="78"/>
      <c r="K383" s="78"/>
      <c r="L383" s="78"/>
      <c r="M383" s="16"/>
      <c r="N383" s="78"/>
      <c r="O383" s="78"/>
      <c r="P383" s="78"/>
      <c r="Q383" s="78"/>
      <c r="R383" s="54"/>
    </row>
    <row r="384" spans="2:18" x14ac:dyDescent="0.2">
      <c r="B384" s="53"/>
      <c r="C384" s="78"/>
      <c r="D384" s="78"/>
      <c r="E384" s="78"/>
      <c r="F384" s="78"/>
      <c r="G384" s="78"/>
      <c r="H384" s="79"/>
      <c r="I384" s="78"/>
      <c r="J384" s="78"/>
      <c r="K384" s="78"/>
      <c r="L384" s="78"/>
      <c r="M384" s="16"/>
      <c r="N384" s="78"/>
      <c r="O384" s="78"/>
      <c r="P384" s="78"/>
      <c r="Q384" s="78"/>
      <c r="R384" s="54"/>
    </row>
    <row r="385" spans="2:18" x14ac:dyDescent="0.2">
      <c r="B385" s="53"/>
      <c r="C385" s="78"/>
      <c r="D385" s="78"/>
      <c r="E385" s="78"/>
      <c r="F385" s="78"/>
      <c r="G385" s="78"/>
      <c r="H385" s="79"/>
      <c r="I385" s="78"/>
      <c r="J385" s="78"/>
      <c r="K385" s="78"/>
      <c r="L385" s="78"/>
      <c r="M385" s="16"/>
      <c r="N385" s="78"/>
      <c r="O385" s="78"/>
      <c r="P385" s="78"/>
      <c r="Q385" s="78"/>
      <c r="R385" s="54"/>
    </row>
    <row r="386" spans="2:18" x14ac:dyDescent="0.2">
      <c r="B386" s="53"/>
      <c r="C386" s="78"/>
      <c r="D386" s="78"/>
      <c r="E386" s="78"/>
      <c r="F386" s="78"/>
      <c r="G386" s="78"/>
      <c r="H386" s="79"/>
      <c r="I386" s="78"/>
      <c r="J386" s="78"/>
      <c r="K386" s="78"/>
      <c r="L386" s="78"/>
      <c r="M386" s="16"/>
      <c r="N386" s="78"/>
      <c r="O386" s="78"/>
      <c r="P386" s="78"/>
      <c r="Q386" s="78"/>
      <c r="R386" s="54"/>
    </row>
    <row r="387" spans="2:18" x14ac:dyDescent="0.2">
      <c r="B387" s="53"/>
      <c r="C387" s="78"/>
      <c r="D387" s="78"/>
      <c r="E387" s="78"/>
      <c r="F387" s="78"/>
      <c r="G387" s="78"/>
      <c r="H387" s="79"/>
      <c r="I387" s="78"/>
      <c r="J387" s="78"/>
      <c r="K387" s="78"/>
      <c r="L387" s="78"/>
      <c r="M387" s="16"/>
      <c r="N387" s="78"/>
      <c r="O387" s="78"/>
      <c r="P387" s="78"/>
      <c r="Q387" s="78"/>
      <c r="R387" s="54"/>
    </row>
    <row r="388" spans="2:18" x14ac:dyDescent="0.2">
      <c r="B388" s="53"/>
      <c r="C388" s="78"/>
      <c r="D388" s="78"/>
      <c r="E388" s="78"/>
      <c r="F388" s="78"/>
      <c r="G388" s="78"/>
      <c r="H388" s="79"/>
      <c r="I388" s="78"/>
      <c r="J388" s="78"/>
      <c r="K388" s="78"/>
      <c r="L388" s="78"/>
      <c r="M388" s="16"/>
      <c r="N388" s="78"/>
      <c r="O388" s="78"/>
      <c r="P388" s="78"/>
      <c r="Q388" s="78"/>
      <c r="R388" s="54"/>
    </row>
    <row r="389" spans="2:18" x14ac:dyDescent="0.2">
      <c r="B389" s="53"/>
      <c r="C389" s="78"/>
      <c r="D389" s="78"/>
      <c r="E389" s="78"/>
      <c r="F389" s="78"/>
      <c r="G389" s="78"/>
      <c r="H389" s="79"/>
      <c r="I389" s="78"/>
      <c r="J389" s="78"/>
      <c r="K389" s="78"/>
      <c r="L389" s="78"/>
      <c r="M389" s="16"/>
      <c r="N389" s="78"/>
      <c r="O389" s="78"/>
      <c r="P389" s="78"/>
      <c r="Q389" s="78"/>
      <c r="R389" s="54"/>
    </row>
    <row r="390" spans="2:18" x14ac:dyDescent="0.2">
      <c r="B390" s="53"/>
      <c r="C390" s="78"/>
      <c r="D390" s="78"/>
      <c r="E390" s="78"/>
      <c r="F390" s="78"/>
      <c r="G390" s="78"/>
      <c r="H390" s="79"/>
      <c r="I390" s="78"/>
      <c r="J390" s="78"/>
      <c r="K390" s="78"/>
      <c r="L390" s="78"/>
      <c r="M390" s="16"/>
      <c r="N390" s="78"/>
      <c r="O390" s="78"/>
      <c r="P390" s="78"/>
      <c r="Q390" s="78"/>
      <c r="R390" s="54"/>
    </row>
    <row r="391" spans="2:18" x14ac:dyDescent="0.2">
      <c r="B391" s="53"/>
      <c r="C391" s="78"/>
      <c r="D391" s="78"/>
      <c r="E391" s="78"/>
      <c r="F391" s="78"/>
      <c r="G391" s="78"/>
      <c r="H391" s="79"/>
      <c r="I391" s="78"/>
      <c r="J391" s="78"/>
      <c r="K391" s="78"/>
      <c r="L391" s="78"/>
      <c r="M391" s="16"/>
      <c r="N391" s="78"/>
      <c r="O391" s="78"/>
      <c r="P391" s="78"/>
      <c r="Q391" s="78"/>
      <c r="R391" s="54"/>
    </row>
    <row r="392" spans="2:18" x14ac:dyDescent="0.2">
      <c r="B392" s="53"/>
      <c r="C392" s="78"/>
      <c r="D392" s="78"/>
      <c r="E392" s="78"/>
      <c r="F392" s="78"/>
      <c r="G392" s="78"/>
      <c r="H392" s="79"/>
      <c r="I392" s="78"/>
      <c r="J392" s="78"/>
      <c r="K392" s="78"/>
      <c r="L392" s="78"/>
      <c r="M392" s="16"/>
      <c r="N392" s="78"/>
      <c r="O392" s="78"/>
      <c r="P392" s="78"/>
      <c r="Q392" s="78"/>
      <c r="R392" s="54"/>
    </row>
    <row r="393" spans="2:18" x14ac:dyDescent="0.2">
      <c r="B393" s="53"/>
      <c r="C393" s="78"/>
      <c r="D393" s="78"/>
      <c r="E393" s="78"/>
      <c r="F393" s="78"/>
      <c r="G393" s="78"/>
      <c r="H393" s="79"/>
      <c r="I393" s="78"/>
      <c r="J393" s="78"/>
      <c r="K393" s="78"/>
      <c r="L393" s="78"/>
      <c r="M393" s="16"/>
      <c r="N393" s="78"/>
      <c r="O393" s="78"/>
      <c r="P393" s="78"/>
      <c r="Q393" s="78"/>
      <c r="R393" s="54"/>
    </row>
    <row r="394" spans="2:18" x14ac:dyDescent="0.2">
      <c r="B394" s="53"/>
      <c r="C394" s="78"/>
      <c r="D394" s="78"/>
      <c r="E394" s="78"/>
      <c r="F394" s="78"/>
      <c r="G394" s="78"/>
      <c r="H394" s="79"/>
      <c r="I394" s="78"/>
      <c r="J394" s="78"/>
      <c r="K394" s="78"/>
      <c r="L394" s="78"/>
      <c r="M394" s="16"/>
      <c r="N394" s="78"/>
      <c r="O394" s="78"/>
      <c r="P394" s="78"/>
      <c r="Q394" s="78"/>
      <c r="R394" s="54"/>
    </row>
    <row r="395" spans="2:18" x14ac:dyDescent="0.2">
      <c r="B395" s="53"/>
      <c r="C395" s="78"/>
      <c r="D395" s="78"/>
      <c r="E395" s="78"/>
      <c r="F395" s="78"/>
      <c r="G395" s="78"/>
      <c r="H395" s="79"/>
      <c r="I395" s="78"/>
      <c r="J395" s="78"/>
      <c r="K395" s="78"/>
      <c r="L395" s="78"/>
      <c r="M395" s="16"/>
      <c r="N395" s="78"/>
      <c r="O395" s="78"/>
      <c r="P395" s="78"/>
      <c r="Q395" s="78"/>
      <c r="R395" s="54"/>
    </row>
    <row r="396" spans="2:18" x14ac:dyDescent="0.2">
      <c r="B396" s="53"/>
      <c r="C396" s="78"/>
      <c r="D396" s="78"/>
      <c r="E396" s="78"/>
      <c r="F396" s="78"/>
      <c r="G396" s="78"/>
      <c r="H396" s="79"/>
      <c r="I396" s="78"/>
      <c r="J396" s="78"/>
      <c r="K396" s="78"/>
      <c r="L396" s="78"/>
      <c r="M396" s="16"/>
      <c r="N396" s="78"/>
      <c r="O396" s="78"/>
      <c r="P396" s="78"/>
      <c r="Q396" s="78"/>
      <c r="R396" s="54"/>
    </row>
    <row r="397" spans="2:18" x14ac:dyDescent="0.2">
      <c r="B397" s="53"/>
      <c r="C397" s="78"/>
      <c r="D397" s="78"/>
      <c r="E397" s="78"/>
      <c r="F397" s="78"/>
      <c r="G397" s="78"/>
      <c r="H397" s="79"/>
      <c r="I397" s="78"/>
      <c r="J397" s="78"/>
      <c r="K397" s="78"/>
      <c r="L397" s="78"/>
      <c r="M397" s="16"/>
      <c r="N397" s="78"/>
      <c r="O397" s="78"/>
      <c r="P397" s="78"/>
      <c r="Q397" s="78"/>
      <c r="R397" s="54"/>
    </row>
    <row r="398" spans="2:18" x14ac:dyDescent="0.2">
      <c r="B398" s="53"/>
      <c r="C398" s="78"/>
      <c r="D398" s="78"/>
      <c r="E398" s="78"/>
      <c r="F398" s="78"/>
      <c r="G398" s="78"/>
      <c r="H398" s="79"/>
      <c r="I398" s="78"/>
      <c r="J398" s="78"/>
      <c r="K398" s="78"/>
      <c r="L398" s="78"/>
      <c r="M398" s="16"/>
      <c r="N398" s="78"/>
      <c r="O398" s="78"/>
      <c r="P398" s="78"/>
      <c r="Q398" s="78"/>
      <c r="R398" s="54"/>
    </row>
    <row r="399" spans="2:18" x14ac:dyDescent="0.2">
      <c r="B399" s="53"/>
      <c r="C399" s="78"/>
      <c r="D399" s="78"/>
      <c r="E399" s="78"/>
      <c r="F399" s="78"/>
      <c r="G399" s="78"/>
      <c r="H399" s="79"/>
      <c r="I399" s="78"/>
      <c r="J399" s="78"/>
      <c r="K399" s="78"/>
      <c r="L399" s="78"/>
      <c r="M399" s="16"/>
      <c r="N399" s="78"/>
      <c r="O399" s="78"/>
      <c r="P399" s="78"/>
      <c r="Q399" s="78"/>
      <c r="R399" s="54"/>
    </row>
    <row r="400" spans="2:18" x14ac:dyDescent="0.2">
      <c r="B400" s="53"/>
      <c r="C400" s="78"/>
      <c r="D400" s="78"/>
      <c r="E400" s="78"/>
      <c r="F400" s="78"/>
      <c r="G400" s="78"/>
      <c r="H400" s="79"/>
      <c r="I400" s="78"/>
      <c r="J400" s="78"/>
      <c r="K400" s="78"/>
      <c r="L400" s="78"/>
      <c r="M400" s="16"/>
      <c r="N400" s="78"/>
      <c r="O400" s="78"/>
      <c r="P400" s="78"/>
      <c r="Q400" s="78"/>
      <c r="R400" s="54"/>
    </row>
    <row r="401" spans="2:18" x14ac:dyDescent="0.2">
      <c r="B401" s="53"/>
      <c r="C401" s="78"/>
      <c r="D401" s="78"/>
      <c r="E401" s="78"/>
      <c r="F401" s="78"/>
      <c r="G401" s="78"/>
      <c r="H401" s="79"/>
      <c r="I401" s="78"/>
      <c r="J401" s="78"/>
      <c r="K401" s="78"/>
      <c r="L401" s="78"/>
      <c r="M401" s="16"/>
      <c r="N401" s="78"/>
      <c r="O401" s="78"/>
      <c r="P401" s="78"/>
      <c r="Q401" s="78"/>
      <c r="R401" s="54"/>
    </row>
    <row r="402" spans="2:18" x14ac:dyDescent="0.2">
      <c r="B402" s="53"/>
      <c r="C402" s="78"/>
      <c r="D402" s="78"/>
      <c r="E402" s="78"/>
      <c r="F402" s="78"/>
      <c r="G402" s="78"/>
      <c r="H402" s="79"/>
      <c r="I402" s="78"/>
      <c r="J402" s="78"/>
      <c r="K402" s="78"/>
      <c r="L402" s="78"/>
      <c r="M402" s="16"/>
      <c r="N402" s="78"/>
      <c r="O402" s="78"/>
      <c r="P402" s="78"/>
      <c r="Q402" s="78"/>
      <c r="R402" s="54"/>
    </row>
    <row r="403" spans="2:18" x14ac:dyDescent="0.2">
      <c r="B403" s="53"/>
      <c r="C403" s="78"/>
      <c r="D403" s="78"/>
      <c r="E403" s="78"/>
      <c r="F403" s="78"/>
      <c r="G403" s="78"/>
      <c r="H403" s="79"/>
      <c r="I403" s="78"/>
      <c r="J403" s="78"/>
      <c r="K403" s="78"/>
      <c r="L403" s="78"/>
      <c r="M403" s="16"/>
      <c r="N403" s="78"/>
      <c r="O403" s="78"/>
      <c r="P403" s="78"/>
      <c r="Q403" s="78"/>
      <c r="R403" s="54"/>
    </row>
    <row r="404" spans="2:18" x14ac:dyDescent="0.2">
      <c r="B404" s="53"/>
      <c r="C404" s="78"/>
      <c r="D404" s="78"/>
      <c r="E404" s="78"/>
      <c r="F404" s="78"/>
      <c r="G404" s="78"/>
      <c r="H404" s="79"/>
      <c r="I404" s="78"/>
      <c r="J404" s="78"/>
      <c r="K404" s="78"/>
      <c r="L404" s="78"/>
      <c r="M404" s="16"/>
      <c r="N404" s="78"/>
      <c r="O404" s="78"/>
      <c r="P404" s="78"/>
      <c r="Q404" s="78"/>
      <c r="R404" s="54"/>
    </row>
    <row r="405" spans="2:18" x14ac:dyDescent="0.2">
      <c r="B405" s="53"/>
      <c r="C405" s="78"/>
      <c r="D405" s="78"/>
      <c r="E405" s="78"/>
      <c r="F405" s="78"/>
      <c r="G405" s="78"/>
      <c r="H405" s="79"/>
      <c r="I405" s="78"/>
      <c r="J405" s="78"/>
      <c r="K405" s="78"/>
      <c r="L405" s="78"/>
      <c r="M405" s="16"/>
      <c r="N405" s="78"/>
      <c r="O405" s="78"/>
      <c r="P405" s="78"/>
      <c r="Q405" s="78"/>
      <c r="R405" s="54"/>
    </row>
    <row r="406" spans="2:18" x14ac:dyDescent="0.2">
      <c r="B406" s="53"/>
      <c r="C406" s="78"/>
      <c r="D406" s="78"/>
      <c r="E406" s="78"/>
      <c r="F406" s="78"/>
      <c r="G406" s="78"/>
      <c r="H406" s="79"/>
      <c r="I406" s="78"/>
      <c r="J406" s="78"/>
      <c r="K406" s="78"/>
      <c r="L406" s="78"/>
      <c r="M406" s="16"/>
      <c r="N406" s="78"/>
      <c r="O406" s="78"/>
      <c r="P406" s="78"/>
      <c r="Q406" s="78"/>
      <c r="R406" s="54"/>
    </row>
    <row r="407" spans="2:18" x14ac:dyDescent="0.2">
      <c r="B407" s="53"/>
      <c r="C407" s="78"/>
      <c r="D407" s="78"/>
      <c r="E407" s="78"/>
      <c r="F407" s="78"/>
      <c r="G407" s="78"/>
      <c r="H407" s="79"/>
      <c r="I407" s="78"/>
      <c r="J407" s="78"/>
      <c r="K407" s="78"/>
      <c r="L407" s="78"/>
      <c r="M407" s="16"/>
      <c r="N407" s="78"/>
      <c r="O407" s="78"/>
      <c r="P407" s="78"/>
      <c r="Q407" s="78"/>
      <c r="R407" s="54"/>
    </row>
    <row r="408" spans="2:18" x14ac:dyDescent="0.2">
      <c r="B408" s="53"/>
      <c r="C408" s="78"/>
      <c r="D408" s="78"/>
      <c r="E408" s="78"/>
      <c r="F408" s="78"/>
      <c r="G408" s="78"/>
      <c r="H408" s="79"/>
      <c r="I408" s="78"/>
      <c r="J408" s="78"/>
      <c r="K408" s="78"/>
      <c r="L408" s="78"/>
      <c r="M408" s="16"/>
      <c r="N408" s="78"/>
      <c r="O408" s="78"/>
      <c r="P408" s="78"/>
      <c r="Q408" s="78"/>
      <c r="R408" s="54"/>
    </row>
    <row r="409" spans="2:18" x14ac:dyDescent="0.2">
      <c r="B409" s="53"/>
      <c r="C409" s="78"/>
      <c r="D409" s="78"/>
      <c r="E409" s="78"/>
      <c r="F409" s="78"/>
      <c r="G409" s="78"/>
      <c r="H409" s="79"/>
      <c r="I409" s="78"/>
      <c r="J409" s="78"/>
      <c r="K409" s="78"/>
      <c r="L409" s="78"/>
      <c r="M409" s="16"/>
      <c r="N409" s="78"/>
      <c r="O409" s="78"/>
      <c r="P409" s="78"/>
      <c r="Q409" s="78"/>
      <c r="R409" s="54"/>
    </row>
    <row r="410" spans="2:18" x14ac:dyDescent="0.2">
      <c r="B410" s="53"/>
      <c r="C410" s="78"/>
      <c r="D410" s="78"/>
      <c r="E410" s="78"/>
      <c r="F410" s="78"/>
      <c r="G410" s="78"/>
      <c r="H410" s="79"/>
      <c r="I410" s="78"/>
      <c r="J410" s="78"/>
      <c r="K410" s="78"/>
      <c r="L410" s="78"/>
      <c r="M410" s="16"/>
      <c r="N410" s="78"/>
      <c r="O410" s="78"/>
      <c r="P410" s="78"/>
      <c r="Q410" s="78"/>
      <c r="R410" s="54"/>
    </row>
    <row r="411" spans="2:18" x14ac:dyDescent="0.2">
      <c r="B411" s="53"/>
      <c r="C411" s="78"/>
      <c r="D411" s="78"/>
      <c r="E411" s="78"/>
      <c r="F411" s="78"/>
      <c r="G411" s="78"/>
      <c r="H411" s="79"/>
      <c r="I411" s="78"/>
      <c r="J411" s="78"/>
      <c r="K411" s="78"/>
      <c r="L411" s="78"/>
      <c r="M411" s="16"/>
      <c r="N411" s="78"/>
      <c r="O411" s="78"/>
      <c r="P411" s="78"/>
      <c r="Q411" s="78"/>
      <c r="R411" s="54"/>
    </row>
    <row r="412" spans="2:18" x14ac:dyDescent="0.2">
      <c r="B412" s="53"/>
      <c r="C412" s="78"/>
      <c r="D412" s="78"/>
      <c r="E412" s="78"/>
      <c r="F412" s="78"/>
      <c r="G412" s="78"/>
      <c r="H412" s="79"/>
      <c r="I412" s="78"/>
      <c r="J412" s="78"/>
      <c r="K412" s="78"/>
      <c r="L412" s="78"/>
      <c r="M412" s="16"/>
      <c r="N412" s="78"/>
      <c r="O412" s="78"/>
      <c r="P412" s="78"/>
      <c r="Q412" s="78"/>
      <c r="R412" s="54"/>
    </row>
    <row r="413" spans="2:18" x14ac:dyDescent="0.2">
      <c r="B413" s="53"/>
      <c r="C413" s="78"/>
      <c r="D413" s="78"/>
      <c r="E413" s="78"/>
      <c r="F413" s="78"/>
      <c r="G413" s="78"/>
      <c r="H413" s="79"/>
      <c r="I413" s="78"/>
      <c r="J413" s="78"/>
      <c r="K413" s="78"/>
      <c r="L413" s="78"/>
      <c r="M413" s="16"/>
      <c r="N413" s="78"/>
      <c r="O413" s="78"/>
      <c r="P413" s="78"/>
      <c r="Q413" s="78"/>
      <c r="R413" s="54"/>
    </row>
    <row r="414" spans="2:18" x14ac:dyDescent="0.2">
      <c r="B414" s="53"/>
      <c r="C414" s="78"/>
      <c r="D414" s="78"/>
      <c r="E414" s="78"/>
      <c r="F414" s="78"/>
      <c r="G414" s="78"/>
      <c r="H414" s="79"/>
      <c r="I414" s="78"/>
      <c r="J414" s="78"/>
      <c r="K414" s="78"/>
      <c r="L414" s="78"/>
      <c r="M414" s="16"/>
      <c r="N414" s="78"/>
      <c r="O414" s="78"/>
      <c r="P414" s="78"/>
      <c r="Q414" s="78"/>
      <c r="R414" s="54"/>
    </row>
    <row r="415" spans="2:18" x14ac:dyDescent="0.2">
      <c r="B415" s="53"/>
      <c r="C415" s="78"/>
      <c r="D415" s="78"/>
      <c r="E415" s="78"/>
      <c r="F415" s="78"/>
      <c r="G415" s="78"/>
      <c r="H415" s="79"/>
      <c r="I415" s="78"/>
      <c r="J415" s="78"/>
      <c r="K415" s="78"/>
      <c r="L415" s="78"/>
      <c r="M415" s="16"/>
      <c r="N415" s="78"/>
      <c r="O415" s="78"/>
      <c r="P415" s="78"/>
      <c r="Q415" s="78"/>
      <c r="R415" s="54"/>
    </row>
    <row r="416" spans="2:18" x14ac:dyDescent="0.2">
      <c r="B416" s="53"/>
      <c r="C416" s="78"/>
      <c r="D416" s="78"/>
      <c r="E416" s="78"/>
      <c r="F416" s="78"/>
      <c r="G416" s="78"/>
      <c r="H416" s="79"/>
      <c r="I416" s="78"/>
      <c r="J416" s="78"/>
      <c r="K416" s="78"/>
      <c r="L416" s="78"/>
      <c r="M416" s="16"/>
      <c r="N416" s="78"/>
      <c r="O416" s="78"/>
      <c r="P416" s="78"/>
      <c r="Q416" s="78"/>
      <c r="R416" s="54"/>
    </row>
    <row r="417" spans="2:18" x14ac:dyDescent="0.2">
      <c r="B417" s="53"/>
      <c r="C417" s="78"/>
      <c r="D417" s="78"/>
      <c r="E417" s="78"/>
      <c r="F417" s="78"/>
      <c r="G417" s="78"/>
      <c r="H417" s="79"/>
      <c r="I417" s="78"/>
      <c r="J417" s="78"/>
      <c r="K417" s="78"/>
      <c r="L417" s="78"/>
      <c r="M417" s="16"/>
      <c r="N417" s="78"/>
      <c r="O417" s="78"/>
      <c r="P417" s="78"/>
      <c r="Q417" s="78"/>
      <c r="R417" s="54"/>
    </row>
    <row r="418" spans="2:18" x14ac:dyDescent="0.2">
      <c r="B418" s="53"/>
      <c r="C418" s="78"/>
      <c r="D418" s="78"/>
      <c r="E418" s="78"/>
      <c r="F418" s="78"/>
      <c r="G418" s="78"/>
      <c r="H418" s="79"/>
      <c r="I418" s="78"/>
      <c r="J418" s="78"/>
      <c r="K418" s="78"/>
      <c r="L418" s="78"/>
      <c r="M418" s="16"/>
      <c r="N418" s="78"/>
      <c r="O418" s="78"/>
      <c r="P418" s="78"/>
      <c r="Q418" s="78"/>
      <c r="R418" s="54"/>
    </row>
    <row r="419" spans="2:18" x14ac:dyDescent="0.2">
      <c r="B419" s="53"/>
      <c r="C419" s="78"/>
      <c r="D419" s="78"/>
      <c r="E419" s="78"/>
      <c r="F419" s="78"/>
      <c r="G419" s="78"/>
      <c r="H419" s="79"/>
      <c r="I419" s="78"/>
      <c r="J419" s="78"/>
      <c r="K419" s="78"/>
      <c r="L419" s="78"/>
      <c r="M419" s="16"/>
      <c r="N419" s="78"/>
      <c r="O419" s="78"/>
      <c r="P419" s="78"/>
      <c r="Q419" s="78"/>
      <c r="R419" s="54"/>
    </row>
    <row r="420" spans="2:18" x14ac:dyDescent="0.2">
      <c r="B420" s="53"/>
      <c r="C420" s="78"/>
      <c r="D420" s="78"/>
      <c r="E420" s="78"/>
      <c r="F420" s="78"/>
      <c r="G420" s="78"/>
      <c r="H420" s="79"/>
      <c r="I420" s="78"/>
      <c r="J420" s="78"/>
      <c r="K420" s="78"/>
      <c r="L420" s="78"/>
      <c r="M420" s="16"/>
      <c r="N420" s="78"/>
      <c r="O420" s="78"/>
      <c r="P420" s="78"/>
      <c r="Q420" s="78"/>
      <c r="R420" s="54"/>
    </row>
    <row r="421" spans="2:18" x14ac:dyDescent="0.2">
      <c r="B421" s="53"/>
      <c r="C421" s="78"/>
      <c r="D421" s="78"/>
      <c r="E421" s="78"/>
      <c r="F421" s="78"/>
      <c r="G421" s="78"/>
      <c r="H421" s="79"/>
      <c r="I421" s="78"/>
      <c r="J421" s="78"/>
      <c r="K421" s="78"/>
      <c r="L421" s="78"/>
      <c r="M421" s="16"/>
      <c r="N421" s="78"/>
      <c r="O421" s="78"/>
      <c r="P421" s="78"/>
      <c r="Q421" s="78"/>
      <c r="R421" s="54"/>
    </row>
    <row r="422" spans="2:18" x14ac:dyDescent="0.2">
      <c r="B422" s="53"/>
      <c r="C422" s="78"/>
      <c r="D422" s="78"/>
      <c r="E422" s="78"/>
      <c r="F422" s="78"/>
      <c r="G422" s="78"/>
      <c r="H422" s="79"/>
      <c r="I422" s="78"/>
      <c r="J422" s="78"/>
      <c r="K422" s="78"/>
      <c r="L422" s="78"/>
      <c r="M422" s="16"/>
      <c r="N422" s="78"/>
      <c r="O422" s="78"/>
      <c r="P422" s="78"/>
      <c r="Q422" s="78"/>
      <c r="R422" s="54"/>
    </row>
    <row r="423" spans="2:18" x14ac:dyDescent="0.2">
      <c r="B423" s="53"/>
      <c r="C423" s="78"/>
      <c r="D423" s="78"/>
      <c r="E423" s="78"/>
      <c r="F423" s="78"/>
      <c r="G423" s="78"/>
      <c r="H423" s="79"/>
      <c r="I423" s="78"/>
      <c r="J423" s="78"/>
      <c r="K423" s="78"/>
      <c r="L423" s="78"/>
      <c r="M423" s="16"/>
      <c r="N423" s="78"/>
      <c r="O423" s="78"/>
      <c r="P423" s="78"/>
      <c r="Q423" s="78"/>
      <c r="R423" s="54"/>
    </row>
    <row r="424" spans="2:18" x14ac:dyDescent="0.2">
      <c r="B424" s="53"/>
      <c r="C424" s="78"/>
      <c r="D424" s="78"/>
      <c r="E424" s="78"/>
      <c r="F424" s="78"/>
      <c r="G424" s="78"/>
      <c r="H424" s="79"/>
      <c r="I424" s="78"/>
      <c r="J424" s="78"/>
      <c r="K424" s="78"/>
      <c r="L424" s="78"/>
      <c r="M424" s="16"/>
      <c r="N424" s="78"/>
      <c r="O424" s="78"/>
      <c r="P424" s="78"/>
      <c r="Q424" s="78"/>
      <c r="R424" s="54"/>
    </row>
    <row r="425" spans="2:18" x14ac:dyDescent="0.2">
      <c r="B425" s="53"/>
      <c r="C425" s="78"/>
      <c r="D425" s="78"/>
      <c r="E425" s="78"/>
      <c r="F425" s="78"/>
      <c r="G425" s="78"/>
      <c r="H425" s="79"/>
      <c r="I425" s="78"/>
      <c r="J425" s="78"/>
      <c r="K425" s="78"/>
      <c r="L425" s="78"/>
      <c r="M425" s="16"/>
      <c r="N425" s="78"/>
      <c r="O425" s="78"/>
      <c r="P425" s="78"/>
      <c r="Q425" s="78"/>
      <c r="R425" s="54"/>
    </row>
    <row r="426" spans="2:18" x14ac:dyDescent="0.2">
      <c r="B426" s="53"/>
      <c r="C426" s="78"/>
      <c r="D426" s="78"/>
      <c r="E426" s="78"/>
      <c r="F426" s="78"/>
      <c r="G426" s="78"/>
      <c r="H426" s="79"/>
      <c r="I426" s="78"/>
      <c r="J426" s="78"/>
      <c r="K426" s="78"/>
      <c r="L426" s="78"/>
      <c r="M426" s="16"/>
      <c r="N426" s="78"/>
      <c r="O426" s="78"/>
      <c r="P426" s="78"/>
      <c r="Q426" s="78"/>
      <c r="R426" s="54"/>
    </row>
    <row r="427" spans="2:18" x14ac:dyDescent="0.2">
      <c r="B427" s="53"/>
      <c r="C427" s="78"/>
      <c r="D427" s="78"/>
      <c r="E427" s="78"/>
      <c r="F427" s="78"/>
      <c r="G427" s="78"/>
      <c r="H427" s="79"/>
      <c r="I427" s="78"/>
      <c r="J427" s="78"/>
      <c r="K427" s="78"/>
      <c r="L427" s="78"/>
      <c r="M427" s="16"/>
      <c r="N427" s="78"/>
      <c r="O427" s="78"/>
      <c r="P427" s="78"/>
      <c r="Q427" s="78"/>
      <c r="R427" s="54"/>
    </row>
    <row r="428" spans="2:18" x14ac:dyDescent="0.2">
      <c r="B428" s="53"/>
      <c r="C428" s="78"/>
      <c r="D428" s="78"/>
      <c r="E428" s="78"/>
      <c r="F428" s="78"/>
      <c r="G428" s="78"/>
      <c r="H428" s="79"/>
      <c r="I428" s="78"/>
      <c r="J428" s="78"/>
      <c r="K428" s="78"/>
      <c r="L428" s="78"/>
      <c r="M428" s="16"/>
      <c r="N428" s="78"/>
      <c r="O428" s="78"/>
      <c r="P428" s="78"/>
      <c r="Q428" s="78"/>
      <c r="R428" s="54"/>
    </row>
    <row r="429" spans="2:18" x14ac:dyDescent="0.2">
      <c r="B429" s="53"/>
      <c r="C429" s="78"/>
      <c r="D429" s="78"/>
      <c r="E429" s="78"/>
      <c r="F429" s="78"/>
      <c r="G429" s="78"/>
      <c r="H429" s="79"/>
      <c r="I429" s="78"/>
      <c r="J429" s="78"/>
      <c r="K429" s="78"/>
      <c r="L429" s="78"/>
      <c r="M429" s="16"/>
      <c r="N429" s="78"/>
      <c r="O429" s="78"/>
      <c r="P429" s="78"/>
      <c r="Q429" s="78"/>
      <c r="R429" s="54"/>
    </row>
    <row r="430" spans="2:18" x14ac:dyDescent="0.2">
      <c r="B430" s="53"/>
      <c r="C430" s="78"/>
      <c r="D430" s="78"/>
      <c r="E430" s="78"/>
      <c r="F430" s="78"/>
      <c r="G430" s="78"/>
      <c r="H430" s="79"/>
      <c r="I430" s="78"/>
      <c r="J430" s="78"/>
      <c r="K430" s="78"/>
      <c r="L430" s="78"/>
      <c r="M430" s="16"/>
      <c r="N430" s="78"/>
      <c r="O430" s="78"/>
      <c r="P430" s="78"/>
      <c r="Q430" s="78"/>
      <c r="R430" s="54"/>
    </row>
    <row r="431" spans="2:18" x14ac:dyDescent="0.2">
      <c r="B431" s="53"/>
      <c r="C431" s="78"/>
      <c r="D431" s="78"/>
      <c r="E431" s="78"/>
      <c r="F431" s="78"/>
      <c r="G431" s="78"/>
      <c r="H431" s="79"/>
      <c r="I431" s="78"/>
      <c r="J431" s="78"/>
      <c r="K431" s="78"/>
      <c r="L431" s="78"/>
      <c r="M431" s="16"/>
      <c r="N431" s="78"/>
      <c r="O431" s="78"/>
      <c r="P431" s="78"/>
      <c r="Q431" s="78"/>
      <c r="R431" s="54"/>
    </row>
    <row r="432" spans="2:18" x14ac:dyDescent="0.2">
      <c r="B432" s="53"/>
      <c r="C432" s="78"/>
      <c r="D432" s="78"/>
      <c r="E432" s="78"/>
      <c r="F432" s="78"/>
      <c r="G432" s="78"/>
      <c r="H432" s="79"/>
      <c r="I432" s="78"/>
      <c r="J432" s="78"/>
      <c r="K432" s="78"/>
      <c r="L432" s="78"/>
      <c r="M432" s="16"/>
      <c r="N432" s="78"/>
      <c r="O432" s="78"/>
      <c r="P432" s="78"/>
      <c r="Q432" s="78"/>
      <c r="R432" s="54"/>
    </row>
    <row r="433" spans="2:18" x14ac:dyDescent="0.2">
      <c r="B433" s="53"/>
      <c r="C433" s="78"/>
      <c r="D433" s="78"/>
      <c r="E433" s="78"/>
      <c r="F433" s="78"/>
      <c r="G433" s="78"/>
      <c r="H433" s="79"/>
      <c r="I433" s="78"/>
      <c r="J433" s="78"/>
      <c r="K433" s="78"/>
      <c r="L433" s="78"/>
      <c r="M433" s="16"/>
      <c r="N433" s="78"/>
      <c r="O433" s="78"/>
      <c r="P433" s="78"/>
      <c r="Q433" s="78"/>
      <c r="R433" s="54"/>
    </row>
    <row r="434" spans="2:18" x14ac:dyDescent="0.2">
      <c r="B434" s="53"/>
      <c r="C434" s="78"/>
      <c r="D434" s="78"/>
      <c r="E434" s="78"/>
      <c r="F434" s="78"/>
      <c r="G434" s="78"/>
      <c r="H434" s="79"/>
      <c r="I434" s="78"/>
      <c r="J434" s="78"/>
      <c r="K434" s="78"/>
      <c r="L434" s="78"/>
      <c r="M434" s="16"/>
      <c r="N434" s="78"/>
      <c r="O434" s="78"/>
      <c r="P434" s="78"/>
      <c r="Q434" s="78"/>
      <c r="R434" s="54"/>
    </row>
    <row r="435" spans="2:18" x14ac:dyDescent="0.2">
      <c r="B435" s="53"/>
      <c r="C435" s="78"/>
      <c r="D435" s="78"/>
      <c r="E435" s="78"/>
      <c r="F435" s="78"/>
      <c r="G435" s="78"/>
      <c r="H435" s="79"/>
      <c r="I435" s="78"/>
      <c r="J435" s="78"/>
      <c r="K435" s="78"/>
      <c r="L435" s="78"/>
      <c r="M435" s="16"/>
      <c r="N435" s="78"/>
      <c r="O435" s="78"/>
      <c r="P435" s="78"/>
      <c r="Q435" s="78"/>
      <c r="R435" s="54"/>
    </row>
    <row r="436" spans="2:18" x14ac:dyDescent="0.2">
      <c r="B436" s="53"/>
      <c r="C436" s="78"/>
      <c r="D436" s="78"/>
      <c r="E436" s="78"/>
      <c r="F436" s="78"/>
      <c r="G436" s="78"/>
      <c r="H436" s="79"/>
      <c r="I436" s="78"/>
      <c r="J436" s="78"/>
      <c r="K436" s="78"/>
      <c r="L436" s="78"/>
      <c r="M436" s="16"/>
      <c r="N436" s="78"/>
      <c r="O436" s="78"/>
      <c r="P436" s="78"/>
      <c r="Q436" s="78"/>
      <c r="R436" s="54"/>
    </row>
    <row r="437" spans="2:18" x14ac:dyDescent="0.2">
      <c r="B437" s="53"/>
      <c r="C437" s="78"/>
      <c r="D437" s="78"/>
      <c r="E437" s="78"/>
      <c r="F437" s="78"/>
      <c r="G437" s="78"/>
      <c r="H437" s="79"/>
      <c r="I437" s="78"/>
      <c r="J437" s="78"/>
      <c r="K437" s="78"/>
      <c r="L437" s="78"/>
      <c r="M437" s="16"/>
      <c r="N437" s="78"/>
      <c r="O437" s="78"/>
      <c r="P437" s="78"/>
      <c r="Q437" s="78"/>
      <c r="R437" s="54"/>
    </row>
    <row r="438" spans="2:18" x14ac:dyDescent="0.2">
      <c r="B438" s="53"/>
      <c r="C438" s="78"/>
      <c r="D438" s="78"/>
      <c r="E438" s="78"/>
      <c r="F438" s="78"/>
      <c r="G438" s="78"/>
      <c r="H438" s="79"/>
      <c r="I438" s="78"/>
      <c r="J438" s="78"/>
      <c r="K438" s="78"/>
      <c r="L438" s="78"/>
      <c r="M438" s="16"/>
      <c r="N438" s="78"/>
      <c r="O438" s="78"/>
      <c r="P438" s="78"/>
      <c r="Q438" s="78"/>
      <c r="R438" s="54"/>
    </row>
    <row r="439" spans="2:18" x14ac:dyDescent="0.2">
      <c r="B439" s="53"/>
      <c r="C439" s="78"/>
      <c r="D439" s="78"/>
      <c r="E439" s="78"/>
      <c r="F439" s="78"/>
      <c r="G439" s="78"/>
      <c r="H439" s="79"/>
      <c r="I439" s="78"/>
      <c r="J439" s="78"/>
      <c r="K439" s="78"/>
      <c r="L439" s="78"/>
      <c r="M439" s="16"/>
      <c r="N439" s="78"/>
      <c r="O439" s="78"/>
      <c r="P439" s="78"/>
      <c r="Q439" s="78"/>
      <c r="R439" s="54"/>
    </row>
    <row r="440" spans="2:18" x14ac:dyDescent="0.2">
      <c r="B440" s="53"/>
      <c r="C440" s="78"/>
      <c r="D440" s="78"/>
      <c r="E440" s="78"/>
      <c r="F440" s="78"/>
      <c r="G440" s="78"/>
      <c r="H440" s="79"/>
      <c r="I440" s="78"/>
      <c r="J440" s="78"/>
      <c r="K440" s="78"/>
      <c r="L440" s="78"/>
      <c r="M440" s="16"/>
      <c r="N440" s="78"/>
      <c r="O440" s="78"/>
      <c r="P440" s="78"/>
      <c r="Q440" s="78"/>
      <c r="R440" s="54"/>
    </row>
    <row r="441" spans="2:18" x14ac:dyDescent="0.2">
      <c r="B441" s="53"/>
      <c r="C441" s="78"/>
      <c r="D441" s="78"/>
      <c r="E441" s="78"/>
      <c r="F441" s="78"/>
      <c r="G441" s="78"/>
      <c r="H441" s="79"/>
      <c r="I441" s="78"/>
      <c r="J441" s="78"/>
      <c r="K441" s="78"/>
      <c r="L441" s="78"/>
      <c r="M441" s="16"/>
      <c r="N441" s="78"/>
      <c r="O441" s="78"/>
      <c r="P441" s="78"/>
      <c r="Q441" s="78"/>
      <c r="R441" s="54"/>
    </row>
    <row r="442" spans="2:18" x14ac:dyDescent="0.2">
      <c r="B442" s="53"/>
      <c r="C442" s="78"/>
      <c r="D442" s="78"/>
      <c r="E442" s="78"/>
      <c r="F442" s="78"/>
      <c r="G442" s="78"/>
      <c r="H442" s="79"/>
      <c r="I442" s="78"/>
      <c r="J442" s="78"/>
      <c r="K442" s="78"/>
      <c r="L442" s="78"/>
      <c r="M442" s="16"/>
      <c r="N442" s="78"/>
      <c r="O442" s="78"/>
      <c r="P442" s="78"/>
      <c r="Q442" s="78"/>
      <c r="R442" s="54"/>
    </row>
    <row r="443" spans="2:18" x14ac:dyDescent="0.2">
      <c r="B443" s="53"/>
      <c r="C443" s="78"/>
      <c r="D443" s="78"/>
      <c r="E443" s="78"/>
      <c r="F443" s="78"/>
      <c r="G443" s="78"/>
      <c r="H443" s="79"/>
      <c r="I443" s="78"/>
      <c r="J443" s="78"/>
      <c r="K443" s="78"/>
      <c r="L443" s="78"/>
      <c r="M443" s="16"/>
      <c r="N443" s="78"/>
      <c r="O443" s="78"/>
      <c r="P443" s="78"/>
      <c r="Q443" s="78"/>
      <c r="R443" s="54"/>
    </row>
    <row r="444" spans="2:18" x14ac:dyDescent="0.2">
      <c r="B444" s="53"/>
      <c r="C444" s="78"/>
      <c r="D444" s="78"/>
      <c r="E444" s="78"/>
      <c r="F444" s="78"/>
      <c r="G444" s="78"/>
      <c r="H444" s="79"/>
      <c r="I444" s="78"/>
      <c r="J444" s="78"/>
      <c r="K444" s="78"/>
      <c r="L444" s="78"/>
      <c r="M444" s="16"/>
      <c r="N444" s="78"/>
      <c r="O444" s="78"/>
      <c r="P444" s="78"/>
      <c r="Q444" s="78"/>
      <c r="R444" s="54"/>
    </row>
    <row r="445" spans="2:18" x14ac:dyDescent="0.2">
      <c r="B445" s="53"/>
      <c r="C445" s="78"/>
      <c r="D445" s="78"/>
      <c r="E445" s="78"/>
      <c r="F445" s="78"/>
      <c r="G445" s="78"/>
      <c r="H445" s="79"/>
      <c r="I445" s="78"/>
      <c r="J445" s="78"/>
      <c r="K445" s="78"/>
      <c r="L445" s="78"/>
      <c r="M445" s="16"/>
      <c r="N445" s="78"/>
      <c r="O445" s="78"/>
      <c r="P445" s="78"/>
      <c r="Q445" s="78"/>
      <c r="R445" s="54"/>
    </row>
    <row r="446" spans="2:18" x14ac:dyDescent="0.2">
      <c r="B446" s="53"/>
      <c r="C446" s="78"/>
      <c r="D446" s="78"/>
      <c r="E446" s="78"/>
      <c r="F446" s="78"/>
      <c r="G446" s="78"/>
      <c r="H446" s="79"/>
      <c r="I446" s="78"/>
      <c r="J446" s="78"/>
      <c r="K446" s="78"/>
      <c r="L446" s="78"/>
      <c r="M446" s="16"/>
      <c r="N446" s="78"/>
      <c r="O446" s="78"/>
      <c r="P446" s="78"/>
      <c r="Q446" s="78"/>
      <c r="R446" s="54"/>
    </row>
    <row r="447" spans="2:18" x14ac:dyDescent="0.2">
      <c r="B447" s="53"/>
      <c r="C447" s="78"/>
      <c r="D447" s="78"/>
      <c r="E447" s="78"/>
      <c r="F447" s="78"/>
      <c r="G447" s="78"/>
      <c r="H447" s="79"/>
      <c r="I447" s="78"/>
      <c r="J447" s="78"/>
      <c r="K447" s="78"/>
      <c r="L447" s="78"/>
      <c r="M447" s="16"/>
      <c r="N447" s="78"/>
      <c r="O447" s="78"/>
      <c r="P447" s="78"/>
      <c r="Q447" s="78"/>
      <c r="R447" s="54"/>
    </row>
    <row r="448" spans="2:18" x14ac:dyDescent="0.2">
      <c r="B448" s="53"/>
      <c r="C448" s="78"/>
      <c r="D448" s="78"/>
      <c r="E448" s="78"/>
      <c r="F448" s="78"/>
      <c r="G448" s="78"/>
      <c r="H448" s="79"/>
      <c r="I448" s="78"/>
      <c r="J448" s="78"/>
      <c r="K448" s="78"/>
      <c r="L448" s="78"/>
      <c r="M448" s="16"/>
      <c r="N448" s="78"/>
      <c r="O448" s="78"/>
      <c r="P448" s="78"/>
      <c r="Q448" s="78"/>
      <c r="R448" s="54"/>
    </row>
    <row r="449" spans="2:18" x14ac:dyDescent="0.2">
      <c r="B449" s="53"/>
      <c r="C449" s="78"/>
      <c r="D449" s="78"/>
      <c r="E449" s="78"/>
      <c r="F449" s="78"/>
      <c r="G449" s="78"/>
      <c r="H449" s="79"/>
      <c r="I449" s="78"/>
      <c r="J449" s="78"/>
      <c r="K449" s="78"/>
      <c r="L449" s="78"/>
      <c r="M449" s="16"/>
      <c r="N449" s="78"/>
      <c r="O449" s="78"/>
      <c r="P449" s="78"/>
      <c r="Q449" s="78"/>
      <c r="R449" s="54"/>
    </row>
    <row r="450" spans="2:18" x14ac:dyDescent="0.2">
      <c r="B450" s="53"/>
      <c r="C450" s="78"/>
      <c r="D450" s="78"/>
      <c r="E450" s="78"/>
      <c r="F450" s="78"/>
      <c r="G450" s="78"/>
      <c r="H450" s="79"/>
      <c r="I450" s="78"/>
      <c r="J450" s="78"/>
      <c r="K450" s="78"/>
      <c r="L450" s="78"/>
      <c r="M450" s="16"/>
      <c r="N450" s="78"/>
      <c r="O450" s="78"/>
      <c r="P450" s="78"/>
      <c r="Q450" s="78"/>
      <c r="R450" s="54"/>
    </row>
    <row r="451" spans="2:18" x14ac:dyDescent="0.2">
      <c r="B451" s="53"/>
      <c r="C451" s="78"/>
      <c r="D451" s="78"/>
      <c r="E451" s="78"/>
      <c r="F451" s="78"/>
      <c r="G451" s="78"/>
      <c r="H451" s="79"/>
      <c r="I451" s="78"/>
      <c r="J451" s="78"/>
      <c r="K451" s="78"/>
      <c r="L451" s="78"/>
      <c r="M451" s="16"/>
      <c r="N451" s="78"/>
      <c r="O451" s="78"/>
      <c r="P451" s="78"/>
      <c r="Q451" s="78"/>
      <c r="R451" s="54"/>
    </row>
    <row r="452" spans="2:18" x14ac:dyDescent="0.2">
      <c r="B452" s="53"/>
      <c r="C452" s="78"/>
      <c r="D452" s="78"/>
      <c r="E452" s="78"/>
      <c r="F452" s="78"/>
      <c r="G452" s="78"/>
      <c r="H452" s="79"/>
      <c r="I452" s="78"/>
      <c r="J452" s="78"/>
      <c r="K452" s="78"/>
      <c r="L452" s="78"/>
      <c r="M452" s="16"/>
      <c r="N452" s="78"/>
      <c r="O452" s="78"/>
      <c r="P452" s="78"/>
      <c r="Q452" s="78"/>
      <c r="R452" s="54"/>
    </row>
    <row r="453" spans="2:18" x14ac:dyDescent="0.2">
      <c r="B453" s="53"/>
      <c r="C453" s="78"/>
      <c r="D453" s="78"/>
      <c r="E453" s="78"/>
      <c r="F453" s="78"/>
      <c r="G453" s="78"/>
      <c r="H453" s="79"/>
      <c r="I453" s="78"/>
      <c r="J453" s="78"/>
      <c r="K453" s="78"/>
      <c r="L453" s="78"/>
      <c r="M453" s="16"/>
      <c r="N453" s="78"/>
      <c r="O453" s="78"/>
      <c r="P453" s="78"/>
      <c r="Q453" s="78"/>
      <c r="R453" s="54"/>
    </row>
    <row r="454" spans="2:18" x14ac:dyDescent="0.2">
      <c r="B454" s="53"/>
      <c r="C454" s="78"/>
      <c r="D454" s="78"/>
      <c r="E454" s="78"/>
      <c r="F454" s="78"/>
      <c r="G454" s="78"/>
      <c r="H454" s="79"/>
      <c r="I454" s="78"/>
      <c r="J454" s="78"/>
      <c r="K454" s="78"/>
      <c r="L454" s="78"/>
      <c r="M454" s="16"/>
      <c r="N454" s="78"/>
      <c r="O454" s="78"/>
      <c r="P454" s="78"/>
      <c r="Q454" s="78"/>
      <c r="R454" s="54"/>
    </row>
    <row r="455" spans="2:18" x14ac:dyDescent="0.2">
      <c r="B455" s="53"/>
      <c r="C455" s="78"/>
      <c r="D455" s="78"/>
      <c r="E455" s="78"/>
      <c r="F455" s="78"/>
      <c r="G455" s="78"/>
      <c r="H455" s="79"/>
      <c r="I455" s="78"/>
      <c r="J455" s="78"/>
      <c r="K455" s="78"/>
      <c r="L455" s="78"/>
      <c r="M455" s="16"/>
      <c r="N455" s="78"/>
      <c r="O455" s="78"/>
      <c r="P455" s="78"/>
      <c r="Q455" s="78"/>
      <c r="R455" s="54"/>
    </row>
    <row r="456" spans="2:18" x14ac:dyDescent="0.2">
      <c r="B456" s="53"/>
      <c r="C456" s="78"/>
      <c r="D456" s="78"/>
      <c r="E456" s="78"/>
      <c r="F456" s="78"/>
      <c r="G456" s="78"/>
      <c r="H456" s="79"/>
      <c r="I456" s="78"/>
      <c r="J456" s="78"/>
      <c r="K456" s="78"/>
      <c r="L456" s="78"/>
      <c r="M456" s="16"/>
      <c r="N456" s="78"/>
      <c r="O456" s="78"/>
      <c r="P456" s="78"/>
      <c r="Q456" s="78"/>
      <c r="R456" s="54"/>
    </row>
    <row r="457" spans="2:18" x14ac:dyDescent="0.2">
      <c r="B457" s="53"/>
      <c r="C457" s="78"/>
      <c r="D457" s="78"/>
      <c r="E457" s="78"/>
      <c r="F457" s="78"/>
      <c r="G457" s="78"/>
      <c r="H457" s="79"/>
      <c r="I457" s="78"/>
      <c r="J457" s="78"/>
      <c r="K457" s="78"/>
      <c r="L457" s="78"/>
      <c r="M457" s="16"/>
      <c r="N457" s="78"/>
      <c r="O457" s="78"/>
      <c r="P457" s="78"/>
      <c r="Q457" s="78"/>
      <c r="R457" s="54"/>
    </row>
    <row r="458" spans="2:18" x14ac:dyDescent="0.2">
      <c r="B458" s="53"/>
      <c r="C458" s="78"/>
      <c r="D458" s="78"/>
      <c r="E458" s="78"/>
      <c r="F458" s="78"/>
      <c r="G458" s="78"/>
      <c r="H458" s="79"/>
      <c r="I458" s="78"/>
      <c r="J458" s="78"/>
      <c r="K458" s="78"/>
      <c r="L458" s="78"/>
      <c r="M458" s="16"/>
      <c r="N458" s="78"/>
      <c r="O458" s="78"/>
      <c r="P458" s="78"/>
      <c r="Q458" s="78"/>
      <c r="R458" s="54"/>
    </row>
    <row r="459" spans="2:18" x14ac:dyDescent="0.2">
      <c r="B459" s="53"/>
      <c r="C459" s="78"/>
      <c r="D459" s="78"/>
      <c r="E459" s="78"/>
      <c r="F459" s="78"/>
      <c r="G459" s="78"/>
      <c r="H459" s="79"/>
      <c r="I459" s="78"/>
      <c r="J459" s="78"/>
      <c r="K459" s="78"/>
      <c r="L459" s="78"/>
      <c r="M459" s="16"/>
      <c r="N459" s="78"/>
      <c r="O459" s="78"/>
      <c r="P459" s="78"/>
      <c r="Q459" s="78"/>
      <c r="R459" s="54"/>
    </row>
    <row r="460" spans="2:18" x14ac:dyDescent="0.2">
      <c r="B460" s="53"/>
      <c r="C460" s="78"/>
      <c r="D460" s="78"/>
      <c r="E460" s="78"/>
      <c r="F460" s="78"/>
      <c r="G460" s="78"/>
      <c r="H460" s="79"/>
      <c r="I460" s="78"/>
      <c r="J460" s="78"/>
      <c r="K460" s="78"/>
      <c r="L460" s="78"/>
      <c r="M460" s="16"/>
      <c r="N460" s="78"/>
      <c r="O460" s="78"/>
      <c r="P460" s="78"/>
      <c r="Q460" s="78"/>
      <c r="R460" s="54"/>
    </row>
    <row r="461" spans="2:18" x14ac:dyDescent="0.2">
      <c r="B461" s="53"/>
      <c r="C461" s="78"/>
      <c r="D461" s="78"/>
      <c r="E461" s="78"/>
      <c r="F461" s="78"/>
      <c r="G461" s="78"/>
      <c r="H461" s="79"/>
      <c r="I461" s="78"/>
      <c r="J461" s="78"/>
      <c r="K461" s="78"/>
      <c r="L461" s="78"/>
      <c r="M461" s="16"/>
      <c r="N461" s="78"/>
      <c r="O461" s="78"/>
      <c r="P461" s="78"/>
      <c r="Q461" s="78"/>
      <c r="R461" s="54"/>
    </row>
    <row r="462" spans="2:18" x14ac:dyDescent="0.2">
      <c r="B462" s="53"/>
      <c r="C462" s="78"/>
      <c r="D462" s="78"/>
      <c r="E462" s="78"/>
      <c r="F462" s="78"/>
      <c r="G462" s="78"/>
      <c r="H462" s="79"/>
      <c r="I462" s="78"/>
      <c r="J462" s="78"/>
      <c r="K462" s="78"/>
      <c r="L462" s="78"/>
      <c r="M462" s="16"/>
      <c r="N462" s="78"/>
      <c r="O462" s="78"/>
      <c r="P462" s="78"/>
      <c r="Q462" s="78"/>
      <c r="R462" s="54"/>
    </row>
    <row r="463" spans="2:18" x14ac:dyDescent="0.2">
      <c r="B463" s="53"/>
      <c r="C463" s="78"/>
      <c r="D463" s="78"/>
      <c r="E463" s="78"/>
      <c r="F463" s="78"/>
      <c r="G463" s="78"/>
      <c r="H463" s="79"/>
      <c r="I463" s="78"/>
      <c r="J463" s="78"/>
      <c r="K463" s="78"/>
      <c r="L463" s="78"/>
      <c r="M463" s="16"/>
      <c r="N463" s="78"/>
      <c r="O463" s="78"/>
      <c r="P463" s="78"/>
      <c r="Q463" s="78"/>
      <c r="R463" s="54"/>
    </row>
    <row r="464" spans="2:18" x14ac:dyDescent="0.2">
      <c r="B464" s="53"/>
      <c r="C464" s="78"/>
      <c r="D464" s="78"/>
      <c r="E464" s="78"/>
      <c r="F464" s="78"/>
      <c r="G464" s="78"/>
      <c r="H464" s="79"/>
      <c r="I464" s="78"/>
      <c r="J464" s="78"/>
      <c r="K464" s="78"/>
      <c r="L464" s="78"/>
      <c r="M464" s="16"/>
      <c r="N464" s="78"/>
      <c r="O464" s="78"/>
      <c r="P464" s="78"/>
      <c r="Q464" s="78"/>
      <c r="R464" s="54"/>
    </row>
    <row r="465" spans="2:18" x14ac:dyDescent="0.2">
      <c r="B465" s="53"/>
      <c r="C465" s="78"/>
      <c r="D465" s="78"/>
      <c r="E465" s="78"/>
      <c r="F465" s="78"/>
      <c r="G465" s="78"/>
      <c r="H465" s="79"/>
      <c r="I465" s="78"/>
      <c r="J465" s="78"/>
      <c r="K465" s="78"/>
      <c r="L465" s="78"/>
      <c r="M465" s="16"/>
      <c r="N465" s="78"/>
      <c r="O465" s="78"/>
      <c r="P465" s="78"/>
      <c r="Q465" s="78"/>
      <c r="R465" s="54"/>
    </row>
    <row r="466" spans="2:18" x14ac:dyDescent="0.2">
      <c r="B466" s="53"/>
      <c r="C466" s="78"/>
      <c r="D466" s="78"/>
      <c r="E466" s="78"/>
      <c r="F466" s="78"/>
      <c r="G466" s="78"/>
      <c r="H466" s="79"/>
      <c r="I466" s="78"/>
      <c r="J466" s="78"/>
      <c r="K466" s="78"/>
      <c r="L466" s="78"/>
      <c r="M466" s="16"/>
      <c r="N466" s="78"/>
      <c r="O466" s="78"/>
      <c r="P466" s="78"/>
      <c r="Q466" s="78"/>
      <c r="R466" s="54"/>
    </row>
    <row r="467" spans="2:18" x14ac:dyDescent="0.2">
      <c r="B467" s="53"/>
      <c r="C467" s="78"/>
      <c r="D467" s="78"/>
      <c r="E467" s="78"/>
      <c r="F467" s="78"/>
      <c r="G467" s="78"/>
      <c r="H467" s="79"/>
      <c r="I467" s="78"/>
      <c r="J467" s="78"/>
      <c r="K467" s="78"/>
      <c r="L467" s="78"/>
      <c r="M467" s="16"/>
      <c r="N467" s="78"/>
      <c r="O467" s="78"/>
      <c r="P467" s="78"/>
      <c r="Q467" s="78"/>
      <c r="R467" s="54"/>
    </row>
    <row r="468" spans="2:18" x14ac:dyDescent="0.2">
      <c r="B468" s="53"/>
      <c r="C468" s="78"/>
      <c r="D468" s="78"/>
      <c r="E468" s="78"/>
      <c r="F468" s="78"/>
      <c r="G468" s="78"/>
      <c r="H468" s="79"/>
      <c r="I468" s="78"/>
      <c r="J468" s="78"/>
      <c r="K468" s="78"/>
      <c r="L468" s="78"/>
      <c r="M468" s="16"/>
      <c r="N468" s="78"/>
      <c r="O468" s="78"/>
      <c r="P468" s="78"/>
      <c r="Q468" s="78"/>
      <c r="R468" s="54"/>
    </row>
    <row r="469" spans="2:18" x14ac:dyDescent="0.2">
      <c r="B469" s="53"/>
      <c r="C469" s="78"/>
      <c r="D469" s="78"/>
      <c r="E469" s="78"/>
      <c r="F469" s="78"/>
      <c r="G469" s="78"/>
      <c r="H469" s="79"/>
      <c r="I469" s="78"/>
      <c r="J469" s="78"/>
      <c r="K469" s="78"/>
      <c r="L469" s="78"/>
      <c r="M469" s="16"/>
      <c r="N469" s="78"/>
      <c r="O469" s="78"/>
      <c r="P469" s="78"/>
      <c r="Q469" s="78"/>
      <c r="R469" s="54"/>
    </row>
    <row r="470" spans="2:18" x14ac:dyDescent="0.2">
      <c r="B470" s="53"/>
      <c r="C470" s="78"/>
      <c r="D470" s="78"/>
      <c r="E470" s="78"/>
      <c r="F470" s="78"/>
      <c r="G470" s="78"/>
      <c r="H470" s="79"/>
      <c r="I470" s="78"/>
      <c r="J470" s="78"/>
      <c r="K470" s="78"/>
      <c r="L470" s="78"/>
      <c r="M470" s="16"/>
      <c r="N470" s="78"/>
      <c r="O470" s="78"/>
      <c r="P470" s="78"/>
      <c r="Q470" s="78"/>
      <c r="R470" s="54"/>
    </row>
    <row r="471" spans="2:18" x14ac:dyDescent="0.2">
      <c r="B471" s="53"/>
      <c r="C471" s="78"/>
      <c r="D471" s="78"/>
      <c r="E471" s="78"/>
      <c r="F471" s="78"/>
      <c r="G471" s="78"/>
      <c r="H471" s="79"/>
      <c r="I471" s="78"/>
      <c r="J471" s="78"/>
      <c r="K471" s="78"/>
      <c r="L471" s="78"/>
      <c r="M471" s="16"/>
      <c r="N471" s="78"/>
      <c r="O471" s="78"/>
      <c r="P471" s="78"/>
      <c r="Q471" s="78"/>
      <c r="R471" s="54"/>
    </row>
    <row r="472" spans="2:18" x14ac:dyDescent="0.2">
      <c r="B472" s="53"/>
      <c r="C472" s="78"/>
      <c r="D472" s="78"/>
      <c r="E472" s="78"/>
      <c r="F472" s="78"/>
      <c r="G472" s="78"/>
      <c r="H472" s="79"/>
      <c r="I472" s="78"/>
      <c r="J472" s="78"/>
      <c r="K472" s="78"/>
      <c r="L472" s="78"/>
      <c r="M472" s="16"/>
      <c r="N472" s="78"/>
      <c r="O472" s="78"/>
      <c r="P472" s="78"/>
      <c r="Q472" s="78"/>
      <c r="R472" s="54"/>
    </row>
    <row r="473" spans="2:18" x14ac:dyDescent="0.2">
      <c r="B473" s="53"/>
      <c r="C473" s="78"/>
      <c r="D473" s="78"/>
      <c r="E473" s="78"/>
      <c r="F473" s="78"/>
      <c r="G473" s="78"/>
      <c r="H473" s="79"/>
      <c r="I473" s="78"/>
      <c r="J473" s="78"/>
      <c r="K473" s="78"/>
      <c r="L473" s="78"/>
      <c r="M473" s="16"/>
      <c r="N473" s="78"/>
      <c r="O473" s="78"/>
      <c r="P473" s="78"/>
      <c r="Q473" s="78"/>
      <c r="R473" s="54"/>
    </row>
    <row r="474" spans="2:18" x14ac:dyDescent="0.2">
      <c r="B474" s="53"/>
      <c r="C474" s="78"/>
      <c r="D474" s="78"/>
      <c r="E474" s="78"/>
      <c r="F474" s="78"/>
      <c r="G474" s="78"/>
      <c r="H474" s="79"/>
      <c r="I474" s="78"/>
      <c r="J474" s="78"/>
      <c r="K474" s="78"/>
      <c r="L474" s="78"/>
      <c r="M474" s="16"/>
      <c r="N474" s="78"/>
      <c r="O474" s="78"/>
      <c r="P474" s="78"/>
      <c r="Q474" s="78"/>
      <c r="R474" s="54"/>
    </row>
    <row r="475" spans="2:18" x14ac:dyDescent="0.2">
      <c r="B475" s="53"/>
      <c r="C475" s="78"/>
      <c r="D475" s="78"/>
      <c r="E475" s="78"/>
      <c r="F475" s="78"/>
      <c r="G475" s="78"/>
      <c r="H475" s="79"/>
      <c r="I475" s="78"/>
      <c r="J475" s="78"/>
      <c r="K475" s="78"/>
      <c r="L475" s="78"/>
      <c r="M475" s="16"/>
      <c r="N475" s="78"/>
      <c r="O475" s="78"/>
      <c r="P475" s="78"/>
      <c r="Q475" s="78"/>
      <c r="R475" s="54"/>
    </row>
    <row r="476" spans="2:18" x14ac:dyDescent="0.2">
      <c r="B476" s="53"/>
      <c r="C476" s="78"/>
      <c r="D476" s="78"/>
      <c r="E476" s="78"/>
      <c r="F476" s="78"/>
      <c r="G476" s="78"/>
      <c r="H476" s="79"/>
      <c r="I476" s="78"/>
      <c r="J476" s="78"/>
      <c r="K476" s="78"/>
      <c r="L476" s="78"/>
      <c r="M476" s="16"/>
      <c r="N476" s="78"/>
      <c r="O476" s="78"/>
      <c r="P476" s="78"/>
      <c r="Q476" s="78"/>
      <c r="R476" s="54"/>
    </row>
    <row r="477" spans="2:18" x14ac:dyDescent="0.2">
      <c r="B477" s="53"/>
      <c r="C477" s="78"/>
      <c r="D477" s="78"/>
      <c r="E477" s="78"/>
      <c r="F477" s="78"/>
      <c r="G477" s="78"/>
      <c r="H477" s="79"/>
      <c r="I477" s="78"/>
      <c r="J477" s="78"/>
      <c r="K477" s="78"/>
      <c r="L477" s="78"/>
      <c r="M477" s="16"/>
      <c r="N477" s="78"/>
      <c r="O477" s="78"/>
      <c r="P477" s="78"/>
      <c r="Q477" s="78"/>
      <c r="R477" s="54"/>
    </row>
    <row r="478" spans="2:18" x14ac:dyDescent="0.2">
      <c r="B478" s="53"/>
      <c r="C478" s="78"/>
      <c r="D478" s="78"/>
      <c r="E478" s="78"/>
      <c r="F478" s="78"/>
      <c r="G478" s="78"/>
      <c r="H478" s="79"/>
      <c r="I478" s="78"/>
      <c r="J478" s="78"/>
      <c r="K478" s="78"/>
      <c r="L478" s="78"/>
      <c r="M478" s="16"/>
      <c r="N478" s="78"/>
      <c r="O478" s="78"/>
      <c r="P478" s="78"/>
      <c r="Q478" s="78"/>
      <c r="R478" s="54"/>
    </row>
    <row r="479" spans="2:18" x14ac:dyDescent="0.2">
      <c r="B479" s="53"/>
      <c r="C479" s="78"/>
      <c r="D479" s="78"/>
      <c r="E479" s="78"/>
      <c r="F479" s="78"/>
      <c r="G479" s="78"/>
      <c r="H479" s="79"/>
      <c r="I479" s="78"/>
      <c r="J479" s="78"/>
      <c r="K479" s="78"/>
      <c r="L479" s="78"/>
      <c r="M479" s="16"/>
      <c r="N479" s="78"/>
      <c r="O479" s="78"/>
      <c r="P479" s="78"/>
      <c r="Q479" s="78"/>
      <c r="R479" s="54"/>
    </row>
    <row r="480" spans="2:18" x14ac:dyDescent="0.2">
      <c r="B480" s="53"/>
      <c r="C480" s="78"/>
      <c r="D480" s="78"/>
      <c r="E480" s="78"/>
      <c r="F480" s="78"/>
      <c r="G480" s="78"/>
      <c r="H480" s="79"/>
      <c r="I480" s="78"/>
      <c r="J480" s="78"/>
      <c r="K480" s="78"/>
      <c r="L480" s="78"/>
      <c r="M480" s="16"/>
      <c r="N480" s="78"/>
      <c r="O480" s="78"/>
      <c r="P480" s="78"/>
      <c r="Q480" s="78"/>
      <c r="R480" s="54"/>
    </row>
    <row r="481" spans="2:18" x14ac:dyDescent="0.2">
      <c r="B481" s="53"/>
      <c r="C481" s="78"/>
      <c r="D481" s="78"/>
      <c r="E481" s="78"/>
      <c r="F481" s="78"/>
      <c r="G481" s="78"/>
      <c r="H481" s="79"/>
      <c r="I481" s="78"/>
      <c r="J481" s="78"/>
      <c r="K481" s="78"/>
      <c r="L481" s="78"/>
      <c r="M481" s="16"/>
      <c r="N481" s="78"/>
      <c r="O481" s="78"/>
      <c r="P481" s="78"/>
      <c r="Q481" s="78"/>
      <c r="R481" s="54"/>
    </row>
    <row r="482" spans="2:18" x14ac:dyDescent="0.2">
      <c r="B482" s="53"/>
      <c r="C482" s="78"/>
      <c r="D482" s="78"/>
      <c r="E482" s="78"/>
      <c r="F482" s="78"/>
      <c r="G482" s="78"/>
      <c r="H482" s="79"/>
      <c r="I482" s="78"/>
      <c r="J482" s="78"/>
      <c r="K482" s="78"/>
      <c r="L482" s="78"/>
      <c r="M482" s="16"/>
      <c r="N482" s="78"/>
      <c r="O482" s="78"/>
      <c r="P482" s="78"/>
      <c r="Q482" s="78"/>
      <c r="R482" s="54"/>
    </row>
    <row r="483" spans="2:18" x14ac:dyDescent="0.2">
      <c r="B483" s="53"/>
      <c r="C483" s="78"/>
      <c r="D483" s="78"/>
      <c r="E483" s="78"/>
      <c r="F483" s="78"/>
      <c r="G483" s="78"/>
      <c r="H483" s="79"/>
      <c r="I483" s="78"/>
      <c r="J483" s="78"/>
      <c r="K483" s="78"/>
      <c r="L483" s="78"/>
      <c r="M483" s="16"/>
      <c r="N483" s="78"/>
      <c r="O483" s="78"/>
      <c r="P483" s="78"/>
      <c r="Q483" s="78"/>
      <c r="R483" s="54"/>
    </row>
    <row r="484" spans="2:18" x14ac:dyDescent="0.2">
      <c r="B484" s="53"/>
      <c r="C484" s="78"/>
      <c r="D484" s="78"/>
      <c r="E484" s="78"/>
      <c r="F484" s="78"/>
      <c r="G484" s="78"/>
      <c r="H484" s="79"/>
      <c r="I484" s="78"/>
      <c r="J484" s="78"/>
      <c r="K484" s="78"/>
      <c r="L484" s="78"/>
      <c r="M484" s="16"/>
      <c r="N484" s="78"/>
      <c r="O484" s="78"/>
      <c r="P484" s="78"/>
      <c r="Q484" s="78"/>
      <c r="R484" s="54"/>
    </row>
    <row r="485" spans="2:18" x14ac:dyDescent="0.2">
      <c r="B485" s="53"/>
      <c r="C485" s="78"/>
      <c r="D485" s="78"/>
      <c r="E485" s="78"/>
      <c r="F485" s="78"/>
      <c r="G485" s="78"/>
      <c r="H485" s="79"/>
      <c r="I485" s="78"/>
      <c r="J485" s="78"/>
      <c r="K485" s="78"/>
      <c r="L485" s="78"/>
      <c r="M485" s="16"/>
      <c r="N485" s="78"/>
      <c r="O485" s="78"/>
      <c r="P485" s="78"/>
      <c r="Q485" s="78"/>
      <c r="R485" s="54"/>
    </row>
    <row r="486" spans="2:18" x14ac:dyDescent="0.2">
      <c r="B486" s="53"/>
      <c r="C486" s="78"/>
      <c r="D486" s="78"/>
      <c r="E486" s="78"/>
      <c r="F486" s="78"/>
      <c r="G486" s="78"/>
      <c r="H486" s="79"/>
      <c r="I486" s="78"/>
      <c r="J486" s="78"/>
      <c r="K486" s="78"/>
      <c r="L486" s="78"/>
      <c r="M486" s="16"/>
      <c r="N486" s="78"/>
      <c r="O486" s="78"/>
      <c r="P486" s="78"/>
      <c r="Q486" s="78"/>
      <c r="R486" s="54"/>
    </row>
    <row r="487" spans="2:18" x14ac:dyDescent="0.2">
      <c r="B487" s="53"/>
      <c r="C487" s="78"/>
      <c r="D487" s="78"/>
      <c r="E487" s="78"/>
      <c r="F487" s="78"/>
      <c r="G487" s="78"/>
      <c r="H487" s="79"/>
      <c r="I487" s="78"/>
      <c r="J487" s="78"/>
      <c r="K487" s="78"/>
      <c r="L487" s="78"/>
      <c r="M487" s="16"/>
      <c r="N487" s="78"/>
      <c r="O487" s="78"/>
      <c r="P487" s="78"/>
      <c r="Q487" s="78"/>
      <c r="R487" s="54"/>
    </row>
    <row r="488" spans="2:18" x14ac:dyDescent="0.2">
      <c r="B488" s="53"/>
      <c r="C488" s="78"/>
      <c r="D488" s="78"/>
      <c r="E488" s="78"/>
      <c r="F488" s="78"/>
      <c r="G488" s="78"/>
      <c r="H488" s="79"/>
      <c r="I488" s="78"/>
      <c r="J488" s="78"/>
      <c r="K488" s="78"/>
      <c r="L488" s="78"/>
      <c r="M488" s="16"/>
      <c r="N488" s="78"/>
      <c r="O488" s="78"/>
      <c r="P488" s="78"/>
      <c r="Q488" s="78"/>
      <c r="R488" s="54"/>
    </row>
    <row r="489" spans="2:18" x14ac:dyDescent="0.2">
      <c r="B489" s="53"/>
      <c r="C489" s="78"/>
      <c r="D489" s="78"/>
      <c r="E489" s="78"/>
      <c r="F489" s="78"/>
      <c r="G489" s="78"/>
      <c r="H489" s="79"/>
      <c r="I489" s="78"/>
      <c r="J489" s="78"/>
      <c r="K489" s="78"/>
      <c r="L489" s="78"/>
      <c r="M489" s="16"/>
      <c r="N489" s="78"/>
      <c r="O489" s="78"/>
      <c r="P489" s="78"/>
      <c r="Q489" s="78"/>
      <c r="R489" s="54"/>
    </row>
    <row r="490" spans="2:18" x14ac:dyDescent="0.2">
      <c r="B490" s="53"/>
      <c r="C490" s="78"/>
      <c r="D490" s="78"/>
      <c r="E490" s="78"/>
      <c r="F490" s="78"/>
      <c r="G490" s="78"/>
      <c r="H490" s="79"/>
      <c r="I490" s="78"/>
      <c r="J490" s="78"/>
      <c r="K490" s="78"/>
      <c r="L490" s="78"/>
      <c r="M490" s="16"/>
      <c r="N490" s="78"/>
      <c r="O490" s="78"/>
      <c r="P490" s="78"/>
      <c r="Q490" s="78"/>
      <c r="R490" s="54"/>
    </row>
    <row r="491" spans="2:18" x14ac:dyDescent="0.2">
      <c r="B491" s="53"/>
      <c r="C491" s="78"/>
      <c r="D491" s="78"/>
      <c r="E491" s="78"/>
      <c r="F491" s="78"/>
      <c r="G491" s="78"/>
      <c r="H491" s="79"/>
      <c r="I491" s="78"/>
      <c r="J491" s="78"/>
      <c r="K491" s="78"/>
      <c r="L491" s="78"/>
      <c r="M491" s="16"/>
      <c r="N491" s="78"/>
      <c r="O491" s="78"/>
      <c r="P491" s="78"/>
      <c r="Q491" s="78"/>
      <c r="R491" s="54"/>
    </row>
    <row r="492" spans="2:18" x14ac:dyDescent="0.2">
      <c r="B492" s="53"/>
      <c r="C492" s="78"/>
      <c r="D492" s="78"/>
      <c r="E492" s="78"/>
      <c r="F492" s="78"/>
      <c r="G492" s="78"/>
      <c r="H492" s="79"/>
      <c r="I492" s="78"/>
      <c r="J492" s="78"/>
      <c r="K492" s="78"/>
      <c r="L492" s="78"/>
      <c r="M492" s="16"/>
      <c r="N492" s="78"/>
      <c r="O492" s="78"/>
      <c r="P492" s="78"/>
      <c r="Q492" s="78"/>
      <c r="R492" s="54"/>
    </row>
    <row r="493" spans="2:18" x14ac:dyDescent="0.2">
      <c r="B493" s="53"/>
      <c r="C493" s="78"/>
      <c r="D493" s="78"/>
      <c r="E493" s="78"/>
      <c r="F493" s="78"/>
      <c r="G493" s="78"/>
      <c r="H493" s="79"/>
      <c r="I493" s="78"/>
      <c r="J493" s="78"/>
      <c r="K493" s="78"/>
      <c r="L493" s="78"/>
      <c r="M493" s="16"/>
      <c r="N493" s="78"/>
      <c r="O493" s="78"/>
      <c r="P493" s="78"/>
      <c r="Q493" s="78"/>
      <c r="R493" s="54"/>
    </row>
    <row r="494" spans="2:18" x14ac:dyDescent="0.2">
      <c r="B494" s="53"/>
      <c r="C494" s="78"/>
      <c r="D494" s="78"/>
      <c r="E494" s="78"/>
      <c r="F494" s="78"/>
      <c r="G494" s="78"/>
      <c r="H494" s="79"/>
      <c r="I494" s="78"/>
      <c r="J494" s="78"/>
      <c r="K494" s="78"/>
      <c r="L494" s="78"/>
      <c r="M494" s="16"/>
      <c r="N494" s="78"/>
      <c r="O494" s="78"/>
      <c r="P494" s="78"/>
      <c r="Q494" s="78"/>
      <c r="R494" s="54"/>
    </row>
    <row r="495" spans="2:18" x14ac:dyDescent="0.2">
      <c r="B495" s="53"/>
      <c r="C495" s="78"/>
      <c r="D495" s="78"/>
      <c r="E495" s="78"/>
      <c r="F495" s="78"/>
      <c r="G495" s="78"/>
      <c r="H495" s="79"/>
      <c r="I495" s="78"/>
      <c r="J495" s="78"/>
      <c r="K495" s="78"/>
      <c r="L495" s="78"/>
      <c r="M495" s="16"/>
      <c r="N495" s="78"/>
      <c r="O495" s="78"/>
      <c r="P495" s="78"/>
      <c r="Q495" s="78"/>
      <c r="R495" s="54"/>
    </row>
    <row r="496" spans="2:18" x14ac:dyDescent="0.2">
      <c r="B496" s="53"/>
      <c r="C496" s="78"/>
      <c r="D496" s="78"/>
      <c r="E496" s="78"/>
      <c r="F496" s="78"/>
      <c r="G496" s="78"/>
      <c r="H496" s="79"/>
      <c r="I496" s="78"/>
      <c r="J496" s="78"/>
      <c r="K496" s="78"/>
      <c r="L496" s="78"/>
      <c r="M496" s="16"/>
      <c r="N496" s="78"/>
      <c r="O496" s="78"/>
      <c r="P496" s="78"/>
      <c r="Q496" s="78"/>
      <c r="R496" s="54"/>
    </row>
    <row r="497" spans="2:18" x14ac:dyDescent="0.2">
      <c r="B497" s="53"/>
      <c r="C497" s="78"/>
      <c r="D497" s="78"/>
      <c r="E497" s="78"/>
      <c r="F497" s="78"/>
      <c r="G497" s="78"/>
      <c r="H497" s="79"/>
      <c r="I497" s="78"/>
      <c r="J497" s="78"/>
      <c r="K497" s="78"/>
      <c r="L497" s="78"/>
      <c r="M497" s="16"/>
      <c r="N497" s="78"/>
      <c r="O497" s="78"/>
      <c r="P497" s="78"/>
      <c r="Q497" s="78"/>
      <c r="R497" s="54"/>
    </row>
    <row r="498" spans="2:18" x14ac:dyDescent="0.2">
      <c r="B498" s="53"/>
      <c r="C498" s="78"/>
      <c r="D498" s="78"/>
      <c r="E498" s="78"/>
      <c r="F498" s="78"/>
      <c r="G498" s="78"/>
      <c r="H498" s="79"/>
      <c r="I498" s="78"/>
      <c r="J498" s="78"/>
      <c r="K498" s="78"/>
      <c r="L498" s="78"/>
      <c r="M498" s="16"/>
      <c r="N498" s="78"/>
      <c r="O498" s="78"/>
      <c r="P498" s="78"/>
      <c r="Q498" s="78"/>
      <c r="R498" s="54"/>
    </row>
    <row r="499" spans="2:18" x14ac:dyDescent="0.2">
      <c r="B499" s="53"/>
      <c r="C499" s="78"/>
      <c r="D499" s="78"/>
      <c r="E499" s="78"/>
      <c r="F499" s="78"/>
      <c r="G499" s="78"/>
      <c r="H499" s="79"/>
      <c r="I499" s="78"/>
      <c r="J499" s="78"/>
      <c r="K499" s="78"/>
      <c r="L499" s="78"/>
      <c r="M499" s="16"/>
      <c r="N499" s="78"/>
      <c r="O499" s="78"/>
      <c r="P499" s="78"/>
      <c r="Q499" s="78"/>
      <c r="R499" s="54"/>
    </row>
    <row r="500" spans="2:18" x14ac:dyDescent="0.2">
      <c r="B500" s="53"/>
      <c r="C500" s="78"/>
      <c r="D500" s="78"/>
      <c r="E500" s="78"/>
      <c r="F500" s="78"/>
      <c r="G500" s="78"/>
      <c r="H500" s="79"/>
      <c r="I500" s="78"/>
      <c r="J500" s="78"/>
      <c r="K500" s="78"/>
      <c r="L500" s="78"/>
      <c r="M500" s="16"/>
      <c r="N500" s="78"/>
      <c r="O500" s="78"/>
      <c r="P500" s="78"/>
      <c r="Q500" s="78"/>
      <c r="R500" s="54"/>
    </row>
    <row r="501" spans="2:18" x14ac:dyDescent="0.2">
      <c r="B501" s="53"/>
      <c r="C501" s="78"/>
      <c r="D501" s="78"/>
      <c r="E501" s="78"/>
      <c r="F501" s="78"/>
      <c r="G501" s="78"/>
      <c r="H501" s="79"/>
      <c r="I501" s="78"/>
      <c r="J501" s="78"/>
      <c r="K501" s="78"/>
      <c r="L501" s="78"/>
      <c r="M501" s="16"/>
      <c r="N501" s="78"/>
      <c r="O501" s="78"/>
      <c r="P501" s="78"/>
      <c r="Q501" s="78"/>
      <c r="R501" s="54"/>
    </row>
    <row r="502" spans="2:18" x14ac:dyDescent="0.2">
      <c r="B502" s="53"/>
      <c r="C502" s="78"/>
      <c r="D502" s="78"/>
      <c r="E502" s="78"/>
      <c r="F502" s="78"/>
      <c r="G502" s="78"/>
      <c r="H502" s="79"/>
      <c r="I502" s="78"/>
      <c r="J502" s="78"/>
      <c r="K502" s="78"/>
      <c r="L502" s="78"/>
      <c r="M502" s="16"/>
      <c r="N502" s="78"/>
      <c r="O502" s="78"/>
      <c r="P502" s="78"/>
      <c r="Q502" s="78"/>
      <c r="R502" s="54"/>
    </row>
    <row r="503" spans="2:18" x14ac:dyDescent="0.2">
      <c r="B503" s="53"/>
      <c r="C503" s="78"/>
      <c r="D503" s="78"/>
      <c r="E503" s="78"/>
      <c r="F503" s="78"/>
      <c r="G503" s="78"/>
      <c r="H503" s="79"/>
      <c r="I503" s="78"/>
      <c r="J503" s="78"/>
      <c r="K503" s="78"/>
      <c r="L503" s="78"/>
      <c r="M503" s="16"/>
      <c r="N503" s="78"/>
      <c r="O503" s="78"/>
      <c r="P503" s="78"/>
      <c r="Q503" s="78"/>
      <c r="R503" s="54"/>
    </row>
    <row r="504" spans="2:18" x14ac:dyDescent="0.2">
      <c r="B504" s="53"/>
      <c r="C504" s="78"/>
      <c r="D504" s="78"/>
      <c r="E504" s="78"/>
      <c r="F504" s="78"/>
      <c r="G504" s="78"/>
      <c r="H504" s="79"/>
      <c r="I504" s="78"/>
      <c r="J504" s="78"/>
      <c r="K504" s="78"/>
      <c r="L504" s="78"/>
      <c r="M504" s="16"/>
      <c r="N504" s="78"/>
      <c r="O504" s="78"/>
      <c r="P504" s="78"/>
      <c r="Q504" s="78"/>
      <c r="R504" s="54"/>
    </row>
    <row r="505" spans="2:18" x14ac:dyDescent="0.2">
      <c r="B505" s="53"/>
      <c r="C505" s="78"/>
      <c r="D505" s="78"/>
      <c r="E505" s="78"/>
      <c r="F505" s="78"/>
      <c r="G505" s="78"/>
      <c r="H505" s="79"/>
      <c r="I505" s="78"/>
      <c r="J505" s="78"/>
      <c r="K505" s="78"/>
      <c r="L505" s="78"/>
      <c r="M505" s="16"/>
      <c r="N505" s="78"/>
      <c r="O505" s="78"/>
      <c r="P505" s="78"/>
      <c r="Q505" s="78"/>
      <c r="R505" s="54"/>
    </row>
    <row r="506" spans="2:18" x14ac:dyDescent="0.2">
      <c r="B506" s="53"/>
      <c r="C506" s="78"/>
      <c r="D506" s="78"/>
      <c r="E506" s="78"/>
      <c r="F506" s="78"/>
      <c r="G506" s="78"/>
      <c r="H506" s="79"/>
      <c r="I506" s="78"/>
      <c r="J506" s="78"/>
      <c r="K506" s="78"/>
      <c r="L506" s="78"/>
      <c r="M506" s="16"/>
      <c r="N506" s="78"/>
      <c r="O506" s="78"/>
      <c r="P506" s="78"/>
      <c r="Q506" s="78"/>
      <c r="R506" s="54"/>
    </row>
    <row r="507" spans="2:18" x14ac:dyDescent="0.2">
      <c r="B507" s="53"/>
      <c r="C507" s="78"/>
      <c r="D507" s="78"/>
      <c r="E507" s="78"/>
      <c r="F507" s="78"/>
      <c r="G507" s="78"/>
      <c r="H507" s="79"/>
      <c r="I507" s="78"/>
      <c r="J507" s="78"/>
      <c r="K507" s="78"/>
      <c r="L507" s="78"/>
      <c r="M507" s="16"/>
      <c r="N507" s="78"/>
      <c r="O507" s="78"/>
      <c r="P507" s="78"/>
      <c r="Q507" s="78"/>
      <c r="R507" s="54"/>
    </row>
    <row r="508" spans="2:18" x14ac:dyDescent="0.2">
      <c r="B508" s="53"/>
      <c r="C508" s="78"/>
      <c r="D508" s="78"/>
      <c r="E508" s="78"/>
      <c r="F508" s="78"/>
      <c r="G508" s="78"/>
      <c r="H508" s="79"/>
      <c r="I508" s="78"/>
      <c r="J508" s="78"/>
      <c r="K508" s="78"/>
      <c r="L508" s="78"/>
      <c r="M508" s="16"/>
      <c r="N508" s="78"/>
      <c r="O508" s="78"/>
      <c r="P508" s="78"/>
      <c r="Q508" s="78"/>
      <c r="R508" s="54"/>
    </row>
    <row r="509" spans="2:18" x14ac:dyDescent="0.2">
      <c r="B509" s="53"/>
      <c r="C509" s="78"/>
      <c r="D509" s="78"/>
      <c r="E509" s="78"/>
      <c r="F509" s="78"/>
      <c r="G509" s="78"/>
      <c r="H509" s="79"/>
      <c r="I509" s="78"/>
      <c r="J509" s="78"/>
      <c r="K509" s="78"/>
      <c r="L509" s="78"/>
      <c r="M509" s="16"/>
      <c r="N509" s="78"/>
      <c r="O509" s="78"/>
      <c r="P509" s="78"/>
      <c r="Q509" s="78"/>
      <c r="R509" s="54"/>
    </row>
    <row r="510" spans="2:18" x14ac:dyDescent="0.2">
      <c r="B510" s="53"/>
      <c r="C510" s="78"/>
      <c r="D510" s="78"/>
      <c r="E510" s="78"/>
      <c r="F510" s="78"/>
      <c r="G510" s="78"/>
      <c r="H510" s="79"/>
      <c r="I510" s="78"/>
      <c r="J510" s="78"/>
      <c r="K510" s="78"/>
      <c r="L510" s="78"/>
      <c r="M510" s="16"/>
      <c r="N510" s="78"/>
      <c r="O510" s="78"/>
      <c r="P510" s="78"/>
      <c r="Q510" s="78"/>
      <c r="R510" s="54"/>
    </row>
    <row r="511" spans="2:18" x14ac:dyDescent="0.2">
      <c r="B511" s="53"/>
      <c r="C511" s="78"/>
      <c r="D511" s="78"/>
      <c r="E511" s="78"/>
      <c r="F511" s="78"/>
      <c r="G511" s="78"/>
      <c r="H511" s="79"/>
      <c r="I511" s="78"/>
      <c r="J511" s="78"/>
      <c r="K511" s="78"/>
      <c r="L511" s="78"/>
      <c r="M511" s="16"/>
      <c r="N511" s="78"/>
      <c r="O511" s="78"/>
      <c r="P511" s="78"/>
      <c r="Q511" s="78"/>
      <c r="R511" s="54"/>
    </row>
    <row r="512" spans="2:18" x14ac:dyDescent="0.2">
      <c r="B512" s="53"/>
      <c r="C512" s="78"/>
      <c r="D512" s="78"/>
      <c r="E512" s="78"/>
      <c r="F512" s="78"/>
      <c r="G512" s="78"/>
      <c r="H512" s="79"/>
      <c r="I512" s="78"/>
      <c r="J512" s="78"/>
      <c r="K512" s="78"/>
      <c r="L512" s="78"/>
      <c r="M512" s="16"/>
      <c r="N512" s="78"/>
      <c r="O512" s="78"/>
      <c r="P512" s="78"/>
      <c r="Q512" s="78"/>
      <c r="R512" s="54"/>
    </row>
    <row r="513" spans="2:18" x14ac:dyDescent="0.2">
      <c r="B513" s="53"/>
      <c r="C513" s="78"/>
      <c r="D513" s="78"/>
      <c r="E513" s="78"/>
      <c r="F513" s="78"/>
      <c r="G513" s="78"/>
      <c r="H513" s="79"/>
      <c r="I513" s="78"/>
      <c r="J513" s="78"/>
      <c r="K513" s="78"/>
      <c r="L513" s="78"/>
      <c r="M513" s="16"/>
      <c r="N513" s="78"/>
      <c r="O513" s="78"/>
      <c r="P513" s="78"/>
      <c r="Q513" s="78"/>
      <c r="R513" s="54"/>
    </row>
    <row r="514" spans="2:18" x14ac:dyDescent="0.2">
      <c r="B514" s="53"/>
      <c r="C514" s="78"/>
      <c r="D514" s="78"/>
      <c r="E514" s="78"/>
      <c r="F514" s="78"/>
      <c r="G514" s="78"/>
      <c r="H514" s="79"/>
      <c r="I514" s="78"/>
      <c r="J514" s="78"/>
      <c r="K514" s="78"/>
      <c r="L514" s="78"/>
      <c r="M514" s="16"/>
      <c r="N514" s="78"/>
      <c r="O514" s="78"/>
      <c r="P514" s="78"/>
      <c r="Q514" s="78"/>
      <c r="R514" s="54"/>
    </row>
    <row r="515" spans="2:18" x14ac:dyDescent="0.2">
      <c r="B515" s="53"/>
      <c r="C515" s="78"/>
      <c r="D515" s="78"/>
      <c r="E515" s="78"/>
      <c r="F515" s="78"/>
      <c r="G515" s="78"/>
      <c r="H515" s="79"/>
      <c r="I515" s="78"/>
      <c r="J515" s="78"/>
      <c r="K515" s="78"/>
      <c r="L515" s="78"/>
      <c r="M515" s="16"/>
      <c r="N515" s="78"/>
      <c r="O515" s="78"/>
      <c r="P515" s="78"/>
      <c r="Q515" s="78"/>
      <c r="R515" s="54"/>
    </row>
    <row r="516" spans="2:18" x14ac:dyDescent="0.2">
      <c r="B516" s="53"/>
      <c r="C516" s="78"/>
      <c r="D516" s="78"/>
      <c r="E516" s="78"/>
      <c r="F516" s="78"/>
      <c r="G516" s="78"/>
      <c r="H516" s="79"/>
      <c r="I516" s="78"/>
      <c r="J516" s="78"/>
      <c r="K516" s="78"/>
      <c r="L516" s="78"/>
      <c r="M516" s="16"/>
      <c r="N516" s="78"/>
      <c r="O516" s="78"/>
      <c r="P516" s="78"/>
      <c r="Q516" s="78"/>
      <c r="R516" s="54"/>
    </row>
    <row r="517" spans="2:18" x14ac:dyDescent="0.2">
      <c r="B517" s="53"/>
      <c r="C517" s="78"/>
      <c r="D517" s="78"/>
      <c r="E517" s="78"/>
      <c r="F517" s="78"/>
      <c r="G517" s="78"/>
      <c r="H517" s="79"/>
      <c r="I517" s="78"/>
      <c r="J517" s="78"/>
      <c r="K517" s="78"/>
      <c r="L517" s="78"/>
      <c r="M517" s="16"/>
      <c r="N517" s="78"/>
      <c r="O517" s="78"/>
      <c r="P517" s="78"/>
      <c r="Q517" s="78"/>
      <c r="R517" s="54"/>
    </row>
    <row r="518" spans="2:18" x14ac:dyDescent="0.2">
      <c r="B518" s="53"/>
      <c r="C518" s="78"/>
      <c r="D518" s="78"/>
      <c r="E518" s="78"/>
      <c r="F518" s="78"/>
      <c r="G518" s="78"/>
      <c r="H518" s="79"/>
      <c r="I518" s="78"/>
      <c r="J518" s="78"/>
      <c r="K518" s="78"/>
      <c r="L518" s="78"/>
      <c r="M518" s="16"/>
      <c r="N518" s="78"/>
      <c r="O518" s="78"/>
      <c r="P518" s="78"/>
      <c r="Q518" s="78"/>
      <c r="R518" s="54"/>
    </row>
    <row r="519" spans="2:18" x14ac:dyDescent="0.2">
      <c r="B519" s="53"/>
      <c r="C519" s="78"/>
      <c r="D519" s="78"/>
      <c r="E519" s="78"/>
      <c r="F519" s="78"/>
      <c r="G519" s="78"/>
      <c r="H519" s="79"/>
      <c r="I519" s="78"/>
      <c r="J519" s="78"/>
      <c r="K519" s="78"/>
      <c r="L519" s="78"/>
      <c r="M519" s="16"/>
      <c r="N519" s="78"/>
      <c r="O519" s="78"/>
      <c r="P519" s="78"/>
      <c r="Q519" s="78"/>
      <c r="R519" s="54"/>
    </row>
    <row r="520" spans="2:18" x14ac:dyDescent="0.2">
      <c r="B520" s="53"/>
      <c r="C520" s="78"/>
      <c r="D520" s="78"/>
      <c r="E520" s="78"/>
      <c r="F520" s="78"/>
      <c r="G520" s="78"/>
      <c r="H520" s="79"/>
      <c r="I520" s="78"/>
      <c r="J520" s="78"/>
      <c r="K520" s="78"/>
      <c r="L520" s="78"/>
      <c r="M520" s="16"/>
      <c r="N520" s="78"/>
      <c r="O520" s="78"/>
      <c r="P520" s="78"/>
      <c r="Q520" s="78"/>
      <c r="R520" s="54"/>
    </row>
    <row r="521" spans="2:18" x14ac:dyDescent="0.2">
      <c r="B521" s="53"/>
      <c r="C521" s="78"/>
      <c r="D521" s="78"/>
      <c r="E521" s="78"/>
      <c r="F521" s="78"/>
      <c r="G521" s="78"/>
      <c r="H521" s="79"/>
      <c r="I521" s="78"/>
      <c r="J521" s="78"/>
      <c r="K521" s="78"/>
      <c r="L521" s="78"/>
      <c r="M521" s="16"/>
      <c r="N521" s="78"/>
      <c r="O521" s="78"/>
      <c r="P521" s="78"/>
      <c r="Q521" s="78"/>
      <c r="R521" s="54"/>
    </row>
    <row r="522" spans="2:18" x14ac:dyDescent="0.2">
      <c r="B522" s="53"/>
      <c r="C522" s="78"/>
      <c r="D522" s="78"/>
      <c r="E522" s="78"/>
      <c r="F522" s="78"/>
      <c r="G522" s="78"/>
      <c r="H522" s="79"/>
      <c r="I522" s="78"/>
      <c r="J522" s="78"/>
      <c r="K522" s="78"/>
      <c r="L522" s="78"/>
      <c r="M522" s="16"/>
      <c r="N522" s="78"/>
      <c r="O522" s="78"/>
      <c r="P522" s="78"/>
      <c r="Q522" s="78"/>
      <c r="R522" s="54"/>
    </row>
    <row r="523" spans="2:18" x14ac:dyDescent="0.2">
      <c r="B523" s="53"/>
      <c r="C523" s="78"/>
      <c r="D523" s="78"/>
      <c r="E523" s="78"/>
      <c r="F523" s="78"/>
      <c r="G523" s="78"/>
      <c r="H523" s="79"/>
      <c r="I523" s="78"/>
      <c r="J523" s="78"/>
      <c r="K523" s="78"/>
      <c r="L523" s="78"/>
      <c r="M523" s="16"/>
      <c r="N523" s="78"/>
      <c r="O523" s="78"/>
      <c r="P523" s="78"/>
      <c r="Q523" s="78"/>
      <c r="R523" s="54"/>
    </row>
    <row r="524" spans="2:18" x14ac:dyDescent="0.2">
      <c r="B524" s="53"/>
      <c r="C524" s="78"/>
      <c r="D524" s="78"/>
      <c r="E524" s="78"/>
      <c r="F524" s="78"/>
      <c r="G524" s="78"/>
      <c r="H524" s="79"/>
      <c r="I524" s="78"/>
      <c r="J524" s="78"/>
      <c r="K524" s="78"/>
      <c r="L524" s="78"/>
      <c r="M524" s="16"/>
      <c r="N524" s="78"/>
      <c r="O524" s="78"/>
      <c r="P524" s="78"/>
      <c r="Q524" s="78"/>
      <c r="R524" s="54"/>
    </row>
    <row r="525" spans="2:18" x14ac:dyDescent="0.2">
      <c r="B525" s="53"/>
      <c r="C525" s="78"/>
      <c r="D525" s="78"/>
      <c r="E525" s="78"/>
      <c r="F525" s="78"/>
      <c r="G525" s="78"/>
      <c r="H525" s="79"/>
      <c r="I525" s="78"/>
      <c r="J525" s="78"/>
      <c r="K525" s="78"/>
      <c r="L525" s="78"/>
      <c r="M525" s="16"/>
      <c r="N525" s="78"/>
      <c r="O525" s="78"/>
      <c r="P525" s="78"/>
      <c r="Q525" s="78"/>
      <c r="R525" s="54"/>
    </row>
    <row r="526" spans="2:18" x14ac:dyDescent="0.2">
      <c r="B526" s="53"/>
      <c r="C526" s="78"/>
      <c r="D526" s="78"/>
      <c r="E526" s="78"/>
      <c r="F526" s="78"/>
      <c r="G526" s="78"/>
      <c r="H526" s="79"/>
      <c r="I526" s="78"/>
      <c r="J526" s="78"/>
      <c r="K526" s="78"/>
      <c r="L526" s="78"/>
      <c r="M526" s="16"/>
      <c r="N526" s="78"/>
      <c r="O526" s="78"/>
      <c r="P526" s="78"/>
      <c r="Q526" s="78"/>
      <c r="R526" s="54"/>
    </row>
    <row r="527" spans="2:18" x14ac:dyDescent="0.2">
      <c r="B527" s="53"/>
      <c r="C527" s="78"/>
      <c r="D527" s="78"/>
      <c r="E527" s="78"/>
      <c r="F527" s="78"/>
      <c r="G527" s="78"/>
      <c r="H527" s="79"/>
      <c r="I527" s="78"/>
      <c r="J527" s="78"/>
      <c r="K527" s="78"/>
      <c r="L527" s="78"/>
      <c r="M527" s="16"/>
      <c r="N527" s="78"/>
      <c r="O527" s="78"/>
      <c r="P527" s="78"/>
      <c r="Q527" s="78"/>
      <c r="R527" s="54"/>
    </row>
    <row r="528" spans="2:18" x14ac:dyDescent="0.2">
      <c r="B528" s="53"/>
      <c r="C528" s="78"/>
      <c r="D528" s="78"/>
      <c r="E528" s="78"/>
      <c r="F528" s="78"/>
      <c r="G528" s="78"/>
      <c r="H528" s="79"/>
      <c r="I528" s="78"/>
      <c r="J528" s="78"/>
      <c r="K528" s="78"/>
      <c r="L528" s="78"/>
      <c r="M528" s="16"/>
      <c r="N528" s="78"/>
      <c r="O528" s="78"/>
      <c r="P528" s="78"/>
      <c r="Q528" s="78"/>
      <c r="R528" s="54"/>
    </row>
    <row r="529" spans="2:18" x14ac:dyDescent="0.2">
      <c r="B529" s="53"/>
      <c r="C529" s="78"/>
      <c r="D529" s="78"/>
      <c r="E529" s="78"/>
      <c r="F529" s="78"/>
      <c r="G529" s="78"/>
      <c r="H529" s="79"/>
      <c r="I529" s="78"/>
      <c r="J529" s="78"/>
      <c r="K529" s="78"/>
      <c r="L529" s="78"/>
      <c r="M529" s="16"/>
      <c r="N529" s="78"/>
      <c r="O529" s="78"/>
      <c r="P529" s="78"/>
      <c r="Q529" s="78"/>
      <c r="R529" s="54"/>
    </row>
    <row r="530" spans="2:18" x14ac:dyDescent="0.2">
      <c r="B530" s="53"/>
      <c r="C530" s="78"/>
      <c r="D530" s="78"/>
      <c r="E530" s="78"/>
      <c r="F530" s="78"/>
      <c r="G530" s="78"/>
      <c r="H530" s="79"/>
      <c r="I530" s="78"/>
      <c r="J530" s="78"/>
      <c r="K530" s="78"/>
      <c r="L530" s="78"/>
      <c r="M530" s="16"/>
      <c r="N530" s="78"/>
      <c r="O530" s="78"/>
      <c r="P530" s="78"/>
      <c r="Q530" s="78"/>
      <c r="R530" s="54"/>
    </row>
    <row r="531" spans="2:18" x14ac:dyDescent="0.2">
      <c r="B531" s="53"/>
      <c r="C531" s="78"/>
      <c r="D531" s="78"/>
      <c r="E531" s="78"/>
      <c r="F531" s="78"/>
      <c r="G531" s="78"/>
      <c r="H531" s="79"/>
      <c r="I531" s="78"/>
      <c r="J531" s="78"/>
      <c r="K531" s="78"/>
      <c r="L531" s="78"/>
      <c r="M531" s="16"/>
      <c r="N531" s="78"/>
      <c r="O531" s="78"/>
      <c r="P531" s="78"/>
      <c r="Q531" s="78"/>
      <c r="R531" s="54"/>
    </row>
    <row r="532" spans="2:18" x14ac:dyDescent="0.2">
      <c r="B532" s="53"/>
      <c r="C532" s="78"/>
      <c r="D532" s="78"/>
      <c r="E532" s="78"/>
      <c r="F532" s="78"/>
      <c r="G532" s="78"/>
      <c r="H532" s="79"/>
      <c r="I532" s="78"/>
      <c r="J532" s="78"/>
      <c r="K532" s="78"/>
      <c r="L532" s="78"/>
      <c r="M532" s="16"/>
      <c r="N532" s="78"/>
      <c r="O532" s="78"/>
      <c r="P532" s="78"/>
      <c r="Q532" s="78"/>
      <c r="R532" s="54"/>
    </row>
    <row r="533" spans="2:18" x14ac:dyDescent="0.2">
      <c r="B533" s="53"/>
      <c r="C533" s="78"/>
      <c r="D533" s="78"/>
      <c r="E533" s="78"/>
      <c r="F533" s="78"/>
      <c r="G533" s="78"/>
      <c r="H533" s="79"/>
      <c r="I533" s="78"/>
      <c r="J533" s="78"/>
      <c r="K533" s="78"/>
      <c r="L533" s="78"/>
      <c r="M533" s="16"/>
      <c r="N533" s="78"/>
      <c r="O533" s="78"/>
      <c r="P533" s="78"/>
      <c r="Q533" s="78"/>
      <c r="R533" s="54"/>
    </row>
    <row r="534" spans="2:18" x14ac:dyDescent="0.2">
      <c r="B534" s="53"/>
      <c r="C534" s="78"/>
      <c r="D534" s="78"/>
      <c r="E534" s="78"/>
      <c r="F534" s="78"/>
      <c r="G534" s="78"/>
      <c r="H534" s="79"/>
      <c r="I534" s="78"/>
      <c r="J534" s="78"/>
      <c r="K534" s="78"/>
      <c r="L534" s="78"/>
      <c r="M534" s="16"/>
      <c r="N534" s="78"/>
      <c r="O534" s="78"/>
      <c r="P534" s="78"/>
      <c r="Q534" s="78"/>
      <c r="R534" s="54"/>
    </row>
    <row r="535" spans="2:18" x14ac:dyDescent="0.2">
      <c r="B535" s="53"/>
      <c r="C535" s="78"/>
      <c r="D535" s="78"/>
      <c r="E535" s="78"/>
      <c r="F535" s="78"/>
      <c r="G535" s="78"/>
      <c r="H535" s="79"/>
      <c r="I535" s="78"/>
      <c r="J535" s="78"/>
      <c r="K535" s="78"/>
      <c r="L535" s="78"/>
      <c r="M535" s="16"/>
      <c r="N535" s="78"/>
      <c r="O535" s="78"/>
      <c r="P535" s="78"/>
      <c r="Q535" s="78"/>
      <c r="R535" s="54"/>
    </row>
    <row r="536" spans="2:18" x14ac:dyDescent="0.2">
      <c r="B536" s="53"/>
      <c r="C536" s="78"/>
      <c r="D536" s="78"/>
      <c r="E536" s="78"/>
      <c r="F536" s="78"/>
      <c r="G536" s="78"/>
      <c r="H536" s="79"/>
      <c r="I536" s="78"/>
      <c r="J536" s="78"/>
      <c r="K536" s="78"/>
      <c r="L536" s="78"/>
      <c r="M536" s="16"/>
      <c r="N536" s="78"/>
      <c r="O536" s="78"/>
      <c r="P536" s="78"/>
      <c r="Q536" s="78"/>
      <c r="R536" s="54"/>
    </row>
    <row r="537" spans="2:18" x14ac:dyDescent="0.2">
      <c r="B537" s="53"/>
      <c r="C537" s="78"/>
      <c r="D537" s="78"/>
      <c r="E537" s="78"/>
      <c r="F537" s="78"/>
      <c r="G537" s="78"/>
      <c r="H537" s="79"/>
      <c r="I537" s="78"/>
      <c r="J537" s="78"/>
      <c r="K537" s="78"/>
      <c r="L537" s="78"/>
      <c r="M537" s="16"/>
      <c r="N537" s="78"/>
      <c r="O537" s="78"/>
      <c r="P537" s="78"/>
      <c r="Q537" s="78"/>
      <c r="R537" s="54"/>
    </row>
    <row r="538" spans="2:18" x14ac:dyDescent="0.2">
      <c r="B538" s="53"/>
      <c r="C538" s="78"/>
      <c r="D538" s="78"/>
      <c r="E538" s="78"/>
      <c r="F538" s="78"/>
      <c r="G538" s="78"/>
      <c r="H538" s="79"/>
      <c r="I538" s="78"/>
      <c r="J538" s="78"/>
      <c r="K538" s="78"/>
      <c r="L538" s="78"/>
      <c r="M538" s="16"/>
      <c r="N538" s="78"/>
      <c r="O538" s="78"/>
      <c r="P538" s="78"/>
      <c r="Q538" s="78"/>
      <c r="R538" s="54"/>
    </row>
    <row r="539" spans="2:18" x14ac:dyDescent="0.2">
      <c r="B539" s="53"/>
      <c r="C539" s="78"/>
      <c r="D539" s="78"/>
      <c r="E539" s="78"/>
      <c r="F539" s="78"/>
      <c r="G539" s="78"/>
      <c r="H539" s="79"/>
      <c r="I539" s="78"/>
      <c r="J539" s="78"/>
      <c r="K539" s="78"/>
      <c r="L539" s="78"/>
      <c r="M539" s="16"/>
      <c r="N539" s="78"/>
      <c r="O539" s="78"/>
      <c r="P539" s="78"/>
      <c r="Q539" s="78"/>
      <c r="R539" s="54"/>
    </row>
    <row r="540" spans="2:18" x14ac:dyDescent="0.2">
      <c r="B540" s="53"/>
      <c r="C540" s="78"/>
      <c r="D540" s="78"/>
      <c r="E540" s="78"/>
      <c r="F540" s="78"/>
      <c r="G540" s="78"/>
      <c r="H540" s="79"/>
      <c r="I540" s="78"/>
      <c r="J540" s="78"/>
      <c r="K540" s="78"/>
      <c r="L540" s="78"/>
      <c r="M540" s="16"/>
      <c r="N540" s="78"/>
      <c r="O540" s="78"/>
      <c r="P540" s="78"/>
      <c r="Q540" s="78"/>
      <c r="R540" s="54"/>
    </row>
    <row r="541" spans="2:18" x14ac:dyDescent="0.2">
      <c r="B541" s="53"/>
      <c r="C541" s="78"/>
      <c r="D541" s="78"/>
      <c r="E541" s="78"/>
      <c r="F541" s="78"/>
      <c r="G541" s="78"/>
      <c r="H541" s="79"/>
      <c r="I541" s="78"/>
      <c r="J541" s="78"/>
      <c r="K541" s="78"/>
      <c r="L541" s="78"/>
      <c r="M541" s="16"/>
      <c r="N541" s="78"/>
      <c r="O541" s="78"/>
      <c r="P541" s="78"/>
      <c r="Q541" s="78"/>
      <c r="R541" s="54"/>
    </row>
    <row r="542" spans="2:18" x14ac:dyDescent="0.2">
      <c r="B542" s="53"/>
      <c r="C542" s="78"/>
      <c r="D542" s="78"/>
      <c r="E542" s="78"/>
      <c r="F542" s="78"/>
      <c r="G542" s="78"/>
      <c r="H542" s="79"/>
      <c r="I542" s="78"/>
      <c r="J542" s="78"/>
      <c r="K542" s="78"/>
      <c r="L542" s="78"/>
      <c r="M542" s="16"/>
      <c r="N542" s="78"/>
      <c r="O542" s="78"/>
      <c r="P542" s="78"/>
      <c r="Q542" s="78"/>
      <c r="R542" s="54"/>
    </row>
    <row r="543" spans="2:18" x14ac:dyDescent="0.2">
      <c r="B543" s="53"/>
      <c r="C543" s="78"/>
      <c r="D543" s="78"/>
      <c r="E543" s="78"/>
      <c r="F543" s="78"/>
      <c r="G543" s="78"/>
      <c r="H543" s="79"/>
      <c r="I543" s="78"/>
      <c r="J543" s="78"/>
      <c r="K543" s="78"/>
      <c r="L543" s="78"/>
      <c r="M543" s="16"/>
      <c r="N543" s="78"/>
      <c r="O543" s="78"/>
      <c r="P543" s="78"/>
      <c r="Q543" s="78"/>
      <c r="R543" s="54"/>
    </row>
    <row r="544" spans="2:18" x14ac:dyDescent="0.2">
      <c r="B544" s="53"/>
      <c r="C544" s="78"/>
      <c r="D544" s="78"/>
      <c r="E544" s="78"/>
      <c r="F544" s="78"/>
      <c r="G544" s="78"/>
      <c r="H544" s="79"/>
      <c r="I544" s="78"/>
      <c r="J544" s="78"/>
      <c r="K544" s="78"/>
      <c r="L544" s="78"/>
      <c r="M544" s="16"/>
      <c r="N544" s="78"/>
      <c r="O544" s="78"/>
      <c r="P544" s="78"/>
      <c r="Q544" s="78"/>
      <c r="R544" s="54"/>
    </row>
    <row r="545" spans="2:18" x14ac:dyDescent="0.2">
      <c r="B545" s="53"/>
      <c r="C545" s="78"/>
      <c r="D545" s="78"/>
      <c r="E545" s="78"/>
      <c r="F545" s="78"/>
      <c r="G545" s="78"/>
      <c r="H545" s="79"/>
      <c r="I545" s="78"/>
      <c r="J545" s="78"/>
      <c r="K545" s="78"/>
      <c r="L545" s="78"/>
      <c r="M545" s="16"/>
      <c r="N545" s="78"/>
      <c r="O545" s="78"/>
      <c r="P545" s="78"/>
      <c r="Q545" s="78"/>
      <c r="R545" s="54"/>
    </row>
    <row r="546" spans="2:18" x14ac:dyDescent="0.2">
      <c r="B546" s="53"/>
      <c r="C546" s="78"/>
      <c r="D546" s="78"/>
      <c r="E546" s="78"/>
      <c r="F546" s="78"/>
      <c r="G546" s="78"/>
      <c r="H546" s="79"/>
      <c r="I546" s="78"/>
      <c r="J546" s="78"/>
      <c r="K546" s="78"/>
      <c r="L546" s="78"/>
      <c r="M546" s="16"/>
      <c r="N546" s="78"/>
      <c r="O546" s="78"/>
      <c r="P546" s="78"/>
      <c r="Q546" s="78"/>
      <c r="R546" s="54"/>
    </row>
    <row r="547" spans="2:18" x14ac:dyDescent="0.2">
      <c r="B547" s="53"/>
      <c r="C547" s="78"/>
      <c r="D547" s="78"/>
      <c r="E547" s="78"/>
      <c r="F547" s="78"/>
      <c r="G547" s="78"/>
      <c r="H547" s="79"/>
      <c r="I547" s="78"/>
      <c r="J547" s="78"/>
      <c r="K547" s="78"/>
      <c r="L547" s="78"/>
      <c r="M547" s="16"/>
      <c r="N547" s="78"/>
      <c r="O547" s="78"/>
      <c r="P547" s="78"/>
      <c r="Q547" s="78"/>
      <c r="R547" s="54"/>
    </row>
    <row r="548" spans="2:18" x14ac:dyDescent="0.2">
      <c r="B548" s="53"/>
      <c r="C548" s="78"/>
      <c r="D548" s="78"/>
      <c r="E548" s="78"/>
      <c r="F548" s="78"/>
      <c r="G548" s="78"/>
      <c r="H548" s="79"/>
      <c r="I548" s="78"/>
      <c r="J548" s="78"/>
      <c r="K548" s="78"/>
      <c r="L548" s="78"/>
      <c r="M548" s="16"/>
      <c r="N548" s="78"/>
      <c r="O548" s="78"/>
      <c r="P548" s="78"/>
      <c r="Q548" s="78"/>
      <c r="R548" s="54"/>
    </row>
    <row r="549" spans="2:18" x14ac:dyDescent="0.2">
      <c r="B549" s="53"/>
      <c r="C549" s="78"/>
      <c r="D549" s="78"/>
      <c r="E549" s="78"/>
      <c r="F549" s="78"/>
      <c r="G549" s="78"/>
      <c r="H549" s="79"/>
      <c r="I549" s="78"/>
      <c r="J549" s="78"/>
      <c r="K549" s="78"/>
      <c r="L549" s="78"/>
      <c r="M549" s="16"/>
      <c r="N549" s="78"/>
      <c r="O549" s="78"/>
      <c r="P549" s="78"/>
      <c r="Q549" s="78"/>
      <c r="R549" s="54"/>
    </row>
    <row r="550" spans="2:18" x14ac:dyDescent="0.2">
      <c r="B550" s="53"/>
      <c r="C550" s="78"/>
      <c r="D550" s="78"/>
      <c r="E550" s="78"/>
      <c r="F550" s="78"/>
      <c r="G550" s="78"/>
      <c r="H550" s="79"/>
      <c r="I550" s="78"/>
      <c r="J550" s="78"/>
      <c r="K550" s="78"/>
      <c r="L550" s="78"/>
      <c r="M550" s="16"/>
      <c r="N550" s="78"/>
      <c r="O550" s="78"/>
      <c r="P550" s="78"/>
      <c r="Q550" s="78"/>
      <c r="R550" s="54"/>
    </row>
    <row r="551" spans="2:18" x14ac:dyDescent="0.2">
      <c r="B551" s="53"/>
      <c r="C551" s="78"/>
      <c r="D551" s="78"/>
      <c r="E551" s="78"/>
      <c r="F551" s="78"/>
      <c r="G551" s="78"/>
      <c r="H551" s="79"/>
      <c r="I551" s="78"/>
      <c r="J551" s="78"/>
      <c r="K551" s="78"/>
      <c r="L551" s="78"/>
      <c r="M551" s="16"/>
      <c r="N551" s="78"/>
      <c r="O551" s="78"/>
      <c r="P551" s="78"/>
      <c r="Q551" s="78"/>
      <c r="R551" s="54"/>
    </row>
    <row r="552" spans="2:18" x14ac:dyDescent="0.2">
      <c r="B552" s="53"/>
      <c r="C552" s="78"/>
      <c r="D552" s="78"/>
      <c r="E552" s="78"/>
      <c r="F552" s="78"/>
      <c r="G552" s="78"/>
      <c r="H552" s="79"/>
      <c r="I552" s="78"/>
      <c r="J552" s="78"/>
      <c r="K552" s="78"/>
      <c r="L552" s="78"/>
      <c r="M552" s="16"/>
      <c r="N552" s="78"/>
      <c r="O552" s="78"/>
      <c r="P552" s="78"/>
      <c r="Q552" s="78"/>
      <c r="R552" s="54"/>
    </row>
    <row r="553" spans="2:18" x14ac:dyDescent="0.2">
      <c r="B553" s="53"/>
      <c r="C553" s="78"/>
      <c r="D553" s="78"/>
      <c r="E553" s="78"/>
      <c r="F553" s="78"/>
      <c r="G553" s="78"/>
      <c r="H553" s="79"/>
      <c r="I553" s="78"/>
      <c r="J553" s="78"/>
      <c r="K553" s="78"/>
      <c r="L553" s="78"/>
      <c r="M553" s="16"/>
      <c r="N553" s="78"/>
      <c r="O553" s="78"/>
      <c r="P553" s="78"/>
      <c r="Q553" s="78"/>
      <c r="R553" s="54"/>
    </row>
    <row r="554" spans="2:18" x14ac:dyDescent="0.2">
      <c r="B554" s="53"/>
      <c r="C554" s="78"/>
      <c r="D554" s="78"/>
      <c r="E554" s="78"/>
      <c r="F554" s="78"/>
      <c r="G554" s="78"/>
      <c r="H554" s="79"/>
      <c r="I554" s="78"/>
      <c r="J554" s="78"/>
      <c r="K554" s="78"/>
      <c r="L554" s="78"/>
      <c r="M554" s="16"/>
      <c r="N554" s="78"/>
      <c r="O554" s="78"/>
      <c r="P554" s="78"/>
      <c r="Q554" s="78"/>
      <c r="R554" s="54"/>
    </row>
    <row r="555" spans="2:18" x14ac:dyDescent="0.2">
      <c r="B555" s="53"/>
      <c r="C555" s="78"/>
      <c r="D555" s="78"/>
      <c r="E555" s="78"/>
      <c r="F555" s="78"/>
      <c r="G555" s="78"/>
      <c r="H555" s="79"/>
      <c r="I555" s="78"/>
      <c r="J555" s="78"/>
      <c r="K555" s="78"/>
      <c r="L555" s="78"/>
      <c r="M555" s="16"/>
      <c r="N555" s="78"/>
      <c r="O555" s="78"/>
      <c r="P555" s="78"/>
      <c r="Q555" s="78"/>
      <c r="R555" s="54"/>
    </row>
    <row r="556" spans="2:18" x14ac:dyDescent="0.2">
      <c r="B556" s="53"/>
      <c r="C556" s="78"/>
      <c r="D556" s="78"/>
      <c r="E556" s="78"/>
      <c r="F556" s="78"/>
      <c r="G556" s="78"/>
      <c r="H556" s="79"/>
      <c r="I556" s="78"/>
      <c r="J556" s="78"/>
      <c r="K556" s="78"/>
      <c r="L556" s="78"/>
      <c r="M556" s="16"/>
      <c r="N556" s="78"/>
      <c r="O556" s="78"/>
      <c r="P556" s="78"/>
      <c r="Q556" s="78"/>
      <c r="R556" s="54"/>
    </row>
    <row r="557" spans="2:18" x14ac:dyDescent="0.2">
      <c r="B557" s="53"/>
      <c r="C557" s="78"/>
      <c r="D557" s="78"/>
      <c r="E557" s="78"/>
      <c r="F557" s="78"/>
      <c r="G557" s="78"/>
      <c r="H557" s="79"/>
      <c r="I557" s="78"/>
      <c r="J557" s="78"/>
      <c r="K557" s="78"/>
      <c r="L557" s="78"/>
      <c r="M557" s="16"/>
      <c r="N557" s="78"/>
      <c r="O557" s="78"/>
      <c r="P557" s="78"/>
      <c r="Q557" s="78"/>
      <c r="R557" s="54"/>
    </row>
    <row r="558" spans="2:18" x14ac:dyDescent="0.2">
      <c r="B558" s="53"/>
      <c r="C558" s="78"/>
      <c r="D558" s="78"/>
      <c r="E558" s="78"/>
      <c r="F558" s="78"/>
      <c r="G558" s="78"/>
      <c r="H558" s="79"/>
      <c r="I558" s="78"/>
      <c r="J558" s="78"/>
      <c r="K558" s="78"/>
      <c r="L558" s="78"/>
      <c r="M558" s="16"/>
      <c r="N558" s="78"/>
      <c r="O558" s="78"/>
      <c r="P558" s="78"/>
      <c r="Q558" s="78"/>
      <c r="R558" s="54"/>
    </row>
    <row r="559" spans="2:18" x14ac:dyDescent="0.2">
      <c r="B559" s="53"/>
      <c r="C559" s="78"/>
      <c r="D559" s="78"/>
      <c r="E559" s="78"/>
      <c r="F559" s="78"/>
      <c r="G559" s="78"/>
      <c r="H559" s="79"/>
      <c r="I559" s="78"/>
      <c r="J559" s="78"/>
      <c r="K559" s="78"/>
      <c r="L559" s="78"/>
      <c r="M559" s="16"/>
      <c r="N559" s="78"/>
      <c r="O559" s="78"/>
      <c r="P559" s="78"/>
      <c r="Q559" s="78"/>
      <c r="R559" s="54"/>
    </row>
    <row r="560" spans="2:18" x14ac:dyDescent="0.2">
      <c r="B560" s="53"/>
      <c r="C560" s="78"/>
      <c r="D560" s="78"/>
      <c r="E560" s="78"/>
      <c r="F560" s="78"/>
      <c r="G560" s="78"/>
      <c r="H560" s="79"/>
      <c r="I560" s="78"/>
      <c r="J560" s="78"/>
      <c r="K560" s="78"/>
      <c r="L560" s="78"/>
      <c r="M560" s="16"/>
      <c r="N560" s="78"/>
      <c r="O560" s="78"/>
      <c r="P560" s="78"/>
      <c r="Q560" s="78"/>
      <c r="R560" s="54"/>
    </row>
    <row r="561" spans="2:18" x14ac:dyDescent="0.2">
      <c r="B561" s="53"/>
      <c r="C561" s="78"/>
      <c r="D561" s="78"/>
      <c r="E561" s="78"/>
      <c r="F561" s="78"/>
      <c r="G561" s="78"/>
      <c r="H561" s="79"/>
      <c r="I561" s="78"/>
      <c r="J561" s="78"/>
      <c r="K561" s="78"/>
      <c r="L561" s="78"/>
      <c r="M561" s="16"/>
      <c r="N561" s="78"/>
      <c r="O561" s="78"/>
      <c r="P561" s="78"/>
      <c r="Q561" s="78"/>
      <c r="R561" s="54"/>
    </row>
    <row r="562" spans="2:18" x14ac:dyDescent="0.2">
      <c r="B562" s="53"/>
      <c r="C562" s="78"/>
      <c r="D562" s="78"/>
      <c r="E562" s="78"/>
      <c r="F562" s="78"/>
      <c r="G562" s="78"/>
      <c r="H562" s="79"/>
      <c r="I562" s="78"/>
      <c r="J562" s="78"/>
      <c r="K562" s="78"/>
      <c r="L562" s="78"/>
      <c r="M562" s="16"/>
      <c r="N562" s="78"/>
      <c r="O562" s="78"/>
      <c r="P562" s="78"/>
      <c r="Q562" s="78"/>
      <c r="R562" s="54"/>
    </row>
    <row r="563" spans="2:18" x14ac:dyDescent="0.2">
      <c r="B563" s="53"/>
      <c r="C563" s="78"/>
      <c r="D563" s="78"/>
      <c r="E563" s="78"/>
      <c r="F563" s="78"/>
      <c r="G563" s="78"/>
      <c r="H563" s="79"/>
      <c r="I563" s="78"/>
      <c r="J563" s="78"/>
      <c r="K563" s="78"/>
      <c r="L563" s="78"/>
      <c r="M563" s="16"/>
      <c r="N563" s="78"/>
      <c r="O563" s="78"/>
      <c r="P563" s="78"/>
      <c r="Q563" s="78"/>
      <c r="R563" s="54"/>
    </row>
    <row r="564" spans="2:18" x14ac:dyDescent="0.2">
      <c r="B564" s="53"/>
      <c r="C564" s="78"/>
      <c r="D564" s="78"/>
      <c r="E564" s="78"/>
      <c r="F564" s="78"/>
      <c r="G564" s="78"/>
      <c r="H564" s="79"/>
      <c r="I564" s="78"/>
      <c r="J564" s="78"/>
      <c r="K564" s="78"/>
      <c r="L564" s="78"/>
      <c r="M564" s="16"/>
      <c r="N564" s="78"/>
      <c r="O564" s="78"/>
      <c r="P564" s="78"/>
      <c r="Q564" s="78"/>
      <c r="R564" s="54"/>
    </row>
    <row r="565" spans="2:18" x14ac:dyDescent="0.2">
      <c r="B565" s="53"/>
      <c r="C565" s="78"/>
      <c r="D565" s="78"/>
      <c r="E565" s="78"/>
      <c r="F565" s="78"/>
      <c r="G565" s="78"/>
      <c r="H565" s="79"/>
      <c r="I565" s="78"/>
      <c r="J565" s="78"/>
      <c r="K565" s="78"/>
      <c r="L565" s="78"/>
      <c r="M565" s="16"/>
      <c r="N565" s="78"/>
      <c r="O565" s="78"/>
      <c r="P565" s="78"/>
      <c r="Q565" s="78"/>
      <c r="R565" s="54"/>
    </row>
    <row r="566" spans="2:18" x14ac:dyDescent="0.2">
      <c r="B566" s="53"/>
      <c r="C566" s="78"/>
      <c r="D566" s="78"/>
      <c r="E566" s="78"/>
      <c r="F566" s="78"/>
      <c r="G566" s="78"/>
      <c r="H566" s="79"/>
      <c r="I566" s="78"/>
      <c r="J566" s="78"/>
      <c r="K566" s="78"/>
      <c r="L566" s="78"/>
      <c r="M566" s="16"/>
      <c r="N566" s="78"/>
      <c r="O566" s="78"/>
      <c r="P566" s="78"/>
      <c r="Q566" s="78"/>
      <c r="R566" s="54"/>
    </row>
    <row r="567" spans="2:18" x14ac:dyDescent="0.2">
      <c r="B567" s="53"/>
      <c r="C567" s="78"/>
      <c r="D567" s="78"/>
      <c r="E567" s="78"/>
      <c r="F567" s="78"/>
      <c r="G567" s="78"/>
      <c r="H567" s="79"/>
      <c r="I567" s="78"/>
      <c r="J567" s="78"/>
      <c r="K567" s="78"/>
      <c r="L567" s="78"/>
      <c r="M567" s="16"/>
      <c r="N567" s="78"/>
      <c r="O567" s="78"/>
      <c r="P567" s="78"/>
      <c r="Q567" s="78"/>
      <c r="R567" s="54"/>
    </row>
    <row r="568" spans="2:18" x14ac:dyDescent="0.2">
      <c r="B568" s="53"/>
      <c r="C568" s="78"/>
      <c r="D568" s="78"/>
      <c r="E568" s="78"/>
      <c r="F568" s="78"/>
      <c r="G568" s="78"/>
      <c r="H568" s="79"/>
      <c r="I568" s="78"/>
      <c r="J568" s="78"/>
      <c r="K568" s="78"/>
      <c r="L568" s="78"/>
      <c r="M568" s="16"/>
      <c r="N568" s="78"/>
      <c r="O568" s="78"/>
      <c r="P568" s="78"/>
      <c r="Q568" s="78"/>
      <c r="R568" s="54"/>
    </row>
    <row r="569" spans="2:18" x14ac:dyDescent="0.2">
      <c r="B569" s="53"/>
      <c r="C569" s="78"/>
      <c r="D569" s="78"/>
      <c r="E569" s="78"/>
      <c r="F569" s="78"/>
      <c r="G569" s="78"/>
      <c r="H569" s="79"/>
      <c r="I569" s="78"/>
      <c r="J569" s="78"/>
      <c r="K569" s="78"/>
      <c r="L569" s="78"/>
      <c r="M569" s="16"/>
      <c r="N569" s="78"/>
      <c r="O569" s="78"/>
      <c r="P569" s="78"/>
      <c r="Q569" s="78"/>
      <c r="R569" s="54"/>
    </row>
    <row r="570" spans="2:18" x14ac:dyDescent="0.2">
      <c r="B570" s="53"/>
      <c r="C570" s="78"/>
      <c r="D570" s="78"/>
      <c r="E570" s="78"/>
      <c r="F570" s="78"/>
      <c r="G570" s="78"/>
      <c r="H570" s="79"/>
      <c r="I570" s="78"/>
      <c r="J570" s="78"/>
      <c r="K570" s="78"/>
      <c r="L570" s="78"/>
      <c r="M570" s="16"/>
      <c r="N570" s="78"/>
      <c r="O570" s="78"/>
      <c r="P570" s="78"/>
      <c r="Q570" s="78"/>
      <c r="R570" s="54"/>
    </row>
    <row r="571" spans="2:18" x14ac:dyDescent="0.2">
      <c r="B571" s="53"/>
      <c r="C571" s="78"/>
      <c r="D571" s="78"/>
      <c r="E571" s="78"/>
      <c r="F571" s="78"/>
      <c r="G571" s="78"/>
      <c r="H571" s="79"/>
      <c r="I571" s="78"/>
      <c r="J571" s="78"/>
      <c r="K571" s="78"/>
      <c r="L571" s="78"/>
      <c r="M571" s="16"/>
      <c r="N571" s="78"/>
      <c r="O571" s="78"/>
      <c r="P571" s="78"/>
      <c r="Q571" s="78"/>
      <c r="R571" s="54"/>
    </row>
    <row r="572" spans="2:18" x14ac:dyDescent="0.2">
      <c r="B572" s="53"/>
      <c r="C572" s="78"/>
      <c r="D572" s="78"/>
      <c r="E572" s="78"/>
      <c r="F572" s="78"/>
      <c r="G572" s="78"/>
      <c r="H572" s="79"/>
      <c r="I572" s="78"/>
      <c r="J572" s="78"/>
      <c r="K572" s="78"/>
      <c r="L572" s="78"/>
      <c r="M572" s="16"/>
      <c r="N572" s="78"/>
      <c r="O572" s="78"/>
      <c r="P572" s="78"/>
      <c r="Q572" s="78"/>
      <c r="R572" s="54"/>
    </row>
    <row r="573" spans="2:18" x14ac:dyDescent="0.2">
      <c r="B573" s="53"/>
      <c r="C573" s="78"/>
      <c r="D573" s="78"/>
      <c r="E573" s="78"/>
      <c r="F573" s="78"/>
      <c r="G573" s="78"/>
      <c r="H573" s="79"/>
      <c r="I573" s="78"/>
      <c r="J573" s="78"/>
      <c r="K573" s="78"/>
      <c r="L573" s="78"/>
      <c r="M573" s="16"/>
      <c r="N573" s="78"/>
      <c r="O573" s="78"/>
      <c r="P573" s="78"/>
      <c r="Q573" s="78"/>
      <c r="R573" s="54"/>
    </row>
    <row r="574" spans="2:18" x14ac:dyDescent="0.2">
      <c r="B574" s="53"/>
      <c r="C574" s="78"/>
      <c r="D574" s="78"/>
      <c r="E574" s="78"/>
      <c r="F574" s="78"/>
      <c r="G574" s="78"/>
      <c r="H574" s="79"/>
      <c r="I574" s="78"/>
      <c r="J574" s="78"/>
      <c r="K574" s="78"/>
      <c r="L574" s="78"/>
      <c r="M574" s="16"/>
      <c r="N574" s="78"/>
      <c r="O574" s="78"/>
      <c r="P574" s="78"/>
      <c r="Q574" s="78"/>
      <c r="R574" s="54"/>
    </row>
    <row r="575" spans="2:18" x14ac:dyDescent="0.2">
      <c r="B575" s="53"/>
      <c r="C575" s="78"/>
      <c r="D575" s="78"/>
      <c r="E575" s="78"/>
      <c r="F575" s="78"/>
      <c r="G575" s="78"/>
      <c r="H575" s="79"/>
      <c r="I575" s="78"/>
      <c r="J575" s="78"/>
      <c r="K575" s="78"/>
      <c r="L575" s="78"/>
      <c r="M575" s="16"/>
      <c r="N575" s="78"/>
      <c r="O575" s="78"/>
      <c r="P575" s="78"/>
      <c r="Q575" s="78"/>
      <c r="R575" s="54"/>
    </row>
    <row r="576" spans="2:18" x14ac:dyDescent="0.2">
      <c r="B576" s="53"/>
      <c r="C576" s="78"/>
      <c r="D576" s="78"/>
      <c r="E576" s="78"/>
      <c r="F576" s="78"/>
      <c r="G576" s="78"/>
      <c r="H576" s="79"/>
      <c r="I576" s="78"/>
      <c r="J576" s="78"/>
      <c r="K576" s="78"/>
      <c r="L576" s="78"/>
      <c r="M576" s="16"/>
      <c r="N576" s="78"/>
      <c r="O576" s="78"/>
      <c r="P576" s="78"/>
      <c r="Q576" s="78"/>
      <c r="R576" s="54"/>
    </row>
    <row r="577" spans="2:18" x14ac:dyDescent="0.2">
      <c r="B577" s="53"/>
      <c r="C577" s="78"/>
      <c r="D577" s="78"/>
      <c r="E577" s="78"/>
      <c r="F577" s="78"/>
      <c r="G577" s="78"/>
      <c r="H577" s="79"/>
      <c r="I577" s="78"/>
      <c r="J577" s="78"/>
      <c r="K577" s="78"/>
      <c r="L577" s="78"/>
      <c r="M577" s="16"/>
      <c r="N577" s="78"/>
      <c r="O577" s="78"/>
      <c r="P577" s="78"/>
      <c r="Q577" s="78"/>
      <c r="R577" s="54"/>
    </row>
    <row r="578" spans="2:18" x14ac:dyDescent="0.2">
      <c r="B578" s="53"/>
      <c r="C578" s="78"/>
      <c r="D578" s="78"/>
      <c r="E578" s="78"/>
      <c r="F578" s="78"/>
      <c r="G578" s="78"/>
      <c r="H578" s="79"/>
      <c r="I578" s="78"/>
      <c r="J578" s="78"/>
      <c r="K578" s="78"/>
      <c r="L578" s="78"/>
      <c r="M578" s="16"/>
      <c r="N578" s="78"/>
      <c r="O578" s="78"/>
      <c r="P578" s="78"/>
      <c r="Q578" s="78"/>
      <c r="R578" s="54"/>
    </row>
    <row r="579" spans="2:18" x14ac:dyDescent="0.2">
      <c r="B579" s="53"/>
      <c r="C579" s="78"/>
      <c r="D579" s="78"/>
      <c r="E579" s="78"/>
      <c r="F579" s="78"/>
      <c r="G579" s="78"/>
      <c r="H579" s="79"/>
      <c r="I579" s="78"/>
      <c r="J579" s="78"/>
      <c r="K579" s="78"/>
      <c r="L579" s="78"/>
      <c r="M579" s="16"/>
      <c r="N579" s="78"/>
      <c r="O579" s="78"/>
      <c r="P579" s="78"/>
      <c r="Q579" s="78"/>
      <c r="R579" s="54"/>
    </row>
    <row r="580" spans="2:18" x14ac:dyDescent="0.2">
      <c r="B580" s="53"/>
      <c r="C580" s="78"/>
      <c r="D580" s="78"/>
      <c r="E580" s="78"/>
      <c r="F580" s="78"/>
      <c r="G580" s="78"/>
      <c r="H580" s="79"/>
      <c r="I580" s="78"/>
      <c r="J580" s="78"/>
      <c r="K580" s="78"/>
      <c r="L580" s="78"/>
      <c r="M580" s="16"/>
      <c r="N580" s="78"/>
      <c r="O580" s="78"/>
      <c r="P580" s="78"/>
      <c r="Q580" s="78"/>
      <c r="R580" s="54"/>
    </row>
    <row r="581" spans="2:18" x14ac:dyDescent="0.2">
      <c r="B581" s="53"/>
      <c r="C581" s="78"/>
      <c r="D581" s="78"/>
      <c r="E581" s="78"/>
      <c r="F581" s="78"/>
      <c r="G581" s="78"/>
      <c r="H581" s="79"/>
      <c r="I581" s="78"/>
      <c r="J581" s="78"/>
      <c r="K581" s="78"/>
      <c r="L581" s="78"/>
      <c r="M581" s="16"/>
      <c r="N581" s="78"/>
      <c r="O581" s="78"/>
      <c r="P581" s="78"/>
      <c r="Q581" s="78"/>
      <c r="R581" s="54"/>
    </row>
    <row r="582" spans="2:18" x14ac:dyDescent="0.2">
      <c r="B582" s="53"/>
      <c r="C582" s="78"/>
      <c r="D582" s="78"/>
      <c r="E582" s="78"/>
      <c r="F582" s="78"/>
      <c r="G582" s="78"/>
      <c r="H582" s="79"/>
      <c r="I582" s="78"/>
      <c r="J582" s="78"/>
      <c r="K582" s="78"/>
      <c r="L582" s="78"/>
      <c r="M582" s="16"/>
      <c r="N582" s="78"/>
      <c r="O582" s="78"/>
      <c r="P582" s="78"/>
      <c r="Q582" s="78"/>
      <c r="R582" s="54"/>
    </row>
    <row r="583" spans="2:18" x14ac:dyDescent="0.2">
      <c r="B583" s="53"/>
      <c r="C583" s="78"/>
      <c r="D583" s="78"/>
      <c r="E583" s="78"/>
      <c r="F583" s="78"/>
      <c r="G583" s="78"/>
      <c r="H583" s="79"/>
      <c r="I583" s="78"/>
      <c r="J583" s="78"/>
      <c r="K583" s="78"/>
      <c r="L583" s="78"/>
      <c r="M583" s="16"/>
      <c r="N583" s="78"/>
      <c r="O583" s="78"/>
      <c r="P583" s="78"/>
      <c r="Q583" s="78"/>
      <c r="R583" s="54"/>
    </row>
    <row r="584" spans="2:18" x14ac:dyDescent="0.2">
      <c r="B584" s="53"/>
      <c r="C584" s="78"/>
      <c r="D584" s="78"/>
      <c r="E584" s="78"/>
      <c r="F584" s="78"/>
      <c r="G584" s="78"/>
      <c r="H584" s="79"/>
      <c r="I584" s="78"/>
      <c r="J584" s="78"/>
      <c r="K584" s="78"/>
      <c r="L584" s="78"/>
      <c r="M584" s="16"/>
      <c r="N584" s="78"/>
      <c r="O584" s="78"/>
      <c r="P584" s="78"/>
      <c r="Q584" s="78"/>
      <c r="R584" s="54"/>
    </row>
    <row r="585" spans="2:18" x14ac:dyDescent="0.2">
      <c r="B585" s="53"/>
      <c r="C585" s="78"/>
      <c r="D585" s="78"/>
      <c r="E585" s="78"/>
      <c r="F585" s="78"/>
      <c r="G585" s="78"/>
      <c r="H585" s="79"/>
      <c r="I585" s="78"/>
      <c r="J585" s="78"/>
      <c r="K585" s="78"/>
      <c r="L585" s="78"/>
      <c r="M585" s="16"/>
      <c r="N585" s="78"/>
      <c r="O585" s="78"/>
      <c r="P585" s="78"/>
      <c r="Q585" s="78"/>
      <c r="R585" s="54"/>
    </row>
    <row r="586" spans="2:18" x14ac:dyDescent="0.2">
      <c r="B586" s="53"/>
      <c r="C586" s="78"/>
      <c r="D586" s="78"/>
      <c r="E586" s="78"/>
      <c r="F586" s="78"/>
      <c r="G586" s="78"/>
      <c r="H586" s="79"/>
      <c r="I586" s="78"/>
      <c r="J586" s="78"/>
      <c r="K586" s="78"/>
      <c r="L586" s="78"/>
      <c r="M586" s="16"/>
      <c r="N586" s="78"/>
      <c r="O586" s="78"/>
      <c r="P586" s="78"/>
      <c r="Q586" s="78"/>
      <c r="R586" s="54"/>
    </row>
    <row r="587" spans="2:18" x14ac:dyDescent="0.2">
      <c r="B587" s="53"/>
      <c r="C587" s="78"/>
      <c r="D587" s="78"/>
      <c r="E587" s="78"/>
      <c r="F587" s="78"/>
      <c r="G587" s="78"/>
      <c r="H587" s="79"/>
      <c r="I587" s="78"/>
      <c r="J587" s="78"/>
      <c r="K587" s="78"/>
      <c r="L587" s="78"/>
      <c r="M587" s="16"/>
      <c r="N587" s="78"/>
      <c r="O587" s="78"/>
      <c r="P587" s="78"/>
      <c r="Q587" s="78"/>
      <c r="R587" s="54"/>
    </row>
    <row r="588" spans="2:18" x14ac:dyDescent="0.2">
      <c r="B588" s="53"/>
      <c r="C588" s="78"/>
      <c r="D588" s="78"/>
      <c r="E588" s="78"/>
      <c r="F588" s="78"/>
      <c r="G588" s="78"/>
      <c r="H588" s="79"/>
      <c r="I588" s="78"/>
      <c r="J588" s="78"/>
      <c r="K588" s="78"/>
      <c r="L588" s="78"/>
      <c r="M588" s="16"/>
      <c r="N588" s="78"/>
      <c r="O588" s="78"/>
      <c r="P588" s="78"/>
      <c r="Q588" s="78"/>
      <c r="R588" s="54"/>
    </row>
    <row r="589" spans="2:18" x14ac:dyDescent="0.2">
      <c r="B589" s="53"/>
      <c r="C589" s="78"/>
      <c r="D589" s="78"/>
      <c r="E589" s="78"/>
      <c r="F589" s="78"/>
      <c r="G589" s="78"/>
      <c r="H589" s="79"/>
      <c r="I589" s="78"/>
      <c r="J589" s="78"/>
      <c r="K589" s="78"/>
      <c r="L589" s="78"/>
      <c r="M589" s="16"/>
      <c r="N589" s="78"/>
      <c r="O589" s="78"/>
      <c r="P589" s="78"/>
      <c r="Q589" s="78"/>
      <c r="R589" s="54"/>
    </row>
    <row r="590" spans="2:18" x14ac:dyDescent="0.2">
      <c r="B590" s="53"/>
      <c r="C590" s="78"/>
      <c r="D590" s="78"/>
      <c r="E590" s="78"/>
      <c r="F590" s="78"/>
      <c r="G590" s="78"/>
      <c r="H590" s="79"/>
      <c r="I590" s="78"/>
      <c r="J590" s="78"/>
      <c r="K590" s="78"/>
      <c r="L590" s="78"/>
      <c r="M590" s="16"/>
      <c r="N590" s="78"/>
      <c r="O590" s="78"/>
      <c r="P590" s="78"/>
      <c r="Q590" s="78"/>
      <c r="R590" s="54"/>
    </row>
    <row r="591" spans="2:18" x14ac:dyDescent="0.2">
      <c r="B591" s="53"/>
      <c r="C591" s="78"/>
      <c r="D591" s="78"/>
      <c r="E591" s="78"/>
      <c r="F591" s="78"/>
      <c r="G591" s="78"/>
      <c r="H591" s="79"/>
      <c r="I591" s="78"/>
      <c r="J591" s="78"/>
      <c r="K591" s="78"/>
      <c r="L591" s="78"/>
      <c r="M591" s="16"/>
      <c r="N591" s="78"/>
      <c r="O591" s="78"/>
      <c r="P591" s="78"/>
      <c r="Q591" s="78"/>
      <c r="R591" s="54"/>
    </row>
    <row r="592" spans="2:18" x14ac:dyDescent="0.2">
      <c r="B592" s="53"/>
      <c r="C592" s="78"/>
      <c r="D592" s="78"/>
      <c r="E592" s="78"/>
      <c r="F592" s="78"/>
      <c r="G592" s="78"/>
      <c r="H592" s="79"/>
      <c r="I592" s="78"/>
      <c r="J592" s="78"/>
      <c r="K592" s="78"/>
      <c r="L592" s="78"/>
      <c r="M592" s="16"/>
      <c r="N592" s="78"/>
      <c r="O592" s="78"/>
      <c r="P592" s="78"/>
      <c r="Q592" s="78"/>
      <c r="R592" s="54"/>
    </row>
    <row r="593" spans="2:18" x14ac:dyDescent="0.2">
      <c r="B593" s="53"/>
      <c r="C593" s="78"/>
      <c r="D593" s="78"/>
      <c r="E593" s="78"/>
      <c r="F593" s="78"/>
      <c r="G593" s="78"/>
      <c r="H593" s="79"/>
      <c r="I593" s="78"/>
      <c r="J593" s="78"/>
      <c r="K593" s="78"/>
      <c r="L593" s="78"/>
      <c r="M593" s="16"/>
      <c r="N593" s="78"/>
      <c r="O593" s="78"/>
      <c r="P593" s="78"/>
      <c r="Q593" s="78"/>
      <c r="R593" s="54"/>
    </row>
    <row r="594" spans="2:18" x14ac:dyDescent="0.2">
      <c r="B594" s="53"/>
      <c r="C594" s="78"/>
      <c r="D594" s="78"/>
      <c r="E594" s="78"/>
      <c r="F594" s="78"/>
      <c r="G594" s="78"/>
      <c r="H594" s="79"/>
      <c r="I594" s="78"/>
      <c r="J594" s="78"/>
      <c r="K594" s="78"/>
      <c r="L594" s="78"/>
      <c r="M594" s="16"/>
      <c r="N594" s="78"/>
      <c r="O594" s="78"/>
      <c r="P594" s="78"/>
      <c r="Q594" s="78"/>
      <c r="R594" s="54"/>
    </row>
    <row r="595" spans="2:18" x14ac:dyDescent="0.2">
      <c r="B595" s="53"/>
      <c r="C595" s="78"/>
      <c r="D595" s="78"/>
      <c r="E595" s="78"/>
      <c r="F595" s="78"/>
      <c r="G595" s="78"/>
      <c r="H595" s="79"/>
      <c r="I595" s="78"/>
      <c r="J595" s="78"/>
      <c r="K595" s="78"/>
      <c r="L595" s="78"/>
      <c r="M595" s="16"/>
      <c r="N595" s="78"/>
      <c r="O595" s="78"/>
      <c r="P595" s="78"/>
      <c r="Q595" s="78"/>
      <c r="R595" s="54"/>
    </row>
    <row r="596" spans="2:18" x14ac:dyDescent="0.2">
      <c r="B596" s="53"/>
      <c r="C596" s="78"/>
      <c r="D596" s="78"/>
      <c r="E596" s="78"/>
      <c r="F596" s="78"/>
      <c r="G596" s="78"/>
      <c r="H596" s="79"/>
      <c r="I596" s="78"/>
      <c r="J596" s="78"/>
      <c r="K596" s="78"/>
      <c r="L596" s="78"/>
      <c r="M596" s="16"/>
      <c r="N596" s="78"/>
      <c r="O596" s="78"/>
      <c r="P596" s="78"/>
      <c r="Q596" s="78"/>
      <c r="R596" s="54"/>
    </row>
    <row r="597" spans="2:18" x14ac:dyDescent="0.2">
      <c r="B597" s="53"/>
      <c r="C597" s="78"/>
      <c r="D597" s="78"/>
      <c r="E597" s="78"/>
      <c r="F597" s="78"/>
      <c r="G597" s="78"/>
      <c r="H597" s="79"/>
      <c r="I597" s="78"/>
      <c r="J597" s="78"/>
      <c r="K597" s="78"/>
      <c r="L597" s="78"/>
      <c r="M597" s="16"/>
      <c r="N597" s="78"/>
      <c r="O597" s="78"/>
      <c r="P597" s="78"/>
      <c r="Q597" s="78"/>
      <c r="R597" s="54"/>
    </row>
    <row r="598" spans="2:18" x14ac:dyDescent="0.2">
      <c r="B598" s="53"/>
      <c r="C598" s="78"/>
      <c r="D598" s="78"/>
      <c r="E598" s="78"/>
      <c r="F598" s="78"/>
      <c r="G598" s="78"/>
      <c r="H598" s="79"/>
      <c r="I598" s="78"/>
      <c r="J598" s="78"/>
      <c r="K598" s="78"/>
      <c r="L598" s="78"/>
      <c r="M598" s="16"/>
      <c r="N598" s="78"/>
      <c r="O598" s="78"/>
      <c r="P598" s="78"/>
      <c r="Q598" s="78"/>
      <c r="R598" s="54"/>
    </row>
    <row r="599" spans="2:18" x14ac:dyDescent="0.2">
      <c r="B599" s="53"/>
      <c r="C599" s="78"/>
      <c r="D599" s="78"/>
      <c r="E599" s="78"/>
      <c r="F599" s="78"/>
      <c r="G599" s="78"/>
      <c r="H599" s="79"/>
      <c r="I599" s="78"/>
      <c r="J599" s="78"/>
      <c r="K599" s="78"/>
      <c r="L599" s="78"/>
      <c r="M599" s="16"/>
      <c r="N599" s="78"/>
      <c r="O599" s="78"/>
      <c r="P599" s="78"/>
      <c r="Q599" s="78"/>
      <c r="R599" s="54"/>
    </row>
    <row r="600" spans="2:18" x14ac:dyDescent="0.2">
      <c r="B600" s="53"/>
      <c r="C600" s="78"/>
      <c r="D600" s="78"/>
      <c r="E600" s="78"/>
      <c r="F600" s="78"/>
      <c r="G600" s="78"/>
      <c r="H600" s="79"/>
      <c r="I600" s="78"/>
      <c r="J600" s="78"/>
      <c r="K600" s="78"/>
      <c r="L600" s="78"/>
      <c r="M600" s="16"/>
      <c r="N600" s="78"/>
      <c r="O600" s="78"/>
      <c r="P600" s="78"/>
      <c r="Q600" s="78"/>
      <c r="R600" s="54"/>
    </row>
    <row r="601" spans="2:18" x14ac:dyDescent="0.2">
      <c r="B601" s="53"/>
      <c r="C601" s="78"/>
      <c r="D601" s="78"/>
      <c r="E601" s="78"/>
      <c r="F601" s="78"/>
      <c r="G601" s="78"/>
      <c r="H601" s="79"/>
      <c r="I601" s="78"/>
      <c r="J601" s="78"/>
      <c r="K601" s="78"/>
      <c r="L601" s="78"/>
      <c r="M601" s="16"/>
      <c r="N601" s="78"/>
      <c r="O601" s="78"/>
      <c r="P601" s="78"/>
      <c r="Q601" s="78"/>
      <c r="R601" s="54"/>
    </row>
    <row r="602" spans="2:18" x14ac:dyDescent="0.2">
      <c r="B602" s="53"/>
      <c r="C602" s="78"/>
      <c r="D602" s="78"/>
      <c r="E602" s="78"/>
      <c r="F602" s="78"/>
      <c r="G602" s="78"/>
      <c r="H602" s="79"/>
      <c r="I602" s="78"/>
      <c r="J602" s="78"/>
      <c r="K602" s="78"/>
      <c r="L602" s="78"/>
      <c r="M602" s="16"/>
      <c r="N602" s="78"/>
      <c r="O602" s="78"/>
      <c r="P602" s="78"/>
      <c r="Q602" s="78"/>
      <c r="R602" s="54"/>
    </row>
    <row r="603" spans="2:18" x14ac:dyDescent="0.2">
      <c r="B603" s="53"/>
      <c r="C603" s="78"/>
      <c r="D603" s="78"/>
      <c r="E603" s="78"/>
      <c r="F603" s="78"/>
      <c r="G603" s="78"/>
      <c r="H603" s="79"/>
      <c r="I603" s="78"/>
      <c r="J603" s="78"/>
      <c r="K603" s="78"/>
      <c r="L603" s="78"/>
      <c r="M603" s="16"/>
      <c r="N603" s="78"/>
      <c r="O603" s="78"/>
      <c r="P603" s="78"/>
      <c r="Q603" s="78"/>
      <c r="R603" s="54"/>
    </row>
    <row r="604" spans="2:18" x14ac:dyDescent="0.2">
      <c r="B604" s="53"/>
      <c r="C604" s="78"/>
      <c r="D604" s="78"/>
      <c r="E604" s="78"/>
      <c r="F604" s="78"/>
      <c r="G604" s="78"/>
      <c r="H604" s="79"/>
      <c r="I604" s="78"/>
      <c r="J604" s="78"/>
      <c r="K604" s="78"/>
      <c r="L604" s="78"/>
      <c r="M604" s="16"/>
      <c r="N604" s="78"/>
      <c r="O604" s="78"/>
      <c r="P604" s="78"/>
      <c r="Q604" s="78"/>
      <c r="R604" s="54"/>
    </row>
    <row r="605" spans="2:18" x14ac:dyDescent="0.2">
      <c r="B605" s="53"/>
      <c r="C605" s="78"/>
      <c r="D605" s="78"/>
      <c r="E605" s="78"/>
      <c r="F605" s="78"/>
      <c r="G605" s="78"/>
      <c r="H605" s="79"/>
      <c r="I605" s="78"/>
      <c r="J605" s="78"/>
      <c r="K605" s="78"/>
      <c r="L605" s="78"/>
      <c r="M605" s="16"/>
      <c r="N605" s="78"/>
      <c r="O605" s="78"/>
      <c r="P605" s="78"/>
      <c r="Q605" s="78"/>
      <c r="R605" s="54"/>
    </row>
    <row r="606" spans="2:18" x14ac:dyDescent="0.2">
      <c r="B606" s="53"/>
      <c r="C606" s="78"/>
      <c r="D606" s="78"/>
      <c r="E606" s="78"/>
      <c r="F606" s="78"/>
      <c r="G606" s="78"/>
      <c r="H606" s="79"/>
      <c r="I606" s="78"/>
      <c r="J606" s="78"/>
      <c r="K606" s="78"/>
      <c r="L606" s="78"/>
      <c r="M606" s="16"/>
      <c r="N606" s="78"/>
      <c r="O606" s="78"/>
      <c r="P606" s="78"/>
      <c r="Q606" s="78"/>
      <c r="R606" s="54"/>
    </row>
    <row r="607" spans="2:18" x14ac:dyDescent="0.2">
      <c r="B607" s="53"/>
      <c r="C607" s="78"/>
      <c r="D607" s="78"/>
      <c r="E607" s="78"/>
      <c r="F607" s="78"/>
      <c r="G607" s="78"/>
      <c r="H607" s="79"/>
      <c r="I607" s="78"/>
      <c r="J607" s="78"/>
      <c r="K607" s="78"/>
      <c r="L607" s="78"/>
      <c r="M607" s="16"/>
      <c r="N607" s="78"/>
      <c r="O607" s="78"/>
      <c r="P607" s="78"/>
      <c r="Q607" s="78"/>
      <c r="R607" s="54"/>
    </row>
    <row r="608" spans="2:18" x14ac:dyDescent="0.2">
      <c r="B608" s="53"/>
      <c r="C608" s="78"/>
      <c r="D608" s="78"/>
      <c r="E608" s="78"/>
      <c r="F608" s="78"/>
      <c r="G608" s="78"/>
      <c r="H608" s="79"/>
      <c r="I608" s="78"/>
      <c r="J608" s="78"/>
      <c r="K608" s="78"/>
      <c r="L608" s="78"/>
      <c r="M608" s="16"/>
      <c r="N608" s="78"/>
      <c r="O608" s="78"/>
      <c r="P608" s="78"/>
      <c r="Q608" s="78"/>
      <c r="R608" s="54"/>
    </row>
    <row r="609" spans="2:18" x14ac:dyDescent="0.2">
      <c r="B609" s="53"/>
      <c r="C609" s="78"/>
      <c r="D609" s="78"/>
      <c r="E609" s="78"/>
      <c r="F609" s="78"/>
      <c r="G609" s="78"/>
      <c r="H609" s="79"/>
      <c r="I609" s="78"/>
      <c r="J609" s="78"/>
      <c r="K609" s="78"/>
      <c r="L609" s="78"/>
      <c r="M609" s="16"/>
      <c r="N609" s="78"/>
      <c r="O609" s="78"/>
      <c r="P609" s="78"/>
      <c r="Q609" s="78"/>
      <c r="R609" s="54"/>
    </row>
    <row r="610" spans="2:18" x14ac:dyDescent="0.2">
      <c r="B610" s="53"/>
      <c r="C610" s="78"/>
      <c r="D610" s="78"/>
      <c r="E610" s="78"/>
      <c r="F610" s="78"/>
      <c r="G610" s="78"/>
      <c r="H610" s="79"/>
      <c r="I610" s="78"/>
      <c r="J610" s="78"/>
      <c r="K610" s="78"/>
      <c r="L610" s="78"/>
      <c r="M610" s="16"/>
      <c r="N610" s="78"/>
      <c r="O610" s="78"/>
      <c r="P610" s="78"/>
      <c r="Q610" s="78"/>
      <c r="R610" s="54"/>
    </row>
    <row r="611" spans="2:18" x14ac:dyDescent="0.2">
      <c r="B611" s="53"/>
      <c r="C611" s="78"/>
      <c r="D611" s="78"/>
      <c r="E611" s="78"/>
      <c r="F611" s="78"/>
      <c r="G611" s="78"/>
      <c r="H611" s="79"/>
      <c r="I611" s="78"/>
      <c r="J611" s="78"/>
      <c r="K611" s="78"/>
      <c r="L611" s="78"/>
      <c r="M611" s="16"/>
      <c r="N611" s="78"/>
      <c r="O611" s="78"/>
      <c r="P611" s="78"/>
      <c r="Q611" s="78"/>
      <c r="R611" s="54"/>
    </row>
    <row r="612" spans="2:18" x14ac:dyDescent="0.2">
      <c r="B612" s="53"/>
      <c r="C612" s="78"/>
      <c r="D612" s="78"/>
      <c r="E612" s="78"/>
      <c r="F612" s="78"/>
      <c r="G612" s="78"/>
      <c r="H612" s="79"/>
      <c r="I612" s="78"/>
      <c r="J612" s="78"/>
      <c r="K612" s="78"/>
      <c r="L612" s="78"/>
      <c r="M612" s="16"/>
      <c r="N612" s="78"/>
      <c r="O612" s="78"/>
      <c r="P612" s="78"/>
      <c r="Q612" s="78"/>
      <c r="R612" s="54"/>
    </row>
    <row r="613" spans="2:18" x14ac:dyDescent="0.2">
      <c r="B613" s="53"/>
      <c r="C613" s="78"/>
      <c r="D613" s="78"/>
      <c r="E613" s="78"/>
      <c r="F613" s="78"/>
      <c r="G613" s="78"/>
      <c r="H613" s="79"/>
      <c r="I613" s="78"/>
      <c r="J613" s="78"/>
      <c r="K613" s="78"/>
      <c r="L613" s="78"/>
      <c r="M613" s="16"/>
      <c r="N613" s="78"/>
      <c r="O613" s="78"/>
      <c r="P613" s="78"/>
      <c r="Q613" s="78"/>
      <c r="R613" s="54"/>
    </row>
    <row r="614" spans="2:18" x14ac:dyDescent="0.2">
      <c r="B614" s="53"/>
      <c r="C614" s="78"/>
      <c r="D614" s="78"/>
      <c r="E614" s="78"/>
      <c r="F614" s="78"/>
      <c r="G614" s="78"/>
      <c r="H614" s="79"/>
      <c r="I614" s="78"/>
      <c r="J614" s="78"/>
      <c r="K614" s="78"/>
      <c r="L614" s="78"/>
      <c r="M614" s="16"/>
      <c r="N614" s="78"/>
      <c r="O614" s="78"/>
      <c r="P614" s="78"/>
      <c r="Q614" s="78"/>
      <c r="R614" s="54"/>
    </row>
    <row r="615" spans="2:18" x14ac:dyDescent="0.2">
      <c r="B615" s="53"/>
      <c r="C615" s="78"/>
      <c r="D615" s="78"/>
      <c r="E615" s="78"/>
      <c r="F615" s="78"/>
      <c r="G615" s="78"/>
      <c r="H615" s="79"/>
      <c r="I615" s="78"/>
      <c r="J615" s="78"/>
      <c r="K615" s="78"/>
      <c r="L615" s="78"/>
      <c r="M615" s="16"/>
      <c r="N615" s="78"/>
      <c r="O615" s="78"/>
      <c r="P615" s="78"/>
      <c r="Q615" s="78"/>
      <c r="R615" s="54"/>
    </row>
    <row r="616" spans="2:18" x14ac:dyDescent="0.2">
      <c r="B616" s="53"/>
      <c r="C616" s="78"/>
      <c r="D616" s="78"/>
      <c r="E616" s="78"/>
      <c r="F616" s="78"/>
      <c r="G616" s="78"/>
      <c r="H616" s="79"/>
      <c r="I616" s="78"/>
      <c r="J616" s="78"/>
      <c r="K616" s="78"/>
      <c r="L616" s="78"/>
      <c r="M616" s="16"/>
      <c r="N616" s="78"/>
      <c r="O616" s="78"/>
      <c r="P616" s="78"/>
      <c r="Q616" s="78"/>
      <c r="R616" s="54"/>
    </row>
    <row r="617" spans="2:18" x14ac:dyDescent="0.2">
      <c r="B617" s="53"/>
      <c r="C617" s="78"/>
      <c r="D617" s="78"/>
      <c r="E617" s="78"/>
      <c r="F617" s="78"/>
      <c r="G617" s="78"/>
      <c r="H617" s="79"/>
      <c r="I617" s="78"/>
      <c r="J617" s="78"/>
      <c r="K617" s="78"/>
      <c r="L617" s="78"/>
      <c r="M617" s="16"/>
      <c r="N617" s="78"/>
      <c r="O617" s="78"/>
      <c r="P617" s="78"/>
      <c r="Q617" s="78"/>
      <c r="R617" s="54"/>
    </row>
    <row r="618" spans="2:18" x14ac:dyDescent="0.2">
      <c r="B618" s="53"/>
      <c r="C618" s="78"/>
      <c r="D618" s="78"/>
      <c r="E618" s="78"/>
      <c r="F618" s="78"/>
      <c r="G618" s="78"/>
      <c r="H618" s="79"/>
      <c r="I618" s="78"/>
      <c r="J618" s="78"/>
      <c r="K618" s="78"/>
      <c r="L618" s="78"/>
      <c r="M618" s="16"/>
      <c r="N618" s="78"/>
      <c r="O618" s="78"/>
      <c r="P618" s="78"/>
      <c r="Q618" s="78"/>
      <c r="R618" s="54"/>
    </row>
    <row r="619" spans="2:18" x14ac:dyDescent="0.2">
      <c r="B619" s="53"/>
      <c r="C619" s="78"/>
      <c r="D619" s="78"/>
      <c r="E619" s="78"/>
      <c r="F619" s="78"/>
      <c r="G619" s="78"/>
      <c r="H619" s="79"/>
      <c r="I619" s="78"/>
      <c r="J619" s="78"/>
      <c r="K619" s="78"/>
      <c r="L619" s="78"/>
      <c r="M619" s="16"/>
      <c r="N619" s="78"/>
      <c r="O619" s="78"/>
      <c r="P619" s="78"/>
      <c r="Q619" s="78"/>
      <c r="R619" s="54"/>
    </row>
    <row r="620" spans="2:18" x14ac:dyDescent="0.2">
      <c r="B620" s="53"/>
      <c r="C620" s="78"/>
      <c r="D620" s="78"/>
      <c r="E620" s="78"/>
      <c r="F620" s="78"/>
      <c r="G620" s="78"/>
      <c r="H620" s="79"/>
      <c r="I620" s="78"/>
      <c r="J620" s="78"/>
      <c r="K620" s="78"/>
      <c r="L620" s="78"/>
      <c r="M620" s="16"/>
      <c r="N620" s="78"/>
      <c r="O620" s="78"/>
      <c r="P620" s="78"/>
      <c r="Q620" s="78"/>
      <c r="R620" s="54"/>
    </row>
    <row r="621" spans="2:18" x14ac:dyDescent="0.2">
      <c r="B621" s="53"/>
      <c r="C621" s="78"/>
      <c r="D621" s="78"/>
      <c r="E621" s="78"/>
      <c r="F621" s="78"/>
      <c r="G621" s="78"/>
      <c r="H621" s="79"/>
      <c r="I621" s="78"/>
      <c r="J621" s="78"/>
      <c r="K621" s="78"/>
      <c r="L621" s="78"/>
      <c r="M621" s="16"/>
      <c r="N621" s="78"/>
      <c r="O621" s="78"/>
      <c r="P621" s="78"/>
      <c r="Q621" s="78"/>
      <c r="R621" s="54"/>
    </row>
    <row r="622" spans="2:18" x14ac:dyDescent="0.2">
      <c r="B622" s="53"/>
      <c r="C622" s="78"/>
      <c r="D622" s="78"/>
      <c r="E622" s="78"/>
      <c r="F622" s="78"/>
      <c r="G622" s="78"/>
      <c r="H622" s="79"/>
      <c r="I622" s="78"/>
      <c r="J622" s="78"/>
      <c r="K622" s="78"/>
      <c r="L622" s="78"/>
      <c r="M622" s="16"/>
      <c r="N622" s="78"/>
      <c r="O622" s="78"/>
      <c r="P622" s="78"/>
      <c r="Q622" s="78"/>
      <c r="R622" s="54"/>
    </row>
    <row r="623" spans="2:18" x14ac:dyDescent="0.2">
      <c r="B623" s="53"/>
      <c r="C623" s="78"/>
      <c r="D623" s="78"/>
      <c r="E623" s="78"/>
      <c r="F623" s="78"/>
      <c r="G623" s="78"/>
      <c r="H623" s="79"/>
      <c r="I623" s="78"/>
      <c r="J623" s="78"/>
      <c r="K623" s="78"/>
      <c r="L623" s="78"/>
      <c r="M623" s="16"/>
      <c r="N623" s="78"/>
      <c r="O623" s="78"/>
      <c r="P623" s="78"/>
      <c r="Q623" s="78"/>
      <c r="R623" s="54"/>
    </row>
    <row r="624" spans="2:18" x14ac:dyDescent="0.2">
      <c r="B624" s="53"/>
      <c r="C624" s="78"/>
      <c r="D624" s="78"/>
      <c r="E624" s="78"/>
      <c r="F624" s="78"/>
      <c r="G624" s="78"/>
      <c r="H624" s="79"/>
      <c r="I624" s="78"/>
      <c r="J624" s="78"/>
      <c r="K624" s="78"/>
      <c r="L624" s="78"/>
      <c r="M624" s="16"/>
      <c r="N624" s="78"/>
      <c r="O624" s="78"/>
      <c r="P624" s="78"/>
      <c r="Q624" s="78"/>
      <c r="R624" s="54"/>
    </row>
    <row r="625" spans="2:18" x14ac:dyDescent="0.2">
      <c r="B625" s="53"/>
      <c r="C625" s="78"/>
      <c r="D625" s="78"/>
      <c r="E625" s="78"/>
      <c r="F625" s="78"/>
      <c r="G625" s="78"/>
      <c r="H625" s="79"/>
      <c r="I625" s="78"/>
      <c r="J625" s="78"/>
      <c r="K625" s="78"/>
      <c r="L625" s="78"/>
      <c r="M625" s="16"/>
      <c r="N625" s="78"/>
      <c r="O625" s="78"/>
      <c r="P625" s="78"/>
      <c r="Q625" s="78"/>
      <c r="R625" s="54"/>
    </row>
    <row r="626" spans="2:18" x14ac:dyDescent="0.2">
      <c r="B626" s="53"/>
      <c r="C626" s="78"/>
      <c r="D626" s="78"/>
      <c r="E626" s="78"/>
      <c r="F626" s="78"/>
      <c r="G626" s="78"/>
      <c r="H626" s="79"/>
      <c r="I626" s="78"/>
      <c r="J626" s="78"/>
      <c r="K626" s="78"/>
      <c r="L626" s="78"/>
      <c r="M626" s="16"/>
      <c r="N626" s="78"/>
      <c r="O626" s="78"/>
      <c r="P626" s="78"/>
      <c r="Q626" s="78"/>
      <c r="R626" s="54"/>
    </row>
    <row r="627" spans="2:18" x14ac:dyDescent="0.2">
      <c r="B627" s="53"/>
      <c r="C627" s="78"/>
      <c r="D627" s="78"/>
      <c r="E627" s="78"/>
      <c r="F627" s="78"/>
      <c r="G627" s="78"/>
      <c r="H627" s="79"/>
      <c r="I627" s="78"/>
      <c r="J627" s="78"/>
      <c r="K627" s="78"/>
      <c r="L627" s="78"/>
      <c r="M627" s="16"/>
      <c r="N627" s="78"/>
      <c r="O627" s="78"/>
      <c r="P627" s="78"/>
      <c r="Q627" s="78"/>
      <c r="R627" s="54"/>
    </row>
    <row r="628" spans="2:18" x14ac:dyDescent="0.2">
      <c r="B628" s="53"/>
      <c r="C628" s="78"/>
      <c r="D628" s="78"/>
      <c r="E628" s="78"/>
      <c r="F628" s="78"/>
      <c r="G628" s="78"/>
      <c r="H628" s="79"/>
      <c r="I628" s="78"/>
      <c r="J628" s="78"/>
      <c r="K628" s="78"/>
      <c r="L628" s="78"/>
      <c r="M628" s="16"/>
      <c r="N628" s="78"/>
      <c r="O628" s="78"/>
      <c r="P628" s="78"/>
      <c r="Q628" s="78"/>
      <c r="R628" s="54"/>
    </row>
    <row r="629" spans="2:18" x14ac:dyDescent="0.2">
      <c r="B629" s="53"/>
      <c r="C629" s="78"/>
      <c r="D629" s="78"/>
      <c r="E629" s="78"/>
      <c r="F629" s="78"/>
      <c r="G629" s="78"/>
      <c r="H629" s="79"/>
      <c r="I629" s="78"/>
      <c r="J629" s="78"/>
      <c r="K629" s="78"/>
      <c r="L629" s="78"/>
      <c r="M629" s="16"/>
      <c r="N629" s="78"/>
      <c r="O629" s="78"/>
      <c r="P629" s="78"/>
      <c r="Q629" s="78"/>
      <c r="R629" s="54"/>
    </row>
    <row r="630" spans="2:18" x14ac:dyDescent="0.2">
      <c r="B630" s="53"/>
      <c r="C630" s="78"/>
      <c r="D630" s="78"/>
      <c r="E630" s="78"/>
      <c r="F630" s="78"/>
      <c r="G630" s="78"/>
      <c r="H630" s="79"/>
      <c r="I630" s="78"/>
      <c r="J630" s="78"/>
      <c r="K630" s="78"/>
      <c r="L630" s="78"/>
      <c r="M630" s="16"/>
      <c r="N630" s="78"/>
      <c r="O630" s="78"/>
      <c r="P630" s="78"/>
      <c r="Q630" s="78"/>
      <c r="R630" s="54"/>
    </row>
    <row r="631" spans="2:18" x14ac:dyDescent="0.2">
      <c r="B631" s="53"/>
      <c r="C631" s="78"/>
      <c r="D631" s="78"/>
      <c r="E631" s="78"/>
      <c r="F631" s="78"/>
      <c r="G631" s="78"/>
      <c r="H631" s="79"/>
      <c r="I631" s="78"/>
      <c r="J631" s="78"/>
      <c r="K631" s="78"/>
      <c r="L631" s="78"/>
      <c r="M631" s="16"/>
      <c r="N631" s="78"/>
      <c r="O631" s="78"/>
      <c r="P631" s="78"/>
      <c r="Q631" s="78"/>
      <c r="R631" s="54"/>
    </row>
    <row r="632" spans="2:18" x14ac:dyDescent="0.2">
      <c r="B632" s="53"/>
      <c r="C632" s="78"/>
      <c r="D632" s="78"/>
      <c r="E632" s="78"/>
      <c r="F632" s="78"/>
      <c r="G632" s="78"/>
      <c r="H632" s="79"/>
      <c r="I632" s="78"/>
      <c r="J632" s="78"/>
      <c r="K632" s="78"/>
      <c r="L632" s="78"/>
      <c r="M632" s="16"/>
      <c r="N632" s="78"/>
      <c r="O632" s="78"/>
      <c r="P632" s="78"/>
      <c r="Q632" s="78"/>
      <c r="R632" s="54"/>
    </row>
    <row r="633" spans="2:18" x14ac:dyDescent="0.2">
      <c r="B633" s="53"/>
      <c r="C633" s="78"/>
      <c r="D633" s="78"/>
      <c r="E633" s="78"/>
      <c r="F633" s="78"/>
      <c r="G633" s="78"/>
      <c r="H633" s="79"/>
      <c r="I633" s="78"/>
      <c r="J633" s="78"/>
      <c r="K633" s="78"/>
      <c r="L633" s="78"/>
      <c r="M633" s="16"/>
      <c r="N633" s="78"/>
      <c r="O633" s="78"/>
      <c r="P633" s="78"/>
      <c r="Q633" s="78"/>
      <c r="R633" s="54"/>
    </row>
    <row r="634" spans="2:18" x14ac:dyDescent="0.2">
      <c r="B634" s="53"/>
      <c r="C634" s="78"/>
      <c r="D634" s="78"/>
      <c r="E634" s="78"/>
      <c r="F634" s="78"/>
      <c r="G634" s="78"/>
      <c r="H634" s="79"/>
      <c r="I634" s="78"/>
      <c r="J634" s="78"/>
      <c r="K634" s="78"/>
      <c r="L634" s="78"/>
      <c r="M634" s="16"/>
      <c r="N634" s="78"/>
      <c r="O634" s="78"/>
      <c r="P634" s="78"/>
      <c r="Q634" s="78"/>
      <c r="R634" s="54"/>
    </row>
    <row r="635" spans="2:18" x14ac:dyDescent="0.2">
      <c r="B635" s="53"/>
      <c r="C635" s="78"/>
      <c r="D635" s="78"/>
      <c r="E635" s="78"/>
      <c r="F635" s="78"/>
      <c r="G635" s="78"/>
      <c r="H635" s="79"/>
      <c r="I635" s="78"/>
      <c r="J635" s="78"/>
      <c r="K635" s="78"/>
      <c r="L635" s="78"/>
      <c r="M635" s="16"/>
      <c r="N635" s="78"/>
      <c r="O635" s="78"/>
      <c r="P635" s="78"/>
      <c r="Q635" s="78"/>
      <c r="R635" s="54"/>
    </row>
    <row r="636" spans="2:18" x14ac:dyDescent="0.2">
      <c r="B636" s="53"/>
      <c r="C636" s="78"/>
      <c r="D636" s="78"/>
      <c r="E636" s="78"/>
      <c r="F636" s="78"/>
      <c r="G636" s="78"/>
      <c r="H636" s="79"/>
      <c r="I636" s="78"/>
      <c r="J636" s="78"/>
      <c r="K636" s="78"/>
      <c r="L636" s="78"/>
      <c r="M636" s="16"/>
      <c r="N636" s="78"/>
      <c r="O636" s="78"/>
      <c r="P636" s="78"/>
      <c r="Q636" s="78"/>
      <c r="R636" s="54"/>
    </row>
    <row r="637" spans="2:18" x14ac:dyDescent="0.2">
      <c r="B637" s="53"/>
      <c r="C637" s="78"/>
      <c r="D637" s="78"/>
      <c r="E637" s="78"/>
      <c r="F637" s="78"/>
      <c r="G637" s="78"/>
      <c r="H637" s="79"/>
      <c r="I637" s="78"/>
      <c r="J637" s="78"/>
      <c r="K637" s="78"/>
      <c r="L637" s="78"/>
      <c r="M637" s="16"/>
      <c r="N637" s="78"/>
      <c r="O637" s="78"/>
      <c r="P637" s="78"/>
      <c r="Q637" s="78"/>
      <c r="R637" s="54"/>
    </row>
    <row r="638" spans="2:18" x14ac:dyDescent="0.2">
      <c r="B638" s="53"/>
      <c r="C638" s="78"/>
      <c r="D638" s="78"/>
      <c r="E638" s="78"/>
      <c r="F638" s="78"/>
      <c r="G638" s="78"/>
      <c r="H638" s="79"/>
      <c r="I638" s="78"/>
      <c r="J638" s="78"/>
      <c r="K638" s="78"/>
      <c r="L638" s="78"/>
      <c r="M638" s="16"/>
      <c r="N638" s="78"/>
      <c r="O638" s="78"/>
      <c r="P638" s="78"/>
      <c r="Q638" s="78"/>
      <c r="R638" s="54"/>
    </row>
    <row r="639" spans="2:18" x14ac:dyDescent="0.2">
      <c r="B639" s="53"/>
      <c r="C639" s="78"/>
      <c r="D639" s="78"/>
      <c r="E639" s="78"/>
      <c r="F639" s="78"/>
      <c r="G639" s="78"/>
      <c r="H639" s="79"/>
      <c r="I639" s="78"/>
      <c r="J639" s="78"/>
      <c r="K639" s="78"/>
      <c r="L639" s="78"/>
      <c r="M639" s="16"/>
      <c r="N639" s="78"/>
      <c r="O639" s="78"/>
      <c r="P639" s="78"/>
      <c r="Q639" s="78"/>
      <c r="R639" s="54"/>
    </row>
    <row r="640" spans="2:18" x14ac:dyDescent="0.2">
      <c r="B640" s="53"/>
      <c r="C640" s="78"/>
      <c r="D640" s="78"/>
      <c r="E640" s="78"/>
      <c r="F640" s="78"/>
      <c r="G640" s="78"/>
      <c r="H640" s="79"/>
      <c r="I640" s="78"/>
      <c r="J640" s="78"/>
      <c r="K640" s="78"/>
      <c r="L640" s="78"/>
      <c r="M640" s="16"/>
      <c r="N640" s="78"/>
      <c r="O640" s="78"/>
      <c r="P640" s="78"/>
      <c r="Q640" s="78"/>
      <c r="R640" s="54"/>
    </row>
    <row r="641" spans="2:18" x14ac:dyDescent="0.2">
      <c r="B641" s="53"/>
      <c r="C641" s="78"/>
      <c r="D641" s="78"/>
      <c r="E641" s="78"/>
      <c r="F641" s="78"/>
      <c r="G641" s="78"/>
      <c r="H641" s="79"/>
      <c r="I641" s="78"/>
      <c r="J641" s="78"/>
      <c r="K641" s="78"/>
      <c r="L641" s="78"/>
      <c r="M641" s="16"/>
      <c r="N641" s="78"/>
      <c r="O641" s="78"/>
      <c r="P641" s="78"/>
      <c r="Q641" s="78"/>
      <c r="R641" s="54"/>
    </row>
    <row r="642" spans="2:18" x14ac:dyDescent="0.2">
      <c r="B642" s="53"/>
      <c r="C642" s="78"/>
      <c r="D642" s="78"/>
      <c r="E642" s="78"/>
      <c r="F642" s="78"/>
      <c r="G642" s="78"/>
      <c r="H642" s="79"/>
      <c r="I642" s="78"/>
      <c r="J642" s="78"/>
      <c r="K642" s="78"/>
      <c r="L642" s="78"/>
      <c r="M642" s="16"/>
      <c r="N642" s="78"/>
      <c r="O642" s="78"/>
      <c r="P642" s="78"/>
      <c r="Q642" s="78"/>
      <c r="R642" s="54"/>
    </row>
    <row r="643" spans="2:18" x14ac:dyDescent="0.2">
      <c r="B643" s="53"/>
      <c r="C643" s="78"/>
      <c r="D643" s="78"/>
      <c r="E643" s="78"/>
      <c r="F643" s="78"/>
      <c r="G643" s="78"/>
      <c r="H643" s="79"/>
      <c r="I643" s="78"/>
      <c r="J643" s="78"/>
      <c r="K643" s="78"/>
      <c r="L643" s="78"/>
      <c r="M643" s="16"/>
      <c r="N643" s="78"/>
      <c r="O643" s="78"/>
      <c r="P643" s="78"/>
      <c r="Q643" s="78"/>
      <c r="R643" s="54"/>
    </row>
    <row r="644" spans="2:18" x14ac:dyDescent="0.2">
      <c r="B644" s="53"/>
      <c r="C644" s="78"/>
      <c r="D644" s="78"/>
      <c r="E644" s="78"/>
      <c r="F644" s="78"/>
      <c r="G644" s="78"/>
      <c r="H644" s="79"/>
      <c r="I644" s="78"/>
      <c r="J644" s="78"/>
      <c r="K644" s="78"/>
      <c r="L644" s="78"/>
      <c r="M644" s="16"/>
      <c r="N644" s="78"/>
      <c r="O644" s="78"/>
      <c r="P644" s="78"/>
      <c r="Q644" s="78"/>
      <c r="R644" s="54"/>
    </row>
    <row r="645" spans="2:18" x14ac:dyDescent="0.2">
      <c r="B645" s="53"/>
      <c r="C645" s="78"/>
      <c r="D645" s="78"/>
      <c r="E645" s="78"/>
      <c r="F645" s="78"/>
      <c r="G645" s="78"/>
      <c r="H645" s="79"/>
      <c r="I645" s="78"/>
      <c r="J645" s="78"/>
      <c r="K645" s="78"/>
      <c r="L645" s="78"/>
      <c r="M645" s="16"/>
      <c r="N645" s="78"/>
      <c r="O645" s="78"/>
      <c r="P645" s="78"/>
      <c r="Q645" s="78"/>
      <c r="R645" s="54"/>
    </row>
    <row r="646" spans="2:18" x14ac:dyDescent="0.2">
      <c r="B646" s="53"/>
      <c r="C646" s="78"/>
      <c r="D646" s="78"/>
      <c r="E646" s="78"/>
      <c r="F646" s="78"/>
      <c r="G646" s="78"/>
      <c r="H646" s="79"/>
      <c r="I646" s="78"/>
      <c r="J646" s="78"/>
      <c r="K646" s="78"/>
      <c r="L646" s="78"/>
      <c r="M646" s="16"/>
      <c r="N646" s="78"/>
      <c r="O646" s="78"/>
      <c r="P646" s="78"/>
      <c r="Q646" s="78"/>
      <c r="R646" s="54"/>
    </row>
    <row r="647" spans="2:18" x14ac:dyDescent="0.2">
      <c r="B647" s="53"/>
      <c r="C647" s="78"/>
      <c r="D647" s="78"/>
      <c r="E647" s="78"/>
      <c r="F647" s="78"/>
      <c r="G647" s="78"/>
      <c r="H647" s="79"/>
      <c r="I647" s="78"/>
      <c r="J647" s="78"/>
      <c r="K647" s="78"/>
      <c r="L647" s="78"/>
      <c r="M647" s="16"/>
      <c r="N647" s="78"/>
      <c r="O647" s="78"/>
      <c r="P647" s="78"/>
      <c r="Q647" s="78"/>
      <c r="R647" s="54"/>
    </row>
    <row r="648" spans="2:18" x14ac:dyDescent="0.2">
      <c r="B648" s="53"/>
      <c r="C648" s="78"/>
      <c r="D648" s="78"/>
      <c r="E648" s="78"/>
      <c r="F648" s="78"/>
      <c r="G648" s="78"/>
      <c r="H648" s="79"/>
      <c r="I648" s="78"/>
      <c r="J648" s="78"/>
      <c r="K648" s="78"/>
      <c r="L648" s="78"/>
      <c r="M648" s="16"/>
      <c r="N648" s="78"/>
      <c r="O648" s="78"/>
      <c r="P648" s="78"/>
      <c r="Q648" s="78"/>
      <c r="R648" s="54"/>
    </row>
    <row r="649" spans="2:18" x14ac:dyDescent="0.2">
      <c r="B649" s="53"/>
      <c r="C649" s="78"/>
      <c r="D649" s="78"/>
      <c r="E649" s="78"/>
      <c r="F649" s="78"/>
      <c r="G649" s="78"/>
      <c r="H649" s="79"/>
      <c r="I649" s="78"/>
      <c r="J649" s="78"/>
      <c r="K649" s="78"/>
      <c r="L649" s="78"/>
      <c r="M649" s="16"/>
      <c r="N649" s="78"/>
      <c r="O649" s="78"/>
      <c r="P649" s="78"/>
      <c r="Q649" s="78"/>
      <c r="R649" s="54"/>
    </row>
    <row r="650" spans="2:18" x14ac:dyDescent="0.2">
      <c r="B650" s="53"/>
      <c r="C650" s="78"/>
      <c r="D650" s="78"/>
      <c r="E650" s="78"/>
      <c r="F650" s="78"/>
      <c r="G650" s="78"/>
      <c r="H650" s="79"/>
      <c r="I650" s="78"/>
      <c r="J650" s="78"/>
      <c r="K650" s="78"/>
      <c r="L650" s="78"/>
      <c r="M650" s="16"/>
      <c r="N650" s="78"/>
      <c r="O650" s="78"/>
      <c r="P650" s="78"/>
      <c r="Q650" s="78"/>
      <c r="R650" s="54"/>
    </row>
    <row r="651" spans="2:18" x14ac:dyDescent="0.2">
      <c r="B651" s="53"/>
      <c r="C651" s="78"/>
      <c r="D651" s="78"/>
      <c r="E651" s="78"/>
      <c r="F651" s="78"/>
      <c r="G651" s="78"/>
      <c r="H651" s="79"/>
      <c r="I651" s="78"/>
      <c r="J651" s="78"/>
      <c r="K651" s="78"/>
      <c r="L651" s="78"/>
      <c r="M651" s="16"/>
      <c r="N651" s="78"/>
      <c r="O651" s="78"/>
      <c r="P651" s="78"/>
      <c r="Q651" s="78"/>
      <c r="R651" s="54"/>
    </row>
    <row r="652" spans="2:18" x14ac:dyDescent="0.2">
      <c r="B652" s="53"/>
      <c r="C652" s="78"/>
      <c r="D652" s="78"/>
      <c r="E652" s="78"/>
      <c r="F652" s="78"/>
      <c r="G652" s="78"/>
      <c r="H652" s="79"/>
      <c r="I652" s="78"/>
      <c r="J652" s="78"/>
      <c r="K652" s="78"/>
      <c r="L652" s="78"/>
      <c r="M652" s="16"/>
      <c r="N652" s="78"/>
      <c r="O652" s="78"/>
      <c r="P652" s="78"/>
      <c r="Q652" s="78"/>
      <c r="R652" s="54"/>
    </row>
    <row r="653" spans="2:18" x14ac:dyDescent="0.2">
      <c r="B653" s="53"/>
      <c r="C653" s="78"/>
      <c r="D653" s="78"/>
      <c r="E653" s="78"/>
      <c r="F653" s="78"/>
      <c r="G653" s="78"/>
      <c r="H653" s="79"/>
      <c r="I653" s="78"/>
      <c r="J653" s="78"/>
      <c r="K653" s="78"/>
      <c r="L653" s="78"/>
      <c r="M653" s="16"/>
      <c r="N653" s="78"/>
      <c r="O653" s="78"/>
      <c r="P653" s="78"/>
      <c r="Q653" s="78"/>
      <c r="R653" s="54"/>
    </row>
    <row r="654" spans="2:18" x14ac:dyDescent="0.2">
      <c r="B654" s="53"/>
      <c r="C654" s="78"/>
      <c r="D654" s="78"/>
      <c r="E654" s="78"/>
      <c r="F654" s="78"/>
      <c r="G654" s="78"/>
      <c r="H654" s="79"/>
      <c r="I654" s="78"/>
      <c r="J654" s="78"/>
      <c r="K654" s="78"/>
      <c r="L654" s="78"/>
      <c r="M654" s="16"/>
      <c r="N654" s="78"/>
      <c r="O654" s="78"/>
      <c r="P654" s="78"/>
      <c r="Q654" s="78"/>
      <c r="R654" s="54"/>
    </row>
    <row r="655" spans="2:18" x14ac:dyDescent="0.2">
      <c r="B655" s="53"/>
      <c r="C655" s="78"/>
      <c r="D655" s="78"/>
      <c r="E655" s="78"/>
      <c r="F655" s="78"/>
      <c r="G655" s="78"/>
      <c r="H655" s="79"/>
      <c r="I655" s="78"/>
      <c r="J655" s="78"/>
      <c r="K655" s="78"/>
      <c r="L655" s="78"/>
      <c r="M655" s="16"/>
      <c r="N655" s="78"/>
      <c r="O655" s="78"/>
      <c r="P655" s="78"/>
      <c r="Q655" s="78"/>
      <c r="R655" s="54"/>
    </row>
    <row r="656" spans="2:18" x14ac:dyDescent="0.2">
      <c r="B656" s="53"/>
      <c r="C656" s="78"/>
      <c r="D656" s="78"/>
      <c r="E656" s="78"/>
      <c r="F656" s="78"/>
      <c r="G656" s="78"/>
      <c r="H656" s="79"/>
      <c r="I656" s="78"/>
      <c r="J656" s="78"/>
      <c r="K656" s="78"/>
      <c r="L656" s="78"/>
      <c r="M656" s="16"/>
      <c r="N656" s="78"/>
      <c r="O656" s="78"/>
      <c r="P656" s="78"/>
      <c r="Q656" s="78"/>
      <c r="R656" s="54"/>
    </row>
    <row r="657" spans="2:18" x14ac:dyDescent="0.2">
      <c r="B657" s="53"/>
      <c r="C657" s="78"/>
      <c r="D657" s="78"/>
      <c r="E657" s="78"/>
      <c r="F657" s="78"/>
      <c r="G657" s="78"/>
      <c r="H657" s="79"/>
      <c r="I657" s="78"/>
      <c r="J657" s="78"/>
      <c r="K657" s="78"/>
      <c r="L657" s="78"/>
      <c r="M657" s="16"/>
      <c r="N657" s="78"/>
      <c r="O657" s="78"/>
      <c r="P657" s="78"/>
      <c r="Q657" s="78"/>
      <c r="R657" s="54"/>
    </row>
    <row r="658" spans="2:18" x14ac:dyDescent="0.2">
      <c r="B658" s="53"/>
      <c r="C658" s="78"/>
      <c r="D658" s="78"/>
      <c r="E658" s="78"/>
      <c r="F658" s="78"/>
      <c r="G658" s="78"/>
      <c r="H658" s="79"/>
      <c r="I658" s="78"/>
      <c r="J658" s="78"/>
      <c r="K658" s="78"/>
      <c r="L658" s="78"/>
      <c r="M658" s="16"/>
      <c r="N658" s="78"/>
      <c r="O658" s="78"/>
      <c r="P658" s="78"/>
      <c r="Q658" s="78"/>
      <c r="R658" s="54"/>
    </row>
    <row r="659" spans="2:18" x14ac:dyDescent="0.2">
      <c r="B659" s="53"/>
      <c r="C659" s="78"/>
      <c r="D659" s="78"/>
      <c r="E659" s="78"/>
      <c r="F659" s="78"/>
      <c r="G659" s="78"/>
      <c r="H659" s="79"/>
      <c r="I659" s="78"/>
      <c r="J659" s="78"/>
      <c r="K659" s="78"/>
      <c r="L659" s="78"/>
      <c r="M659" s="16"/>
      <c r="N659" s="78"/>
      <c r="O659" s="78"/>
      <c r="P659" s="78"/>
      <c r="Q659" s="78"/>
      <c r="R659" s="54"/>
    </row>
    <row r="660" spans="2:18" x14ac:dyDescent="0.2">
      <c r="B660" s="53"/>
      <c r="C660" s="78"/>
      <c r="D660" s="78"/>
      <c r="E660" s="78"/>
      <c r="F660" s="78"/>
      <c r="G660" s="78"/>
      <c r="H660" s="79"/>
      <c r="I660" s="78"/>
      <c r="J660" s="78"/>
      <c r="K660" s="78"/>
      <c r="L660" s="78"/>
      <c r="M660" s="16"/>
      <c r="N660" s="78"/>
      <c r="O660" s="78"/>
      <c r="P660" s="78"/>
      <c r="Q660" s="78"/>
      <c r="R660" s="54"/>
    </row>
    <row r="661" spans="2:18" x14ac:dyDescent="0.2">
      <c r="B661" s="53"/>
      <c r="C661" s="78"/>
      <c r="D661" s="78"/>
      <c r="E661" s="78"/>
      <c r="F661" s="78"/>
      <c r="G661" s="78"/>
      <c r="H661" s="79"/>
      <c r="I661" s="78"/>
      <c r="J661" s="78"/>
      <c r="K661" s="78"/>
      <c r="L661" s="78"/>
      <c r="M661" s="16"/>
      <c r="N661" s="78"/>
      <c r="O661" s="78"/>
      <c r="P661" s="78"/>
      <c r="Q661" s="78"/>
      <c r="R661" s="54"/>
    </row>
    <row r="662" spans="2:18" x14ac:dyDescent="0.2">
      <c r="B662" s="53"/>
      <c r="C662" s="78"/>
      <c r="D662" s="78"/>
      <c r="E662" s="78"/>
      <c r="F662" s="78"/>
      <c r="G662" s="78"/>
      <c r="H662" s="79"/>
      <c r="I662" s="78"/>
      <c r="J662" s="78"/>
      <c r="K662" s="78"/>
      <c r="L662" s="78"/>
      <c r="M662" s="16"/>
      <c r="N662" s="78"/>
      <c r="O662" s="78"/>
      <c r="P662" s="78"/>
      <c r="Q662" s="78"/>
      <c r="R662" s="54"/>
    </row>
    <row r="663" spans="2:18" x14ac:dyDescent="0.2">
      <c r="B663" s="53"/>
      <c r="C663" s="78"/>
      <c r="D663" s="78"/>
      <c r="E663" s="78"/>
      <c r="F663" s="78"/>
      <c r="G663" s="78"/>
      <c r="H663" s="79"/>
      <c r="I663" s="78"/>
      <c r="J663" s="78"/>
      <c r="K663" s="78"/>
      <c r="L663" s="78"/>
      <c r="M663" s="16"/>
      <c r="N663" s="78"/>
      <c r="O663" s="78"/>
      <c r="P663" s="78"/>
      <c r="Q663" s="78"/>
      <c r="R663" s="54"/>
    </row>
    <row r="664" spans="2:18" x14ac:dyDescent="0.2">
      <c r="B664" s="53"/>
      <c r="C664" s="78"/>
      <c r="D664" s="78"/>
      <c r="E664" s="78"/>
      <c r="F664" s="78"/>
      <c r="G664" s="78"/>
      <c r="H664" s="79"/>
      <c r="I664" s="78"/>
      <c r="J664" s="78"/>
      <c r="K664" s="78"/>
      <c r="L664" s="78"/>
      <c r="M664" s="16"/>
      <c r="N664" s="78"/>
      <c r="O664" s="78"/>
      <c r="P664" s="78"/>
      <c r="Q664" s="78"/>
      <c r="R664" s="54"/>
    </row>
    <row r="665" spans="2:18" x14ac:dyDescent="0.2">
      <c r="B665" s="53"/>
      <c r="C665" s="78"/>
      <c r="D665" s="78"/>
      <c r="E665" s="78"/>
      <c r="F665" s="78"/>
      <c r="G665" s="78"/>
      <c r="H665" s="79"/>
      <c r="I665" s="78"/>
      <c r="J665" s="78"/>
      <c r="K665" s="78"/>
      <c r="L665" s="78"/>
      <c r="M665" s="16"/>
      <c r="N665" s="78"/>
      <c r="O665" s="78"/>
      <c r="P665" s="78"/>
      <c r="Q665" s="78"/>
      <c r="R665" s="54"/>
    </row>
    <row r="666" spans="2:18" x14ac:dyDescent="0.2">
      <c r="B666" s="53"/>
      <c r="C666" s="78"/>
      <c r="D666" s="78"/>
      <c r="E666" s="78"/>
      <c r="F666" s="78"/>
      <c r="G666" s="78"/>
      <c r="H666" s="79"/>
      <c r="I666" s="78"/>
      <c r="J666" s="78"/>
      <c r="K666" s="78"/>
      <c r="L666" s="78"/>
      <c r="M666" s="16"/>
      <c r="N666" s="78"/>
      <c r="O666" s="78"/>
      <c r="P666" s="78"/>
      <c r="Q666" s="78"/>
      <c r="R666" s="54"/>
    </row>
    <row r="667" spans="2:18" x14ac:dyDescent="0.2">
      <c r="B667" s="53"/>
      <c r="C667" s="78"/>
      <c r="D667" s="78"/>
      <c r="E667" s="78"/>
      <c r="F667" s="78"/>
      <c r="G667" s="78"/>
      <c r="H667" s="79"/>
      <c r="I667" s="78"/>
      <c r="J667" s="78"/>
      <c r="K667" s="78"/>
      <c r="L667" s="78"/>
      <c r="M667" s="16"/>
      <c r="N667" s="78"/>
      <c r="O667" s="78"/>
      <c r="P667" s="78"/>
      <c r="Q667" s="78"/>
      <c r="R667" s="54"/>
    </row>
    <row r="668" spans="2:18" x14ac:dyDescent="0.2">
      <c r="B668" s="53"/>
      <c r="C668" s="78"/>
      <c r="D668" s="78"/>
      <c r="E668" s="78"/>
      <c r="F668" s="78"/>
      <c r="G668" s="78"/>
      <c r="H668" s="79"/>
      <c r="I668" s="78"/>
      <c r="J668" s="78"/>
      <c r="K668" s="78"/>
      <c r="L668" s="78"/>
      <c r="M668" s="16"/>
      <c r="N668" s="78"/>
      <c r="O668" s="78"/>
      <c r="P668" s="78"/>
      <c r="Q668" s="78"/>
      <c r="R668" s="54"/>
    </row>
    <row r="669" spans="2:18" x14ac:dyDescent="0.2">
      <c r="B669" s="53"/>
      <c r="C669" s="78"/>
      <c r="D669" s="78"/>
      <c r="E669" s="78"/>
      <c r="F669" s="78"/>
      <c r="G669" s="78"/>
      <c r="H669" s="79"/>
      <c r="I669" s="78"/>
      <c r="J669" s="78"/>
      <c r="K669" s="78"/>
      <c r="L669" s="78"/>
      <c r="M669" s="16"/>
      <c r="N669" s="78"/>
      <c r="O669" s="78"/>
      <c r="P669" s="78"/>
      <c r="Q669" s="78"/>
      <c r="R669" s="54"/>
    </row>
    <row r="670" spans="2:18" x14ac:dyDescent="0.2">
      <c r="B670" s="53"/>
      <c r="C670" s="78"/>
      <c r="D670" s="78"/>
      <c r="E670" s="78"/>
      <c r="F670" s="78"/>
      <c r="G670" s="78"/>
      <c r="H670" s="79"/>
      <c r="I670" s="78"/>
      <c r="J670" s="78"/>
      <c r="K670" s="78"/>
      <c r="L670" s="78"/>
      <c r="M670" s="16"/>
      <c r="N670" s="78"/>
      <c r="O670" s="78"/>
      <c r="P670" s="78"/>
      <c r="Q670" s="78"/>
      <c r="R670" s="54"/>
    </row>
    <row r="671" spans="2:18" x14ac:dyDescent="0.2">
      <c r="B671" s="53"/>
      <c r="C671" s="78"/>
      <c r="D671" s="78"/>
      <c r="E671" s="78"/>
      <c r="F671" s="78"/>
      <c r="G671" s="78"/>
      <c r="H671" s="79"/>
      <c r="I671" s="78"/>
      <c r="J671" s="78"/>
      <c r="K671" s="78"/>
      <c r="L671" s="78"/>
      <c r="M671" s="16"/>
      <c r="N671" s="78"/>
      <c r="O671" s="78"/>
      <c r="P671" s="78"/>
      <c r="Q671" s="78"/>
      <c r="R671" s="54"/>
    </row>
    <row r="672" spans="2:18" x14ac:dyDescent="0.2">
      <c r="B672" s="53"/>
      <c r="C672" s="78"/>
      <c r="D672" s="78"/>
      <c r="E672" s="78"/>
      <c r="F672" s="78"/>
      <c r="G672" s="78"/>
      <c r="H672" s="79"/>
      <c r="I672" s="78"/>
      <c r="J672" s="78"/>
      <c r="K672" s="78"/>
      <c r="L672" s="78"/>
      <c r="M672" s="16"/>
      <c r="N672" s="78"/>
      <c r="O672" s="78"/>
      <c r="P672" s="78"/>
      <c r="Q672" s="78"/>
      <c r="R672" s="54"/>
    </row>
    <row r="673" spans="2:18" x14ac:dyDescent="0.2">
      <c r="B673" s="53"/>
      <c r="C673" s="78"/>
      <c r="D673" s="78"/>
      <c r="E673" s="78"/>
      <c r="F673" s="78"/>
      <c r="G673" s="78"/>
      <c r="H673" s="79"/>
      <c r="I673" s="78"/>
      <c r="J673" s="78"/>
      <c r="K673" s="78"/>
      <c r="L673" s="78"/>
      <c r="M673" s="16"/>
      <c r="N673" s="78"/>
      <c r="O673" s="78"/>
      <c r="P673" s="78"/>
      <c r="Q673" s="78"/>
      <c r="R673" s="54"/>
    </row>
    <row r="674" spans="2:18" x14ac:dyDescent="0.2">
      <c r="B674" s="53"/>
      <c r="C674" s="78"/>
      <c r="D674" s="78"/>
      <c r="E674" s="78"/>
      <c r="F674" s="78"/>
      <c r="G674" s="78"/>
      <c r="H674" s="79"/>
      <c r="I674" s="78"/>
      <c r="J674" s="78"/>
      <c r="K674" s="78"/>
      <c r="L674" s="78"/>
      <c r="M674" s="16"/>
      <c r="N674" s="78"/>
      <c r="O674" s="78"/>
      <c r="P674" s="78"/>
      <c r="Q674" s="78"/>
      <c r="R674" s="54"/>
    </row>
    <row r="675" spans="2:18" x14ac:dyDescent="0.2">
      <c r="B675" s="53"/>
      <c r="C675" s="78"/>
      <c r="D675" s="78"/>
      <c r="E675" s="78"/>
      <c r="F675" s="78"/>
      <c r="G675" s="78"/>
      <c r="H675" s="79"/>
      <c r="I675" s="78"/>
      <c r="J675" s="78"/>
      <c r="K675" s="78"/>
      <c r="L675" s="78"/>
      <c r="M675" s="16"/>
      <c r="N675" s="78"/>
      <c r="O675" s="78"/>
      <c r="P675" s="78"/>
      <c r="Q675" s="78"/>
      <c r="R675" s="54"/>
    </row>
    <row r="676" spans="2:18" x14ac:dyDescent="0.2">
      <c r="B676" s="53"/>
      <c r="C676" s="78"/>
      <c r="D676" s="78"/>
      <c r="E676" s="78"/>
      <c r="F676" s="78"/>
      <c r="G676" s="78"/>
      <c r="H676" s="79"/>
      <c r="I676" s="78"/>
      <c r="J676" s="78"/>
      <c r="K676" s="78"/>
      <c r="L676" s="78"/>
      <c r="M676" s="16"/>
      <c r="N676" s="78"/>
      <c r="O676" s="78"/>
      <c r="P676" s="78"/>
      <c r="Q676" s="78"/>
      <c r="R676" s="54"/>
    </row>
    <row r="677" spans="2:18" x14ac:dyDescent="0.2">
      <c r="B677" s="53"/>
      <c r="C677" s="78"/>
      <c r="D677" s="78"/>
      <c r="E677" s="78"/>
      <c r="F677" s="78"/>
      <c r="G677" s="78"/>
      <c r="H677" s="79"/>
      <c r="I677" s="78"/>
      <c r="J677" s="78"/>
      <c r="K677" s="78"/>
      <c r="L677" s="78"/>
      <c r="M677" s="16"/>
      <c r="N677" s="78"/>
      <c r="O677" s="78"/>
      <c r="P677" s="78"/>
      <c r="Q677" s="78"/>
      <c r="R677" s="54"/>
    </row>
    <row r="678" spans="2:18" x14ac:dyDescent="0.2">
      <c r="B678" s="53"/>
      <c r="C678" s="78"/>
      <c r="D678" s="78"/>
      <c r="E678" s="78"/>
      <c r="F678" s="78"/>
      <c r="G678" s="78"/>
      <c r="H678" s="79"/>
      <c r="I678" s="78"/>
      <c r="J678" s="78"/>
      <c r="K678" s="78"/>
      <c r="L678" s="78"/>
      <c r="M678" s="16"/>
      <c r="N678" s="78"/>
      <c r="O678" s="78"/>
      <c r="P678" s="78"/>
      <c r="Q678" s="78"/>
      <c r="R678" s="54"/>
    </row>
    <row r="679" spans="2:18" x14ac:dyDescent="0.2">
      <c r="B679" s="53"/>
      <c r="C679" s="78"/>
      <c r="D679" s="78"/>
      <c r="E679" s="78"/>
      <c r="F679" s="78"/>
      <c r="G679" s="78"/>
      <c r="H679" s="79"/>
      <c r="I679" s="78"/>
      <c r="J679" s="78"/>
      <c r="K679" s="78"/>
      <c r="L679" s="78"/>
      <c r="M679" s="16"/>
      <c r="N679" s="78"/>
      <c r="O679" s="78"/>
      <c r="P679" s="78"/>
      <c r="Q679" s="78"/>
      <c r="R679" s="54"/>
    </row>
    <row r="680" spans="2:18" x14ac:dyDescent="0.2">
      <c r="B680" s="53"/>
      <c r="C680" s="78"/>
      <c r="D680" s="78"/>
      <c r="E680" s="78"/>
      <c r="F680" s="78"/>
      <c r="G680" s="78"/>
      <c r="H680" s="79"/>
      <c r="I680" s="78"/>
      <c r="J680" s="78"/>
      <c r="K680" s="78"/>
      <c r="L680" s="78"/>
      <c r="M680" s="16"/>
      <c r="N680" s="78"/>
      <c r="O680" s="78"/>
      <c r="P680" s="78"/>
      <c r="Q680" s="78"/>
      <c r="R680" s="54"/>
    </row>
    <row r="681" spans="2:18" x14ac:dyDescent="0.2">
      <c r="B681" s="53"/>
      <c r="C681" s="78"/>
      <c r="D681" s="78"/>
      <c r="E681" s="78"/>
      <c r="F681" s="78"/>
      <c r="G681" s="78"/>
      <c r="H681" s="79"/>
      <c r="I681" s="78"/>
      <c r="J681" s="78"/>
      <c r="K681" s="78"/>
      <c r="L681" s="78"/>
      <c r="M681" s="16"/>
      <c r="N681" s="78"/>
      <c r="O681" s="78"/>
      <c r="P681" s="78"/>
      <c r="Q681" s="78"/>
      <c r="R681" s="54"/>
    </row>
    <row r="682" spans="2:18" x14ac:dyDescent="0.2">
      <c r="B682" s="53"/>
      <c r="C682" s="78"/>
      <c r="D682" s="78"/>
      <c r="E682" s="78"/>
      <c r="F682" s="78"/>
      <c r="G682" s="78"/>
      <c r="H682" s="79"/>
      <c r="I682" s="78"/>
      <c r="J682" s="78"/>
      <c r="K682" s="78"/>
      <c r="L682" s="78"/>
      <c r="M682" s="16"/>
      <c r="N682" s="78"/>
      <c r="O682" s="78"/>
      <c r="P682" s="78"/>
      <c r="Q682" s="78"/>
      <c r="R682" s="54"/>
    </row>
    <row r="683" spans="2:18" x14ac:dyDescent="0.2">
      <c r="B683" s="53"/>
      <c r="C683" s="78"/>
      <c r="D683" s="78"/>
      <c r="E683" s="78"/>
      <c r="F683" s="78"/>
      <c r="G683" s="78"/>
      <c r="H683" s="79"/>
      <c r="I683" s="78"/>
      <c r="J683" s="78"/>
      <c r="K683" s="78"/>
      <c r="L683" s="78"/>
      <c r="M683" s="16"/>
      <c r="N683" s="78"/>
      <c r="O683" s="78"/>
      <c r="P683" s="78"/>
      <c r="Q683" s="78"/>
      <c r="R683" s="54"/>
    </row>
    <row r="684" spans="2:18" x14ac:dyDescent="0.2">
      <c r="B684" s="53"/>
      <c r="C684" s="78"/>
      <c r="D684" s="78"/>
      <c r="E684" s="78"/>
      <c r="F684" s="78"/>
      <c r="G684" s="78"/>
      <c r="H684" s="79"/>
      <c r="I684" s="78"/>
      <c r="J684" s="78"/>
      <c r="K684" s="78"/>
      <c r="L684" s="78"/>
      <c r="M684" s="16"/>
      <c r="N684" s="78"/>
      <c r="O684" s="78"/>
      <c r="P684" s="78"/>
      <c r="Q684" s="78"/>
      <c r="R684" s="54"/>
    </row>
    <row r="685" spans="2:18" x14ac:dyDescent="0.2">
      <c r="B685" s="53"/>
      <c r="C685" s="78"/>
      <c r="D685" s="78"/>
      <c r="E685" s="78"/>
      <c r="F685" s="78"/>
      <c r="G685" s="78"/>
      <c r="H685" s="79"/>
      <c r="I685" s="78"/>
      <c r="J685" s="78"/>
      <c r="K685" s="78"/>
      <c r="L685" s="78"/>
      <c r="M685" s="16"/>
      <c r="N685" s="78"/>
      <c r="O685" s="78"/>
      <c r="P685" s="78"/>
      <c r="Q685" s="78"/>
      <c r="R685" s="54"/>
    </row>
    <row r="686" spans="2:18" x14ac:dyDescent="0.2">
      <c r="B686" s="53"/>
      <c r="C686" s="78"/>
      <c r="D686" s="78"/>
      <c r="E686" s="78"/>
      <c r="F686" s="78"/>
      <c r="G686" s="78"/>
      <c r="H686" s="79"/>
      <c r="I686" s="78"/>
      <c r="J686" s="78"/>
      <c r="K686" s="78"/>
      <c r="L686" s="78"/>
      <c r="M686" s="16"/>
      <c r="N686" s="78"/>
      <c r="O686" s="78"/>
      <c r="P686" s="78"/>
      <c r="Q686" s="78"/>
      <c r="R686" s="54"/>
    </row>
    <row r="687" spans="2:18" x14ac:dyDescent="0.2">
      <c r="B687" s="53"/>
      <c r="C687" s="78"/>
      <c r="D687" s="78"/>
      <c r="E687" s="78"/>
      <c r="F687" s="78"/>
      <c r="G687" s="78"/>
      <c r="H687" s="79"/>
      <c r="I687" s="78"/>
      <c r="J687" s="78"/>
      <c r="K687" s="78"/>
      <c r="L687" s="78"/>
      <c r="M687" s="16"/>
      <c r="N687" s="78"/>
      <c r="O687" s="78"/>
      <c r="P687" s="78"/>
      <c r="Q687" s="78"/>
      <c r="R687" s="54"/>
    </row>
    <row r="688" spans="2:18" x14ac:dyDescent="0.2">
      <c r="B688" s="53"/>
      <c r="C688" s="78"/>
      <c r="D688" s="78"/>
      <c r="E688" s="78"/>
      <c r="F688" s="78"/>
      <c r="G688" s="78"/>
      <c r="H688" s="79"/>
      <c r="I688" s="78"/>
      <c r="J688" s="78"/>
      <c r="K688" s="78"/>
      <c r="L688" s="78"/>
      <c r="M688" s="16"/>
      <c r="N688" s="78"/>
      <c r="O688" s="78"/>
      <c r="P688" s="78"/>
      <c r="Q688" s="78"/>
      <c r="R688" s="54"/>
    </row>
    <row r="689" spans="2:18" x14ac:dyDescent="0.2">
      <c r="B689" s="53"/>
      <c r="C689" s="78"/>
      <c r="D689" s="78"/>
      <c r="E689" s="78"/>
      <c r="F689" s="78"/>
      <c r="G689" s="78"/>
      <c r="H689" s="79"/>
      <c r="I689" s="78"/>
      <c r="J689" s="78"/>
      <c r="K689" s="78"/>
      <c r="L689" s="78"/>
      <c r="M689" s="16"/>
      <c r="N689" s="78"/>
      <c r="O689" s="78"/>
      <c r="P689" s="78"/>
      <c r="Q689" s="78"/>
      <c r="R689" s="54"/>
    </row>
    <row r="690" spans="2:18" x14ac:dyDescent="0.2">
      <c r="B690" s="53"/>
      <c r="C690" s="78"/>
      <c r="D690" s="78"/>
      <c r="E690" s="78"/>
      <c r="F690" s="78"/>
      <c r="G690" s="78"/>
      <c r="H690" s="79"/>
      <c r="I690" s="78"/>
      <c r="J690" s="78"/>
      <c r="K690" s="78"/>
      <c r="L690" s="78"/>
      <c r="M690" s="16"/>
      <c r="N690" s="78"/>
      <c r="O690" s="78"/>
      <c r="P690" s="78"/>
      <c r="Q690" s="78"/>
      <c r="R690" s="54"/>
    </row>
    <row r="691" spans="2:18" x14ac:dyDescent="0.2">
      <c r="B691" s="53"/>
      <c r="C691" s="78"/>
      <c r="D691" s="78"/>
      <c r="E691" s="78"/>
      <c r="F691" s="78"/>
      <c r="G691" s="78"/>
      <c r="H691" s="79"/>
      <c r="I691" s="78"/>
      <c r="J691" s="78"/>
      <c r="K691" s="78"/>
      <c r="L691" s="78"/>
      <c r="M691" s="16"/>
      <c r="N691" s="78"/>
      <c r="O691" s="78"/>
      <c r="P691" s="78"/>
      <c r="Q691" s="78"/>
      <c r="R691" s="54"/>
    </row>
    <row r="692" spans="2:18" x14ac:dyDescent="0.2">
      <c r="B692" s="53"/>
      <c r="C692" s="78"/>
      <c r="D692" s="78"/>
      <c r="E692" s="78"/>
      <c r="F692" s="78"/>
      <c r="G692" s="78"/>
      <c r="H692" s="79"/>
      <c r="I692" s="78"/>
      <c r="J692" s="78"/>
      <c r="K692" s="78"/>
      <c r="L692" s="78"/>
      <c r="M692" s="16"/>
      <c r="N692" s="78"/>
      <c r="O692" s="78"/>
      <c r="P692" s="78"/>
      <c r="Q692" s="78"/>
      <c r="R692" s="54"/>
    </row>
    <row r="693" spans="2:18" x14ac:dyDescent="0.2">
      <c r="B693" s="53"/>
      <c r="C693" s="78"/>
      <c r="D693" s="78"/>
      <c r="E693" s="78"/>
      <c r="F693" s="78"/>
      <c r="G693" s="78"/>
      <c r="H693" s="79"/>
      <c r="I693" s="78"/>
      <c r="J693" s="78"/>
      <c r="K693" s="78"/>
      <c r="L693" s="78"/>
      <c r="M693" s="16"/>
      <c r="N693" s="78"/>
      <c r="O693" s="78"/>
      <c r="P693" s="78"/>
      <c r="Q693" s="78"/>
      <c r="R693" s="54"/>
    </row>
    <row r="694" spans="2:18" x14ac:dyDescent="0.2">
      <c r="B694" s="53"/>
      <c r="C694" s="78"/>
      <c r="D694" s="78"/>
      <c r="E694" s="78"/>
      <c r="F694" s="78"/>
      <c r="G694" s="78"/>
      <c r="H694" s="79"/>
      <c r="I694" s="78"/>
      <c r="J694" s="78"/>
      <c r="K694" s="78"/>
      <c r="L694" s="78"/>
      <c r="M694" s="16"/>
      <c r="N694" s="78"/>
      <c r="O694" s="78"/>
      <c r="P694" s="78"/>
      <c r="Q694" s="78"/>
      <c r="R694" s="54"/>
    </row>
    <row r="695" spans="2:18" x14ac:dyDescent="0.2">
      <c r="B695" s="53"/>
      <c r="C695" s="78"/>
      <c r="D695" s="78"/>
      <c r="E695" s="78"/>
      <c r="F695" s="78"/>
      <c r="G695" s="78"/>
      <c r="H695" s="79"/>
      <c r="I695" s="78"/>
      <c r="J695" s="78"/>
      <c r="K695" s="78"/>
      <c r="L695" s="78"/>
      <c r="M695" s="16"/>
      <c r="N695" s="78"/>
      <c r="O695" s="78"/>
      <c r="P695" s="78"/>
      <c r="Q695" s="78"/>
      <c r="R695" s="54"/>
    </row>
    <row r="696" spans="2:18" x14ac:dyDescent="0.2">
      <c r="B696" s="53"/>
      <c r="C696" s="78"/>
      <c r="D696" s="78"/>
      <c r="E696" s="78"/>
      <c r="F696" s="78"/>
      <c r="G696" s="78"/>
      <c r="H696" s="79"/>
      <c r="I696" s="78"/>
      <c r="J696" s="78"/>
      <c r="K696" s="78"/>
      <c r="L696" s="78"/>
      <c r="M696" s="16"/>
      <c r="N696" s="78"/>
      <c r="O696" s="78"/>
      <c r="P696" s="78"/>
      <c r="Q696" s="78"/>
      <c r="R696" s="54"/>
    </row>
    <row r="697" spans="2:18" x14ac:dyDescent="0.2">
      <c r="B697" s="53"/>
      <c r="C697" s="78"/>
      <c r="D697" s="78"/>
      <c r="E697" s="78"/>
      <c r="F697" s="78"/>
      <c r="G697" s="78"/>
      <c r="H697" s="79"/>
      <c r="I697" s="78"/>
      <c r="J697" s="78"/>
      <c r="K697" s="78"/>
      <c r="L697" s="78"/>
      <c r="M697" s="16"/>
      <c r="N697" s="78"/>
      <c r="O697" s="78"/>
      <c r="P697" s="78"/>
      <c r="Q697" s="78"/>
      <c r="R697" s="54"/>
    </row>
    <row r="698" spans="2:18" x14ac:dyDescent="0.2">
      <c r="B698" s="53"/>
      <c r="C698" s="78"/>
      <c r="D698" s="78"/>
      <c r="E698" s="78"/>
      <c r="F698" s="78"/>
      <c r="G698" s="78"/>
      <c r="H698" s="79"/>
      <c r="I698" s="78"/>
      <c r="J698" s="78"/>
      <c r="K698" s="78"/>
      <c r="L698" s="78"/>
      <c r="M698" s="16"/>
      <c r="N698" s="78"/>
      <c r="O698" s="78"/>
      <c r="P698" s="78"/>
      <c r="Q698" s="78"/>
      <c r="R698" s="54"/>
    </row>
    <row r="699" spans="2:18" x14ac:dyDescent="0.2">
      <c r="B699" s="53"/>
      <c r="C699" s="78"/>
      <c r="D699" s="78"/>
      <c r="E699" s="78"/>
      <c r="F699" s="78"/>
      <c r="G699" s="78"/>
      <c r="H699" s="79"/>
      <c r="I699" s="78"/>
      <c r="J699" s="78"/>
      <c r="K699" s="78"/>
      <c r="L699" s="78"/>
      <c r="M699" s="16"/>
      <c r="N699" s="78"/>
      <c r="O699" s="78"/>
      <c r="P699" s="78"/>
      <c r="Q699" s="78"/>
      <c r="R699" s="54"/>
    </row>
    <row r="700" spans="2:18" x14ac:dyDescent="0.2">
      <c r="B700" s="53"/>
      <c r="C700" s="78"/>
      <c r="D700" s="78"/>
      <c r="E700" s="78"/>
      <c r="F700" s="78"/>
      <c r="G700" s="78"/>
      <c r="H700" s="79"/>
      <c r="I700" s="78"/>
      <c r="J700" s="78"/>
      <c r="K700" s="78"/>
      <c r="L700" s="78"/>
      <c r="M700" s="16"/>
      <c r="N700" s="78"/>
      <c r="O700" s="78"/>
      <c r="P700" s="78"/>
      <c r="Q700" s="78"/>
      <c r="R700" s="54"/>
    </row>
    <row r="701" spans="2:18" x14ac:dyDescent="0.2">
      <c r="B701" s="53"/>
      <c r="C701" s="78"/>
      <c r="D701" s="78"/>
      <c r="E701" s="78"/>
      <c r="F701" s="78"/>
      <c r="G701" s="78"/>
      <c r="H701" s="79"/>
      <c r="I701" s="78"/>
      <c r="J701" s="78"/>
      <c r="K701" s="78"/>
      <c r="L701" s="78"/>
      <c r="M701" s="16"/>
      <c r="N701" s="78"/>
      <c r="O701" s="78"/>
      <c r="P701" s="78"/>
      <c r="Q701" s="78"/>
      <c r="R701" s="54"/>
    </row>
    <row r="702" spans="2:18" x14ac:dyDescent="0.2">
      <c r="B702" s="53"/>
      <c r="C702" s="78"/>
      <c r="D702" s="78"/>
      <c r="E702" s="78"/>
      <c r="F702" s="78"/>
      <c r="G702" s="78"/>
      <c r="H702" s="79"/>
      <c r="I702" s="78"/>
      <c r="J702" s="78"/>
      <c r="K702" s="78"/>
      <c r="L702" s="78"/>
      <c r="M702" s="16"/>
      <c r="N702" s="78"/>
      <c r="O702" s="78"/>
      <c r="P702" s="78"/>
      <c r="Q702" s="78"/>
      <c r="R702" s="54"/>
    </row>
    <row r="703" spans="2:18" x14ac:dyDescent="0.2">
      <c r="B703" s="53"/>
      <c r="C703" s="78"/>
      <c r="D703" s="78"/>
      <c r="E703" s="78"/>
      <c r="F703" s="78"/>
      <c r="G703" s="78"/>
      <c r="H703" s="79"/>
      <c r="I703" s="78"/>
      <c r="J703" s="78"/>
      <c r="K703" s="78"/>
      <c r="L703" s="78"/>
      <c r="M703" s="16"/>
      <c r="N703" s="78"/>
      <c r="O703" s="78"/>
      <c r="P703" s="78"/>
      <c r="Q703" s="78"/>
      <c r="R703" s="54"/>
    </row>
    <row r="704" spans="2:18" x14ac:dyDescent="0.2">
      <c r="B704" s="53"/>
      <c r="C704" s="78"/>
      <c r="D704" s="78"/>
      <c r="E704" s="78"/>
      <c r="F704" s="78"/>
      <c r="G704" s="78"/>
      <c r="H704" s="79"/>
      <c r="I704" s="78"/>
      <c r="J704" s="78"/>
      <c r="K704" s="78"/>
      <c r="L704" s="78"/>
      <c r="M704" s="16"/>
      <c r="N704" s="78"/>
      <c r="O704" s="78"/>
      <c r="P704" s="78"/>
      <c r="Q704" s="78"/>
      <c r="R704" s="54"/>
    </row>
    <row r="705" spans="2:18" x14ac:dyDescent="0.2">
      <c r="B705" s="53"/>
      <c r="C705" s="78"/>
      <c r="D705" s="78"/>
      <c r="E705" s="78"/>
      <c r="F705" s="78"/>
      <c r="G705" s="78"/>
      <c r="H705" s="79"/>
      <c r="I705" s="78"/>
      <c r="J705" s="78"/>
      <c r="K705" s="78"/>
      <c r="L705" s="78"/>
      <c r="M705" s="16"/>
      <c r="N705" s="78"/>
      <c r="O705" s="78"/>
      <c r="P705" s="78"/>
      <c r="Q705" s="78"/>
      <c r="R705" s="54"/>
    </row>
    <row r="706" spans="2:18" x14ac:dyDescent="0.2">
      <c r="B706" s="53"/>
      <c r="C706" s="78"/>
      <c r="D706" s="78"/>
      <c r="E706" s="78"/>
      <c r="F706" s="78"/>
      <c r="G706" s="78"/>
      <c r="H706" s="79"/>
      <c r="I706" s="78"/>
      <c r="J706" s="78"/>
      <c r="K706" s="78"/>
      <c r="L706" s="78"/>
      <c r="M706" s="16"/>
      <c r="N706" s="78"/>
      <c r="O706" s="78"/>
      <c r="P706" s="78"/>
      <c r="Q706" s="78"/>
      <c r="R706" s="54"/>
    </row>
    <row r="707" spans="2:18" x14ac:dyDescent="0.2">
      <c r="B707" s="53"/>
      <c r="C707" s="78"/>
      <c r="D707" s="78"/>
      <c r="E707" s="78"/>
      <c r="F707" s="78"/>
      <c r="G707" s="78"/>
      <c r="H707" s="79"/>
      <c r="I707" s="78"/>
      <c r="J707" s="78"/>
      <c r="K707" s="78"/>
      <c r="L707" s="78"/>
      <c r="M707" s="16"/>
      <c r="N707" s="78"/>
      <c r="O707" s="78"/>
      <c r="P707" s="78"/>
      <c r="Q707" s="78"/>
      <c r="R707" s="54"/>
    </row>
    <row r="708" spans="2:18" x14ac:dyDescent="0.2">
      <c r="B708" s="53"/>
      <c r="C708" s="78"/>
      <c r="D708" s="78"/>
      <c r="E708" s="78"/>
      <c r="F708" s="78"/>
      <c r="G708" s="78"/>
      <c r="H708" s="79"/>
      <c r="I708" s="78"/>
      <c r="J708" s="78"/>
      <c r="K708" s="78"/>
      <c r="L708" s="78"/>
      <c r="M708" s="16"/>
      <c r="N708" s="78"/>
      <c r="O708" s="78"/>
      <c r="P708" s="78"/>
      <c r="Q708" s="78"/>
      <c r="R708" s="54"/>
    </row>
    <row r="709" spans="2:18" x14ac:dyDescent="0.2">
      <c r="B709" s="53"/>
      <c r="C709" s="78"/>
      <c r="D709" s="78"/>
      <c r="E709" s="78"/>
      <c r="F709" s="78"/>
      <c r="G709" s="78"/>
      <c r="H709" s="79"/>
      <c r="I709" s="78"/>
      <c r="J709" s="78"/>
      <c r="K709" s="78"/>
      <c r="L709" s="78"/>
      <c r="M709" s="16"/>
      <c r="N709" s="78"/>
      <c r="O709" s="78"/>
      <c r="P709" s="78"/>
      <c r="Q709" s="78"/>
      <c r="R709" s="54"/>
    </row>
    <row r="710" spans="2:18" x14ac:dyDescent="0.2">
      <c r="B710" s="53"/>
      <c r="C710" s="78"/>
      <c r="D710" s="78"/>
      <c r="E710" s="78"/>
      <c r="F710" s="78"/>
      <c r="G710" s="78"/>
      <c r="H710" s="79"/>
      <c r="I710" s="78"/>
      <c r="J710" s="78"/>
      <c r="K710" s="78"/>
      <c r="L710" s="78"/>
      <c r="M710" s="16"/>
      <c r="N710" s="78"/>
      <c r="O710" s="78"/>
      <c r="P710" s="78"/>
      <c r="Q710" s="78"/>
      <c r="R710" s="54"/>
    </row>
    <row r="711" spans="2:18" x14ac:dyDescent="0.2">
      <c r="B711" s="53"/>
      <c r="C711" s="78"/>
      <c r="D711" s="78"/>
      <c r="E711" s="78"/>
      <c r="F711" s="78"/>
      <c r="G711" s="78"/>
      <c r="H711" s="79"/>
      <c r="I711" s="78"/>
      <c r="J711" s="78"/>
      <c r="K711" s="78"/>
      <c r="L711" s="78"/>
      <c r="M711" s="16"/>
      <c r="N711" s="78"/>
      <c r="O711" s="78"/>
      <c r="P711" s="78"/>
      <c r="Q711" s="78"/>
      <c r="R711" s="54"/>
    </row>
    <row r="712" spans="2:18" x14ac:dyDescent="0.2">
      <c r="B712" s="53"/>
      <c r="C712" s="78"/>
      <c r="D712" s="78"/>
      <c r="E712" s="78"/>
      <c r="F712" s="78"/>
      <c r="G712" s="78"/>
      <c r="H712" s="79"/>
      <c r="I712" s="78"/>
      <c r="J712" s="78"/>
      <c r="K712" s="78"/>
      <c r="L712" s="78"/>
      <c r="M712" s="16"/>
      <c r="N712" s="78"/>
      <c r="O712" s="78"/>
      <c r="P712" s="78"/>
      <c r="Q712" s="78"/>
      <c r="R712" s="54"/>
    </row>
    <row r="713" spans="2:18" x14ac:dyDescent="0.2">
      <c r="B713" s="53"/>
      <c r="C713" s="78"/>
      <c r="D713" s="78"/>
      <c r="E713" s="78"/>
      <c r="F713" s="78"/>
      <c r="G713" s="78"/>
      <c r="H713" s="79"/>
      <c r="I713" s="78"/>
      <c r="J713" s="78"/>
      <c r="K713" s="78"/>
      <c r="L713" s="78"/>
      <c r="M713" s="16"/>
      <c r="N713" s="78"/>
      <c r="O713" s="78"/>
      <c r="P713" s="78"/>
      <c r="Q713" s="78"/>
      <c r="R713" s="54"/>
    </row>
    <row r="714" spans="2:18" x14ac:dyDescent="0.2">
      <c r="B714" s="53"/>
      <c r="C714" s="78"/>
      <c r="D714" s="78"/>
      <c r="E714" s="78"/>
      <c r="F714" s="78"/>
      <c r="G714" s="78"/>
      <c r="H714" s="79"/>
      <c r="I714" s="78"/>
      <c r="J714" s="78"/>
      <c r="K714" s="78"/>
      <c r="L714" s="78"/>
      <c r="M714" s="16"/>
      <c r="N714" s="78"/>
      <c r="O714" s="78"/>
      <c r="P714" s="78"/>
      <c r="Q714" s="78"/>
      <c r="R714" s="54"/>
    </row>
    <row r="715" spans="2:18" x14ac:dyDescent="0.2">
      <c r="B715" s="53"/>
      <c r="C715" s="78"/>
      <c r="D715" s="78"/>
      <c r="E715" s="78"/>
      <c r="F715" s="78"/>
      <c r="G715" s="78"/>
      <c r="H715" s="79"/>
      <c r="I715" s="78"/>
      <c r="J715" s="78"/>
      <c r="K715" s="78"/>
      <c r="L715" s="78"/>
      <c r="M715" s="16"/>
      <c r="N715" s="78"/>
      <c r="O715" s="78"/>
      <c r="P715" s="78"/>
      <c r="Q715" s="78"/>
      <c r="R715" s="54"/>
    </row>
    <row r="716" spans="2:18" x14ac:dyDescent="0.2">
      <c r="B716" s="53"/>
      <c r="C716" s="78"/>
      <c r="D716" s="78"/>
      <c r="E716" s="78"/>
      <c r="F716" s="78"/>
      <c r="G716" s="78"/>
      <c r="H716" s="79"/>
      <c r="I716" s="78"/>
      <c r="J716" s="78"/>
      <c r="K716" s="78"/>
      <c r="L716" s="78"/>
      <c r="M716" s="16"/>
      <c r="N716" s="78"/>
      <c r="O716" s="78"/>
      <c r="P716" s="78"/>
      <c r="Q716" s="78"/>
      <c r="R716" s="54"/>
    </row>
    <row r="717" spans="2:18" x14ac:dyDescent="0.2">
      <c r="B717" s="53"/>
      <c r="C717" s="78"/>
      <c r="D717" s="78"/>
      <c r="E717" s="78"/>
      <c r="F717" s="78"/>
      <c r="G717" s="78"/>
      <c r="H717" s="79"/>
      <c r="I717" s="78"/>
      <c r="J717" s="78"/>
      <c r="K717" s="78"/>
      <c r="L717" s="78"/>
      <c r="M717" s="16"/>
      <c r="N717" s="78"/>
      <c r="O717" s="78"/>
      <c r="P717" s="78"/>
      <c r="Q717" s="78"/>
      <c r="R717" s="54"/>
    </row>
    <row r="718" spans="2:18" x14ac:dyDescent="0.2">
      <c r="B718" s="53"/>
      <c r="C718" s="78"/>
      <c r="D718" s="78"/>
      <c r="E718" s="78"/>
      <c r="F718" s="78"/>
      <c r="G718" s="78"/>
      <c r="H718" s="79"/>
      <c r="I718" s="78"/>
      <c r="J718" s="78"/>
      <c r="K718" s="78"/>
      <c r="L718" s="78"/>
      <c r="M718" s="16"/>
      <c r="N718" s="78"/>
      <c r="O718" s="78"/>
      <c r="P718" s="78"/>
      <c r="Q718" s="78"/>
      <c r="R718" s="54"/>
    </row>
    <row r="719" spans="2:18" x14ac:dyDescent="0.2">
      <c r="B719" s="53"/>
      <c r="C719" s="78"/>
      <c r="D719" s="78"/>
      <c r="E719" s="78"/>
      <c r="F719" s="78"/>
      <c r="G719" s="78"/>
      <c r="H719" s="79"/>
      <c r="I719" s="78"/>
      <c r="J719" s="78"/>
      <c r="K719" s="78"/>
      <c r="L719" s="78"/>
      <c r="M719" s="16"/>
      <c r="N719" s="78"/>
      <c r="O719" s="78"/>
      <c r="P719" s="78"/>
      <c r="Q719" s="78"/>
      <c r="R719" s="54"/>
    </row>
    <row r="720" spans="2:18" x14ac:dyDescent="0.2">
      <c r="B720" s="53"/>
      <c r="C720" s="78"/>
      <c r="D720" s="78"/>
      <c r="E720" s="78"/>
      <c r="F720" s="78"/>
      <c r="G720" s="78"/>
      <c r="H720" s="79"/>
      <c r="I720" s="78"/>
      <c r="J720" s="78"/>
      <c r="K720" s="78"/>
      <c r="L720" s="78"/>
      <c r="M720" s="16"/>
      <c r="N720" s="78"/>
      <c r="O720" s="78"/>
      <c r="P720" s="78"/>
      <c r="Q720" s="78"/>
      <c r="R720" s="54"/>
    </row>
    <row r="721" spans="2:18" x14ac:dyDescent="0.2">
      <c r="B721" s="53"/>
      <c r="C721" s="78"/>
      <c r="D721" s="78"/>
      <c r="E721" s="78"/>
      <c r="F721" s="78"/>
      <c r="G721" s="78"/>
      <c r="H721" s="79"/>
      <c r="I721" s="78"/>
      <c r="J721" s="78"/>
      <c r="K721" s="78"/>
      <c r="L721" s="78"/>
      <c r="M721" s="16"/>
      <c r="N721" s="78"/>
      <c r="O721" s="78"/>
      <c r="P721" s="78"/>
      <c r="Q721" s="78"/>
      <c r="R721" s="54"/>
    </row>
    <row r="722" spans="2:18" x14ac:dyDescent="0.2">
      <c r="B722" s="53"/>
      <c r="C722" s="78"/>
      <c r="D722" s="78"/>
      <c r="E722" s="78"/>
      <c r="F722" s="78"/>
      <c r="G722" s="78"/>
      <c r="H722" s="79"/>
      <c r="I722" s="78"/>
      <c r="J722" s="78"/>
      <c r="K722" s="78"/>
      <c r="L722" s="78"/>
      <c r="M722" s="16"/>
      <c r="N722" s="78"/>
      <c r="O722" s="78"/>
      <c r="P722" s="78"/>
      <c r="Q722" s="78"/>
      <c r="R722" s="54"/>
    </row>
    <row r="723" spans="2:18" x14ac:dyDescent="0.2">
      <c r="B723" s="53"/>
      <c r="C723" s="78"/>
      <c r="D723" s="78"/>
      <c r="E723" s="78"/>
      <c r="F723" s="78"/>
      <c r="G723" s="78"/>
      <c r="H723" s="79"/>
      <c r="I723" s="78"/>
      <c r="J723" s="78"/>
      <c r="K723" s="78"/>
      <c r="L723" s="78"/>
      <c r="M723" s="16"/>
      <c r="N723" s="78"/>
      <c r="O723" s="78"/>
      <c r="P723" s="78"/>
      <c r="Q723" s="78"/>
      <c r="R723" s="54"/>
    </row>
    <row r="724" spans="2:18" x14ac:dyDescent="0.2">
      <c r="B724" s="53"/>
      <c r="C724" s="78"/>
      <c r="D724" s="78"/>
      <c r="E724" s="78"/>
      <c r="F724" s="78"/>
      <c r="G724" s="78"/>
      <c r="H724" s="79"/>
      <c r="I724" s="78"/>
      <c r="J724" s="78"/>
      <c r="K724" s="78"/>
      <c r="L724" s="78"/>
      <c r="M724" s="16"/>
      <c r="N724" s="78"/>
      <c r="O724" s="78"/>
      <c r="P724" s="78"/>
      <c r="Q724" s="78"/>
      <c r="R724" s="54"/>
    </row>
    <row r="725" spans="2:18" x14ac:dyDescent="0.2">
      <c r="B725" s="53"/>
      <c r="C725" s="78"/>
      <c r="D725" s="78"/>
      <c r="E725" s="78"/>
      <c r="F725" s="78"/>
      <c r="G725" s="78"/>
      <c r="H725" s="79"/>
      <c r="I725" s="78"/>
      <c r="J725" s="78"/>
      <c r="K725" s="78"/>
      <c r="L725" s="78"/>
      <c r="M725" s="16"/>
      <c r="N725" s="78"/>
      <c r="O725" s="78"/>
      <c r="P725" s="78"/>
      <c r="Q725" s="78"/>
      <c r="R725" s="54"/>
    </row>
    <row r="726" spans="2:18" x14ac:dyDescent="0.2">
      <c r="B726" s="53"/>
      <c r="C726" s="78"/>
      <c r="D726" s="78"/>
      <c r="E726" s="78"/>
      <c r="F726" s="78"/>
      <c r="G726" s="78"/>
      <c r="H726" s="79"/>
      <c r="I726" s="78"/>
      <c r="J726" s="78"/>
      <c r="K726" s="78"/>
      <c r="L726" s="78"/>
      <c r="M726" s="16"/>
      <c r="N726" s="78"/>
      <c r="O726" s="78"/>
      <c r="P726" s="78"/>
      <c r="Q726" s="78"/>
      <c r="R726" s="54"/>
    </row>
    <row r="727" spans="2:18" x14ac:dyDescent="0.2">
      <c r="B727" s="53"/>
      <c r="C727" s="78"/>
      <c r="D727" s="78"/>
      <c r="E727" s="78"/>
      <c r="F727" s="78"/>
      <c r="G727" s="78"/>
      <c r="H727" s="79"/>
      <c r="I727" s="78"/>
      <c r="J727" s="78"/>
      <c r="K727" s="78"/>
      <c r="L727" s="78"/>
      <c r="M727" s="16"/>
      <c r="N727" s="78"/>
      <c r="O727" s="78"/>
      <c r="P727" s="78"/>
      <c r="Q727" s="78"/>
      <c r="R727" s="54"/>
    </row>
    <row r="728" spans="2:18" x14ac:dyDescent="0.2">
      <c r="B728" s="53"/>
      <c r="C728" s="78"/>
      <c r="D728" s="78"/>
      <c r="E728" s="78"/>
      <c r="F728" s="78"/>
      <c r="G728" s="78"/>
      <c r="H728" s="79"/>
      <c r="I728" s="78"/>
      <c r="J728" s="78"/>
      <c r="K728" s="78"/>
      <c r="L728" s="78"/>
      <c r="M728" s="16"/>
      <c r="N728" s="78"/>
      <c r="O728" s="78"/>
      <c r="P728" s="78"/>
      <c r="Q728" s="78"/>
      <c r="R728" s="54"/>
    </row>
    <row r="729" spans="2:18" x14ac:dyDescent="0.2">
      <c r="B729" s="53"/>
      <c r="C729" s="78"/>
      <c r="D729" s="78"/>
      <c r="E729" s="78"/>
      <c r="F729" s="78"/>
      <c r="G729" s="78"/>
      <c r="H729" s="79"/>
      <c r="I729" s="78"/>
      <c r="J729" s="78"/>
      <c r="K729" s="78"/>
      <c r="L729" s="78"/>
      <c r="M729" s="16"/>
      <c r="N729" s="78"/>
      <c r="O729" s="78"/>
      <c r="P729" s="78"/>
      <c r="Q729" s="78"/>
      <c r="R729" s="54"/>
    </row>
    <row r="730" spans="2:18" x14ac:dyDescent="0.2">
      <c r="B730" s="53"/>
      <c r="C730" s="78"/>
      <c r="D730" s="78"/>
      <c r="E730" s="78"/>
      <c r="F730" s="78"/>
      <c r="G730" s="78"/>
      <c r="H730" s="79"/>
      <c r="I730" s="78"/>
      <c r="J730" s="78"/>
      <c r="K730" s="78"/>
      <c r="L730" s="78"/>
      <c r="M730" s="16"/>
      <c r="N730" s="78"/>
      <c r="O730" s="78"/>
      <c r="P730" s="78"/>
      <c r="Q730" s="78"/>
      <c r="R730" s="54"/>
    </row>
    <row r="731" spans="2:18" x14ac:dyDescent="0.2">
      <c r="B731" s="53"/>
      <c r="C731" s="78"/>
      <c r="D731" s="78"/>
      <c r="E731" s="78"/>
      <c r="F731" s="78"/>
      <c r="G731" s="78"/>
      <c r="H731" s="79"/>
      <c r="I731" s="78"/>
      <c r="J731" s="78"/>
      <c r="K731" s="78"/>
      <c r="L731" s="78"/>
      <c r="M731" s="16"/>
      <c r="N731" s="78"/>
      <c r="O731" s="78"/>
      <c r="P731" s="78"/>
      <c r="Q731" s="78"/>
      <c r="R731" s="54"/>
    </row>
    <row r="732" spans="2:18" x14ac:dyDescent="0.2">
      <c r="B732" s="53"/>
      <c r="C732" s="78"/>
      <c r="D732" s="78"/>
      <c r="E732" s="78"/>
      <c r="F732" s="78"/>
      <c r="G732" s="78"/>
      <c r="H732" s="79"/>
      <c r="I732" s="78"/>
      <c r="J732" s="78"/>
      <c r="K732" s="78"/>
      <c r="L732" s="78"/>
      <c r="M732" s="16"/>
      <c r="N732" s="78"/>
      <c r="O732" s="78"/>
      <c r="P732" s="78"/>
      <c r="Q732" s="78"/>
      <c r="R732" s="54"/>
    </row>
    <row r="733" spans="2:18" x14ac:dyDescent="0.2">
      <c r="B733" s="53"/>
      <c r="C733" s="78"/>
      <c r="D733" s="78"/>
      <c r="E733" s="78"/>
      <c r="F733" s="78"/>
      <c r="G733" s="78"/>
      <c r="H733" s="79"/>
      <c r="I733" s="78"/>
      <c r="J733" s="78"/>
      <c r="K733" s="78"/>
      <c r="L733" s="78"/>
      <c r="M733" s="16"/>
      <c r="N733" s="78"/>
      <c r="O733" s="78"/>
      <c r="P733" s="78"/>
      <c r="Q733" s="78"/>
      <c r="R733" s="54"/>
    </row>
    <row r="734" spans="2:18" x14ac:dyDescent="0.2">
      <c r="B734" s="53"/>
      <c r="C734" s="78"/>
      <c r="D734" s="78"/>
      <c r="E734" s="78"/>
      <c r="F734" s="78"/>
      <c r="G734" s="78"/>
      <c r="H734" s="79"/>
      <c r="I734" s="78"/>
      <c r="J734" s="78"/>
      <c r="K734" s="78"/>
      <c r="L734" s="78"/>
      <c r="M734" s="16"/>
      <c r="N734" s="78"/>
      <c r="O734" s="78"/>
      <c r="P734" s="78"/>
      <c r="Q734" s="78"/>
      <c r="R734" s="54"/>
    </row>
    <row r="735" spans="2:18" x14ac:dyDescent="0.2">
      <c r="B735" s="53"/>
      <c r="C735" s="78"/>
      <c r="D735" s="78"/>
      <c r="E735" s="78"/>
      <c r="F735" s="78"/>
      <c r="G735" s="78"/>
      <c r="H735" s="79"/>
      <c r="I735" s="78"/>
      <c r="J735" s="78"/>
      <c r="K735" s="78"/>
      <c r="L735" s="78"/>
      <c r="M735" s="16"/>
      <c r="N735" s="78"/>
      <c r="O735" s="78"/>
      <c r="P735" s="78"/>
      <c r="Q735" s="78"/>
      <c r="R735" s="54"/>
    </row>
    <row r="736" spans="2:18" x14ac:dyDescent="0.2">
      <c r="B736" s="53"/>
      <c r="C736" s="78"/>
      <c r="D736" s="78"/>
      <c r="E736" s="78"/>
      <c r="F736" s="78"/>
      <c r="G736" s="78"/>
      <c r="H736" s="79"/>
      <c r="I736" s="78"/>
      <c r="J736" s="78"/>
      <c r="K736" s="78"/>
      <c r="L736" s="78"/>
      <c r="M736" s="16"/>
      <c r="N736" s="78"/>
      <c r="O736" s="78"/>
      <c r="P736" s="78"/>
      <c r="Q736" s="78"/>
      <c r="R736" s="54"/>
    </row>
    <row r="737" spans="2:18" x14ac:dyDescent="0.2">
      <c r="B737" s="53"/>
      <c r="C737" s="78"/>
      <c r="D737" s="78"/>
      <c r="E737" s="78"/>
      <c r="F737" s="78"/>
      <c r="G737" s="78"/>
      <c r="H737" s="79"/>
      <c r="I737" s="78"/>
      <c r="J737" s="78"/>
      <c r="K737" s="78"/>
      <c r="L737" s="78"/>
      <c r="M737" s="16"/>
      <c r="N737" s="78"/>
      <c r="O737" s="78"/>
      <c r="P737" s="78"/>
      <c r="Q737" s="78"/>
      <c r="R737" s="54"/>
    </row>
    <row r="738" spans="2:18" x14ac:dyDescent="0.2">
      <c r="B738" s="53"/>
      <c r="C738" s="78"/>
      <c r="D738" s="78"/>
      <c r="E738" s="78"/>
      <c r="F738" s="78"/>
      <c r="G738" s="78"/>
      <c r="H738" s="79"/>
      <c r="I738" s="78"/>
      <c r="J738" s="78"/>
      <c r="K738" s="78"/>
      <c r="L738" s="78"/>
      <c r="M738" s="16"/>
      <c r="N738" s="78"/>
      <c r="O738" s="78"/>
      <c r="P738" s="78"/>
      <c r="Q738" s="78"/>
      <c r="R738" s="54"/>
    </row>
    <row r="739" spans="2:18" x14ac:dyDescent="0.2">
      <c r="B739" s="53"/>
      <c r="C739" s="78"/>
      <c r="D739" s="78"/>
      <c r="E739" s="78"/>
      <c r="F739" s="78"/>
      <c r="G739" s="78"/>
      <c r="H739" s="79"/>
      <c r="I739" s="78"/>
      <c r="J739" s="78"/>
      <c r="K739" s="78"/>
      <c r="L739" s="78"/>
      <c r="M739" s="16"/>
      <c r="N739" s="78"/>
      <c r="O739" s="78"/>
      <c r="P739" s="78"/>
      <c r="Q739" s="78"/>
      <c r="R739" s="54"/>
    </row>
    <row r="740" spans="2:18" x14ac:dyDescent="0.2">
      <c r="B740" s="53"/>
      <c r="C740" s="78"/>
      <c r="D740" s="78"/>
      <c r="E740" s="78"/>
      <c r="F740" s="78"/>
      <c r="G740" s="78"/>
      <c r="H740" s="79"/>
      <c r="I740" s="78"/>
      <c r="J740" s="78"/>
      <c r="K740" s="78"/>
      <c r="L740" s="78"/>
      <c r="M740" s="16"/>
      <c r="N740" s="78"/>
      <c r="O740" s="78"/>
      <c r="P740" s="78"/>
      <c r="Q740" s="78"/>
      <c r="R740" s="54"/>
    </row>
    <row r="741" spans="2:18" x14ac:dyDescent="0.2">
      <c r="B741" s="53"/>
      <c r="C741" s="78"/>
      <c r="D741" s="78"/>
      <c r="E741" s="78"/>
      <c r="F741" s="78"/>
      <c r="G741" s="78"/>
      <c r="H741" s="79"/>
      <c r="I741" s="78"/>
      <c r="J741" s="78"/>
      <c r="K741" s="78"/>
      <c r="L741" s="78"/>
      <c r="M741" s="16"/>
      <c r="N741" s="78"/>
      <c r="O741" s="78"/>
      <c r="P741" s="78"/>
      <c r="Q741" s="78"/>
      <c r="R741" s="54"/>
    </row>
    <row r="742" spans="2:18" x14ac:dyDescent="0.2">
      <c r="B742" s="53"/>
      <c r="C742" s="78"/>
      <c r="D742" s="78"/>
      <c r="E742" s="78"/>
      <c r="F742" s="78"/>
      <c r="G742" s="78"/>
      <c r="H742" s="79"/>
      <c r="I742" s="78"/>
      <c r="J742" s="78"/>
      <c r="K742" s="78"/>
      <c r="L742" s="78"/>
      <c r="M742" s="16"/>
      <c r="N742" s="78"/>
      <c r="O742" s="78"/>
      <c r="P742" s="78"/>
      <c r="Q742" s="78"/>
      <c r="R742" s="54"/>
    </row>
    <row r="743" spans="2:18" x14ac:dyDescent="0.2">
      <c r="B743" s="53"/>
      <c r="C743" s="78"/>
      <c r="D743" s="78"/>
      <c r="E743" s="78"/>
      <c r="F743" s="78"/>
      <c r="G743" s="78"/>
      <c r="H743" s="79"/>
      <c r="I743" s="78"/>
      <c r="J743" s="78"/>
      <c r="K743" s="78"/>
      <c r="L743" s="78"/>
      <c r="M743" s="16"/>
      <c r="N743" s="78"/>
      <c r="O743" s="78"/>
      <c r="P743" s="78"/>
      <c r="Q743" s="78"/>
      <c r="R743" s="54"/>
    </row>
    <row r="744" spans="2:18" x14ac:dyDescent="0.2">
      <c r="B744" s="53"/>
      <c r="C744" s="78"/>
      <c r="D744" s="78"/>
      <c r="E744" s="78"/>
      <c r="F744" s="78"/>
      <c r="G744" s="78"/>
      <c r="H744" s="79"/>
      <c r="I744" s="78"/>
      <c r="J744" s="78"/>
      <c r="K744" s="78"/>
      <c r="L744" s="78"/>
      <c r="M744" s="16"/>
      <c r="N744" s="78"/>
      <c r="O744" s="78"/>
      <c r="P744" s="78"/>
      <c r="Q744" s="78"/>
      <c r="R744" s="54"/>
    </row>
    <row r="745" spans="2:18" x14ac:dyDescent="0.2">
      <c r="B745" s="53"/>
      <c r="C745" s="78"/>
      <c r="D745" s="78"/>
      <c r="E745" s="78"/>
      <c r="F745" s="78"/>
      <c r="G745" s="78"/>
      <c r="H745" s="79"/>
      <c r="I745" s="78"/>
      <c r="J745" s="78"/>
      <c r="K745" s="78"/>
      <c r="L745" s="78"/>
      <c r="M745" s="16"/>
      <c r="N745" s="78"/>
      <c r="O745" s="78"/>
      <c r="P745" s="78"/>
      <c r="Q745" s="78"/>
      <c r="R745" s="54"/>
    </row>
    <row r="746" spans="2:18" x14ac:dyDescent="0.2">
      <c r="B746" s="53"/>
      <c r="C746" s="78"/>
      <c r="D746" s="78"/>
      <c r="E746" s="78"/>
      <c r="F746" s="78"/>
      <c r="G746" s="78"/>
      <c r="H746" s="79"/>
      <c r="I746" s="78"/>
      <c r="J746" s="78"/>
      <c r="K746" s="78"/>
      <c r="L746" s="78"/>
      <c r="M746" s="16"/>
      <c r="N746" s="78"/>
      <c r="O746" s="78"/>
      <c r="P746" s="78"/>
      <c r="Q746" s="78"/>
      <c r="R746" s="54"/>
    </row>
    <row r="747" spans="2:18" x14ac:dyDescent="0.2">
      <c r="B747" s="53"/>
      <c r="C747" s="78"/>
      <c r="D747" s="78"/>
      <c r="E747" s="78"/>
      <c r="F747" s="78"/>
      <c r="G747" s="78"/>
      <c r="H747" s="79"/>
      <c r="I747" s="78"/>
      <c r="J747" s="78"/>
      <c r="K747" s="78"/>
      <c r="L747" s="78"/>
      <c r="M747" s="16"/>
      <c r="N747" s="78"/>
      <c r="O747" s="78"/>
      <c r="P747" s="78"/>
      <c r="Q747" s="78"/>
      <c r="R747" s="54"/>
    </row>
    <row r="748" spans="2:18" x14ac:dyDescent="0.2">
      <c r="B748" s="53"/>
      <c r="C748" s="78"/>
      <c r="D748" s="78"/>
      <c r="E748" s="78"/>
      <c r="F748" s="78"/>
      <c r="G748" s="78"/>
      <c r="H748" s="79"/>
      <c r="I748" s="78"/>
      <c r="J748" s="78"/>
      <c r="K748" s="78"/>
      <c r="L748" s="78"/>
      <c r="M748" s="16"/>
      <c r="N748" s="78"/>
      <c r="O748" s="78"/>
      <c r="P748" s="78"/>
      <c r="Q748" s="78"/>
      <c r="R748" s="54"/>
    </row>
    <row r="749" spans="2:18" x14ac:dyDescent="0.2">
      <c r="B749" s="53"/>
      <c r="C749" s="78"/>
      <c r="D749" s="78"/>
      <c r="E749" s="78"/>
      <c r="F749" s="78"/>
      <c r="G749" s="78"/>
      <c r="H749" s="79"/>
      <c r="I749" s="78"/>
      <c r="J749" s="78"/>
      <c r="K749" s="78"/>
      <c r="L749" s="78"/>
      <c r="M749" s="16"/>
      <c r="N749" s="78"/>
      <c r="O749" s="78"/>
      <c r="P749" s="78"/>
      <c r="Q749" s="78"/>
      <c r="R749" s="54"/>
    </row>
    <row r="750" spans="2:18" x14ac:dyDescent="0.2">
      <c r="B750" s="53"/>
      <c r="C750" s="78"/>
      <c r="D750" s="78"/>
      <c r="E750" s="78"/>
      <c r="F750" s="78"/>
      <c r="G750" s="78"/>
      <c r="H750" s="79"/>
      <c r="I750" s="78"/>
      <c r="J750" s="78"/>
      <c r="K750" s="78"/>
      <c r="L750" s="78"/>
      <c r="M750" s="16"/>
      <c r="N750" s="78"/>
      <c r="O750" s="78"/>
      <c r="P750" s="78"/>
      <c r="Q750" s="78"/>
      <c r="R750" s="54"/>
    </row>
    <row r="751" spans="2:18" x14ac:dyDescent="0.2">
      <c r="B751" s="53"/>
      <c r="C751" s="78"/>
      <c r="D751" s="78"/>
      <c r="E751" s="78"/>
      <c r="F751" s="78"/>
      <c r="G751" s="78"/>
      <c r="H751" s="79"/>
      <c r="I751" s="78"/>
      <c r="J751" s="78"/>
      <c r="K751" s="78"/>
      <c r="L751" s="78"/>
      <c r="M751" s="16"/>
      <c r="N751" s="78"/>
      <c r="O751" s="78"/>
      <c r="P751" s="78"/>
      <c r="Q751" s="78"/>
      <c r="R751" s="54"/>
    </row>
    <row r="752" spans="2:18" x14ac:dyDescent="0.2">
      <c r="B752" s="53"/>
      <c r="C752" s="78"/>
      <c r="D752" s="78"/>
      <c r="E752" s="78"/>
      <c r="F752" s="78"/>
      <c r="G752" s="78"/>
      <c r="H752" s="79"/>
      <c r="I752" s="78"/>
      <c r="J752" s="78"/>
      <c r="K752" s="78"/>
      <c r="L752" s="78"/>
      <c r="M752" s="16"/>
      <c r="N752" s="78"/>
      <c r="O752" s="78"/>
      <c r="P752" s="78"/>
      <c r="Q752" s="78"/>
      <c r="R752" s="54"/>
    </row>
    <row r="753" spans="2:18" x14ac:dyDescent="0.2">
      <c r="B753" s="53"/>
      <c r="C753" s="78"/>
      <c r="D753" s="78"/>
      <c r="E753" s="78"/>
      <c r="F753" s="78"/>
      <c r="G753" s="78"/>
      <c r="H753" s="79"/>
      <c r="I753" s="78"/>
      <c r="J753" s="78"/>
      <c r="K753" s="78"/>
      <c r="L753" s="78"/>
      <c r="M753" s="16"/>
      <c r="N753" s="78"/>
      <c r="O753" s="78"/>
      <c r="P753" s="78"/>
      <c r="Q753" s="78"/>
      <c r="R753" s="54"/>
    </row>
    <row r="754" spans="2:18" x14ac:dyDescent="0.2">
      <c r="B754" s="53"/>
      <c r="C754" s="78"/>
      <c r="D754" s="78"/>
      <c r="E754" s="78"/>
      <c r="F754" s="78"/>
      <c r="G754" s="78"/>
      <c r="H754" s="79"/>
      <c r="I754" s="78"/>
      <c r="J754" s="78"/>
      <c r="K754" s="78"/>
      <c r="L754" s="78"/>
      <c r="M754" s="16"/>
      <c r="N754" s="78"/>
      <c r="O754" s="78"/>
      <c r="P754" s="78"/>
      <c r="Q754" s="78"/>
      <c r="R754" s="54"/>
    </row>
    <row r="755" spans="2:18" x14ac:dyDescent="0.2">
      <c r="B755" s="53"/>
      <c r="C755" s="78"/>
      <c r="D755" s="78"/>
      <c r="E755" s="78"/>
      <c r="F755" s="78"/>
      <c r="G755" s="78"/>
      <c r="H755" s="79"/>
      <c r="I755" s="78"/>
      <c r="J755" s="78"/>
      <c r="K755" s="78"/>
      <c r="L755" s="78"/>
      <c r="M755" s="16"/>
      <c r="N755" s="78"/>
      <c r="O755" s="78"/>
      <c r="P755" s="78"/>
      <c r="Q755" s="78"/>
      <c r="R755" s="54"/>
    </row>
    <row r="756" spans="2:18" x14ac:dyDescent="0.2">
      <c r="B756" s="53"/>
      <c r="C756" s="78"/>
      <c r="D756" s="78"/>
      <c r="E756" s="78"/>
      <c r="F756" s="78"/>
      <c r="G756" s="78"/>
      <c r="H756" s="79"/>
      <c r="I756" s="78"/>
      <c r="J756" s="78"/>
      <c r="K756" s="78"/>
      <c r="L756" s="78"/>
      <c r="M756" s="16"/>
      <c r="N756" s="78"/>
      <c r="O756" s="78"/>
      <c r="P756" s="78"/>
      <c r="Q756" s="78"/>
      <c r="R756" s="54"/>
    </row>
    <row r="757" spans="2:18" x14ac:dyDescent="0.2">
      <c r="B757" s="53"/>
      <c r="C757" s="78"/>
      <c r="D757" s="78"/>
      <c r="E757" s="78"/>
      <c r="F757" s="78"/>
      <c r="G757" s="78"/>
      <c r="H757" s="79"/>
      <c r="I757" s="78"/>
      <c r="J757" s="78"/>
      <c r="K757" s="78"/>
      <c r="L757" s="78"/>
      <c r="M757" s="16"/>
      <c r="N757" s="78"/>
      <c r="O757" s="78"/>
      <c r="P757" s="78"/>
      <c r="Q757" s="78"/>
      <c r="R757" s="54"/>
    </row>
    <row r="758" spans="2:18" x14ac:dyDescent="0.2">
      <c r="B758" s="53"/>
      <c r="C758" s="78"/>
      <c r="D758" s="78"/>
      <c r="E758" s="78"/>
      <c r="F758" s="78"/>
      <c r="G758" s="78"/>
      <c r="H758" s="79"/>
      <c r="I758" s="78"/>
      <c r="J758" s="78"/>
      <c r="K758" s="78"/>
      <c r="L758" s="78"/>
      <c r="M758" s="16"/>
      <c r="N758" s="78"/>
      <c r="O758" s="78"/>
      <c r="P758" s="78"/>
      <c r="Q758" s="78"/>
      <c r="R758" s="54"/>
    </row>
    <row r="759" spans="2:18" x14ac:dyDescent="0.2">
      <c r="B759" s="53"/>
      <c r="C759" s="78"/>
      <c r="D759" s="78"/>
      <c r="E759" s="78"/>
      <c r="F759" s="78"/>
      <c r="G759" s="78"/>
      <c r="H759" s="79"/>
      <c r="I759" s="78"/>
      <c r="J759" s="78"/>
      <c r="K759" s="78"/>
      <c r="L759" s="78"/>
      <c r="M759" s="16"/>
      <c r="N759" s="78"/>
      <c r="O759" s="78"/>
      <c r="P759" s="78"/>
      <c r="Q759" s="78"/>
      <c r="R759" s="54"/>
    </row>
    <row r="760" spans="2:18" x14ac:dyDescent="0.2">
      <c r="B760" s="53"/>
      <c r="C760" s="78"/>
      <c r="D760" s="78"/>
      <c r="E760" s="78"/>
      <c r="F760" s="78"/>
      <c r="G760" s="78"/>
      <c r="H760" s="79"/>
      <c r="I760" s="78"/>
      <c r="J760" s="78"/>
      <c r="K760" s="78"/>
      <c r="L760" s="78"/>
      <c r="M760" s="16"/>
      <c r="N760" s="78"/>
      <c r="O760" s="78"/>
      <c r="P760" s="78"/>
      <c r="Q760" s="78"/>
      <c r="R760" s="54"/>
    </row>
    <row r="761" spans="2:18" x14ac:dyDescent="0.2">
      <c r="B761" s="53"/>
      <c r="C761" s="78"/>
      <c r="D761" s="78"/>
      <c r="E761" s="78"/>
      <c r="F761" s="78"/>
      <c r="G761" s="78"/>
      <c r="H761" s="79"/>
      <c r="I761" s="78"/>
      <c r="J761" s="78"/>
      <c r="K761" s="78"/>
      <c r="L761" s="78"/>
      <c r="M761" s="16"/>
      <c r="N761" s="78"/>
      <c r="O761" s="78"/>
      <c r="P761" s="78"/>
      <c r="Q761" s="78"/>
      <c r="R761" s="54"/>
    </row>
    <row r="762" spans="2:18" x14ac:dyDescent="0.2">
      <c r="B762" s="53"/>
      <c r="C762" s="78"/>
      <c r="D762" s="78"/>
      <c r="E762" s="78"/>
      <c r="F762" s="78"/>
      <c r="G762" s="78"/>
      <c r="H762" s="79"/>
      <c r="I762" s="78"/>
      <c r="J762" s="78"/>
      <c r="K762" s="78"/>
      <c r="L762" s="78"/>
      <c r="M762" s="16"/>
      <c r="N762" s="78"/>
      <c r="O762" s="78"/>
      <c r="P762" s="78"/>
      <c r="Q762" s="78"/>
      <c r="R762" s="54"/>
    </row>
    <row r="763" spans="2:18" x14ac:dyDescent="0.2">
      <c r="B763" s="53"/>
      <c r="C763" s="78"/>
      <c r="D763" s="78"/>
      <c r="E763" s="78"/>
      <c r="F763" s="78"/>
      <c r="G763" s="78"/>
      <c r="H763" s="79"/>
      <c r="I763" s="78"/>
      <c r="J763" s="78"/>
      <c r="K763" s="78"/>
      <c r="L763" s="78"/>
      <c r="M763" s="16"/>
      <c r="N763" s="78"/>
      <c r="O763" s="78"/>
      <c r="P763" s="78"/>
      <c r="Q763" s="78"/>
      <c r="R763" s="54"/>
    </row>
    <row r="764" spans="2:18" x14ac:dyDescent="0.2">
      <c r="B764" s="53"/>
      <c r="C764" s="78"/>
      <c r="D764" s="78"/>
      <c r="E764" s="78"/>
      <c r="F764" s="78"/>
      <c r="G764" s="78"/>
      <c r="H764" s="79"/>
      <c r="I764" s="78"/>
      <c r="J764" s="78"/>
      <c r="K764" s="78"/>
      <c r="L764" s="78"/>
      <c r="M764" s="16"/>
      <c r="N764" s="78"/>
      <c r="O764" s="78"/>
      <c r="P764" s="78"/>
      <c r="Q764" s="78"/>
      <c r="R764" s="54"/>
    </row>
    <row r="765" spans="2:18" x14ac:dyDescent="0.2">
      <c r="B765" s="53"/>
      <c r="C765" s="78"/>
      <c r="D765" s="78"/>
      <c r="E765" s="78"/>
      <c r="F765" s="78"/>
      <c r="G765" s="78"/>
      <c r="H765" s="79"/>
      <c r="I765" s="78"/>
      <c r="J765" s="78"/>
      <c r="K765" s="78"/>
      <c r="L765" s="78"/>
      <c r="M765" s="16"/>
      <c r="N765" s="78"/>
      <c r="O765" s="78"/>
      <c r="P765" s="78"/>
      <c r="Q765" s="78"/>
      <c r="R765" s="54"/>
    </row>
    <row r="766" spans="2:18" x14ac:dyDescent="0.2">
      <c r="B766" s="53"/>
      <c r="C766" s="78"/>
      <c r="D766" s="78"/>
      <c r="E766" s="78"/>
      <c r="F766" s="78"/>
      <c r="G766" s="78"/>
      <c r="H766" s="79"/>
      <c r="I766" s="78"/>
      <c r="J766" s="78"/>
      <c r="K766" s="78"/>
      <c r="L766" s="78"/>
      <c r="M766" s="16"/>
      <c r="N766" s="78"/>
      <c r="O766" s="78"/>
      <c r="P766" s="78"/>
      <c r="Q766" s="78"/>
      <c r="R766" s="54"/>
    </row>
    <row r="767" spans="2:18" x14ac:dyDescent="0.2">
      <c r="B767" s="53"/>
      <c r="C767" s="78"/>
      <c r="D767" s="78"/>
      <c r="E767" s="78"/>
      <c r="F767" s="78"/>
      <c r="G767" s="78"/>
      <c r="H767" s="79"/>
      <c r="I767" s="78"/>
      <c r="J767" s="78"/>
      <c r="K767" s="78"/>
      <c r="L767" s="78"/>
      <c r="M767" s="16"/>
      <c r="N767" s="78"/>
      <c r="O767" s="78"/>
      <c r="P767" s="78"/>
      <c r="Q767" s="78"/>
      <c r="R767" s="54"/>
    </row>
    <row r="768" spans="2:18" x14ac:dyDescent="0.2">
      <c r="B768" s="53"/>
      <c r="C768" s="78"/>
      <c r="D768" s="78"/>
      <c r="E768" s="78"/>
      <c r="F768" s="78"/>
      <c r="G768" s="78"/>
      <c r="H768" s="79"/>
      <c r="I768" s="78"/>
      <c r="J768" s="78"/>
      <c r="K768" s="78"/>
      <c r="L768" s="78"/>
      <c r="M768" s="16"/>
      <c r="N768" s="78"/>
      <c r="O768" s="78"/>
      <c r="P768" s="78"/>
      <c r="Q768" s="78"/>
      <c r="R768" s="54"/>
    </row>
    <row r="769" spans="2:18" x14ac:dyDescent="0.2">
      <c r="B769" s="53"/>
      <c r="C769" s="78"/>
      <c r="D769" s="78"/>
      <c r="E769" s="78"/>
      <c r="F769" s="78"/>
      <c r="G769" s="78"/>
      <c r="H769" s="79"/>
      <c r="I769" s="78"/>
      <c r="J769" s="78"/>
      <c r="K769" s="78"/>
      <c r="L769" s="78"/>
      <c r="M769" s="16"/>
      <c r="N769" s="78"/>
      <c r="O769" s="78"/>
      <c r="P769" s="78"/>
      <c r="Q769" s="78"/>
      <c r="R769" s="54"/>
    </row>
    <row r="770" spans="2:18" x14ac:dyDescent="0.2">
      <c r="B770" s="53"/>
      <c r="C770" s="78"/>
      <c r="D770" s="78"/>
      <c r="E770" s="78"/>
      <c r="F770" s="78"/>
      <c r="G770" s="78"/>
      <c r="H770" s="79"/>
      <c r="I770" s="78"/>
      <c r="J770" s="78"/>
      <c r="K770" s="78"/>
      <c r="L770" s="78"/>
      <c r="M770" s="16"/>
      <c r="N770" s="78"/>
      <c r="O770" s="78"/>
      <c r="P770" s="78"/>
      <c r="Q770" s="78"/>
      <c r="R770" s="54"/>
    </row>
    <row r="771" spans="2:18" x14ac:dyDescent="0.2">
      <c r="B771" s="53"/>
      <c r="C771" s="78"/>
      <c r="D771" s="78"/>
      <c r="E771" s="78"/>
      <c r="F771" s="78"/>
      <c r="G771" s="78"/>
      <c r="H771" s="79"/>
      <c r="I771" s="78"/>
      <c r="J771" s="78"/>
      <c r="K771" s="78"/>
      <c r="L771" s="78"/>
      <c r="M771" s="16"/>
      <c r="N771" s="78"/>
      <c r="O771" s="78"/>
      <c r="P771" s="78"/>
      <c r="Q771" s="78"/>
      <c r="R771" s="54"/>
    </row>
    <row r="772" spans="2:18" x14ac:dyDescent="0.2">
      <c r="B772" s="53"/>
      <c r="C772" s="78"/>
      <c r="D772" s="78"/>
      <c r="E772" s="78"/>
      <c r="F772" s="78"/>
      <c r="G772" s="78"/>
      <c r="H772" s="79"/>
      <c r="I772" s="78"/>
      <c r="J772" s="78"/>
      <c r="K772" s="78"/>
      <c r="L772" s="78"/>
      <c r="M772" s="16"/>
      <c r="N772" s="78"/>
      <c r="O772" s="78"/>
      <c r="P772" s="78"/>
      <c r="Q772" s="78"/>
      <c r="R772" s="54"/>
    </row>
    <row r="773" spans="2:18" x14ac:dyDescent="0.2">
      <c r="B773" s="53"/>
      <c r="C773" s="78"/>
      <c r="D773" s="78"/>
      <c r="E773" s="78"/>
      <c r="F773" s="78"/>
      <c r="G773" s="78"/>
      <c r="H773" s="79"/>
      <c r="I773" s="78"/>
      <c r="J773" s="78"/>
      <c r="K773" s="78"/>
      <c r="L773" s="78"/>
      <c r="M773" s="16"/>
      <c r="N773" s="78"/>
      <c r="O773" s="78"/>
      <c r="P773" s="78"/>
      <c r="Q773" s="78"/>
      <c r="R773" s="54"/>
    </row>
    <row r="774" spans="2:18" x14ac:dyDescent="0.2">
      <c r="B774" s="53"/>
      <c r="C774" s="78"/>
      <c r="D774" s="78"/>
      <c r="E774" s="78"/>
      <c r="F774" s="78"/>
      <c r="G774" s="78"/>
      <c r="H774" s="79"/>
      <c r="I774" s="78"/>
      <c r="J774" s="78"/>
      <c r="K774" s="78"/>
      <c r="L774" s="78"/>
      <c r="M774" s="16"/>
      <c r="N774" s="78"/>
      <c r="O774" s="78"/>
      <c r="P774" s="78"/>
      <c r="Q774" s="78"/>
      <c r="R774" s="54"/>
    </row>
    <row r="775" spans="2:18" x14ac:dyDescent="0.2">
      <c r="B775" s="53"/>
      <c r="C775" s="78"/>
      <c r="D775" s="78"/>
      <c r="E775" s="78"/>
      <c r="F775" s="78"/>
      <c r="G775" s="78"/>
      <c r="H775" s="79"/>
      <c r="I775" s="78"/>
      <c r="J775" s="78"/>
      <c r="K775" s="78"/>
      <c r="L775" s="78"/>
      <c r="M775" s="16"/>
      <c r="N775" s="78"/>
      <c r="O775" s="78"/>
      <c r="P775" s="78"/>
      <c r="Q775" s="78"/>
      <c r="R775" s="54"/>
    </row>
    <row r="776" spans="2:18" x14ac:dyDescent="0.2">
      <c r="B776" s="53"/>
      <c r="C776" s="78"/>
      <c r="D776" s="78"/>
      <c r="E776" s="78"/>
      <c r="F776" s="78"/>
      <c r="G776" s="78"/>
      <c r="H776" s="79"/>
      <c r="I776" s="78"/>
      <c r="J776" s="78"/>
      <c r="K776" s="78"/>
      <c r="L776" s="78"/>
      <c r="M776" s="16"/>
      <c r="N776" s="78"/>
      <c r="O776" s="78"/>
      <c r="P776" s="78"/>
      <c r="Q776" s="78"/>
      <c r="R776" s="54"/>
    </row>
    <row r="777" spans="2:18" x14ac:dyDescent="0.2">
      <c r="B777" s="53"/>
      <c r="C777" s="78"/>
      <c r="D777" s="78"/>
      <c r="E777" s="78"/>
      <c r="F777" s="78"/>
      <c r="G777" s="78"/>
      <c r="H777" s="79"/>
      <c r="I777" s="78"/>
      <c r="J777" s="78"/>
      <c r="K777" s="78"/>
      <c r="L777" s="78"/>
      <c r="M777" s="16"/>
      <c r="N777" s="78"/>
      <c r="O777" s="78"/>
      <c r="P777" s="78"/>
      <c r="Q777" s="78"/>
      <c r="R777" s="54"/>
    </row>
    <row r="778" spans="2:18" x14ac:dyDescent="0.2">
      <c r="B778" s="53"/>
      <c r="C778" s="78"/>
      <c r="D778" s="78"/>
      <c r="E778" s="78"/>
      <c r="F778" s="78"/>
      <c r="G778" s="78"/>
      <c r="H778" s="79"/>
      <c r="I778" s="78"/>
      <c r="J778" s="78"/>
      <c r="K778" s="78"/>
      <c r="L778" s="78"/>
      <c r="M778" s="16"/>
      <c r="N778" s="78"/>
      <c r="O778" s="78"/>
      <c r="P778" s="78"/>
      <c r="Q778" s="78"/>
      <c r="R778" s="54"/>
    </row>
    <row r="779" spans="2:18" x14ac:dyDescent="0.2">
      <c r="B779" s="53"/>
      <c r="C779" s="78"/>
      <c r="D779" s="78"/>
      <c r="E779" s="78"/>
      <c r="F779" s="78"/>
      <c r="G779" s="78"/>
      <c r="H779" s="79"/>
      <c r="I779" s="78"/>
      <c r="J779" s="78"/>
      <c r="K779" s="78"/>
      <c r="L779" s="78"/>
      <c r="M779" s="16"/>
      <c r="N779" s="78"/>
      <c r="O779" s="78"/>
      <c r="P779" s="78"/>
      <c r="Q779" s="78"/>
      <c r="R779" s="54"/>
    </row>
    <row r="780" spans="2:18" x14ac:dyDescent="0.2">
      <c r="B780" s="53"/>
      <c r="C780" s="78"/>
      <c r="D780" s="78"/>
      <c r="E780" s="78"/>
      <c r="F780" s="78"/>
      <c r="G780" s="78"/>
      <c r="H780" s="79"/>
      <c r="I780" s="78"/>
      <c r="J780" s="78"/>
      <c r="K780" s="78"/>
      <c r="L780" s="78"/>
      <c r="M780" s="16"/>
      <c r="N780" s="78"/>
      <c r="O780" s="78"/>
      <c r="P780" s="78"/>
      <c r="Q780" s="78"/>
      <c r="R780" s="54"/>
    </row>
    <row r="781" spans="2:18" x14ac:dyDescent="0.2">
      <c r="B781" s="53"/>
      <c r="C781" s="78"/>
      <c r="D781" s="78"/>
      <c r="E781" s="78"/>
      <c r="F781" s="78"/>
      <c r="G781" s="78"/>
      <c r="H781" s="79"/>
      <c r="I781" s="78"/>
      <c r="J781" s="78"/>
      <c r="K781" s="78"/>
      <c r="L781" s="78"/>
      <c r="M781" s="16"/>
      <c r="N781" s="78"/>
      <c r="O781" s="78"/>
      <c r="P781" s="78"/>
      <c r="Q781" s="78"/>
      <c r="R781" s="54"/>
    </row>
    <row r="782" spans="2:18" x14ac:dyDescent="0.2">
      <c r="B782" s="53"/>
      <c r="C782" s="78"/>
      <c r="D782" s="78"/>
      <c r="E782" s="78"/>
      <c r="F782" s="78"/>
      <c r="G782" s="78"/>
      <c r="H782" s="79"/>
      <c r="I782" s="78"/>
      <c r="J782" s="78"/>
      <c r="K782" s="78"/>
      <c r="L782" s="78"/>
      <c r="M782" s="16"/>
      <c r="N782" s="78"/>
      <c r="O782" s="78"/>
      <c r="P782" s="78"/>
      <c r="Q782" s="78"/>
      <c r="R782" s="54"/>
    </row>
    <row r="783" spans="2:18" x14ac:dyDescent="0.2">
      <c r="B783" s="53"/>
      <c r="C783" s="78"/>
      <c r="D783" s="78"/>
      <c r="E783" s="78"/>
      <c r="F783" s="78"/>
      <c r="G783" s="78"/>
      <c r="H783" s="79"/>
      <c r="I783" s="78"/>
      <c r="J783" s="78"/>
      <c r="K783" s="78"/>
      <c r="L783" s="78"/>
      <c r="M783" s="16"/>
      <c r="N783" s="78"/>
      <c r="O783" s="78"/>
      <c r="P783" s="78"/>
      <c r="Q783" s="78"/>
      <c r="R783" s="54"/>
    </row>
    <row r="784" spans="2:18" x14ac:dyDescent="0.2">
      <c r="B784" s="53"/>
      <c r="C784" s="78"/>
      <c r="D784" s="78"/>
      <c r="E784" s="78"/>
      <c r="F784" s="78"/>
      <c r="G784" s="78"/>
      <c r="H784" s="79"/>
      <c r="I784" s="78"/>
      <c r="J784" s="78"/>
      <c r="K784" s="78"/>
      <c r="L784" s="78"/>
      <c r="M784" s="16"/>
      <c r="N784" s="78"/>
      <c r="O784" s="78"/>
      <c r="P784" s="78"/>
      <c r="Q784" s="78"/>
      <c r="R784" s="54"/>
    </row>
    <row r="785" spans="2:18" x14ac:dyDescent="0.2">
      <c r="B785" s="53"/>
      <c r="C785" s="78"/>
      <c r="D785" s="78"/>
      <c r="E785" s="78"/>
      <c r="F785" s="78"/>
      <c r="G785" s="78"/>
      <c r="H785" s="79"/>
      <c r="I785" s="78"/>
      <c r="J785" s="78"/>
      <c r="K785" s="78"/>
      <c r="L785" s="78"/>
      <c r="M785" s="16"/>
      <c r="N785" s="78"/>
      <c r="O785" s="78"/>
      <c r="P785" s="78"/>
      <c r="Q785" s="78"/>
      <c r="R785" s="54"/>
    </row>
    <row r="786" spans="2:18" x14ac:dyDescent="0.2">
      <c r="B786" s="53"/>
      <c r="C786" s="78"/>
      <c r="D786" s="78"/>
      <c r="E786" s="78"/>
      <c r="F786" s="78"/>
      <c r="G786" s="78"/>
      <c r="H786" s="79"/>
      <c r="I786" s="78"/>
      <c r="J786" s="78"/>
      <c r="K786" s="78"/>
      <c r="L786" s="78"/>
      <c r="M786" s="16"/>
      <c r="N786" s="78"/>
      <c r="O786" s="78"/>
      <c r="P786" s="78"/>
      <c r="Q786" s="78"/>
      <c r="R786" s="54"/>
    </row>
    <row r="787" spans="2:18" x14ac:dyDescent="0.2">
      <c r="B787" s="53"/>
      <c r="C787" s="78"/>
      <c r="D787" s="78"/>
      <c r="E787" s="78"/>
      <c r="F787" s="78"/>
      <c r="G787" s="78"/>
      <c r="H787" s="79"/>
      <c r="I787" s="78"/>
      <c r="J787" s="78"/>
      <c r="K787" s="78"/>
      <c r="L787" s="78"/>
      <c r="M787" s="16"/>
      <c r="N787" s="78"/>
      <c r="O787" s="78"/>
      <c r="P787" s="78"/>
      <c r="Q787" s="78"/>
      <c r="R787" s="54"/>
    </row>
    <row r="788" spans="2:18" x14ac:dyDescent="0.2">
      <c r="B788" s="53"/>
      <c r="C788" s="78"/>
      <c r="D788" s="78"/>
      <c r="E788" s="78"/>
      <c r="F788" s="78"/>
      <c r="G788" s="78"/>
      <c r="H788" s="79"/>
      <c r="I788" s="78"/>
      <c r="J788" s="78"/>
      <c r="K788" s="78"/>
      <c r="L788" s="78"/>
      <c r="M788" s="16"/>
      <c r="N788" s="78"/>
      <c r="O788" s="78"/>
      <c r="P788" s="78"/>
      <c r="Q788" s="78"/>
      <c r="R788" s="54"/>
    </row>
    <row r="789" spans="2:18" x14ac:dyDescent="0.2">
      <c r="B789" s="53"/>
      <c r="C789" s="78"/>
      <c r="D789" s="78"/>
      <c r="E789" s="78"/>
      <c r="F789" s="78"/>
      <c r="G789" s="78"/>
      <c r="H789" s="79"/>
      <c r="I789" s="78"/>
      <c r="J789" s="78"/>
      <c r="K789" s="78"/>
      <c r="L789" s="78"/>
      <c r="M789" s="16"/>
      <c r="N789" s="78"/>
      <c r="O789" s="78"/>
      <c r="P789" s="78"/>
      <c r="Q789" s="78"/>
      <c r="R789" s="54"/>
    </row>
    <row r="790" spans="2:18" x14ac:dyDescent="0.2">
      <c r="B790" s="53"/>
      <c r="C790" s="78"/>
      <c r="D790" s="78"/>
      <c r="E790" s="78"/>
      <c r="F790" s="78"/>
      <c r="G790" s="78"/>
      <c r="H790" s="79"/>
      <c r="I790" s="78"/>
      <c r="J790" s="78"/>
      <c r="K790" s="78"/>
      <c r="L790" s="78"/>
      <c r="M790" s="16"/>
      <c r="N790" s="78"/>
      <c r="O790" s="78"/>
      <c r="P790" s="78"/>
      <c r="Q790" s="78"/>
      <c r="R790" s="54"/>
    </row>
    <row r="791" spans="2:18" x14ac:dyDescent="0.2">
      <c r="B791" s="53"/>
      <c r="C791" s="78"/>
      <c r="D791" s="78"/>
      <c r="E791" s="78"/>
      <c r="F791" s="78"/>
      <c r="G791" s="78"/>
      <c r="H791" s="79"/>
      <c r="I791" s="78"/>
      <c r="J791" s="78"/>
      <c r="K791" s="78"/>
      <c r="L791" s="78"/>
      <c r="M791" s="16"/>
      <c r="N791" s="78"/>
      <c r="O791" s="78"/>
      <c r="P791" s="78"/>
      <c r="Q791" s="78"/>
      <c r="R791" s="54"/>
    </row>
    <row r="792" spans="2:18" x14ac:dyDescent="0.2">
      <c r="B792" s="53"/>
      <c r="C792" s="78"/>
      <c r="D792" s="78"/>
      <c r="E792" s="78"/>
      <c r="F792" s="78"/>
      <c r="G792" s="78"/>
      <c r="H792" s="79"/>
      <c r="I792" s="78"/>
      <c r="J792" s="78"/>
      <c r="K792" s="78"/>
      <c r="L792" s="78"/>
      <c r="M792" s="16"/>
      <c r="N792" s="78"/>
      <c r="O792" s="78"/>
      <c r="P792" s="78"/>
      <c r="Q792" s="78"/>
      <c r="R792" s="54"/>
    </row>
    <row r="793" spans="2:18" x14ac:dyDescent="0.2">
      <c r="B793" s="53"/>
      <c r="C793" s="78"/>
      <c r="D793" s="78"/>
      <c r="E793" s="78"/>
      <c r="F793" s="78"/>
      <c r="G793" s="78"/>
      <c r="H793" s="79"/>
      <c r="I793" s="78"/>
      <c r="J793" s="78"/>
      <c r="K793" s="78"/>
      <c r="L793" s="78"/>
      <c r="M793" s="16"/>
      <c r="N793" s="78"/>
      <c r="O793" s="78"/>
      <c r="P793" s="78"/>
      <c r="Q793" s="78"/>
      <c r="R793" s="54"/>
    </row>
    <row r="794" spans="2:18" x14ac:dyDescent="0.2">
      <c r="B794" s="53"/>
      <c r="C794" s="78"/>
      <c r="D794" s="78"/>
      <c r="E794" s="78"/>
      <c r="F794" s="78"/>
      <c r="G794" s="78"/>
      <c r="H794" s="79"/>
      <c r="I794" s="78"/>
      <c r="J794" s="78"/>
      <c r="K794" s="78"/>
      <c r="L794" s="78"/>
      <c r="M794" s="16"/>
      <c r="N794" s="78"/>
      <c r="O794" s="78"/>
      <c r="P794" s="78"/>
      <c r="Q794" s="78"/>
      <c r="R794" s="54"/>
    </row>
    <row r="795" spans="2:18" x14ac:dyDescent="0.2">
      <c r="B795" s="53"/>
      <c r="C795" s="78"/>
      <c r="D795" s="78"/>
      <c r="E795" s="78"/>
      <c r="F795" s="78"/>
      <c r="G795" s="78"/>
      <c r="H795" s="79"/>
      <c r="I795" s="78"/>
      <c r="J795" s="78"/>
      <c r="K795" s="78"/>
      <c r="L795" s="78"/>
      <c r="M795" s="16"/>
      <c r="N795" s="78"/>
      <c r="O795" s="78"/>
      <c r="P795" s="78"/>
      <c r="Q795" s="78"/>
      <c r="R795" s="54"/>
    </row>
    <row r="796" spans="2:18" x14ac:dyDescent="0.2">
      <c r="B796" s="53"/>
      <c r="C796" s="78"/>
      <c r="D796" s="78"/>
      <c r="E796" s="78"/>
      <c r="F796" s="78"/>
      <c r="G796" s="78"/>
      <c r="H796" s="79"/>
      <c r="I796" s="78"/>
      <c r="J796" s="78"/>
      <c r="K796" s="78"/>
      <c r="L796" s="78"/>
      <c r="M796" s="16"/>
      <c r="N796" s="78"/>
      <c r="O796" s="78"/>
      <c r="P796" s="78"/>
      <c r="Q796" s="78"/>
      <c r="R796" s="54"/>
    </row>
    <row r="797" spans="2:18" x14ac:dyDescent="0.2">
      <c r="B797" s="53"/>
      <c r="C797" s="78"/>
      <c r="D797" s="78"/>
      <c r="E797" s="78"/>
      <c r="F797" s="78"/>
      <c r="G797" s="78"/>
      <c r="H797" s="79"/>
      <c r="I797" s="78"/>
      <c r="J797" s="78"/>
      <c r="K797" s="78"/>
      <c r="L797" s="78"/>
      <c r="M797" s="16"/>
      <c r="N797" s="78"/>
      <c r="O797" s="78"/>
      <c r="P797" s="78"/>
      <c r="Q797" s="78"/>
      <c r="R797" s="54"/>
    </row>
    <row r="798" spans="2:18" x14ac:dyDescent="0.2">
      <c r="B798" s="53"/>
      <c r="C798" s="78"/>
      <c r="D798" s="78"/>
      <c r="E798" s="78"/>
      <c r="F798" s="78"/>
      <c r="G798" s="78"/>
      <c r="H798" s="79"/>
      <c r="I798" s="78"/>
      <c r="J798" s="78"/>
      <c r="K798" s="78"/>
      <c r="L798" s="78"/>
      <c r="M798" s="16"/>
      <c r="N798" s="78"/>
      <c r="O798" s="78"/>
      <c r="P798" s="78"/>
      <c r="Q798" s="78"/>
      <c r="R798" s="54"/>
    </row>
    <row r="799" spans="2:18" x14ac:dyDescent="0.2">
      <c r="B799" s="53"/>
      <c r="C799" s="78"/>
      <c r="D799" s="78"/>
      <c r="E799" s="78"/>
      <c r="F799" s="78"/>
      <c r="G799" s="78"/>
      <c r="H799" s="79"/>
      <c r="I799" s="78"/>
      <c r="J799" s="78"/>
      <c r="K799" s="78"/>
      <c r="L799" s="78"/>
      <c r="M799" s="16"/>
      <c r="N799" s="78"/>
      <c r="O799" s="78"/>
      <c r="P799" s="78"/>
      <c r="Q799" s="78"/>
      <c r="R799" s="54"/>
    </row>
    <row r="800" spans="2:18" x14ac:dyDescent="0.2">
      <c r="B800" s="53"/>
      <c r="C800" s="78"/>
      <c r="D800" s="78"/>
      <c r="E800" s="78"/>
      <c r="F800" s="78"/>
      <c r="G800" s="78"/>
      <c r="H800" s="79"/>
      <c r="I800" s="78"/>
      <c r="J800" s="78"/>
      <c r="K800" s="78"/>
      <c r="L800" s="78"/>
      <c r="M800" s="16"/>
      <c r="N800" s="78"/>
      <c r="O800" s="78"/>
      <c r="P800" s="78"/>
      <c r="Q800" s="78"/>
      <c r="R800" s="54"/>
    </row>
    <row r="801" spans="2:18" x14ac:dyDescent="0.2">
      <c r="B801" s="53"/>
      <c r="C801" s="78"/>
      <c r="D801" s="78"/>
      <c r="E801" s="78"/>
      <c r="F801" s="78"/>
      <c r="G801" s="78"/>
      <c r="H801" s="79"/>
      <c r="I801" s="78"/>
      <c r="J801" s="78"/>
      <c r="K801" s="78"/>
      <c r="L801" s="78"/>
      <c r="M801" s="16"/>
      <c r="N801" s="78"/>
      <c r="O801" s="78"/>
      <c r="P801" s="78"/>
      <c r="Q801" s="78"/>
      <c r="R801" s="54"/>
    </row>
    <row r="802" spans="2:18" x14ac:dyDescent="0.2">
      <c r="B802" s="53"/>
      <c r="C802" s="78"/>
      <c r="D802" s="78"/>
      <c r="E802" s="78"/>
      <c r="F802" s="78"/>
      <c r="G802" s="78"/>
      <c r="H802" s="79"/>
      <c r="I802" s="78"/>
      <c r="J802" s="78"/>
      <c r="K802" s="78"/>
      <c r="L802" s="78"/>
      <c r="M802" s="16"/>
      <c r="N802" s="78"/>
      <c r="O802" s="78"/>
      <c r="P802" s="78"/>
      <c r="Q802" s="78"/>
      <c r="R802" s="54"/>
    </row>
    <row r="803" spans="2:18" x14ac:dyDescent="0.2">
      <c r="B803" s="53"/>
      <c r="C803" s="78"/>
      <c r="D803" s="78"/>
      <c r="E803" s="78"/>
      <c r="F803" s="78"/>
      <c r="G803" s="78"/>
      <c r="H803" s="79"/>
      <c r="I803" s="78"/>
      <c r="J803" s="78"/>
      <c r="K803" s="78"/>
      <c r="L803" s="78"/>
      <c r="M803" s="16"/>
      <c r="N803" s="78"/>
      <c r="O803" s="78"/>
      <c r="P803" s="78"/>
      <c r="Q803" s="78"/>
      <c r="R803" s="54"/>
    </row>
    <row r="804" spans="2:18" x14ac:dyDescent="0.2">
      <c r="B804" s="53"/>
      <c r="C804" s="78"/>
      <c r="D804" s="78"/>
      <c r="E804" s="78"/>
      <c r="F804" s="78"/>
      <c r="G804" s="78"/>
      <c r="H804" s="79"/>
      <c r="I804" s="78"/>
      <c r="J804" s="78"/>
      <c r="K804" s="78"/>
      <c r="L804" s="78"/>
      <c r="M804" s="16"/>
      <c r="N804" s="78"/>
      <c r="O804" s="78"/>
      <c r="P804" s="78"/>
      <c r="Q804" s="78"/>
      <c r="R804" s="54"/>
    </row>
    <row r="805" spans="2:18" x14ac:dyDescent="0.2">
      <c r="B805" s="53"/>
      <c r="C805" s="78"/>
      <c r="D805" s="78"/>
      <c r="E805" s="78"/>
      <c r="F805" s="78"/>
      <c r="G805" s="78"/>
      <c r="H805" s="79"/>
      <c r="I805" s="78"/>
      <c r="J805" s="78"/>
      <c r="K805" s="78"/>
      <c r="L805" s="78"/>
      <c r="M805" s="16"/>
      <c r="N805" s="78"/>
      <c r="O805" s="78"/>
      <c r="P805" s="78"/>
      <c r="Q805" s="78"/>
      <c r="R805" s="54"/>
    </row>
    <row r="806" spans="2:18" x14ac:dyDescent="0.2">
      <c r="B806" s="53"/>
      <c r="C806" s="78"/>
      <c r="D806" s="78"/>
      <c r="E806" s="78"/>
      <c r="F806" s="78"/>
      <c r="G806" s="78"/>
      <c r="H806" s="79"/>
      <c r="I806" s="78"/>
      <c r="J806" s="78"/>
      <c r="K806" s="78"/>
      <c r="L806" s="78"/>
      <c r="M806" s="16"/>
      <c r="N806" s="78"/>
      <c r="O806" s="78"/>
      <c r="P806" s="78"/>
      <c r="Q806" s="78"/>
      <c r="R806" s="54"/>
    </row>
    <row r="807" spans="2:18" x14ac:dyDescent="0.2">
      <c r="B807" s="53"/>
      <c r="C807" s="78"/>
      <c r="D807" s="78"/>
      <c r="E807" s="78"/>
      <c r="F807" s="78"/>
      <c r="G807" s="78"/>
      <c r="H807" s="79"/>
      <c r="I807" s="78"/>
      <c r="J807" s="78"/>
      <c r="K807" s="78"/>
      <c r="L807" s="78"/>
      <c r="M807" s="16"/>
      <c r="N807" s="78"/>
      <c r="O807" s="78"/>
      <c r="P807" s="78"/>
      <c r="Q807" s="78"/>
      <c r="R807" s="54"/>
    </row>
    <row r="808" spans="2:18" x14ac:dyDescent="0.2">
      <c r="B808" s="53"/>
      <c r="C808" s="78"/>
      <c r="D808" s="78"/>
      <c r="E808" s="78"/>
      <c r="F808" s="78"/>
      <c r="G808" s="78"/>
      <c r="H808" s="79"/>
      <c r="I808" s="78"/>
      <c r="J808" s="78"/>
      <c r="K808" s="78"/>
      <c r="L808" s="78"/>
      <c r="M808" s="16"/>
      <c r="N808" s="78"/>
      <c r="O808" s="78"/>
      <c r="P808" s="78"/>
      <c r="Q808" s="78"/>
      <c r="R808" s="54"/>
    </row>
    <row r="809" spans="2:18" x14ac:dyDescent="0.2">
      <c r="B809" s="53"/>
      <c r="C809" s="78"/>
      <c r="D809" s="78"/>
      <c r="E809" s="78"/>
      <c r="F809" s="78"/>
      <c r="G809" s="78"/>
      <c r="H809" s="79"/>
      <c r="I809" s="78"/>
      <c r="J809" s="78"/>
      <c r="K809" s="78"/>
      <c r="L809" s="78"/>
      <c r="M809" s="16"/>
      <c r="N809" s="78"/>
      <c r="O809" s="78"/>
      <c r="P809" s="78"/>
      <c r="Q809" s="78"/>
      <c r="R809" s="54"/>
    </row>
    <row r="810" spans="2:18" x14ac:dyDescent="0.2">
      <c r="B810" s="53"/>
      <c r="C810" s="78"/>
      <c r="D810" s="78"/>
      <c r="E810" s="78"/>
      <c r="F810" s="78"/>
      <c r="G810" s="78"/>
      <c r="H810" s="79"/>
      <c r="I810" s="78"/>
      <c r="J810" s="78"/>
      <c r="K810" s="78"/>
      <c r="L810" s="78"/>
      <c r="M810" s="16"/>
      <c r="N810" s="78"/>
      <c r="O810" s="78"/>
      <c r="P810" s="78"/>
      <c r="Q810" s="78"/>
      <c r="R810" s="54"/>
    </row>
    <row r="811" spans="2:18" x14ac:dyDescent="0.2">
      <c r="B811" s="53"/>
      <c r="C811" s="78"/>
      <c r="D811" s="78"/>
      <c r="E811" s="78"/>
      <c r="F811" s="78"/>
      <c r="G811" s="78"/>
      <c r="H811" s="79"/>
      <c r="I811" s="78"/>
      <c r="J811" s="78"/>
      <c r="K811" s="78"/>
      <c r="L811" s="78"/>
      <c r="M811" s="16"/>
      <c r="N811" s="78"/>
      <c r="O811" s="78"/>
      <c r="P811" s="78"/>
      <c r="Q811" s="78"/>
      <c r="R811" s="54"/>
    </row>
    <row r="812" spans="2:18" x14ac:dyDescent="0.2">
      <c r="B812" s="53"/>
      <c r="C812" s="78"/>
      <c r="D812" s="78"/>
      <c r="E812" s="78"/>
      <c r="F812" s="78"/>
      <c r="G812" s="78"/>
      <c r="H812" s="79"/>
      <c r="I812" s="78"/>
      <c r="J812" s="78"/>
      <c r="K812" s="78"/>
      <c r="L812" s="78"/>
      <c r="M812" s="16"/>
      <c r="N812" s="78"/>
      <c r="O812" s="78"/>
      <c r="P812" s="78"/>
      <c r="Q812" s="78"/>
      <c r="R812" s="54"/>
    </row>
    <row r="813" spans="2:18" x14ac:dyDescent="0.2">
      <c r="B813" s="53"/>
      <c r="C813" s="78"/>
      <c r="D813" s="78"/>
      <c r="E813" s="78"/>
      <c r="F813" s="78"/>
      <c r="G813" s="78"/>
      <c r="H813" s="79"/>
      <c r="I813" s="78"/>
      <c r="J813" s="78"/>
      <c r="K813" s="78"/>
      <c r="L813" s="78"/>
      <c r="M813" s="16"/>
      <c r="N813" s="78"/>
      <c r="O813" s="78"/>
      <c r="P813" s="78"/>
      <c r="Q813" s="78"/>
      <c r="R813" s="54"/>
    </row>
    <row r="814" spans="2:18" x14ac:dyDescent="0.2">
      <c r="B814" s="53"/>
      <c r="C814" s="78"/>
      <c r="D814" s="78"/>
      <c r="E814" s="78"/>
      <c r="F814" s="78"/>
      <c r="G814" s="78"/>
      <c r="H814" s="79"/>
      <c r="I814" s="78"/>
      <c r="J814" s="78"/>
      <c r="K814" s="78"/>
      <c r="L814" s="78"/>
      <c r="M814" s="16"/>
      <c r="N814" s="78"/>
      <c r="O814" s="78"/>
      <c r="P814" s="78"/>
      <c r="Q814" s="78"/>
      <c r="R814" s="54"/>
    </row>
    <row r="815" spans="2:18" x14ac:dyDescent="0.2">
      <c r="B815" s="53"/>
      <c r="C815" s="78"/>
      <c r="D815" s="78"/>
      <c r="E815" s="78"/>
      <c r="F815" s="78"/>
      <c r="G815" s="78"/>
      <c r="H815" s="79"/>
      <c r="I815" s="78"/>
      <c r="J815" s="78"/>
      <c r="K815" s="78"/>
      <c r="L815" s="78"/>
      <c r="M815" s="16"/>
      <c r="N815" s="78"/>
      <c r="O815" s="78"/>
      <c r="P815" s="78"/>
      <c r="Q815" s="78"/>
      <c r="R815" s="54"/>
    </row>
    <row r="816" spans="2:18" x14ac:dyDescent="0.2">
      <c r="B816" s="53"/>
      <c r="C816" s="78"/>
      <c r="D816" s="78"/>
      <c r="E816" s="78"/>
      <c r="F816" s="78"/>
      <c r="G816" s="78"/>
      <c r="H816" s="79"/>
      <c r="I816" s="78"/>
      <c r="J816" s="78"/>
      <c r="K816" s="78"/>
      <c r="L816" s="78"/>
      <c r="M816" s="16"/>
      <c r="N816" s="78"/>
      <c r="O816" s="78"/>
      <c r="P816" s="78"/>
      <c r="Q816" s="78"/>
      <c r="R816" s="54"/>
    </row>
    <row r="817" spans="2:18" x14ac:dyDescent="0.2">
      <c r="B817" s="53"/>
      <c r="C817" s="78"/>
      <c r="D817" s="78"/>
      <c r="E817" s="78"/>
      <c r="F817" s="78"/>
      <c r="G817" s="78"/>
      <c r="H817" s="79"/>
      <c r="I817" s="78"/>
      <c r="J817" s="78"/>
      <c r="K817" s="78"/>
      <c r="L817" s="78"/>
      <c r="M817" s="16"/>
      <c r="N817" s="78"/>
      <c r="O817" s="78"/>
      <c r="P817" s="78"/>
      <c r="Q817" s="78"/>
      <c r="R817" s="54"/>
    </row>
    <row r="818" spans="2:18" x14ac:dyDescent="0.2">
      <c r="B818" s="53"/>
      <c r="C818" s="78"/>
      <c r="D818" s="78"/>
      <c r="E818" s="78"/>
      <c r="F818" s="78"/>
      <c r="G818" s="78"/>
      <c r="H818" s="79"/>
      <c r="I818" s="78"/>
      <c r="J818" s="78"/>
      <c r="K818" s="78"/>
      <c r="L818" s="78"/>
      <c r="M818" s="16"/>
      <c r="N818" s="78"/>
      <c r="O818" s="78"/>
      <c r="P818" s="78"/>
      <c r="Q818" s="78"/>
      <c r="R818" s="54"/>
    </row>
    <row r="819" spans="2:18" x14ac:dyDescent="0.2">
      <c r="B819" s="53"/>
      <c r="C819" s="78"/>
      <c r="D819" s="78"/>
      <c r="E819" s="78"/>
      <c r="F819" s="78"/>
      <c r="G819" s="78"/>
      <c r="H819" s="79"/>
      <c r="I819" s="78"/>
      <c r="J819" s="78"/>
      <c r="K819" s="78"/>
      <c r="L819" s="78"/>
      <c r="M819" s="16"/>
      <c r="N819" s="78"/>
      <c r="O819" s="78"/>
      <c r="P819" s="78"/>
      <c r="Q819" s="78"/>
      <c r="R819" s="54"/>
    </row>
    <row r="820" spans="2:18" x14ac:dyDescent="0.2">
      <c r="B820" s="53"/>
      <c r="C820" s="78"/>
      <c r="D820" s="78"/>
      <c r="E820" s="78"/>
      <c r="F820" s="78"/>
      <c r="G820" s="78"/>
      <c r="H820" s="79"/>
      <c r="I820" s="78"/>
      <c r="J820" s="78"/>
      <c r="K820" s="78"/>
      <c r="L820" s="78"/>
      <c r="M820" s="16"/>
      <c r="N820" s="78"/>
      <c r="O820" s="78"/>
      <c r="P820" s="78"/>
      <c r="Q820" s="78"/>
      <c r="R820" s="54"/>
    </row>
    <row r="821" spans="2:18" x14ac:dyDescent="0.2">
      <c r="B821" s="53"/>
      <c r="C821" s="78"/>
      <c r="D821" s="78"/>
      <c r="E821" s="78"/>
      <c r="F821" s="78"/>
      <c r="G821" s="78"/>
      <c r="H821" s="79"/>
      <c r="I821" s="78"/>
      <c r="J821" s="78"/>
      <c r="K821" s="78"/>
      <c r="L821" s="78"/>
      <c r="M821" s="16"/>
      <c r="N821" s="78"/>
      <c r="O821" s="78"/>
      <c r="P821" s="78"/>
      <c r="Q821" s="78"/>
      <c r="R821" s="54"/>
    </row>
    <row r="822" spans="2:18" x14ac:dyDescent="0.2">
      <c r="B822" s="53"/>
      <c r="C822" s="78"/>
      <c r="D822" s="78"/>
      <c r="E822" s="78"/>
      <c r="F822" s="78"/>
      <c r="G822" s="78"/>
      <c r="H822" s="79"/>
      <c r="I822" s="78"/>
      <c r="J822" s="78"/>
      <c r="K822" s="78"/>
      <c r="L822" s="78"/>
      <c r="M822" s="16"/>
      <c r="N822" s="78"/>
      <c r="O822" s="78"/>
      <c r="P822" s="78"/>
      <c r="Q822" s="78"/>
      <c r="R822" s="54"/>
    </row>
    <row r="823" spans="2:18" x14ac:dyDescent="0.2">
      <c r="B823" s="53"/>
      <c r="C823" s="78"/>
      <c r="D823" s="78"/>
      <c r="E823" s="78"/>
      <c r="F823" s="78"/>
      <c r="G823" s="78"/>
      <c r="H823" s="79"/>
      <c r="I823" s="78"/>
      <c r="J823" s="78"/>
      <c r="K823" s="78"/>
      <c r="L823" s="78"/>
      <c r="M823" s="16"/>
      <c r="N823" s="78"/>
      <c r="O823" s="78"/>
      <c r="P823" s="78"/>
      <c r="Q823" s="78"/>
      <c r="R823" s="54"/>
    </row>
    <row r="824" spans="2:18" x14ac:dyDescent="0.2">
      <c r="B824" s="53"/>
      <c r="C824" s="78"/>
      <c r="D824" s="78"/>
      <c r="E824" s="78"/>
      <c r="F824" s="78"/>
      <c r="G824" s="78"/>
      <c r="H824" s="79"/>
      <c r="I824" s="78"/>
      <c r="J824" s="78"/>
      <c r="K824" s="78"/>
      <c r="L824" s="78"/>
      <c r="M824" s="16"/>
      <c r="N824" s="78"/>
      <c r="O824" s="78"/>
      <c r="P824" s="78"/>
      <c r="Q824" s="78"/>
      <c r="R824" s="54"/>
    </row>
    <row r="825" spans="2:18" x14ac:dyDescent="0.2">
      <c r="B825" s="53"/>
      <c r="C825" s="78"/>
      <c r="D825" s="78"/>
      <c r="E825" s="78"/>
      <c r="F825" s="78"/>
      <c r="G825" s="78"/>
      <c r="H825" s="79"/>
      <c r="I825" s="78"/>
      <c r="J825" s="78"/>
      <c r="K825" s="78"/>
      <c r="L825" s="78"/>
      <c r="M825" s="16"/>
      <c r="N825" s="78"/>
      <c r="O825" s="78"/>
      <c r="P825" s="78"/>
      <c r="Q825" s="78"/>
      <c r="R825" s="54"/>
    </row>
    <row r="826" spans="2:18" x14ac:dyDescent="0.2">
      <c r="B826" s="53"/>
      <c r="C826" s="78"/>
      <c r="D826" s="78"/>
      <c r="E826" s="78"/>
      <c r="F826" s="78"/>
      <c r="G826" s="78"/>
      <c r="H826" s="79"/>
      <c r="I826" s="78"/>
      <c r="J826" s="78"/>
      <c r="K826" s="78"/>
      <c r="L826" s="78"/>
      <c r="M826" s="16"/>
      <c r="N826" s="78"/>
      <c r="O826" s="78"/>
      <c r="P826" s="78"/>
      <c r="Q826" s="78"/>
      <c r="R826" s="54"/>
    </row>
    <row r="827" spans="2:18" x14ac:dyDescent="0.2">
      <c r="B827" s="53"/>
      <c r="C827" s="78"/>
      <c r="D827" s="78"/>
      <c r="E827" s="78"/>
      <c r="F827" s="78"/>
      <c r="G827" s="78"/>
      <c r="H827" s="79"/>
      <c r="I827" s="78"/>
      <c r="J827" s="78"/>
      <c r="K827" s="78"/>
      <c r="L827" s="78"/>
      <c r="M827" s="16"/>
      <c r="N827" s="78"/>
      <c r="O827" s="78"/>
      <c r="P827" s="78"/>
      <c r="Q827" s="78"/>
      <c r="R827" s="54"/>
    </row>
    <row r="828" spans="2:18" x14ac:dyDescent="0.2">
      <c r="B828" s="53"/>
      <c r="C828" s="78"/>
      <c r="D828" s="78"/>
      <c r="E828" s="78"/>
      <c r="F828" s="78"/>
      <c r="G828" s="78"/>
      <c r="H828" s="79"/>
      <c r="I828" s="78"/>
      <c r="J828" s="78"/>
      <c r="K828" s="78"/>
      <c r="L828" s="78"/>
      <c r="M828" s="16"/>
      <c r="N828" s="78"/>
      <c r="O828" s="78"/>
      <c r="P828" s="78"/>
      <c r="Q828" s="78"/>
      <c r="R828" s="54"/>
    </row>
    <row r="829" spans="2:18" x14ac:dyDescent="0.2">
      <c r="B829" s="53"/>
      <c r="C829" s="78"/>
      <c r="D829" s="78"/>
      <c r="E829" s="78"/>
      <c r="F829" s="78"/>
      <c r="G829" s="78"/>
      <c r="H829" s="79"/>
      <c r="I829" s="78"/>
      <c r="J829" s="78"/>
      <c r="K829" s="78"/>
      <c r="L829" s="78"/>
      <c r="M829" s="16"/>
      <c r="N829" s="78"/>
      <c r="O829" s="78"/>
      <c r="P829" s="78"/>
      <c r="Q829" s="78"/>
      <c r="R829" s="54"/>
    </row>
    <row r="830" spans="2:18" x14ac:dyDescent="0.2">
      <c r="B830" s="53"/>
      <c r="C830" s="78"/>
      <c r="D830" s="78"/>
      <c r="E830" s="78"/>
      <c r="F830" s="78"/>
      <c r="G830" s="78"/>
      <c r="H830" s="79"/>
      <c r="I830" s="78"/>
      <c r="J830" s="78"/>
      <c r="K830" s="78"/>
      <c r="L830" s="78"/>
      <c r="M830" s="16"/>
      <c r="N830" s="78"/>
      <c r="O830" s="78"/>
      <c r="P830" s="78"/>
      <c r="Q830" s="78"/>
      <c r="R830" s="54"/>
    </row>
    <row r="831" spans="2:18" x14ac:dyDescent="0.2">
      <c r="B831" s="53"/>
      <c r="C831" s="78"/>
      <c r="D831" s="78"/>
      <c r="E831" s="78"/>
      <c r="F831" s="78"/>
      <c r="G831" s="78"/>
      <c r="H831" s="79"/>
      <c r="I831" s="78"/>
      <c r="J831" s="78"/>
      <c r="K831" s="78"/>
      <c r="L831" s="78"/>
      <c r="M831" s="16"/>
      <c r="N831" s="78"/>
      <c r="O831" s="78"/>
      <c r="P831" s="78"/>
      <c r="Q831" s="78"/>
      <c r="R831" s="54"/>
    </row>
    <row r="832" spans="2:18" x14ac:dyDescent="0.2">
      <c r="B832" s="53"/>
      <c r="C832" s="78"/>
      <c r="D832" s="78"/>
      <c r="E832" s="78"/>
      <c r="F832" s="78"/>
      <c r="G832" s="78"/>
      <c r="H832" s="79"/>
      <c r="I832" s="78"/>
      <c r="J832" s="78"/>
      <c r="K832" s="78"/>
      <c r="L832" s="78"/>
      <c r="M832" s="16"/>
      <c r="N832" s="78"/>
      <c r="O832" s="78"/>
      <c r="P832" s="78"/>
      <c r="Q832" s="78"/>
      <c r="R832" s="54"/>
    </row>
    <row r="833" spans="2:18" x14ac:dyDescent="0.2">
      <c r="B833" s="53"/>
      <c r="C833" s="78"/>
      <c r="D833" s="78"/>
      <c r="E833" s="78"/>
      <c r="F833" s="78"/>
      <c r="G833" s="78"/>
      <c r="H833" s="79"/>
      <c r="I833" s="78"/>
      <c r="J833" s="78"/>
      <c r="K833" s="78"/>
      <c r="L833" s="78"/>
      <c r="M833" s="16"/>
      <c r="N833" s="78"/>
      <c r="O833" s="78"/>
      <c r="P833" s="78"/>
      <c r="Q833" s="78"/>
      <c r="R833" s="54"/>
    </row>
    <row r="834" spans="2:18" x14ac:dyDescent="0.2">
      <c r="B834" s="53"/>
      <c r="C834" s="78"/>
      <c r="D834" s="78"/>
      <c r="E834" s="78"/>
      <c r="F834" s="78"/>
      <c r="G834" s="78"/>
      <c r="H834" s="79"/>
      <c r="I834" s="78"/>
      <c r="J834" s="78"/>
      <c r="K834" s="78"/>
      <c r="L834" s="78"/>
      <c r="M834" s="16"/>
      <c r="N834" s="78"/>
      <c r="O834" s="78"/>
      <c r="P834" s="78"/>
      <c r="Q834" s="78"/>
      <c r="R834" s="54"/>
    </row>
    <row r="835" spans="2:18" x14ac:dyDescent="0.2">
      <c r="B835" s="53"/>
      <c r="C835" s="78"/>
      <c r="D835" s="78"/>
      <c r="E835" s="78"/>
      <c r="F835" s="78"/>
      <c r="G835" s="78"/>
      <c r="H835" s="79"/>
      <c r="I835" s="78"/>
      <c r="J835" s="78"/>
      <c r="K835" s="78"/>
      <c r="L835" s="78"/>
      <c r="M835" s="16"/>
      <c r="N835" s="78"/>
      <c r="O835" s="78"/>
      <c r="P835" s="78"/>
      <c r="Q835" s="78"/>
      <c r="R835" s="54"/>
    </row>
    <row r="836" spans="2:18" x14ac:dyDescent="0.2">
      <c r="B836" s="53"/>
      <c r="C836" s="78"/>
      <c r="D836" s="78"/>
      <c r="E836" s="78"/>
      <c r="F836" s="78"/>
      <c r="G836" s="78"/>
      <c r="H836" s="79"/>
      <c r="I836" s="78"/>
      <c r="J836" s="78"/>
      <c r="K836" s="78"/>
      <c r="L836" s="78"/>
      <c r="M836" s="16"/>
      <c r="N836" s="78"/>
      <c r="O836" s="78"/>
      <c r="P836" s="78"/>
      <c r="Q836" s="78"/>
      <c r="R836" s="54"/>
    </row>
    <row r="837" spans="2:18" x14ac:dyDescent="0.2">
      <c r="B837" s="53"/>
      <c r="C837" s="78"/>
      <c r="D837" s="78"/>
      <c r="E837" s="78"/>
      <c r="F837" s="78"/>
      <c r="G837" s="78"/>
      <c r="H837" s="79"/>
      <c r="I837" s="78"/>
      <c r="J837" s="78"/>
      <c r="K837" s="78"/>
      <c r="L837" s="78"/>
      <c r="M837" s="16"/>
      <c r="N837" s="78"/>
      <c r="O837" s="78"/>
      <c r="P837" s="78"/>
      <c r="Q837" s="78"/>
      <c r="R837" s="54"/>
    </row>
    <row r="838" spans="2:18" x14ac:dyDescent="0.2">
      <c r="B838" s="53"/>
      <c r="C838" s="78"/>
      <c r="D838" s="78"/>
      <c r="E838" s="78"/>
      <c r="F838" s="78"/>
      <c r="G838" s="78"/>
      <c r="H838" s="79"/>
      <c r="I838" s="78"/>
      <c r="J838" s="78"/>
      <c r="K838" s="78"/>
      <c r="L838" s="78"/>
      <c r="M838" s="16"/>
      <c r="N838" s="78"/>
      <c r="O838" s="78"/>
      <c r="P838" s="78"/>
      <c r="Q838" s="78"/>
      <c r="R838" s="54"/>
    </row>
    <row r="839" spans="2:18" x14ac:dyDescent="0.2">
      <c r="B839" s="53"/>
      <c r="C839" s="78"/>
      <c r="D839" s="78"/>
      <c r="E839" s="78"/>
      <c r="F839" s="78"/>
      <c r="G839" s="78"/>
      <c r="H839" s="79"/>
      <c r="I839" s="78"/>
      <c r="J839" s="78"/>
      <c r="K839" s="78"/>
      <c r="L839" s="78"/>
      <c r="M839" s="16"/>
      <c r="N839" s="78"/>
      <c r="O839" s="78"/>
      <c r="P839" s="78"/>
      <c r="Q839" s="78"/>
      <c r="R839" s="54"/>
    </row>
    <row r="840" spans="2:18" x14ac:dyDescent="0.2">
      <c r="B840" s="53"/>
      <c r="C840" s="78"/>
      <c r="D840" s="78"/>
      <c r="E840" s="78"/>
      <c r="F840" s="78"/>
      <c r="G840" s="78"/>
      <c r="H840" s="79"/>
      <c r="I840" s="78"/>
      <c r="J840" s="78"/>
      <c r="K840" s="78"/>
      <c r="L840" s="78"/>
      <c r="M840" s="16"/>
      <c r="N840" s="78"/>
      <c r="O840" s="78"/>
      <c r="P840" s="78"/>
      <c r="Q840" s="78"/>
      <c r="R840" s="54"/>
    </row>
    <row r="841" spans="2:18" x14ac:dyDescent="0.2">
      <c r="B841" s="53"/>
      <c r="C841" s="78"/>
      <c r="D841" s="78"/>
      <c r="E841" s="78"/>
      <c r="F841" s="78"/>
      <c r="G841" s="78"/>
      <c r="H841" s="79"/>
      <c r="I841" s="78"/>
      <c r="J841" s="78"/>
      <c r="K841" s="78"/>
      <c r="L841" s="78"/>
      <c r="M841" s="16"/>
      <c r="N841" s="78"/>
      <c r="O841" s="78"/>
      <c r="P841" s="78"/>
      <c r="Q841" s="78"/>
      <c r="R841" s="54"/>
    </row>
    <row r="842" spans="2:18" x14ac:dyDescent="0.2">
      <c r="B842" s="53"/>
      <c r="C842" s="78"/>
      <c r="D842" s="78"/>
      <c r="E842" s="78"/>
      <c r="F842" s="78"/>
      <c r="G842" s="78"/>
      <c r="H842" s="79"/>
      <c r="I842" s="78"/>
      <c r="J842" s="78"/>
      <c r="K842" s="78"/>
      <c r="L842" s="78"/>
      <c r="M842" s="16"/>
      <c r="N842" s="78"/>
      <c r="O842" s="78"/>
      <c r="P842" s="78"/>
      <c r="Q842" s="78"/>
      <c r="R842" s="54"/>
    </row>
    <row r="843" spans="2:18" x14ac:dyDescent="0.2">
      <c r="B843" s="53"/>
      <c r="C843" s="78"/>
      <c r="D843" s="78"/>
      <c r="E843" s="78"/>
      <c r="F843" s="78"/>
      <c r="G843" s="78"/>
      <c r="H843" s="79"/>
      <c r="I843" s="78"/>
      <c r="J843" s="78"/>
      <c r="K843" s="78"/>
      <c r="L843" s="78"/>
      <c r="M843" s="16"/>
      <c r="N843" s="78"/>
      <c r="O843" s="78"/>
      <c r="P843" s="78"/>
      <c r="Q843" s="78"/>
      <c r="R843" s="54"/>
    </row>
    <row r="844" spans="2:18" x14ac:dyDescent="0.2">
      <c r="B844" s="53"/>
      <c r="C844" s="78"/>
      <c r="D844" s="78"/>
      <c r="E844" s="78"/>
      <c r="F844" s="78"/>
      <c r="G844" s="78"/>
      <c r="H844" s="79"/>
      <c r="I844" s="78"/>
      <c r="J844" s="78"/>
      <c r="K844" s="78"/>
      <c r="L844" s="78"/>
      <c r="M844" s="16"/>
      <c r="N844" s="78"/>
      <c r="O844" s="78"/>
      <c r="P844" s="78"/>
      <c r="Q844" s="78"/>
      <c r="R844" s="54"/>
    </row>
    <row r="845" spans="2:18" x14ac:dyDescent="0.2">
      <c r="B845" s="53"/>
      <c r="C845" s="78"/>
      <c r="D845" s="78"/>
      <c r="E845" s="78"/>
      <c r="F845" s="78"/>
      <c r="G845" s="78"/>
      <c r="H845" s="79"/>
      <c r="I845" s="78"/>
      <c r="J845" s="78"/>
      <c r="K845" s="78"/>
      <c r="L845" s="78"/>
      <c r="M845" s="16"/>
      <c r="N845" s="78"/>
      <c r="O845" s="78"/>
      <c r="P845" s="78"/>
      <c r="Q845" s="78"/>
      <c r="R845" s="54"/>
    </row>
    <row r="846" spans="2:18" x14ac:dyDescent="0.2">
      <c r="B846" s="53"/>
      <c r="C846" s="78"/>
      <c r="D846" s="78"/>
      <c r="E846" s="78"/>
      <c r="F846" s="78"/>
      <c r="G846" s="78"/>
      <c r="H846" s="79"/>
      <c r="I846" s="78"/>
      <c r="J846" s="78"/>
      <c r="K846" s="78"/>
      <c r="L846" s="78"/>
      <c r="M846" s="16"/>
      <c r="N846" s="78"/>
      <c r="O846" s="78"/>
      <c r="P846" s="78"/>
      <c r="Q846" s="78"/>
      <c r="R846" s="54"/>
    </row>
    <row r="847" spans="2:18" x14ac:dyDescent="0.2">
      <c r="B847" s="53"/>
      <c r="C847" s="78"/>
      <c r="D847" s="78"/>
      <c r="E847" s="78"/>
      <c r="F847" s="78"/>
      <c r="G847" s="78"/>
      <c r="H847" s="79"/>
      <c r="I847" s="78"/>
      <c r="J847" s="78"/>
      <c r="K847" s="78"/>
      <c r="L847" s="78"/>
      <c r="M847" s="16"/>
      <c r="N847" s="78"/>
      <c r="O847" s="78"/>
      <c r="P847" s="78"/>
      <c r="Q847" s="78"/>
      <c r="R847" s="54"/>
    </row>
    <row r="848" spans="2:18" x14ac:dyDescent="0.2">
      <c r="B848" s="53"/>
      <c r="C848" s="78"/>
      <c r="D848" s="78"/>
      <c r="E848" s="78"/>
      <c r="F848" s="78"/>
      <c r="G848" s="78"/>
      <c r="H848" s="79"/>
      <c r="I848" s="78"/>
      <c r="J848" s="78"/>
      <c r="K848" s="78"/>
      <c r="L848" s="78"/>
      <c r="M848" s="16"/>
      <c r="N848" s="78"/>
      <c r="O848" s="78"/>
      <c r="P848" s="78"/>
      <c r="Q848" s="78"/>
      <c r="R848" s="54"/>
    </row>
    <row r="849" spans="2:18" x14ac:dyDescent="0.2">
      <c r="B849" s="53"/>
      <c r="C849" s="78"/>
      <c r="D849" s="78"/>
      <c r="E849" s="78"/>
      <c r="F849" s="78"/>
      <c r="G849" s="78"/>
      <c r="H849" s="79"/>
      <c r="I849" s="78"/>
      <c r="J849" s="78"/>
      <c r="K849" s="78"/>
      <c r="L849" s="78"/>
      <c r="M849" s="16"/>
      <c r="N849" s="78"/>
      <c r="O849" s="78"/>
      <c r="P849" s="78"/>
      <c r="Q849" s="78"/>
      <c r="R849" s="54"/>
    </row>
    <row r="850" spans="2:18" x14ac:dyDescent="0.2">
      <c r="B850" s="53"/>
      <c r="C850" s="78"/>
      <c r="D850" s="78"/>
      <c r="E850" s="78"/>
      <c r="F850" s="78"/>
      <c r="G850" s="78"/>
      <c r="H850" s="79"/>
      <c r="I850" s="78"/>
      <c r="J850" s="78"/>
      <c r="K850" s="78"/>
      <c r="L850" s="78"/>
      <c r="M850" s="16"/>
      <c r="N850" s="78"/>
      <c r="O850" s="78"/>
      <c r="P850" s="78"/>
      <c r="Q850" s="78"/>
      <c r="R850" s="54"/>
    </row>
    <row r="851" spans="2:18" x14ac:dyDescent="0.2">
      <c r="B851" s="53"/>
      <c r="C851" s="78"/>
      <c r="D851" s="78"/>
      <c r="E851" s="78"/>
      <c r="F851" s="78"/>
      <c r="G851" s="78"/>
      <c r="H851" s="79"/>
      <c r="I851" s="78"/>
      <c r="J851" s="78"/>
      <c r="K851" s="78"/>
      <c r="L851" s="78"/>
      <c r="M851" s="16"/>
      <c r="N851" s="78"/>
      <c r="O851" s="78"/>
      <c r="P851" s="78"/>
      <c r="Q851" s="78"/>
      <c r="R851" s="54"/>
    </row>
    <row r="852" spans="2:18" x14ac:dyDescent="0.2">
      <c r="B852" s="53"/>
      <c r="C852" s="78"/>
      <c r="D852" s="78"/>
      <c r="E852" s="78"/>
      <c r="F852" s="78"/>
      <c r="G852" s="78"/>
      <c r="H852" s="79"/>
      <c r="I852" s="78"/>
      <c r="J852" s="78"/>
      <c r="K852" s="78"/>
      <c r="L852" s="78"/>
      <c r="M852" s="16"/>
      <c r="N852" s="78"/>
      <c r="O852" s="78"/>
      <c r="P852" s="78"/>
      <c r="Q852" s="78"/>
      <c r="R852" s="54"/>
    </row>
    <row r="853" spans="2:18" x14ac:dyDescent="0.2">
      <c r="B853" s="53"/>
      <c r="C853" s="78"/>
      <c r="D853" s="78"/>
      <c r="E853" s="78"/>
      <c r="F853" s="78"/>
      <c r="G853" s="78"/>
      <c r="H853" s="79"/>
      <c r="I853" s="78"/>
      <c r="J853" s="78"/>
      <c r="K853" s="78"/>
      <c r="L853" s="78"/>
      <c r="M853" s="16"/>
      <c r="N853" s="78"/>
      <c r="O853" s="78"/>
      <c r="P853" s="78"/>
      <c r="Q853" s="78"/>
      <c r="R853" s="54"/>
    </row>
    <row r="854" spans="2:18" x14ac:dyDescent="0.2">
      <c r="B854" s="53"/>
      <c r="C854" s="78"/>
      <c r="D854" s="78"/>
      <c r="E854" s="78"/>
      <c r="F854" s="78"/>
      <c r="G854" s="78"/>
      <c r="H854" s="79"/>
      <c r="I854" s="78"/>
      <c r="J854" s="78"/>
      <c r="K854" s="78"/>
      <c r="L854" s="78"/>
      <c r="M854" s="16"/>
      <c r="N854" s="78"/>
      <c r="O854" s="78"/>
      <c r="P854" s="78"/>
      <c r="Q854" s="78"/>
      <c r="R854" s="54"/>
    </row>
    <row r="855" spans="2:18" x14ac:dyDescent="0.2">
      <c r="B855" s="53"/>
      <c r="C855" s="78"/>
      <c r="D855" s="78"/>
      <c r="E855" s="78"/>
      <c r="F855" s="78"/>
      <c r="G855" s="78"/>
      <c r="H855" s="79"/>
      <c r="I855" s="78"/>
      <c r="J855" s="78"/>
      <c r="K855" s="78"/>
      <c r="L855" s="78"/>
      <c r="M855" s="16"/>
      <c r="N855" s="78"/>
      <c r="O855" s="78"/>
      <c r="P855" s="78"/>
      <c r="Q855" s="78"/>
      <c r="R855" s="54"/>
    </row>
    <row r="856" spans="2:18" x14ac:dyDescent="0.2">
      <c r="B856" s="53"/>
      <c r="C856" s="78"/>
      <c r="D856" s="78"/>
      <c r="E856" s="78"/>
      <c r="F856" s="78"/>
      <c r="G856" s="78"/>
      <c r="H856" s="79"/>
      <c r="I856" s="78"/>
      <c r="J856" s="78"/>
      <c r="K856" s="78"/>
      <c r="L856" s="78"/>
      <c r="M856" s="16"/>
      <c r="N856" s="78"/>
      <c r="O856" s="78"/>
      <c r="P856" s="78"/>
      <c r="Q856" s="78"/>
      <c r="R856" s="54"/>
    </row>
    <row r="857" spans="2:18" x14ac:dyDescent="0.2">
      <c r="B857" s="53"/>
      <c r="C857" s="78"/>
      <c r="D857" s="78"/>
      <c r="E857" s="78"/>
      <c r="F857" s="78"/>
      <c r="G857" s="78"/>
      <c r="H857" s="79"/>
      <c r="I857" s="78"/>
      <c r="J857" s="78"/>
      <c r="K857" s="78"/>
      <c r="L857" s="78"/>
      <c r="M857" s="16"/>
      <c r="N857" s="78"/>
      <c r="O857" s="78"/>
      <c r="P857" s="78"/>
      <c r="Q857" s="78"/>
      <c r="R857" s="54"/>
    </row>
    <row r="858" spans="2:18" x14ac:dyDescent="0.2">
      <c r="B858" s="53"/>
      <c r="C858" s="78"/>
      <c r="D858" s="78"/>
      <c r="E858" s="78"/>
      <c r="F858" s="78"/>
      <c r="G858" s="78"/>
      <c r="H858" s="79"/>
      <c r="I858" s="78"/>
      <c r="J858" s="78"/>
      <c r="K858" s="78"/>
      <c r="L858" s="78"/>
      <c r="M858" s="16"/>
      <c r="N858" s="78"/>
      <c r="O858" s="78"/>
      <c r="P858" s="78"/>
      <c r="Q858" s="78"/>
      <c r="R858" s="54"/>
    </row>
    <row r="859" spans="2:18" x14ac:dyDescent="0.2">
      <c r="B859" s="53"/>
      <c r="C859" s="78"/>
      <c r="D859" s="78"/>
      <c r="E859" s="78"/>
      <c r="F859" s="78"/>
      <c r="G859" s="78"/>
      <c r="H859" s="79"/>
      <c r="I859" s="78"/>
      <c r="J859" s="78"/>
      <c r="K859" s="78"/>
      <c r="L859" s="78"/>
      <c r="M859" s="16"/>
      <c r="N859" s="78"/>
      <c r="O859" s="78"/>
      <c r="P859" s="78"/>
      <c r="Q859" s="78"/>
      <c r="R859" s="54"/>
    </row>
    <row r="860" spans="2:18" x14ac:dyDescent="0.2">
      <c r="B860" s="53"/>
      <c r="C860" s="78"/>
      <c r="D860" s="78"/>
      <c r="E860" s="78"/>
      <c r="F860" s="78"/>
      <c r="G860" s="78"/>
      <c r="H860" s="79"/>
      <c r="I860" s="78"/>
      <c r="J860" s="78"/>
      <c r="K860" s="78"/>
      <c r="L860" s="78"/>
      <c r="M860" s="16"/>
      <c r="N860" s="78"/>
      <c r="O860" s="78"/>
      <c r="P860" s="78"/>
      <c r="Q860" s="78"/>
      <c r="R860" s="54"/>
    </row>
    <row r="861" spans="2:18" x14ac:dyDescent="0.2">
      <c r="B861" s="53"/>
      <c r="C861" s="78"/>
      <c r="D861" s="78"/>
      <c r="E861" s="78"/>
      <c r="F861" s="78"/>
      <c r="G861" s="78"/>
      <c r="H861" s="79"/>
      <c r="I861" s="78"/>
      <c r="J861" s="78"/>
      <c r="K861" s="78"/>
      <c r="L861" s="78"/>
      <c r="M861" s="16"/>
      <c r="N861" s="78"/>
      <c r="O861" s="78"/>
      <c r="P861" s="78"/>
      <c r="Q861" s="78"/>
      <c r="R861" s="54"/>
    </row>
    <row r="862" spans="2:18" x14ac:dyDescent="0.2">
      <c r="B862" s="53"/>
      <c r="C862" s="78"/>
      <c r="D862" s="78"/>
      <c r="E862" s="78"/>
      <c r="F862" s="78"/>
      <c r="G862" s="78"/>
      <c r="H862" s="79"/>
      <c r="I862" s="78"/>
      <c r="J862" s="78"/>
      <c r="K862" s="78"/>
      <c r="L862" s="78"/>
      <c r="M862" s="16"/>
      <c r="N862" s="78"/>
      <c r="O862" s="78"/>
      <c r="P862" s="78"/>
      <c r="Q862" s="78"/>
      <c r="R862" s="54"/>
    </row>
    <row r="863" spans="2:18" x14ac:dyDescent="0.2">
      <c r="B863" s="53"/>
      <c r="C863" s="78"/>
      <c r="D863" s="78"/>
      <c r="E863" s="78"/>
      <c r="F863" s="78"/>
      <c r="G863" s="78"/>
      <c r="H863" s="79"/>
      <c r="I863" s="78"/>
      <c r="J863" s="78"/>
      <c r="K863" s="78"/>
      <c r="L863" s="78"/>
      <c r="M863" s="16"/>
      <c r="N863" s="78"/>
      <c r="O863" s="78"/>
      <c r="P863" s="78"/>
      <c r="Q863" s="78"/>
      <c r="R863" s="54"/>
    </row>
    <row r="864" spans="2:18" x14ac:dyDescent="0.2">
      <c r="B864" s="53"/>
      <c r="C864" s="78"/>
      <c r="D864" s="78"/>
      <c r="E864" s="78"/>
      <c r="F864" s="78"/>
      <c r="G864" s="78"/>
      <c r="H864" s="79"/>
      <c r="I864" s="78"/>
      <c r="J864" s="78"/>
      <c r="K864" s="78"/>
      <c r="L864" s="78"/>
      <c r="M864" s="16"/>
      <c r="N864" s="78"/>
      <c r="O864" s="78"/>
      <c r="P864" s="78"/>
      <c r="Q864" s="78"/>
      <c r="R864" s="54"/>
    </row>
    <row r="865" spans="2:18" x14ac:dyDescent="0.2">
      <c r="B865" s="53"/>
      <c r="C865" s="78"/>
      <c r="D865" s="78"/>
      <c r="E865" s="78"/>
      <c r="F865" s="78"/>
      <c r="G865" s="78"/>
      <c r="H865" s="79"/>
      <c r="I865" s="78"/>
      <c r="J865" s="78"/>
      <c r="K865" s="78"/>
      <c r="L865" s="78"/>
      <c r="M865" s="16"/>
      <c r="N865" s="78"/>
      <c r="O865" s="78"/>
      <c r="P865" s="78"/>
      <c r="Q865" s="78"/>
      <c r="R865" s="54"/>
    </row>
    <row r="866" spans="2:18" x14ac:dyDescent="0.2">
      <c r="B866" s="53"/>
      <c r="C866" s="78"/>
      <c r="D866" s="78"/>
      <c r="E866" s="78"/>
      <c r="F866" s="78"/>
      <c r="G866" s="78"/>
      <c r="H866" s="79"/>
      <c r="I866" s="78"/>
      <c r="J866" s="78"/>
      <c r="K866" s="78"/>
      <c r="L866" s="78"/>
      <c r="M866" s="16"/>
      <c r="N866" s="78"/>
      <c r="O866" s="78"/>
      <c r="P866" s="78"/>
      <c r="Q866" s="78"/>
      <c r="R866" s="54"/>
    </row>
    <row r="867" spans="2:18" x14ac:dyDescent="0.2">
      <c r="B867" s="53"/>
      <c r="C867" s="78"/>
      <c r="D867" s="78"/>
      <c r="E867" s="78"/>
      <c r="F867" s="78"/>
      <c r="G867" s="78"/>
      <c r="H867" s="79"/>
      <c r="I867" s="78"/>
      <c r="J867" s="78"/>
      <c r="K867" s="78"/>
      <c r="L867" s="78"/>
      <c r="M867" s="16"/>
      <c r="N867" s="78"/>
      <c r="O867" s="78"/>
      <c r="P867" s="78"/>
      <c r="Q867" s="78"/>
      <c r="R867" s="54"/>
    </row>
    <row r="868" spans="2:18" x14ac:dyDescent="0.2">
      <c r="B868" s="53"/>
      <c r="C868" s="78"/>
      <c r="D868" s="78"/>
      <c r="E868" s="78"/>
      <c r="F868" s="78"/>
      <c r="G868" s="78"/>
      <c r="H868" s="79"/>
      <c r="I868" s="78"/>
      <c r="J868" s="78"/>
      <c r="K868" s="78"/>
      <c r="L868" s="78"/>
      <c r="M868" s="16"/>
      <c r="N868" s="78"/>
      <c r="O868" s="78"/>
      <c r="P868" s="78"/>
      <c r="Q868" s="78"/>
      <c r="R868" s="54"/>
    </row>
    <row r="869" spans="2:18" x14ac:dyDescent="0.2">
      <c r="B869" s="53"/>
      <c r="C869" s="78"/>
      <c r="D869" s="78"/>
      <c r="E869" s="78"/>
      <c r="F869" s="78"/>
      <c r="G869" s="78"/>
      <c r="H869" s="79"/>
      <c r="I869" s="78"/>
      <c r="J869" s="78"/>
      <c r="K869" s="78"/>
      <c r="L869" s="78"/>
      <c r="M869" s="16"/>
      <c r="N869" s="78"/>
      <c r="O869" s="78"/>
      <c r="P869" s="78"/>
      <c r="Q869" s="78"/>
      <c r="R869" s="54"/>
    </row>
    <row r="870" spans="2:18" x14ac:dyDescent="0.2">
      <c r="B870" s="53"/>
      <c r="C870" s="78"/>
      <c r="D870" s="78"/>
      <c r="E870" s="78"/>
      <c r="F870" s="78"/>
      <c r="G870" s="78"/>
      <c r="H870" s="79"/>
      <c r="I870" s="78"/>
      <c r="J870" s="78"/>
      <c r="K870" s="78"/>
      <c r="L870" s="78"/>
      <c r="M870" s="16"/>
      <c r="N870" s="78"/>
      <c r="O870" s="78"/>
      <c r="P870" s="78"/>
      <c r="Q870" s="78"/>
      <c r="R870" s="54"/>
    </row>
    <row r="871" spans="2:18" x14ac:dyDescent="0.2">
      <c r="B871" s="53"/>
      <c r="C871" s="78"/>
      <c r="D871" s="78"/>
      <c r="E871" s="78"/>
      <c r="F871" s="78"/>
      <c r="G871" s="78"/>
      <c r="H871" s="79"/>
      <c r="I871" s="78"/>
      <c r="J871" s="78"/>
      <c r="K871" s="78"/>
      <c r="L871" s="78"/>
      <c r="M871" s="16"/>
      <c r="N871" s="78"/>
      <c r="O871" s="78"/>
      <c r="P871" s="78"/>
      <c r="Q871" s="78"/>
      <c r="R871" s="54"/>
    </row>
    <row r="872" spans="2:18" x14ac:dyDescent="0.2">
      <c r="B872" s="53"/>
      <c r="C872" s="78"/>
      <c r="D872" s="78"/>
      <c r="E872" s="78"/>
      <c r="F872" s="78"/>
      <c r="G872" s="78"/>
      <c r="H872" s="79"/>
      <c r="I872" s="78"/>
      <c r="J872" s="78"/>
      <c r="K872" s="78"/>
      <c r="L872" s="78"/>
      <c r="M872" s="16"/>
      <c r="N872" s="78"/>
      <c r="O872" s="78"/>
      <c r="P872" s="78"/>
      <c r="Q872" s="78"/>
      <c r="R872" s="54"/>
    </row>
    <row r="873" spans="2:18" x14ac:dyDescent="0.2">
      <c r="B873" s="53"/>
      <c r="C873" s="78"/>
      <c r="D873" s="78"/>
      <c r="E873" s="78"/>
      <c r="F873" s="78"/>
      <c r="G873" s="78"/>
      <c r="H873" s="79"/>
      <c r="I873" s="78"/>
      <c r="J873" s="78"/>
      <c r="K873" s="78"/>
      <c r="L873" s="78"/>
      <c r="M873" s="16"/>
      <c r="N873" s="78"/>
      <c r="O873" s="78"/>
      <c r="P873" s="78"/>
      <c r="Q873" s="78"/>
      <c r="R873" s="54"/>
    </row>
    <row r="874" spans="2:18" x14ac:dyDescent="0.2">
      <c r="B874" s="53"/>
      <c r="C874" s="78"/>
      <c r="D874" s="78"/>
      <c r="E874" s="78"/>
      <c r="F874" s="78"/>
      <c r="G874" s="78"/>
      <c r="H874" s="79"/>
      <c r="I874" s="78"/>
      <c r="J874" s="78"/>
      <c r="K874" s="78"/>
      <c r="L874" s="78"/>
      <c r="M874" s="16"/>
      <c r="N874" s="78"/>
      <c r="O874" s="78"/>
      <c r="P874" s="78"/>
      <c r="Q874" s="78"/>
      <c r="R874" s="54"/>
    </row>
    <row r="875" spans="2:18" x14ac:dyDescent="0.2">
      <c r="B875" s="53"/>
      <c r="C875" s="78"/>
      <c r="D875" s="78"/>
      <c r="E875" s="78"/>
      <c r="F875" s="78"/>
      <c r="G875" s="78"/>
      <c r="H875" s="79"/>
      <c r="I875" s="78"/>
      <c r="J875" s="78"/>
      <c r="K875" s="78"/>
      <c r="L875" s="78"/>
      <c r="M875" s="16"/>
      <c r="N875" s="78"/>
      <c r="O875" s="78"/>
      <c r="P875" s="78"/>
      <c r="Q875" s="78"/>
      <c r="R875" s="54"/>
    </row>
    <row r="876" spans="2:18" x14ac:dyDescent="0.2">
      <c r="B876" s="53"/>
      <c r="C876" s="78"/>
      <c r="D876" s="78"/>
      <c r="E876" s="78"/>
      <c r="F876" s="78"/>
      <c r="G876" s="78"/>
      <c r="H876" s="79"/>
      <c r="I876" s="78"/>
      <c r="J876" s="78"/>
      <c r="K876" s="78"/>
      <c r="L876" s="78"/>
      <c r="M876" s="16"/>
      <c r="N876" s="78"/>
      <c r="O876" s="78"/>
      <c r="P876" s="78"/>
      <c r="Q876" s="78"/>
      <c r="R876" s="54"/>
    </row>
    <row r="877" spans="2:18" x14ac:dyDescent="0.2">
      <c r="B877" s="53"/>
      <c r="C877" s="78"/>
      <c r="D877" s="78"/>
      <c r="E877" s="78"/>
      <c r="F877" s="78"/>
      <c r="G877" s="78"/>
      <c r="H877" s="79"/>
      <c r="I877" s="78"/>
      <c r="J877" s="78"/>
      <c r="K877" s="78"/>
      <c r="L877" s="78"/>
      <c r="M877" s="16"/>
      <c r="N877" s="78"/>
      <c r="O877" s="78"/>
      <c r="P877" s="78"/>
      <c r="Q877" s="78"/>
      <c r="R877" s="54"/>
    </row>
    <row r="878" spans="2:18" x14ac:dyDescent="0.2">
      <c r="B878" s="53"/>
      <c r="C878" s="78"/>
      <c r="D878" s="78"/>
      <c r="E878" s="78"/>
      <c r="F878" s="78"/>
      <c r="G878" s="78"/>
      <c r="H878" s="79"/>
      <c r="I878" s="78"/>
      <c r="J878" s="78"/>
      <c r="K878" s="78"/>
      <c r="L878" s="78"/>
      <c r="M878" s="16"/>
      <c r="N878" s="78"/>
      <c r="O878" s="78"/>
      <c r="P878" s="78"/>
      <c r="Q878" s="78"/>
      <c r="R878" s="54"/>
    </row>
    <row r="879" spans="2:18" x14ac:dyDescent="0.2">
      <c r="B879" s="53"/>
      <c r="C879" s="78"/>
      <c r="D879" s="78"/>
      <c r="E879" s="78"/>
      <c r="F879" s="78"/>
      <c r="G879" s="78"/>
      <c r="H879" s="79"/>
      <c r="I879" s="78"/>
      <c r="J879" s="78"/>
      <c r="K879" s="78"/>
      <c r="L879" s="78"/>
      <c r="M879" s="16"/>
      <c r="N879" s="78"/>
      <c r="O879" s="78"/>
      <c r="P879" s="78"/>
      <c r="Q879" s="78"/>
      <c r="R879" s="54"/>
    </row>
    <row r="880" spans="2:18" x14ac:dyDescent="0.2">
      <c r="B880" s="53"/>
      <c r="C880" s="78"/>
      <c r="D880" s="78"/>
      <c r="E880" s="78"/>
      <c r="F880" s="78"/>
      <c r="G880" s="78"/>
      <c r="H880" s="79"/>
      <c r="I880" s="78"/>
      <c r="J880" s="78"/>
      <c r="K880" s="78"/>
      <c r="L880" s="78"/>
      <c r="M880" s="16"/>
      <c r="N880" s="78"/>
      <c r="O880" s="78"/>
      <c r="P880" s="78"/>
      <c r="Q880" s="78"/>
      <c r="R880" s="54"/>
    </row>
    <row r="881" spans="2:18" x14ac:dyDescent="0.2">
      <c r="B881" s="53"/>
      <c r="C881" s="78"/>
      <c r="D881" s="78"/>
      <c r="E881" s="78"/>
      <c r="F881" s="78"/>
      <c r="G881" s="78"/>
      <c r="H881" s="79"/>
      <c r="I881" s="78"/>
      <c r="J881" s="78"/>
      <c r="K881" s="78"/>
      <c r="L881" s="78"/>
      <c r="M881" s="16"/>
      <c r="N881" s="78"/>
      <c r="O881" s="78"/>
      <c r="P881" s="78"/>
      <c r="Q881" s="78"/>
      <c r="R881" s="54"/>
    </row>
    <row r="882" spans="2:18" x14ac:dyDescent="0.2">
      <c r="B882" s="53"/>
      <c r="C882" s="78"/>
      <c r="D882" s="78"/>
      <c r="E882" s="78"/>
      <c r="F882" s="78"/>
      <c r="G882" s="78"/>
      <c r="H882" s="79"/>
      <c r="I882" s="78"/>
      <c r="J882" s="78"/>
      <c r="K882" s="78"/>
      <c r="L882" s="78"/>
      <c r="M882" s="16"/>
      <c r="N882" s="78"/>
      <c r="O882" s="78"/>
      <c r="P882" s="78"/>
      <c r="Q882" s="78"/>
      <c r="R882" s="54"/>
    </row>
    <row r="883" spans="2:18" x14ac:dyDescent="0.2">
      <c r="B883" s="53"/>
      <c r="C883" s="78"/>
      <c r="D883" s="78"/>
      <c r="E883" s="78"/>
      <c r="F883" s="78"/>
      <c r="G883" s="78"/>
      <c r="H883" s="79"/>
      <c r="I883" s="78"/>
      <c r="J883" s="78"/>
      <c r="K883" s="78"/>
      <c r="L883" s="78"/>
      <c r="M883" s="16"/>
      <c r="N883" s="78"/>
      <c r="O883" s="78"/>
      <c r="P883" s="78"/>
      <c r="Q883" s="78"/>
      <c r="R883" s="54"/>
    </row>
    <row r="884" spans="2:18" x14ac:dyDescent="0.2">
      <c r="B884" s="53"/>
      <c r="C884" s="78"/>
      <c r="D884" s="78"/>
      <c r="E884" s="78"/>
      <c r="F884" s="78"/>
      <c r="G884" s="78"/>
      <c r="H884" s="79"/>
      <c r="I884" s="78"/>
      <c r="J884" s="78"/>
      <c r="K884" s="78"/>
      <c r="L884" s="78"/>
      <c r="M884" s="16"/>
      <c r="N884" s="78"/>
      <c r="O884" s="78"/>
      <c r="P884" s="78"/>
      <c r="Q884" s="78"/>
      <c r="R884" s="54"/>
    </row>
    <row r="885" spans="2:18" x14ac:dyDescent="0.2">
      <c r="B885" s="53"/>
      <c r="C885" s="78"/>
      <c r="D885" s="78"/>
      <c r="E885" s="78"/>
      <c r="F885" s="78"/>
      <c r="G885" s="78"/>
      <c r="H885" s="79"/>
      <c r="I885" s="78"/>
      <c r="J885" s="78"/>
      <c r="K885" s="78"/>
      <c r="L885" s="78"/>
      <c r="M885" s="16"/>
      <c r="N885" s="78"/>
      <c r="O885" s="78"/>
      <c r="P885" s="78"/>
      <c r="Q885" s="78"/>
      <c r="R885" s="54"/>
    </row>
    <row r="886" spans="2:18" x14ac:dyDescent="0.2">
      <c r="B886" s="53"/>
      <c r="C886" s="78"/>
      <c r="D886" s="78"/>
      <c r="E886" s="78"/>
      <c r="F886" s="78"/>
      <c r="G886" s="78"/>
      <c r="H886" s="79"/>
      <c r="I886" s="78"/>
      <c r="J886" s="78"/>
      <c r="K886" s="78"/>
      <c r="L886" s="78"/>
      <c r="M886" s="16"/>
      <c r="N886" s="78"/>
      <c r="O886" s="78"/>
      <c r="P886" s="78"/>
      <c r="Q886" s="78"/>
      <c r="R886" s="54"/>
    </row>
    <row r="887" spans="2:18" x14ac:dyDescent="0.2">
      <c r="B887" s="53"/>
      <c r="C887" s="78"/>
      <c r="D887" s="78"/>
      <c r="E887" s="78"/>
      <c r="F887" s="78"/>
      <c r="G887" s="78"/>
      <c r="H887" s="79"/>
      <c r="I887" s="78"/>
      <c r="J887" s="78"/>
      <c r="K887" s="78"/>
      <c r="L887" s="78"/>
      <c r="M887" s="16"/>
      <c r="N887" s="78"/>
      <c r="O887" s="78"/>
      <c r="P887" s="78"/>
      <c r="Q887" s="78"/>
      <c r="R887" s="54"/>
    </row>
    <row r="888" spans="2:18" x14ac:dyDescent="0.2">
      <c r="B888" s="53"/>
      <c r="C888" s="78"/>
      <c r="D888" s="78"/>
      <c r="E888" s="78"/>
      <c r="F888" s="78"/>
      <c r="G888" s="78"/>
      <c r="H888" s="79"/>
      <c r="I888" s="78"/>
      <c r="J888" s="78"/>
      <c r="K888" s="78"/>
      <c r="L888" s="78"/>
      <c r="M888" s="16"/>
      <c r="N888" s="78"/>
      <c r="O888" s="78"/>
      <c r="P888" s="78"/>
      <c r="Q888" s="78"/>
      <c r="R888" s="54"/>
    </row>
    <row r="889" spans="2:18" x14ac:dyDescent="0.2">
      <c r="B889" s="53"/>
      <c r="C889" s="78"/>
      <c r="D889" s="78"/>
      <c r="E889" s="78"/>
      <c r="F889" s="78"/>
      <c r="G889" s="78"/>
      <c r="H889" s="79"/>
      <c r="I889" s="78"/>
      <c r="J889" s="78"/>
      <c r="K889" s="78"/>
      <c r="L889" s="78"/>
      <c r="M889" s="16"/>
      <c r="N889" s="78"/>
      <c r="O889" s="78"/>
      <c r="P889" s="78"/>
      <c r="Q889" s="78"/>
      <c r="R889" s="54"/>
    </row>
    <row r="890" spans="2:18" x14ac:dyDescent="0.2">
      <c r="B890" s="53"/>
      <c r="C890" s="78"/>
      <c r="D890" s="78"/>
      <c r="E890" s="78"/>
      <c r="F890" s="78"/>
      <c r="G890" s="78"/>
      <c r="H890" s="79"/>
      <c r="I890" s="78"/>
      <c r="J890" s="78"/>
      <c r="K890" s="78"/>
      <c r="L890" s="78"/>
      <c r="M890" s="16"/>
      <c r="N890" s="78"/>
      <c r="O890" s="78"/>
      <c r="P890" s="78"/>
      <c r="Q890" s="78"/>
      <c r="R890" s="54"/>
    </row>
    <row r="891" spans="2:18" x14ac:dyDescent="0.2">
      <c r="B891" s="53"/>
      <c r="C891" s="78"/>
      <c r="D891" s="78"/>
      <c r="E891" s="78"/>
      <c r="F891" s="78"/>
      <c r="G891" s="78"/>
      <c r="H891" s="79"/>
      <c r="I891" s="78"/>
      <c r="J891" s="78"/>
      <c r="K891" s="78"/>
      <c r="L891" s="78"/>
      <c r="M891" s="16"/>
      <c r="N891" s="78"/>
      <c r="O891" s="78"/>
      <c r="P891" s="78"/>
      <c r="Q891" s="78"/>
      <c r="R891" s="54"/>
    </row>
    <row r="892" spans="2:18" x14ac:dyDescent="0.2">
      <c r="B892" s="53"/>
      <c r="C892" s="78"/>
      <c r="D892" s="78"/>
      <c r="E892" s="78"/>
      <c r="F892" s="78"/>
      <c r="G892" s="78"/>
      <c r="H892" s="79"/>
      <c r="I892" s="78"/>
      <c r="J892" s="78"/>
      <c r="K892" s="78"/>
      <c r="L892" s="78"/>
      <c r="M892" s="16"/>
      <c r="N892" s="78"/>
      <c r="O892" s="78"/>
      <c r="P892" s="78"/>
      <c r="Q892" s="78"/>
      <c r="R892" s="54"/>
    </row>
    <row r="893" spans="2:18" x14ac:dyDescent="0.2">
      <c r="B893" s="53"/>
      <c r="C893" s="78"/>
      <c r="D893" s="78"/>
      <c r="E893" s="78"/>
      <c r="F893" s="78"/>
      <c r="G893" s="78"/>
      <c r="H893" s="79"/>
      <c r="I893" s="78"/>
      <c r="J893" s="78"/>
      <c r="K893" s="78"/>
      <c r="L893" s="78"/>
      <c r="M893" s="16"/>
      <c r="N893" s="78"/>
      <c r="O893" s="78"/>
      <c r="P893" s="78"/>
      <c r="Q893" s="78"/>
      <c r="R893" s="54"/>
    </row>
    <row r="894" spans="2:18" x14ac:dyDescent="0.2">
      <c r="B894" s="53"/>
      <c r="C894" s="78"/>
      <c r="D894" s="78"/>
      <c r="E894" s="78"/>
      <c r="F894" s="78"/>
      <c r="G894" s="78"/>
      <c r="H894" s="79"/>
      <c r="I894" s="78"/>
      <c r="J894" s="78"/>
      <c r="K894" s="78"/>
      <c r="L894" s="78"/>
      <c r="M894" s="16"/>
      <c r="N894" s="78"/>
      <c r="O894" s="78"/>
      <c r="P894" s="78"/>
      <c r="Q894" s="78"/>
      <c r="R894" s="54"/>
    </row>
    <row r="895" spans="2:18" x14ac:dyDescent="0.2">
      <c r="B895" s="53"/>
      <c r="C895" s="78"/>
      <c r="D895" s="78"/>
      <c r="E895" s="78"/>
      <c r="F895" s="78"/>
      <c r="G895" s="78"/>
      <c r="H895" s="79"/>
      <c r="I895" s="78"/>
      <c r="J895" s="78"/>
      <c r="K895" s="78"/>
      <c r="L895" s="78"/>
      <c r="M895" s="16"/>
      <c r="N895" s="78"/>
      <c r="O895" s="78"/>
      <c r="P895" s="78"/>
      <c r="Q895" s="78"/>
      <c r="R895" s="54"/>
    </row>
    <row r="896" spans="2:18" x14ac:dyDescent="0.2">
      <c r="B896" s="53"/>
      <c r="C896" s="78"/>
      <c r="D896" s="78"/>
      <c r="E896" s="78"/>
      <c r="F896" s="78"/>
      <c r="G896" s="78"/>
      <c r="H896" s="79"/>
      <c r="I896" s="78"/>
      <c r="J896" s="78"/>
      <c r="K896" s="78"/>
      <c r="L896" s="78"/>
      <c r="M896" s="16"/>
      <c r="N896" s="78"/>
      <c r="O896" s="78"/>
      <c r="P896" s="78"/>
      <c r="Q896" s="78"/>
      <c r="R896" s="54"/>
    </row>
    <row r="897" spans="2:18" x14ac:dyDescent="0.2">
      <c r="B897" s="53"/>
      <c r="C897" s="78"/>
      <c r="D897" s="78"/>
      <c r="E897" s="78"/>
      <c r="F897" s="78"/>
      <c r="G897" s="78"/>
      <c r="H897" s="79"/>
      <c r="I897" s="78"/>
      <c r="J897" s="78"/>
      <c r="K897" s="78"/>
      <c r="L897" s="78"/>
      <c r="M897" s="16"/>
      <c r="N897" s="78"/>
      <c r="O897" s="78"/>
      <c r="P897" s="78"/>
      <c r="Q897" s="78"/>
      <c r="R897" s="54"/>
    </row>
    <row r="898" spans="2:18" x14ac:dyDescent="0.2">
      <c r="B898" s="53"/>
      <c r="C898" s="78"/>
      <c r="D898" s="78"/>
      <c r="E898" s="78"/>
      <c r="F898" s="78"/>
      <c r="G898" s="78"/>
      <c r="H898" s="79"/>
      <c r="I898" s="78"/>
      <c r="J898" s="78"/>
      <c r="K898" s="78"/>
      <c r="L898" s="78"/>
      <c r="M898" s="16"/>
      <c r="N898" s="78"/>
      <c r="O898" s="78"/>
      <c r="P898" s="78"/>
      <c r="Q898" s="78"/>
      <c r="R898" s="54"/>
    </row>
    <row r="899" spans="2:18" x14ac:dyDescent="0.2">
      <c r="B899" s="53"/>
      <c r="C899" s="78"/>
      <c r="D899" s="78"/>
      <c r="E899" s="78"/>
      <c r="F899" s="78"/>
      <c r="G899" s="78"/>
      <c r="H899" s="79"/>
      <c r="I899" s="78"/>
      <c r="J899" s="78"/>
      <c r="K899" s="78"/>
      <c r="L899" s="78"/>
      <c r="M899" s="16"/>
      <c r="N899" s="78"/>
      <c r="O899" s="78"/>
      <c r="P899" s="78"/>
      <c r="Q899" s="78"/>
      <c r="R899" s="54"/>
    </row>
    <row r="900" spans="2:18" x14ac:dyDescent="0.2">
      <c r="B900" s="53"/>
      <c r="C900" s="78"/>
      <c r="D900" s="78"/>
      <c r="E900" s="78"/>
      <c r="F900" s="78"/>
      <c r="G900" s="78"/>
      <c r="H900" s="79"/>
      <c r="I900" s="78"/>
      <c r="J900" s="78"/>
      <c r="K900" s="78"/>
      <c r="L900" s="78"/>
      <c r="M900" s="16"/>
      <c r="N900" s="78"/>
      <c r="O900" s="78"/>
      <c r="P900" s="78"/>
      <c r="Q900" s="78"/>
      <c r="R900" s="54"/>
    </row>
    <row r="901" spans="2:18" x14ac:dyDescent="0.2">
      <c r="B901" s="53"/>
      <c r="C901" s="78"/>
      <c r="D901" s="78"/>
      <c r="E901" s="78"/>
      <c r="F901" s="78"/>
      <c r="G901" s="78"/>
      <c r="H901" s="79"/>
      <c r="I901" s="78"/>
      <c r="J901" s="78"/>
      <c r="K901" s="78"/>
      <c r="L901" s="78"/>
      <c r="M901" s="16"/>
      <c r="N901" s="78"/>
      <c r="O901" s="78"/>
      <c r="P901" s="78"/>
      <c r="Q901" s="78"/>
      <c r="R901" s="54"/>
    </row>
    <row r="902" spans="2:18" x14ac:dyDescent="0.2">
      <c r="B902" s="53"/>
      <c r="C902" s="78"/>
      <c r="D902" s="78"/>
      <c r="E902" s="78"/>
      <c r="F902" s="78"/>
      <c r="G902" s="78"/>
      <c r="H902" s="79"/>
      <c r="I902" s="78"/>
      <c r="J902" s="78"/>
      <c r="K902" s="78"/>
      <c r="L902" s="78"/>
      <c r="M902" s="16"/>
      <c r="N902" s="78"/>
      <c r="O902" s="78"/>
      <c r="P902" s="78"/>
      <c r="Q902" s="78"/>
      <c r="R902" s="54"/>
    </row>
    <row r="903" spans="2:18" x14ac:dyDescent="0.2">
      <c r="B903" s="53"/>
      <c r="C903" s="78"/>
      <c r="D903" s="78"/>
      <c r="E903" s="78"/>
      <c r="F903" s="78"/>
      <c r="G903" s="78"/>
      <c r="H903" s="79"/>
      <c r="I903" s="78"/>
      <c r="J903" s="78"/>
      <c r="K903" s="78"/>
      <c r="L903" s="78"/>
      <c r="M903" s="16"/>
      <c r="N903" s="78"/>
      <c r="O903" s="78"/>
      <c r="P903" s="78"/>
      <c r="Q903" s="78"/>
      <c r="R903" s="54"/>
    </row>
    <row r="904" spans="2:18" x14ac:dyDescent="0.2">
      <c r="B904" s="53"/>
      <c r="C904" s="78"/>
      <c r="D904" s="78"/>
      <c r="E904" s="78"/>
      <c r="F904" s="78"/>
      <c r="G904" s="78"/>
      <c r="H904" s="79"/>
      <c r="I904" s="78"/>
      <c r="J904" s="78"/>
      <c r="K904" s="78"/>
      <c r="L904" s="78"/>
      <c r="M904" s="16"/>
      <c r="N904" s="78"/>
      <c r="O904" s="78"/>
      <c r="P904" s="78"/>
      <c r="Q904" s="78"/>
      <c r="R904" s="54"/>
    </row>
    <row r="905" spans="2:18" x14ac:dyDescent="0.2">
      <c r="B905" s="53"/>
      <c r="C905" s="78"/>
      <c r="D905" s="78"/>
      <c r="E905" s="78"/>
      <c r="F905" s="78"/>
      <c r="G905" s="78"/>
      <c r="H905" s="79"/>
      <c r="I905" s="78"/>
      <c r="J905" s="78"/>
      <c r="K905" s="78"/>
      <c r="L905" s="78"/>
      <c r="M905" s="16"/>
      <c r="N905" s="78"/>
      <c r="O905" s="78"/>
      <c r="P905" s="78"/>
      <c r="Q905" s="78"/>
      <c r="R905" s="54"/>
    </row>
    <row r="906" spans="2:18" x14ac:dyDescent="0.2">
      <c r="B906" s="53"/>
      <c r="C906" s="78"/>
      <c r="D906" s="78"/>
      <c r="E906" s="78"/>
      <c r="F906" s="78"/>
      <c r="G906" s="78"/>
      <c r="H906" s="79"/>
      <c r="I906" s="78"/>
      <c r="J906" s="78"/>
      <c r="K906" s="78"/>
      <c r="L906" s="78"/>
      <c r="M906" s="16"/>
      <c r="N906" s="78"/>
      <c r="O906" s="78"/>
      <c r="P906" s="78"/>
      <c r="Q906" s="78"/>
      <c r="R906" s="54"/>
    </row>
    <row r="907" spans="2:18" x14ac:dyDescent="0.2">
      <c r="B907" s="53"/>
      <c r="C907" s="78"/>
      <c r="D907" s="78"/>
      <c r="E907" s="78"/>
      <c r="F907" s="78"/>
      <c r="G907" s="78"/>
      <c r="H907" s="79"/>
      <c r="I907" s="78"/>
      <c r="J907" s="78"/>
      <c r="K907" s="78"/>
      <c r="L907" s="78"/>
      <c r="M907" s="16"/>
      <c r="N907" s="78"/>
      <c r="O907" s="78"/>
      <c r="P907" s="78"/>
      <c r="Q907" s="78"/>
      <c r="R907" s="54"/>
    </row>
    <row r="908" spans="2:18" x14ac:dyDescent="0.2">
      <c r="B908" s="53"/>
      <c r="C908" s="78"/>
      <c r="D908" s="78"/>
      <c r="E908" s="78"/>
      <c r="F908" s="78"/>
      <c r="G908" s="78"/>
      <c r="H908" s="79"/>
      <c r="I908" s="78"/>
      <c r="J908" s="78"/>
      <c r="K908" s="78"/>
      <c r="L908" s="78"/>
      <c r="M908" s="16"/>
      <c r="N908" s="78"/>
      <c r="O908" s="78"/>
      <c r="P908" s="78"/>
      <c r="Q908" s="78"/>
      <c r="R908" s="54"/>
    </row>
    <row r="909" spans="2:18" x14ac:dyDescent="0.2">
      <c r="B909" s="53"/>
      <c r="C909" s="78"/>
      <c r="D909" s="78"/>
      <c r="E909" s="78"/>
      <c r="F909" s="78"/>
      <c r="G909" s="78"/>
      <c r="H909" s="79"/>
      <c r="I909" s="78"/>
      <c r="J909" s="78"/>
      <c r="K909" s="78"/>
      <c r="L909" s="78"/>
      <c r="M909" s="16"/>
      <c r="N909" s="78"/>
      <c r="O909" s="78"/>
      <c r="P909" s="78"/>
      <c r="Q909" s="78"/>
      <c r="R909" s="54"/>
    </row>
    <row r="910" spans="2:18" x14ac:dyDescent="0.2">
      <c r="B910" s="53"/>
      <c r="C910" s="78"/>
      <c r="D910" s="78"/>
      <c r="E910" s="78"/>
      <c r="F910" s="78"/>
      <c r="G910" s="78"/>
      <c r="H910" s="79"/>
      <c r="I910" s="78"/>
      <c r="J910" s="78"/>
      <c r="K910" s="78"/>
      <c r="L910" s="78"/>
      <c r="M910" s="16"/>
      <c r="N910" s="78"/>
      <c r="O910" s="78"/>
      <c r="P910" s="78"/>
      <c r="Q910" s="78"/>
      <c r="R910" s="54"/>
    </row>
    <row r="911" spans="2:18" x14ac:dyDescent="0.2">
      <c r="B911" s="53"/>
      <c r="C911" s="78"/>
      <c r="D911" s="78"/>
      <c r="E911" s="78"/>
      <c r="F911" s="78"/>
      <c r="G911" s="78"/>
      <c r="H911" s="79"/>
      <c r="I911" s="78"/>
      <c r="J911" s="78"/>
      <c r="K911" s="78"/>
      <c r="L911" s="78"/>
      <c r="M911" s="16"/>
      <c r="N911" s="78"/>
      <c r="O911" s="78"/>
      <c r="P911" s="78"/>
      <c r="Q911" s="78"/>
      <c r="R911" s="54"/>
    </row>
    <row r="912" spans="2:18" x14ac:dyDescent="0.2">
      <c r="B912" s="53"/>
      <c r="C912" s="78"/>
      <c r="D912" s="78"/>
      <c r="E912" s="78"/>
      <c r="F912" s="78"/>
      <c r="G912" s="78"/>
      <c r="H912" s="79"/>
      <c r="I912" s="78"/>
      <c r="J912" s="78"/>
      <c r="K912" s="78"/>
      <c r="L912" s="78"/>
      <c r="M912" s="16"/>
      <c r="N912" s="78"/>
      <c r="O912" s="78"/>
      <c r="P912" s="78"/>
      <c r="Q912" s="78"/>
      <c r="R912" s="54"/>
    </row>
    <row r="913" spans="2:18" x14ac:dyDescent="0.2">
      <c r="B913" s="53"/>
      <c r="C913" s="78"/>
      <c r="D913" s="78"/>
      <c r="E913" s="78"/>
      <c r="F913" s="78"/>
      <c r="G913" s="78"/>
      <c r="H913" s="79"/>
      <c r="I913" s="78"/>
      <c r="J913" s="78"/>
      <c r="K913" s="78"/>
      <c r="L913" s="78"/>
      <c r="M913" s="16"/>
      <c r="N913" s="78"/>
      <c r="O913" s="78"/>
      <c r="P913" s="78"/>
      <c r="Q913" s="78"/>
      <c r="R913" s="54"/>
    </row>
    <row r="914" spans="2:18" x14ac:dyDescent="0.2">
      <c r="B914" s="53"/>
      <c r="C914" s="78"/>
      <c r="D914" s="78"/>
      <c r="E914" s="78"/>
      <c r="F914" s="78"/>
      <c r="G914" s="78"/>
      <c r="H914" s="79"/>
      <c r="I914" s="78"/>
      <c r="J914" s="78"/>
      <c r="K914" s="78"/>
      <c r="L914" s="78"/>
      <c r="M914" s="16"/>
      <c r="N914" s="78"/>
      <c r="O914" s="78"/>
      <c r="P914" s="78"/>
      <c r="Q914" s="78"/>
      <c r="R914" s="54"/>
    </row>
    <row r="915" spans="2:18" x14ac:dyDescent="0.2">
      <c r="B915" s="53"/>
      <c r="C915" s="78"/>
      <c r="D915" s="78"/>
      <c r="E915" s="78"/>
      <c r="F915" s="78"/>
      <c r="G915" s="78"/>
      <c r="H915" s="79"/>
      <c r="I915" s="78"/>
      <c r="J915" s="78"/>
      <c r="K915" s="78"/>
      <c r="L915" s="78"/>
      <c r="M915" s="16"/>
      <c r="N915" s="78"/>
      <c r="O915" s="78"/>
      <c r="P915" s="78"/>
      <c r="Q915" s="78"/>
      <c r="R915" s="54"/>
    </row>
    <row r="916" spans="2:18" x14ac:dyDescent="0.2">
      <c r="B916" s="53"/>
      <c r="C916" s="78"/>
      <c r="D916" s="78"/>
      <c r="E916" s="78"/>
      <c r="F916" s="78"/>
      <c r="G916" s="78"/>
      <c r="H916" s="79"/>
      <c r="I916" s="78"/>
      <c r="J916" s="78"/>
      <c r="K916" s="78"/>
      <c r="L916" s="78"/>
      <c r="M916" s="16"/>
      <c r="N916" s="78"/>
      <c r="O916" s="78"/>
      <c r="P916" s="78"/>
      <c r="Q916" s="78"/>
      <c r="R916" s="54"/>
    </row>
    <row r="917" spans="2:18" x14ac:dyDescent="0.2">
      <c r="B917" s="53"/>
      <c r="C917" s="78"/>
      <c r="D917" s="78"/>
      <c r="E917" s="78"/>
      <c r="F917" s="78"/>
      <c r="G917" s="78"/>
      <c r="H917" s="79"/>
      <c r="I917" s="78"/>
      <c r="J917" s="78"/>
      <c r="K917" s="78"/>
      <c r="L917" s="78"/>
      <c r="M917" s="16"/>
      <c r="N917" s="78"/>
      <c r="O917" s="78"/>
      <c r="P917" s="78"/>
      <c r="Q917" s="78"/>
      <c r="R917" s="54"/>
    </row>
    <row r="918" spans="2:18" x14ac:dyDescent="0.2">
      <c r="B918" s="53"/>
      <c r="C918" s="78"/>
      <c r="D918" s="78"/>
      <c r="E918" s="78"/>
      <c r="F918" s="78"/>
      <c r="G918" s="78"/>
      <c r="H918" s="79"/>
      <c r="I918" s="78"/>
      <c r="J918" s="78"/>
      <c r="K918" s="78"/>
      <c r="L918" s="78"/>
      <c r="M918" s="16"/>
      <c r="N918" s="78"/>
      <c r="O918" s="78"/>
      <c r="P918" s="78"/>
      <c r="Q918" s="78"/>
      <c r="R918" s="54"/>
    </row>
    <row r="919" spans="2:18" x14ac:dyDescent="0.2">
      <c r="B919" s="53"/>
      <c r="C919" s="78"/>
      <c r="D919" s="78"/>
      <c r="E919" s="78"/>
      <c r="F919" s="78"/>
      <c r="G919" s="78"/>
      <c r="H919" s="79"/>
      <c r="I919" s="78"/>
      <c r="J919" s="78"/>
      <c r="K919" s="78"/>
      <c r="L919" s="78"/>
      <c r="M919" s="16"/>
      <c r="N919" s="78"/>
      <c r="O919" s="78"/>
      <c r="P919" s="78"/>
      <c r="Q919" s="78"/>
      <c r="R919" s="54"/>
    </row>
    <row r="920" spans="2:18" x14ac:dyDescent="0.2">
      <c r="B920" s="53"/>
      <c r="C920" s="78"/>
      <c r="D920" s="78"/>
      <c r="E920" s="78"/>
      <c r="F920" s="78"/>
      <c r="G920" s="78"/>
      <c r="H920" s="79"/>
      <c r="I920" s="78"/>
      <c r="J920" s="78"/>
      <c r="K920" s="78"/>
      <c r="L920" s="78"/>
      <c r="M920" s="16"/>
      <c r="N920" s="78"/>
      <c r="O920" s="78"/>
      <c r="P920" s="78"/>
      <c r="Q920" s="78"/>
      <c r="R920" s="54"/>
    </row>
    <row r="921" spans="2:18" x14ac:dyDescent="0.2">
      <c r="B921" s="53"/>
      <c r="C921" s="78"/>
      <c r="D921" s="78"/>
      <c r="E921" s="78"/>
      <c r="F921" s="78"/>
      <c r="G921" s="78"/>
      <c r="H921" s="79"/>
      <c r="I921" s="78"/>
      <c r="J921" s="78"/>
      <c r="K921" s="78"/>
      <c r="L921" s="78"/>
      <c r="M921" s="16"/>
      <c r="N921" s="78"/>
      <c r="O921" s="78"/>
      <c r="P921" s="78"/>
      <c r="Q921" s="78"/>
      <c r="R921" s="54"/>
    </row>
    <row r="922" spans="2:18" x14ac:dyDescent="0.2">
      <c r="B922" s="53"/>
      <c r="C922" s="78"/>
      <c r="D922" s="78"/>
      <c r="E922" s="78"/>
      <c r="F922" s="78"/>
      <c r="G922" s="78"/>
      <c r="H922" s="79"/>
      <c r="I922" s="78"/>
      <c r="J922" s="78"/>
      <c r="K922" s="78"/>
      <c r="L922" s="78"/>
      <c r="M922" s="16"/>
      <c r="N922" s="78"/>
      <c r="O922" s="78"/>
      <c r="P922" s="78"/>
      <c r="Q922" s="78"/>
      <c r="R922" s="54"/>
    </row>
    <row r="923" spans="2:18" x14ac:dyDescent="0.2">
      <c r="B923" s="53"/>
      <c r="C923" s="78"/>
      <c r="D923" s="78"/>
      <c r="E923" s="78"/>
      <c r="F923" s="78"/>
      <c r="G923" s="78"/>
      <c r="H923" s="79"/>
      <c r="I923" s="78"/>
      <c r="J923" s="78"/>
      <c r="K923" s="78"/>
      <c r="L923" s="78"/>
      <c r="M923" s="16"/>
      <c r="N923" s="78"/>
      <c r="O923" s="78"/>
      <c r="P923" s="78"/>
      <c r="Q923" s="78"/>
      <c r="R923" s="54"/>
    </row>
    <row r="924" spans="2:18" x14ac:dyDescent="0.2">
      <c r="B924" s="53"/>
      <c r="C924" s="78"/>
      <c r="D924" s="78"/>
      <c r="E924" s="78"/>
      <c r="F924" s="78"/>
      <c r="G924" s="78"/>
      <c r="H924" s="79"/>
      <c r="I924" s="78"/>
      <c r="J924" s="78"/>
      <c r="K924" s="78"/>
      <c r="L924" s="78"/>
      <c r="M924" s="16"/>
      <c r="N924" s="78"/>
      <c r="O924" s="78"/>
      <c r="P924" s="78"/>
      <c r="Q924" s="78"/>
      <c r="R924" s="54"/>
    </row>
    <row r="925" spans="2:18" x14ac:dyDescent="0.2">
      <c r="B925" s="53"/>
      <c r="C925" s="78"/>
      <c r="D925" s="78"/>
      <c r="E925" s="78"/>
      <c r="F925" s="78"/>
      <c r="G925" s="78"/>
      <c r="H925" s="79"/>
      <c r="I925" s="78"/>
      <c r="J925" s="78"/>
      <c r="K925" s="78"/>
      <c r="L925" s="78"/>
      <c r="M925" s="16"/>
      <c r="N925" s="78"/>
      <c r="O925" s="78"/>
      <c r="P925" s="78"/>
      <c r="Q925" s="78"/>
      <c r="R925" s="54"/>
    </row>
    <row r="926" spans="2:18" x14ac:dyDescent="0.2">
      <c r="B926" s="53"/>
      <c r="C926" s="78"/>
      <c r="D926" s="78"/>
      <c r="E926" s="78"/>
      <c r="F926" s="78"/>
      <c r="G926" s="78"/>
      <c r="H926" s="79"/>
      <c r="I926" s="78"/>
      <c r="J926" s="78"/>
      <c r="K926" s="78"/>
      <c r="L926" s="78"/>
      <c r="M926" s="16"/>
      <c r="N926" s="78"/>
      <c r="O926" s="78"/>
      <c r="P926" s="78"/>
      <c r="Q926" s="78"/>
      <c r="R926" s="54"/>
    </row>
    <row r="927" spans="2:18" x14ac:dyDescent="0.2">
      <c r="B927" s="53"/>
      <c r="C927" s="78"/>
      <c r="D927" s="78"/>
      <c r="E927" s="78"/>
      <c r="F927" s="78"/>
      <c r="G927" s="78"/>
      <c r="H927" s="79"/>
      <c r="I927" s="78"/>
      <c r="J927" s="78"/>
      <c r="K927" s="78"/>
      <c r="L927" s="78"/>
      <c r="M927" s="16"/>
      <c r="N927" s="78"/>
      <c r="O927" s="78"/>
      <c r="P927" s="78"/>
      <c r="Q927" s="78"/>
      <c r="R927" s="54"/>
    </row>
    <row r="928" spans="2:18" x14ac:dyDescent="0.2">
      <c r="B928" s="53"/>
      <c r="C928" s="78"/>
      <c r="D928" s="78"/>
      <c r="E928" s="78"/>
      <c r="F928" s="78"/>
      <c r="G928" s="78"/>
      <c r="H928" s="79"/>
      <c r="I928" s="78"/>
      <c r="J928" s="78"/>
      <c r="K928" s="78"/>
      <c r="L928" s="78"/>
      <c r="M928" s="16"/>
      <c r="N928" s="78"/>
      <c r="O928" s="78"/>
      <c r="P928" s="78"/>
      <c r="Q928" s="78"/>
      <c r="R928" s="54"/>
    </row>
    <row r="929" spans="2:18" x14ac:dyDescent="0.2">
      <c r="B929" s="53"/>
      <c r="C929" s="78"/>
      <c r="D929" s="78"/>
      <c r="E929" s="78"/>
      <c r="F929" s="78"/>
      <c r="G929" s="78"/>
      <c r="H929" s="79"/>
      <c r="I929" s="78"/>
      <c r="J929" s="78"/>
      <c r="K929" s="78"/>
      <c r="L929" s="78"/>
      <c r="M929" s="16"/>
      <c r="N929" s="78"/>
      <c r="O929" s="78"/>
      <c r="P929" s="78"/>
      <c r="Q929" s="78"/>
      <c r="R929" s="54"/>
    </row>
    <row r="930" spans="2:18" x14ac:dyDescent="0.2">
      <c r="B930" s="53"/>
      <c r="C930" s="78"/>
      <c r="D930" s="78"/>
      <c r="E930" s="78"/>
      <c r="F930" s="78"/>
      <c r="G930" s="78"/>
      <c r="H930" s="79"/>
      <c r="I930" s="78"/>
      <c r="J930" s="78"/>
      <c r="K930" s="78"/>
      <c r="L930" s="78"/>
      <c r="M930" s="16"/>
      <c r="N930" s="78"/>
      <c r="O930" s="78"/>
      <c r="P930" s="78"/>
      <c r="Q930" s="78"/>
      <c r="R930" s="54"/>
    </row>
    <row r="931" spans="2:18" x14ac:dyDescent="0.2">
      <c r="B931" s="53"/>
      <c r="C931" s="78"/>
      <c r="D931" s="78"/>
      <c r="E931" s="78"/>
      <c r="F931" s="78"/>
      <c r="G931" s="78"/>
      <c r="H931" s="79"/>
      <c r="I931" s="78"/>
      <c r="J931" s="78"/>
      <c r="K931" s="78"/>
      <c r="L931" s="78"/>
      <c r="M931" s="16"/>
      <c r="N931" s="78"/>
      <c r="O931" s="78"/>
      <c r="P931" s="78"/>
      <c r="Q931" s="78"/>
      <c r="R931" s="54"/>
    </row>
    <row r="932" spans="2:18" x14ac:dyDescent="0.2">
      <c r="B932" s="53"/>
      <c r="C932" s="78"/>
      <c r="D932" s="78"/>
      <c r="E932" s="78"/>
      <c r="F932" s="78"/>
      <c r="G932" s="78"/>
      <c r="H932" s="79"/>
      <c r="I932" s="78"/>
      <c r="J932" s="78"/>
      <c r="K932" s="78"/>
      <c r="L932" s="78"/>
      <c r="M932" s="16"/>
      <c r="N932" s="78"/>
      <c r="O932" s="78"/>
      <c r="P932" s="78"/>
      <c r="Q932" s="78"/>
      <c r="R932" s="54"/>
    </row>
    <row r="933" spans="2:18" x14ac:dyDescent="0.2">
      <c r="B933" s="53"/>
      <c r="C933" s="78"/>
      <c r="D933" s="78"/>
      <c r="E933" s="78"/>
      <c r="F933" s="78"/>
      <c r="G933" s="78"/>
      <c r="H933" s="79"/>
      <c r="I933" s="78"/>
      <c r="J933" s="78"/>
      <c r="K933" s="78"/>
      <c r="L933" s="78"/>
      <c r="M933" s="16"/>
      <c r="N933" s="78"/>
      <c r="O933" s="78"/>
      <c r="P933" s="78"/>
      <c r="Q933" s="78"/>
      <c r="R933" s="54"/>
    </row>
    <row r="934" spans="2:18" x14ac:dyDescent="0.2">
      <c r="B934" s="53"/>
      <c r="C934" s="78"/>
      <c r="D934" s="78"/>
      <c r="E934" s="78"/>
      <c r="F934" s="78"/>
      <c r="G934" s="78"/>
      <c r="H934" s="79"/>
      <c r="I934" s="78"/>
      <c r="J934" s="78"/>
      <c r="K934" s="78"/>
      <c r="L934" s="78"/>
      <c r="M934" s="16"/>
      <c r="N934" s="78"/>
      <c r="O934" s="78"/>
      <c r="P934" s="78"/>
      <c r="Q934" s="78"/>
      <c r="R934" s="54"/>
    </row>
    <row r="935" spans="2:18" x14ac:dyDescent="0.2">
      <c r="B935" s="53"/>
      <c r="C935" s="78"/>
      <c r="D935" s="78"/>
      <c r="E935" s="78"/>
      <c r="F935" s="78"/>
      <c r="G935" s="78"/>
      <c r="H935" s="79"/>
      <c r="I935" s="78"/>
      <c r="J935" s="78"/>
      <c r="K935" s="78"/>
      <c r="L935" s="78"/>
      <c r="M935" s="16"/>
      <c r="N935" s="78"/>
      <c r="O935" s="78"/>
      <c r="P935" s="78"/>
      <c r="Q935" s="78"/>
      <c r="R935" s="54"/>
    </row>
    <row r="936" spans="2:18" x14ac:dyDescent="0.2">
      <c r="B936" s="53"/>
      <c r="C936" s="78"/>
      <c r="D936" s="78"/>
      <c r="E936" s="78"/>
      <c r="F936" s="78"/>
      <c r="G936" s="78"/>
      <c r="H936" s="79"/>
      <c r="I936" s="78"/>
      <c r="J936" s="78"/>
      <c r="K936" s="78"/>
      <c r="L936" s="78"/>
      <c r="M936" s="16"/>
      <c r="N936" s="78"/>
      <c r="O936" s="78"/>
      <c r="P936" s="78"/>
      <c r="Q936" s="78"/>
      <c r="R936" s="54"/>
    </row>
    <row r="937" spans="2:18" x14ac:dyDescent="0.2">
      <c r="B937" s="53"/>
      <c r="C937" s="78"/>
      <c r="D937" s="78"/>
      <c r="E937" s="78"/>
      <c r="F937" s="78"/>
      <c r="G937" s="78"/>
      <c r="H937" s="79"/>
      <c r="I937" s="78"/>
      <c r="J937" s="78"/>
      <c r="K937" s="78"/>
      <c r="L937" s="78"/>
      <c r="M937" s="16"/>
      <c r="N937" s="78"/>
      <c r="O937" s="78"/>
      <c r="P937" s="78"/>
      <c r="Q937" s="78"/>
      <c r="R937" s="54"/>
    </row>
    <row r="938" spans="2:18" x14ac:dyDescent="0.2">
      <c r="B938" s="53"/>
      <c r="C938" s="78"/>
      <c r="D938" s="78"/>
      <c r="E938" s="78"/>
      <c r="F938" s="78"/>
      <c r="G938" s="78"/>
      <c r="H938" s="79"/>
      <c r="I938" s="78"/>
      <c r="J938" s="78"/>
      <c r="K938" s="78"/>
      <c r="L938" s="78"/>
      <c r="M938" s="16"/>
      <c r="N938" s="78"/>
      <c r="O938" s="78"/>
      <c r="P938" s="78"/>
      <c r="Q938" s="78"/>
      <c r="R938" s="54"/>
    </row>
    <row r="939" spans="2:18" x14ac:dyDescent="0.2">
      <c r="B939" s="53"/>
      <c r="C939" s="78"/>
      <c r="D939" s="78"/>
      <c r="E939" s="78"/>
      <c r="F939" s="78"/>
      <c r="G939" s="78"/>
      <c r="H939" s="79"/>
      <c r="I939" s="78"/>
      <c r="J939" s="78"/>
      <c r="K939" s="78"/>
      <c r="L939" s="78"/>
      <c r="M939" s="16"/>
      <c r="N939" s="78"/>
      <c r="O939" s="78"/>
      <c r="P939" s="78"/>
      <c r="Q939" s="78"/>
      <c r="R939" s="54"/>
    </row>
    <row r="940" spans="2:18" x14ac:dyDescent="0.2">
      <c r="B940" s="53"/>
      <c r="C940" s="78"/>
      <c r="D940" s="78"/>
      <c r="E940" s="78"/>
      <c r="F940" s="78"/>
      <c r="G940" s="78"/>
      <c r="H940" s="79"/>
      <c r="I940" s="78"/>
      <c r="J940" s="78"/>
      <c r="K940" s="78"/>
      <c r="L940" s="78"/>
      <c r="M940" s="16"/>
      <c r="N940" s="78"/>
      <c r="O940" s="78"/>
      <c r="P940" s="78"/>
      <c r="Q940" s="78"/>
      <c r="R940" s="54"/>
    </row>
    <row r="941" spans="2:18" x14ac:dyDescent="0.2">
      <c r="B941" s="53"/>
      <c r="C941" s="78"/>
      <c r="D941" s="78"/>
      <c r="E941" s="78"/>
      <c r="F941" s="78"/>
      <c r="G941" s="78"/>
      <c r="H941" s="79"/>
      <c r="I941" s="78"/>
      <c r="J941" s="78"/>
      <c r="K941" s="78"/>
      <c r="L941" s="78"/>
      <c r="M941" s="16"/>
      <c r="N941" s="78"/>
      <c r="O941" s="78"/>
      <c r="P941" s="78"/>
      <c r="Q941" s="78"/>
      <c r="R941" s="54"/>
    </row>
    <row r="942" spans="2:18" x14ac:dyDescent="0.2">
      <c r="B942" s="53"/>
      <c r="C942" s="78"/>
      <c r="D942" s="78"/>
      <c r="E942" s="78"/>
      <c r="F942" s="78"/>
      <c r="G942" s="78"/>
      <c r="H942" s="79"/>
      <c r="I942" s="78"/>
      <c r="J942" s="78"/>
      <c r="K942" s="78"/>
      <c r="L942" s="78"/>
      <c r="M942" s="16"/>
      <c r="N942" s="78"/>
      <c r="O942" s="78"/>
      <c r="P942" s="78"/>
      <c r="Q942" s="78"/>
      <c r="R942" s="54"/>
    </row>
    <row r="943" spans="2:18" x14ac:dyDescent="0.2">
      <c r="B943" s="53"/>
      <c r="C943" s="78"/>
      <c r="D943" s="78"/>
      <c r="E943" s="78"/>
      <c r="F943" s="78"/>
      <c r="G943" s="78"/>
      <c r="H943" s="79"/>
      <c r="I943" s="78"/>
      <c r="J943" s="78"/>
      <c r="K943" s="78"/>
      <c r="L943" s="78"/>
      <c r="M943" s="16"/>
      <c r="N943" s="78"/>
      <c r="O943" s="78"/>
      <c r="P943" s="78"/>
      <c r="Q943" s="78"/>
      <c r="R943" s="54"/>
    </row>
    <row r="944" spans="2:18" x14ac:dyDescent="0.2">
      <c r="B944" s="53"/>
      <c r="C944" s="78"/>
      <c r="D944" s="78"/>
      <c r="E944" s="78"/>
      <c r="F944" s="78"/>
      <c r="G944" s="78"/>
      <c r="H944" s="79"/>
      <c r="I944" s="78"/>
      <c r="J944" s="78"/>
      <c r="K944" s="78"/>
      <c r="L944" s="78"/>
      <c r="M944" s="16"/>
      <c r="N944" s="78"/>
      <c r="O944" s="78"/>
      <c r="P944" s="78"/>
      <c r="Q944" s="78"/>
      <c r="R944" s="54"/>
    </row>
    <row r="945" spans="2:18" x14ac:dyDescent="0.2">
      <c r="B945" s="53"/>
      <c r="C945" s="78"/>
      <c r="D945" s="78"/>
      <c r="E945" s="78"/>
      <c r="F945" s="78"/>
      <c r="G945" s="78"/>
      <c r="H945" s="79"/>
      <c r="I945" s="78"/>
      <c r="J945" s="78"/>
      <c r="K945" s="78"/>
      <c r="L945" s="78"/>
      <c r="M945" s="16"/>
      <c r="N945" s="78"/>
      <c r="O945" s="78"/>
      <c r="P945" s="78"/>
      <c r="Q945" s="78"/>
      <c r="R945" s="54"/>
    </row>
    <row r="946" spans="2:18" x14ac:dyDescent="0.2">
      <c r="B946" s="53"/>
      <c r="C946" s="78"/>
      <c r="D946" s="78"/>
      <c r="E946" s="78"/>
      <c r="F946" s="78"/>
      <c r="G946" s="78"/>
      <c r="H946" s="79"/>
      <c r="I946" s="78"/>
      <c r="J946" s="78"/>
      <c r="K946" s="78"/>
      <c r="L946" s="78"/>
      <c r="M946" s="16"/>
      <c r="N946" s="78"/>
      <c r="O946" s="78"/>
      <c r="P946" s="78"/>
      <c r="Q946" s="78"/>
      <c r="R946" s="54"/>
    </row>
    <row r="947" spans="2:18" x14ac:dyDescent="0.2">
      <c r="B947" s="53"/>
      <c r="C947" s="78"/>
      <c r="D947" s="78"/>
      <c r="E947" s="78"/>
      <c r="F947" s="78"/>
      <c r="G947" s="78"/>
      <c r="H947" s="79"/>
      <c r="I947" s="78"/>
      <c r="J947" s="78"/>
      <c r="K947" s="78"/>
      <c r="L947" s="78"/>
      <c r="M947" s="16"/>
      <c r="N947" s="78"/>
      <c r="O947" s="78"/>
      <c r="P947" s="78"/>
      <c r="Q947" s="78"/>
      <c r="R947" s="54"/>
    </row>
    <row r="948" spans="2:18" x14ac:dyDescent="0.2">
      <c r="B948" s="53"/>
      <c r="C948" s="78"/>
      <c r="D948" s="78"/>
      <c r="E948" s="78"/>
      <c r="F948" s="78"/>
      <c r="G948" s="78"/>
      <c r="H948" s="79"/>
      <c r="I948" s="78"/>
      <c r="J948" s="78"/>
      <c r="K948" s="78"/>
      <c r="L948" s="78"/>
      <c r="M948" s="16"/>
      <c r="N948" s="78"/>
      <c r="O948" s="78"/>
      <c r="P948" s="78"/>
      <c r="Q948" s="78"/>
      <c r="R948" s="54"/>
    </row>
    <row r="949" spans="2:18" x14ac:dyDescent="0.2">
      <c r="B949" s="53"/>
      <c r="C949" s="78"/>
      <c r="D949" s="78"/>
      <c r="E949" s="78"/>
      <c r="F949" s="78"/>
      <c r="G949" s="78"/>
      <c r="H949" s="79"/>
      <c r="I949" s="78"/>
      <c r="J949" s="78"/>
      <c r="K949" s="78"/>
      <c r="L949" s="78"/>
      <c r="M949" s="16"/>
      <c r="N949" s="78"/>
      <c r="O949" s="78"/>
      <c r="P949" s="78"/>
      <c r="Q949" s="78"/>
      <c r="R949" s="54"/>
    </row>
    <row r="950" spans="2:18" x14ac:dyDescent="0.2">
      <c r="B950" s="53"/>
      <c r="C950" s="78"/>
      <c r="D950" s="78"/>
      <c r="E950" s="78"/>
      <c r="F950" s="78"/>
      <c r="G950" s="78"/>
      <c r="H950" s="79"/>
      <c r="I950" s="78"/>
      <c r="J950" s="78"/>
      <c r="K950" s="78"/>
      <c r="L950" s="78"/>
      <c r="M950" s="16"/>
      <c r="N950" s="78"/>
      <c r="O950" s="78"/>
      <c r="P950" s="78"/>
      <c r="Q950" s="78"/>
      <c r="R950" s="54"/>
    </row>
    <row r="951" spans="2:18" x14ac:dyDescent="0.2">
      <c r="B951" s="53"/>
      <c r="C951" s="78"/>
      <c r="D951" s="78"/>
      <c r="E951" s="78"/>
      <c r="F951" s="78"/>
      <c r="G951" s="78"/>
      <c r="H951" s="79"/>
      <c r="I951" s="78"/>
      <c r="J951" s="78"/>
      <c r="K951" s="78"/>
      <c r="L951" s="78"/>
      <c r="M951" s="16"/>
      <c r="N951" s="78"/>
      <c r="O951" s="78"/>
      <c r="P951" s="78"/>
      <c r="Q951" s="78"/>
      <c r="R951" s="54"/>
    </row>
    <row r="952" spans="2:18" x14ac:dyDescent="0.2">
      <c r="B952" s="53"/>
      <c r="C952" s="78"/>
      <c r="D952" s="78"/>
      <c r="E952" s="78"/>
      <c r="F952" s="78"/>
      <c r="G952" s="78"/>
      <c r="H952" s="79"/>
      <c r="I952" s="78"/>
      <c r="J952" s="78"/>
      <c r="K952" s="78"/>
      <c r="L952" s="78"/>
      <c r="M952" s="16"/>
      <c r="N952" s="78"/>
      <c r="O952" s="78"/>
      <c r="P952" s="78"/>
      <c r="Q952" s="78"/>
      <c r="R952" s="54"/>
    </row>
    <row r="953" spans="2:18" x14ac:dyDescent="0.2">
      <c r="B953" s="53"/>
      <c r="C953" s="78"/>
      <c r="D953" s="78"/>
      <c r="E953" s="78"/>
      <c r="F953" s="78"/>
      <c r="G953" s="78"/>
      <c r="H953" s="79"/>
      <c r="I953" s="78"/>
      <c r="J953" s="78"/>
      <c r="K953" s="78"/>
      <c r="L953" s="78"/>
      <c r="M953" s="16"/>
      <c r="N953" s="78"/>
      <c r="O953" s="78"/>
      <c r="P953" s="78"/>
      <c r="Q953" s="78"/>
      <c r="R953" s="54"/>
    </row>
    <row r="954" spans="2:18" x14ac:dyDescent="0.2">
      <c r="B954" s="53"/>
      <c r="C954" s="78"/>
      <c r="D954" s="78"/>
      <c r="E954" s="78"/>
      <c r="F954" s="78"/>
      <c r="G954" s="78"/>
      <c r="H954" s="79"/>
      <c r="I954" s="78"/>
      <c r="J954" s="78"/>
      <c r="K954" s="78"/>
      <c r="L954" s="78"/>
      <c r="M954" s="16"/>
      <c r="N954" s="78"/>
      <c r="O954" s="78"/>
      <c r="P954" s="78"/>
      <c r="Q954" s="78"/>
      <c r="R954" s="54"/>
    </row>
    <row r="955" spans="2:18" x14ac:dyDescent="0.2">
      <c r="B955" s="53"/>
      <c r="C955" s="78"/>
      <c r="D955" s="78"/>
      <c r="E955" s="78"/>
      <c r="F955" s="78"/>
      <c r="G955" s="78"/>
      <c r="H955" s="79"/>
      <c r="I955" s="78"/>
      <c r="J955" s="78"/>
      <c r="K955" s="78"/>
      <c r="L955" s="78"/>
      <c r="M955" s="16"/>
      <c r="N955" s="78"/>
      <c r="O955" s="78"/>
      <c r="P955" s="78"/>
      <c r="Q955" s="78"/>
      <c r="R955" s="54"/>
    </row>
    <row r="956" spans="2:18" x14ac:dyDescent="0.2">
      <c r="B956" s="53"/>
      <c r="C956" s="78"/>
      <c r="D956" s="78"/>
      <c r="E956" s="78"/>
      <c r="F956" s="78"/>
      <c r="G956" s="78"/>
      <c r="H956" s="79"/>
      <c r="I956" s="78"/>
      <c r="J956" s="78"/>
      <c r="K956" s="78"/>
      <c r="L956" s="78"/>
      <c r="M956" s="16"/>
      <c r="N956" s="78"/>
      <c r="O956" s="78"/>
      <c r="P956" s="78"/>
      <c r="Q956" s="78"/>
      <c r="R956" s="54"/>
    </row>
    <row r="957" spans="2:18" x14ac:dyDescent="0.2">
      <c r="B957" s="53"/>
      <c r="C957" s="78"/>
      <c r="D957" s="78"/>
      <c r="E957" s="78"/>
      <c r="F957" s="78"/>
      <c r="G957" s="78"/>
      <c r="H957" s="79"/>
      <c r="I957" s="78"/>
      <c r="J957" s="78"/>
      <c r="K957" s="78"/>
      <c r="L957" s="78"/>
      <c r="M957" s="16"/>
      <c r="N957" s="78"/>
      <c r="O957" s="78"/>
      <c r="P957" s="78"/>
      <c r="Q957" s="78"/>
      <c r="R957" s="54"/>
    </row>
    <row r="958" spans="2:18" x14ac:dyDescent="0.2">
      <c r="B958" s="53"/>
      <c r="C958" s="78"/>
      <c r="D958" s="78"/>
      <c r="E958" s="78"/>
      <c r="F958" s="78"/>
      <c r="G958" s="78"/>
      <c r="H958" s="79"/>
      <c r="I958" s="78"/>
      <c r="J958" s="78"/>
      <c r="K958" s="78"/>
      <c r="L958" s="78"/>
      <c r="M958" s="16"/>
      <c r="N958" s="78"/>
      <c r="O958" s="78"/>
      <c r="P958" s="78"/>
      <c r="Q958" s="78"/>
      <c r="R958" s="54"/>
    </row>
    <row r="959" spans="2:18" x14ac:dyDescent="0.2">
      <c r="B959" s="53"/>
      <c r="C959" s="78"/>
      <c r="D959" s="78"/>
      <c r="E959" s="78"/>
      <c r="F959" s="78"/>
      <c r="G959" s="78"/>
      <c r="H959" s="79"/>
      <c r="I959" s="78"/>
      <c r="J959" s="78"/>
      <c r="K959" s="78"/>
      <c r="L959" s="78"/>
      <c r="M959" s="16"/>
      <c r="N959" s="78"/>
      <c r="O959" s="78"/>
      <c r="P959" s="78"/>
      <c r="Q959" s="78"/>
      <c r="R959" s="54"/>
    </row>
    <row r="960" spans="2:18" x14ac:dyDescent="0.2">
      <c r="B960" s="53"/>
      <c r="C960" s="78"/>
      <c r="D960" s="78"/>
      <c r="E960" s="78"/>
      <c r="F960" s="78"/>
      <c r="G960" s="78"/>
      <c r="H960" s="79"/>
      <c r="I960" s="78"/>
      <c r="J960" s="78"/>
      <c r="K960" s="78"/>
      <c r="L960" s="78"/>
      <c r="M960" s="16"/>
      <c r="N960" s="78"/>
      <c r="O960" s="78"/>
      <c r="P960" s="78"/>
      <c r="Q960" s="78"/>
      <c r="R960" s="54"/>
    </row>
    <row r="961" spans="2:18" x14ac:dyDescent="0.2">
      <c r="B961" s="53"/>
      <c r="C961" s="78"/>
      <c r="D961" s="78"/>
      <c r="E961" s="78"/>
      <c r="F961" s="78"/>
      <c r="G961" s="78"/>
      <c r="H961" s="79"/>
      <c r="I961" s="78"/>
      <c r="J961" s="78"/>
      <c r="K961" s="78"/>
      <c r="L961" s="78"/>
      <c r="M961" s="16"/>
      <c r="N961" s="78"/>
      <c r="O961" s="78"/>
      <c r="P961" s="78"/>
      <c r="Q961" s="78"/>
      <c r="R961" s="54"/>
    </row>
    <row r="962" spans="2:18" x14ac:dyDescent="0.2">
      <c r="B962" s="53"/>
      <c r="C962" s="78"/>
      <c r="D962" s="78"/>
      <c r="E962" s="78"/>
      <c r="F962" s="78"/>
      <c r="G962" s="78"/>
      <c r="H962" s="79"/>
      <c r="I962" s="78"/>
      <c r="J962" s="78"/>
      <c r="K962" s="78"/>
      <c r="L962" s="78"/>
      <c r="M962" s="16"/>
      <c r="N962" s="78"/>
      <c r="O962" s="78"/>
      <c r="P962" s="78"/>
      <c r="Q962" s="78"/>
      <c r="R962" s="54"/>
    </row>
    <row r="963" spans="2:18" x14ac:dyDescent="0.2">
      <c r="B963" s="53"/>
      <c r="C963" s="78"/>
      <c r="D963" s="78"/>
      <c r="E963" s="78"/>
      <c r="F963" s="78"/>
      <c r="G963" s="78"/>
      <c r="H963" s="79"/>
      <c r="I963" s="78"/>
      <c r="J963" s="78"/>
      <c r="K963" s="78"/>
      <c r="L963" s="78"/>
      <c r="M963" s="16"/>
      <c r="N963" s="78"/>
      <c r="O963" s="78"/>
      <c r="P963" s="78"/>
      <c r="Q963" s="78"/>
      <c r="R963" s="54"/>
    </row>
    <row r="964" spans="2:18" x14ac:dyDescent="0.2">
      <c r="B964" s="53"/>
      <c r="C964" s="78"/>
      <c r="D964" s="78"/>
      <c r="E964" s="78"/>
      <c r="F964" s="78"/>
      <c r="G964" s="78"/>
      <c r="H964" s="79"/>
      <c r="I964" s="78"/>
      <c r="J964" s="78"/>
      <c r="K964" s="78"/>
      <c r="L964" s="78"/>
      <c r="M964" s="16"/>
      <c r="N964" s="78"/>
      <c r="O964" s="78"/>
      <c r="P964" s="78"/>
      <c r="Q964" s="78"/>
      <c r="R964" s="54"/>
    </row>
    <row r="965" spans="2:18" x14ac:dyDescent="0.2">
      <c r="B965" s="53"/>
      <c r="C965" s="78"/>
      <c r="D965" s="78"/>
      <c r="E965" s="78"/>
      <c r="F965" s="78"/>
      <c r="G965" s="78"/>
      <c r="H965" s="79"/>
      <c r="I965" s="78"/>
      <c r="J965" s="78"/>
      <c r="K965" s="78"/>
      <c r="L965" s="78"/>
      <c r="M965" s="16"/>
      <c r="N965" s="78"/>
      <c r="O965" s="78"/>
      <c r="P965" s="78"/>
      <c r="Q965" s="78"/>
      <c r="R965" s="54"/>
    </row>
    <row r="966" spans="2:18" x14ac:dyDescent="0.2">
      <c r="B966" s="53"/>
      <c r="C966" s="78"/>
      <c r="D966" s="78"/>
      <c r="E966" s="78"/>
      <c r="F966" s="78"/>
      <c r="G966" s="78"/>
      <c r="H966" s="79"/>
      <c r="I966" s="78"/>
      <c r="J966" s="78"/>
      <c r="K966" s="78"/>
      <c r="L966" s="78"/>
      <c r="M966" s="16"/>
      <c r="N966" s="78"/>
      <c r="O966" s="78"/>
      <c r="P966" s="78"/>
      <c r="Q966" s="78"/>
      <c r="R966" s="54"/>
    </row>
    <row r="967" spans="2:18" x14ac:dyDescent="0.2">
      <c r="B967" s="53"/>
      <c r="C967" s="78"/>
      <c r="D967" s="78"/>
      <c r="E967" s="78"/>
      <c r="F967" s="78"/>
      <c r="G967" s="78"/>
      <c r="H967" s="79"/>
      <c r="I967" s="78"/>
      <c r="J967" s="78"/>
      <c r="K967" s="78"/>
      <c r="L967" s="78"/>
      <c r="M967" s="16"/>
      <c r="N967" s="78"/>
      <c r="O967" s="78"/>
      <c r="P967" s="78"/>
      <c r="Q967" s="78"/>
      <c r="R967" s="54"/>
    </row>
    <row r="968" spans="2:18" x14ac:dyDescent="0.2">
      <c r="B968" s="53"/>
      <c r="C968" s="78"/>
      <c r="D968" s="78"/>
      <c r="E968" s="78"/>
      <c r="F968" s="78"/>
      <c r="G968" s="78"/>
      <c r="H968" s="79"/>
      <c r="I968" s="78"/>
      <c r="J968" s="78"/>
      <c r="K968" s="78"/>
      <c r="L968" s="78"/>
      <c r="M968" s="16"/>
      <c r="N968" s="78"/>
      <c r="O968" s="78"/>
      <c r="P968" s="78"/>
      <c r="Q968" s="78"/>
      <c r="R968" s="54"/>
    </row>
    <row r="969" spans="2:18" x14ac:dyDescent="0.2">
      <c r="B969" s="53"/>
      <c r="C969" s="78"/>
      <c r="D969" s="78"/>
      <c r="E969" s="78"/>
      <c r="F969" s="78"/>
      <c r="G969" s="78"/>
      <c r="H969" s="79"/>
      <c r="I969" s="78"/>
      <c r="J969" s="78"/>
      <c r="K969" s="78"/>
      <c r="L969" s="78"/>
      <c r="M969" s="16"/>
      <c r="N969" s="78"/>
      <c r="O969" s="78"/>
      <c r="P969" s="78"/>
      <c r="Q969" s="78"/>
      <c r="R969" s="54"/>
    </row>
    <row r="970" spans="2:18" x14ac:dyDescent="0.2">
      <c r="B970" s="53"/>
      <c r="C970" s="78"/>
      <c r="D970" s="78"/>
      <c r="E970" s="78"/>
      <c r="F970" s="78"/>
      <c r="G970" s="78"/>
      <c r="H970" s="79"/>
      <c r="I970" s="78"/>
      <c r="J970" s="78"/>
      <c r="K970" s="78"/>
      <c r="L970" s="78"/>
      <c r="M970" s="16"/>
      <c r="N970" s="78"/>
      <c r="O970" s="78"/>
      <c r="P970" s="78"/>
      <c r="Q970" s="78"/>
      <c r="R970" s="54"/>
    </row>
    <row r="971" spans="2:18" x14ac:dyDescent="0.2">
      <c r="B971" s="53"/>
      <c r="C971" s="78"/>
      <c r="D971" s="78"/>
      <c r="E971" s="78"/>
      <c r="F971" s="78"/>
      <c r="G971" s="78"/>
      <c r="H971" s="79"/>
      <c r="I971" s="78"/>
      <c r="J971" s="78"/>
      <c r="K971" s="78"/>
      <c r="L971" s="78"/>
      <c r="M971" s="16"/>
      <c r="N971" s="78"/>
      <c r="O971" s="78"/>
      <c r="P971" s="78"/>
      <c r="Q971" s="78"/>
      <c r="R971" s="54"/>
    </row>
    <row r="972" spans="2:18" x14ac:dyDescent="0.2">
      <c r="B972" s="53"/>
      <c r="C972" s="78"/>
      <c r="D972" s="78"/>
      <c r="E972" s="78"/>
      <c r="F972" s="78"/>
      <c r="G972" s="78"/>
      <c r="H972" s="79"/>
      <c r="I972" s="78"/>
      <c r="J972" s="78"/>
      <c r="K972" s="78"/>
      <c r="L972" s="78"/>
      <c r="M972" s="16"/>
      <c r="N972" s="78"/>
      <c r="O972" s="78"/>
      <c r="P972" s="78"/>
      <c r="Q972" s="78"/>
      <c r="R972" s="54"/>
    </row>
    <row r="973" spans="2:18" x14ac:dyDescent="0.2">
      <c r="B973" s="53"/>
      <c r="C973" s="78"/>
      <c r="D973" s="78"/>
      <c r="E973" s="78"/>
      <c r="F973" s="78"/>
      <c r="G973" s="78"/>
      <c r="H973" s="79"/>
      <c r="I973" s="78"/>
      <c r="J973" s="78"/>
      <c r="K973" s="78"/>
      <c r="L973" s="78"/>
      <c r="M973" s="16"/>
      <c r="N973" s="78"/>
      <c r="O973" s="78"/>
      <c r="P973" s="78"/>
      <c r="Q973" s="78"/>
      <c r="R973" s="54"/>
    </row>
    <row r="974" spans="2:18" x14ac:dyDescent="0.2">
      <c r="B974" s="53"/>
      <c r="C974" s="78"/>
      <c r="D974" s="78"/>
      <c r="E974" s="78"/>
      <c r="F974" s="78"/>
      <c r="G974" s="78"/>
      <c r="H974" s="79"/>
      <c r="I974" s="78"/>
      <c r="J974" s="78"/>
      <c r="K974" s="78"/>
      <c r="L974" s="78"/>
      <c r="M974" s="16"/>
      <c r="N974" s="78"/>
      <c r="O974" s="78"/>
      <c r="P974" s="78"/>
      <c r="Q974" s="78"/>
      <c r="R974" s="54"/>
    </row>
    <row r="975" spans="2:18" x14ac:dyDescent="0.2">
      <c r="B975" s="53"/>
      <c r="C975" s="78"/>
      <c r="D975" s="78"/>
      <c r="E975" s="78"/>
      <c r="F975" s="78"/>
      <c r="G975" s="78"/>
      <c r="H975" s="79"/>
      <c r="I975" s="78"/>
      <c r="J975" s="78"/>
      <c r="K975" s="78"/>
      <c r="L975" s="78"/>
      <c r="M975" s="16"/>
      <c r="N975" s="78"/>
      <c r="O975" s="78"/>
      <c r="P975" s="78"/>
      <c r="Q975" s="78"/>
      <c r="R975" s="54"/>
    </row>
    <row r="976" spans="2:18" x14ac:dyDescent="0.2">
      <c r="B976" s="53"/>
      <c r="C976" s="78"/>
      <c r="D976" s="78"/>
      <c r="E976" s="78"/>
      <c r="F976" s="78"/>
      <c r="G976" s="78"/>
      <c r="H976" s="79"/>
      <c r="I976" s="78"/>
      <c r="J976" s="78"/>
      <c r="K976" s="78"/>
      <c r="L976" s="78"/>
      <c r="M976" s="16"/>
      <c r="N976" s="78"/>
      <c r="O976" s="78"/>
      <c r="P976" s="78"/>
      <c r="Q976" s="78"/>
      <c r="R976" s="54"/>
    </row>
    <row r="977" spans="2:18" x14ac:dyDescent="0.2">
      <c r="B977" s="53"/>
      <c r="C977" s="78"/>
      <c r="D977" s="78"/>
      <c r="E977" s="78"/>
      <c r="F977" s="78"/>
      <c r="G977" s="78"/>
      <c r="H977" s="79"/>
      <c r="I977" s="78"/>
      <c r="J977" s="78"/>
      <c r="K977" s="78"/>
      <c r="L977" s="78"/>
      <c r="M977" s="16"/>
      <c r="N977" s="78"/>
      <c r="O977" s="78"/>
      <c r="P977" s="78"/>
      <c r="Q977" s="78"/>
      <c r="R977" s="54"/>
    </row>
    <row r="978" spans="2:18" x14ac:dyDescent="0.2">
      <c r="B978" s="53"/>
      <c r="C978" s="78"/>
      <c r="D978" s="78"/>
      <c r="E978" s="78"/>
      <c r="F978" s="78"/>
      <c r="G978" s="78"/>
      <c r="H978" s="79"/>
      <c r="I978" s="78"/>
      <c r="J978" s="78"/>
      <c r="K978" s="78"/>
      <c r="L978" s="78"/>
      <c r="M978" s="16"/>
      <c r="N978" s="78"/>
      <c r="O978" s="78"/>
      <c r="P978" s="78"/>
      <c r="Q978" s="78"/>
      <c r="R978" s="54"/>
    </row>
    <row r="979" spans="2:18" x14ac:dyDescent="0.2">
      <c r="B979" s="53"/>
      <c r="C979" s="78"/>
      <c r="D979" s="78"/>
      <c r="E979" s="78"/>
      <c r="F979" s="78"/>
      <c r="G979" s="78"/>
      <c r="H979" s="79"/>
      <c r="I979" s="78"/>
      <c r="J979" s="78"/>
      <c r="K979" s="78"/>
      <c r="L979" s="78"/>
      <c r="M979" s="16"/>
      <c r="N979" s="78"/>
      <c r="O979" s="78"/>
      <c r="P979" s="78"/>
      <c r="Q979" s="78"/>
      <c r="R979" s="54"/>
    </row>
    <row r="980" spans="2:18" x14ac:dyDescent="0.2">
      <c r="B980" s="53"/>
      <c r="C980" s="78"/>
      <c r="D980" s="78"/>
      <c r="E980" s="78"/>
      <c r="F980" s="78"/>
      <c r="G980" s="78"/>
      <c r="H980" s="79"/>
      <c r="I980" s="78"/>
      <c r="J980" s="78"/>
      <c r="K980" s="78"/>
      <c r="L980" s="78"/>
      <c r="M980" s="16"/>
      <c r="N980" s="78"/>
      <c r="O980" s="78"/>
      <c r="P980" s="78"/>
      <c r="Q980" s="78"/>
      <c r="R980" s="54"/>
    </row>
    <row r="981" spans="2:18" x14ac:dyDescent="0.2">
      <c r="B981" s="53"/>
      <c r="C981" s="78"/>
      <c r="D981" s="78"/>
      <c r="E981" s="78"/>
      <c r="F981" s="78"/>
      <c r="G981" s="78"/>
      <c r="H981" s="79"/>
      <c r="I981" s="78"/>
      <c r="J981" s="78"/>
      <c r="K981" s="78"/>
      <c r="L981" s="78"/>
      <c r="M981" s="16"/>
      <c r="N981" s="78"/>
      <c r="O981" s="78"/>
      <c r="P981" s="78"/>
      <c r="Q981" s="78"/>
      <c r="R981" s="54"/>
    </row>
    <row r="982" spans="2:18" x14ac:dyDescent="0.2">
      <c r="B982" s="53"/>
      <c r="C982" s="78"/>
      <c r="D982" s="78"/>
      <c r="E982" s="78"/>
      <c r="F982" s="78"/>
      <c r="G982" s="78"/>
      <c r="H982" s="79"/>
      <c r="I982" s="78"/>
      <c r="J982" s="78"/>
      <c r="K982" s="78"/>
      <c r="L982" s="78"/>
      <c r="M982" s="16"/>
      <c r="N982" s="78"/>
      <c r="O982" s="78"/>
      <c r="P982" s="78"/>
      <c r="Q982" s="78"/>
      <c r="R982" s="54"/>
    </row>
    <row r="983" spans="2:18" x14ac:dyDescent="0.2">
      <c r="B983" s="53"/>
      <c r="C983" s="78"/>
      <c r="D983" s="78"/>
      <c r="E983" s="78"/>
      <c r="F983" s="78"/>
      <c r="G983" s="78"/>
      <c r="H983" s="79"/>
      <c r="I983" s="78"/>
      <c r="J983" s="78"/>
      <c r="K983" s="78"/>
      <c r="L983" s="78"/>
      <c r="M983" s="16"/>
      <c r="N983" s="78"/>
      <c r="O983" s="78"/>
      <c r="P983" s="78"/>
      <c r="Q983" s="78"/>
      <c r="R983" s="54"/>
    </row>
    <row r="984" spans="2:18" x14ac:dyDescent="0.2">
      <c r="B984" s="53"/>
      <c r="C984" s="78"/>
      <c r="D984" s="78"/>
      <c r="E984" s="78"/>
      <c r="F984" s="78"/>
      <c r="G984" s="78"/>
      <c r="H984" s="79"/>
      <c r="I984" s="78"/>
      <c r="J984" s="78"/>
      <c r="K984" s="78"/>
      <c r="L984" s="78"/>
      <c r="M984" s="16"/>
      <c r="N984" s="78"/>
      <c r="O984" s="78"/>
      <c r="P984" s="78"/>
      <c r="Q984" s="78"/>
      <c r="R984" s="54"/>
    </row>
    <row r="985" spans="2:18" x14ac:dyDescent="0.2">
      <c r="B985" s="53"/>
      <c r="C985" s="78"/>
      <c r="D985" s="78"/>
      <c r="E985" s="78"/>
      <c r="F985" s="78"/>
      <c r="G985" s="78"/>
      <c r="H985" s="79"/>
      <c r="I985" s="78"/>
      <c r="J985" s="78"/>
      <c r="K985" s="78"/>
      <c r="L985" s="78"/>
      <c r="M985" s="16"/>
      <c r="N985" s="78"/>
      <c r="O985" s="78"/>
      <c r="P985" s="78"/>
      <c r="Q985" s="78"/>
      <c r="R985" s="54"/>
    </row>
    <row r="986" spans="2:18" x14ac:dyDescent="0.2">
      <c r="B986" s="53"/>
      <c r="C986" s="78"/>
      <c r="D986" s="78"/>
      <c r="E986" s="78"/>
      <c r="F986" s="78"/>
      <c r="G986" s="78"/>
      <c r="H986" s="79"/>
      <c r="I986" s="78"/>
      <c r="J986" s="78"/>
      <c r="K986" s="78"/>
      <c r="L986" s="78"/>
      <c r="M986" s="16"/>
      <c r="N986" s="78"/>
      <c r="O986" s="78"/>
      <c r="P986" s="78"/>
      <c r="Q986" s="78"/>
      <c r="R986" s="54"/>
    </row>
    <row r="987" spans="2:18" x14ac:dyDescent="0.2">
      <c r="B987" s="53"/>
      <c r="C987" s="78"/>
      <c r="D987" s="78"/>
      <c r="E987" s="78"/>
      <c r="F987" s="78"/>
      <c r="G987" s="78"/>
      <c r="H987" s="79"/>
      <c r="I987" s="78"/>
      <c r="J987" s="78"/>
      <c r="K987" s="78"/>
      <c r="L987" s="78"/>
      <c r="M987" s="16"/>
      <c r="N987" s="78"/>
      <c r="O987" s="78"/>
      <c r="P987" s="78"/>
      <c r="Q987" s="78"/>
      <c r="R987" s="54"/>
    </row>
    <row r="988" spans="2:18" x14ac:dyDescent="0.2">
      <c r="B988" s="53"/>
      <c r="C988" s="78"/>
      <c r="D988" s="78"/>
      <c r="E988" s="78"/>
      <c r="F988" s="78"/>
      <c r="G988" s="78"/>
      <c r="H988" s="79"/>
      <c r="I988" s="78"/>
      <c r="J988" s="78"/>
      <c r="K988" s="78"/>
      <c r="L988" s="78"/>
      <c r="M988" s="16"/>
      <c r="N988" s="78"/>
      <c r="O988" s="78"/>
      <c r="P988" s="78"/>
      <c r="Q988" s="78"/>
      <c r="R988" s="54"/>
    </row>
    <row r="989" spans="2:18" x14ac:dyDescent="0.2">
      <c r="B989" s="53"/>
      <c r="C989" s="78"/>
      <c r="D989" s="78"/>
      <c r="E989" s="78"/>
      <c r="F989" s="78"/>
      <c r="G989" s="78"/>
      <c r="H989" s="79"/>
      <c r="I989" s="78"/>
      <c r="J989" s="78"/>
      <c r="K989" s="78"/>
      <c r="L989" s="78"/>
      <c r="M989" s="16"/>
      <c r="N989" s="78"/>
      <c r="O989" s="78"/>
      <c r="P989" s="78"/>
      <c r="Q989" s="78"/>
      <c r="R989" s="54"/>
    </row>
    <row r="990" spans="2:18" x14ac:dyDescent="0.2">
      <c r="B990" s="53"/>
      <c r="C990" s="78"/>
      <c r="D990" s="78"/>
      <c r="E990" s="78"/>
      <c r="F990" s="78"/>
      <c r="G990" s="78"/>
      <c r="H990" s="79"/>
      <c r="I990" s="78"/>
      <c r="J990" s="78"/>
      <c r="K990" s="78"/>
      <c r="L990" s="78"/>
      <c r="M990" s="16"/>
      <c r="N990" s="78"/>
      <c r="O990" s="78"/>
      <c r="P990" s="78"/>
      <c r="Q990" s="78"/>
      <c r="R990" s="54"/>
    </row>
    <row r="991" spans="2:18" x14ac:dyDescent="0.2">
      <c r="B991" s="53"/>
      <c r="C991" s="78"/>
      <c r="D991" s="78"/>
      <c r="E991" s="78"/>
      <c r="F991" s="78"/>
      <c r="G991" s="78"/>
      <c r="H991" s="79"/>
      <c r="I991" s="78"/>
      <c r="J991" s="78"/>
      <c r="K991" s="78"/>
      <c r="L991" s="78"/>
      <c r="M991" s="16"/>
      <c r="N991" s="78"/>
      <c r="O991" s="78"/>
      <c r="P991" s="78"/>
      <c r="Q991" s="78"/>
      <c r="R991" s="54"/>
    </row>
    <row r="992" spans="2:18" x14ac:dyDescent="0.2">
      <c r="B992" s="53"/>
      <c r="C992" s="78"/>
      <c r="D992" s="78"/>
      <c r="E992" s="78"/>
      <c r="F992" s="78"/>
      <c r="G992" s="78"/>
      <c r="H992" s="79"/>
      <c r="I992" s="78"/>
      <c r="J992" s="78"/>
      <c r="K992" s="78"/>
      <c r="L992" s="78"/>
      <c r="M992" s="16"/>
      <c r="N992" s="78"/>
      <c r="O992" s="78"/>
      <c r="P992" s="78"/>
      <c r="Q992" s="78"/>
      <c r="R992" s="54"/>
    </row>
    <row r="993" spans="2:18" x14ac:dyDescent="0.2">
      <c r="B993" s="53"/>
      <c r="C993" s="78"/>
      <c r="D993" s="78"/>
      <c r="E993" s="78"/>
      <c r="F993" s="78"/>
      <c r="G993" s="78"/>
      <c r="H993" s="79"/>
      <c r="I993" s="78"/>
      <c r="J993" s="78"/>
      <c r="K993" s="78"/>
      <c r="L993" s="78"/>
      <c r="M993" s="16"/>
      <c r="N993" s="78"/>
      <c r="O993" s="78"/>
      <c r="P993" s="78"/>
      <c r="Q993" s="78"/>
      <c r="R993" s="54"/>
    </row>
    <row r="994" spans="2:18" x14ac:dyDescent="0.2">
      <c r="B994" s="53"/>
      <c r="C994" s="78"/>
      <c r="D994" s="78"/>
      <c r="E994" s="78"/>
      <c r="F994" s="78"/>
      <c r="G994" s="78"/>
      <c r="H994" s="79"/>
      <c r="I994" s="78"/>
      <c r="J994" s="78"/>
      <c r="K994" s="78"/>
      <c r="L994" s="78"/>
      <c r="M994" s="16"/>
      <c r="N994" s="78"/>
      <c r="O994" s="78"/>
      <c r="P994" s="78"/>
      <c r="Q994" s="78"/>
      <c r="R994" s="54"/>
    </row>
    <row r="995" spans="2:18" x14ac:dyDescent="0.2">
      <c r="B995" s="53"/>
      <c r="C995" s="78"/>
      <c r="D995" s="78"/>
      <c r="E995" s="78"/>
      <c r="F995" s="78"/>
      <c r="G995" s="78"/>
      <c r="H995" s="79"/>
      <c r="I995" s="78"/>
      <c r="J995" s="78"/>
      <c r="K995" s="78"/>
      <c r="L995" s="78"/>
      <c r="M995" s="16"/>
      <c r="N995" s="78"/>
      <c r="O995" s="78"/>
      <c r="P995" s="78"/>
      <c r="Q995" s="78"/>
      <c r="R995" s="54"/>
    </row>
    <row r="996" spans="2:18" x14ac:dyDescent="0.2">
      <c r="B996" s="53"/>
      <c r="C996" s="78"/>
      <c r="D996" s="78"/>
      <c r="E996" s="78"/>
      <c r="F996" s="78"/>
      <c r="G996" s="78"/>
      <c r="H996" s="79"/>
      <c r="I996" s="78"/>
      <c r="J996" s="78"/>
      <c r="K996" s="78"/>
      <c r="L996" s="78"/>
      <c r="M996" s="16"/>
      <c r="N996" s="78"/>
      <c r="O996" s="78"/>
      <c r="P996" s="78"/>
      <c r="Q996" s="78"/>
      <c r="R996" s="54"/>
    </row>
    <row r="997" spans="2:18" x14ac:dyDescent="0.2">
      <c r="B997" s="53"/>
      <c r="C997" s="78"/>
      <c r="D997" s="78"/>
      <c r="E997" s="78"/>
      <c r="F997" s="78"/>
      <c r="G997" s="78"/>
      <c r="H997" s="79"/>
      <c r="I997" s="78"/>
      <c r="J997" s="78"/>
      <c r="K997" s="78"/>
      <c r="L997" s="78"/>
      <c r="M997" s="16"/>
      <c r="N997" s="78"/>
      <c r="O997" s="78"/>
      <c r="P997" s="78"/>
      <c r="Q997" s="78"/>
      <c r="R997" s="54"/>
    </row>
    <row r="998" spans="2:18" x14ac:dyDescent="0.2">
      <c r="B998" s="53"/>
      <c r="C998" s="78"/>
      <c r="D998" s="78"/>
      <c r="E998" s="78"/>
      <c r="F998" s="78"/>
      <c r="G998" s="78"/>
      <c r="H998" s="79"/>
      <c r="I998" s="78"/>
      <c r="J998" s="78"/>
      <c r="K998" s="78"/>
      <c r="L998" s="78"/>
      <c r="M998" s="16"/>
      <c r="N998" s="78"/>
      <c r="O998" s="78"/>
      <c r="P998" s="78"/>
      <c r="Q998" s="78"/>
      <c r="R998" s="54"/>
    </row>
    <row r="999" spans="2:18" x14ac:dyDescent="0.2">
      <c r="B999" s="53"/>
      <c r="C999" s="78"/>
      <c r="D999" s="78"/>
      <c r="E999" s="78"/>
      <c r="F999" s="78"/>
      <c r="G999" s="78"/>
      <c r="H999" s="79"/>
      <c r="I999" s="78"/>
      <c r="J999" s="78"/>
      <c r="K999" s="78"/>
      <c r="L999" s="78"/>
      <c r="M999" s="16"/>
      <c r="N999" s="78"/>
      <c r="O999" s="78"/>
      <c r="P999" s="78"/>
      <c r="Q999" s="78"/>
      <c r="R999" s="54"/>
    </row>
    <row r="1000" spans="2:18" x14ac:dyDescent="0.2">
      <c r="B1000" s="53"/>
      <c r="C1000" s="78"/>
      <c r="D1000" s="78"/>
      <c r="E1000" s="78"/>
      <c r="F1000" s="78"/>
      <c r="G1000" s="78"/>
      <c r="H1000" s="79"/>
      <c r="I1000" s="78"/>
      <c r="J1000" s="78"/>
      <c r="K1000" s="78"/>
      <c r="L1000" s="78"/>
      <c r="M1000" s="16"/>
      <c r="N1000" s="78"/>
      <c r="O1000" s="78"/>
      <c r="P1000" s="78"/>
      <c r="Q1000" s="78"/>
      <c r="R1000" s="54"/>
    </row>
    <row r="1001" spans="2:18" x14ac:dyDescent="0.2">
      <c r="B1001" s="53"/>
      <c r="C1001" s="78"/>
      <c r="D1001" s="78"/>
      <c r="E1001" s="78"/>
      <c r="F1001" s="78"/>
      <c r="G1001" s="78"/>
      <c r="H1001" s="79"/>
      <c r="I1001" s="78"/>
      <c r="J1001" s="78"/>
      <c r="K1001" s="78"/>
      <c r="L1001" s="78"/>
      <c r="M1001" s="16"/>
      <c r="N1001" s="78"/>
      <c r="O1001" s="78"/>
      <c r="P1001" s="78"/>
      <c r="Q1001" s="78"/>
      <c r="R1001" s="54"/>
    </row>
    <row r="1002" spans="2:18" x14ac:dyDescent="0.2">
      <c r="B1002" s="53"/>
      <c r="C1002" s="78"/>
      <c r="D1002" s="78"/>
      <c r="E1002" s="78"/>
      <c r="F1002" s="78"/>
      <c r="G1002" s="78"/>
      <c r="H1002" s="79"/>
      <c r="I1002" s="78"/>
      <c r="J1002" s="78"/>
      <c r="K1002" s="78"/>
      <c r="L1002" s="78"/>
      <c r="M1002" s="16"/>
      <c r="N1002" s="78"/>
      <c r="O1002" s="78"/>
      <c r="P1002" s="78"/>
      <c r="Q1002" s="78"/>
      <c r="R1002" s="54"/>
    </row>
    <row r="1003" spans="2:18" x14ac:dyDescent="0.2">
      <c r="B1003" s="53"/>
      <c r="C1003" s="78"/>
      <c r="D1003" s="78"/>
      <c r="E1003" s="78"/>
      <c r="F1003" s="78"/>
      <c r="G1003" s="78"/>
      <c r="H1003" s="79"/>
      <c r="I1003" s="78"/>
      <c r="J1003" s="78"/>
      <c r="K1003" s="78"/>
      <c r="L1003" s="78"/>
      <c r="M1003" s="16"/>
      <c r="N1003" s="78"/>
      <c r="O1003" s="78"/>
      <c r="P1003" s="78"/>
      <c r="Q1003" s="78"/>
      <c r="R1003" s="54"/>
    </row>
    <row r="1004" spans="2:18" x14ac:dyDescent="0.2">
      <c r="B1004" s="53"/>
      <c r="C1004" s="78"/>
      <c r="D1004" s="78"/>
      <c r="E1004" s="78"/>
      <c r="F1004" s="78"/>
      <c r="G1004" s="78"/>
      <c r="H1004" s="79"/>
      <c r="I1004" s="78"/>
      <c r="J1004" s="78"/>
      <c r="K1004" s="78"/>
      <c r="L1004" s="78"/>
      <c r="M1004" s="16"/>
      <c r="N1004" s="78"/>
      <c r="O1004" s="78"/>
      <c r="P1004" s="78"/>
      <c r="Q1004" s="78"/>
      <c r="R1004" s="54"/>
    </row>
    <row r="1005" spans="2:18" x14ac:dyDescent="0.2">
      <c r="B1005" s="53"/>
      <c r="C1005" s="78"/>
      <c r="D1005" s="78"/>
      <c r="E1005" s="78"/>
      <c r="F1005" s="78"/>
      <c r="G1005" s="78"/>
      <c r="H1005" s="79"/>
      <c r="I1005" s="78"/>
      <c r="J1005" s="78"/>
      <c r="K1005" s="78"/>
      <c r="L1005" s="78"/>
      <c r="M1005" s="16"/>
      <c r="N1005" s="78"/>
      <c r="O1005" s="78"/>
      <c r="P1005" s="78"/>
      <c r="Q1005" s="78"/>
      <c r="R1005" s="54"/>
    </row>
    <row r="1006" spans="2:18" x14ac:dyDescent="0.2">
      <c r="B1006" s="53"/>
      <c r="C1006" s="78"/>
      <c r="D1006" s="78"/>
      <c r="E1006" s="78"/>
      <c r="F1006" s="78"/>
      <c r="G1006" s="78"/>
      <c r="H1006" s="79"/>
      <c r="I1006" s="78"/>
      <c r="J1006" s="78"/>
      <c r="K1006" s="78"/>
      <c r="L1006" s="78"/>
      <c r="M1006" s="16"/>
      <c r="N1006" s="78"/>
      <c r="O1006" s="78"/>
      <c r="P1006" s="78"/>
      <c r="Q1006" s="78"/>
      <c r="R1006" s="54"/>
    </row>
    <row r="1007" spans="2:18" x14ac:dyDescent="0.2">
      <c r="B1007" s="53"/>
      <c r="C1007" s="78"/>
      <c r="D1007" s="78"/>
      <c r="E1007" s="78"/>
      <c r="F1007" s="78"/>
      <c r="G1007" s="78"/>
      <c r="H1007" s="79"/>
      <c r="I1007" s="78"/>
      <c r="J1007" s="78"/>
      <c r="K1007" s="78"/>
      <c r="L1007" s="78"/>
      <c r="M1007" s="16"/>
      <c r="N1007" s="78"/>
      <c r="O1007" s="78"/>
      <c r="P1007" s="78"/>
      <c r="Q1007" s="78"/>
      <c r="R1007" s="54"/>
    </row>
    <row r="1008" spans="2:18" x14ac:dyDescent="0.2">
      <c r="B1008" s="53"/>
      <c r="C1008" s="78"/>
      <c r="D1008" s="78"/>
      <c r="E1008" s="78"/>
      <c r="F1008" s="78"/>
      <c r="G1008" s="78"/>
      <c r="H1008" s="79"/>
      <c r="I1008" s="78"/>
      <c r="J1008" s="78"/>
      <c r="K1008" s="78"/>
      <c r="L1008" s="78"/>
      <c r="M1008" s="16"/>
      <c r="N1008" s="78"/>
      <c r="O1008" s="78"/>
      <c r="P1008" s="78"/>
      <c r="Q1008" s="78"/>
      <c r="R1008" s="54"/>
    </row>
    <row r="1009" spans="2:18" x14ac:dyDescent="0.2">
      <c r="B1009" s="53"/>
      <c r="C1009" s="78"/>
      <c r="D1009" s="78"/>
      <c r="E1009" s="78"/>
      <c r="F1009" s="78"/>
      <c r="G1009" s="78"/>
      <c r="H1009" s="79"/>
      <c r="I1009" s="78"/>
      <c r="J1009" s="78"/>
      <c r="K1009" s="78"/>
      <c r="L1009" s="78"/>
      <c r="M1009" s="16"/>
      <c r="N1009" s="78"/>
      <c r="O1009" s="78"/>
      <c r="P1009" s="78"/>
      <c r="Q1009" s="78"/>
      <c r="R1009" s="54"/>
    </row>
    <row r="1010" spans="2:18" x14ac:dyDescent="0.2">
      <c r="B1010" s="53"/>
      <c r="C1010" s="78"/>
      <c r="D1010" s="78"/>
      <c r="E1010" s="78"/>
      <c r="F1010" s="78"/>
      <c r="G1010" s="78"/>
      <c r="H1010" s="79"/>
      <c r="I1010" s="78"/>
      <c r="J1010" s="78"/>
      <c r="K1010" s="78"/>
      <c r="L1010" s="78"/>
      <c r="M1010" s="16"/>
      <c r="N1010" s="78"/>
      <c r="O1010" s="78"/>
      <c r="P1010" s="78"/>
      <c r="Q1010" s="78"/>
      <c r="R1010" s="54"/>
    </row>
    <row r="1011" spans="2:18" x14ac:dyDescent="0.2">
      <c r="B1011" s="53"/>
      <c r="C1011" s="78"/>
      <c r="D1011" s="78"/>
      <c r="E1011" s="78"/>
      <c r="F1011" s="78"/>
      <c r="G1011" s="78"/>
      <c r="H1011" s="79"/>
      <c r="I1011" s="78"/>
      <c r="J1011" s="78"/>
      <c r="K1011" s="78"/>
      <c r="L1011" s="78"/>
      <c r="M1011" s="16"/>
      <c r="N1011" s="78"/>
      <c r="O1011" s="78"/>
      <c r="P1011" s="78"/>
      <c r="Q1011" s="78"/>
      <c r="R1011" s="54"/>
    </row>
    <row r="1012" spans="2:18" x14ac:dyDescent="0.2">
      <c r="B1012" s="53"/>
      <c r="C1012" s="78"/>
      <c r="D1012" s="78"/>
      <c r="E1012" s="78"/>
      <c r="F1012" s="78"/>
      <c r="G1012" s="78"/>
      <c r="H1012" s="79"/>
      <c r="I1012" s="78"/>
      <c r="J1012" s="78"/>
      <c r="K1012" s="78"/>
      <c r="L1012" s="78"/>
      <c r="M1012" s="16"/>
      <c r="N1012" s="78"/>
      <c r="O1012" s="78"/>
      <c r="P1012" s="78"/>
      <c r="Q1012" s="78"/>
      <c r="R1012" s="54"/>
    </row>
    <row r="1013" spans="2:18" x14ac:dyDescent="0.2">
      <c r="B1013" s="53"/>
      <c r="C1013" s="78"/>
      <c r="D1013" s="78"/>
      <c r="E1013" s="78"/>
      <c r="F1013" s="78"/>
      <c r="G1013" s="78"/>
      <c r="H1013" s="79"/>
      <c r="I1013" s="78"/>
      <c r="J1013" s="78"/>
      <c r="K1013" s="78"/>
      <c r="L1013" s="78"/>
      <c r="M1013" s="16"/>
      <c r="N1013" s="78"/>
      <c r="O1013" s="78"/>
      <c r="P1013" s="78"/>
      <c r="Q1013" s="78"/>
      <c r="R1013" s="54"/>
    </row>
    <row r="1014" spans="2:18" x14ac:dyDescent="0.2">
      <c r="B1014" s="53"/>
      <c r="C1014" s="78"/>
      <c r="D1014" s="78"/>
      <c r="E1014" s="78"/>
      <c r="F1014" s="78"/>
      <c r="G1014" s="78"/>
      <c r="H1014" s="79"/>
      <c r="I1014" s="78"/>
      <c r="J1014" s="78"/>
      <c r="K1014" s="78"/>
      <c r="L1014" s="78"/>
      <c r="M1014" s="16"/>
      <c r="N1014" s="78"/>
      <c r="O1014" s="78"/>
      <c r="P1014" s="78"/>
      <c r="Q1014" s="78"/>
      <c r="R1014" s="54"/>
    </row>
    <row r="1015" spans="2:18" x14ac:dyDescent="0.2">
      <c r="B1015" s="53"/>
      <c r="C1015" s="78"/>
      <c r="D1015" s="78"/>
      <c r="E1015" s="78"/>
      <c r="F1015" s="78"/>
      <c r="G1015" s="78"/>
      <c r="H1015" s="79"/>
      <c r="I1015" s="78"/>
      <c r="J1015" s="78"/>
      <c r="K1015" s="78"/>
      <c r="L1015" s="78"/>
      <c r="M1015" s="16"/>
      <c r="N1015" s="78"/>
      <c r="O1015" s="78"/>
      <c r="P1015" s="78"/>
      <c r="Q1015" s="78"/>
      <c r="R1015" s="54"/>
    </row>
    <row r="1016" spans="2:18" x14ac:dyDescent="0.2">
      <c r="B1016" s="53"/>
      <c r="C1016" s="78"/>
      <c r="D1016" s="78"/>
      <c r="E1016" s="78"/>
      <c r="F1016" s="78"/>
      <c r="G1016" s="78"/>
      <c r="H1016" s="79"/>
      <c r="I1016" s="78"/>
      <c r="J1016" s="78"/>
      <c r="K1016" s="78"/>
      <c r="L1016" s="78"/>
      <c r="M1016" s="16"/>
      <c r="N1016" s="78"/>
      <c r="O1016" s="78"/>
      <c r="P1016" s="78"/>
      <c r="Q1016" s="78"/>
      <c r="R1016" s="54"/>
    </row>
    <row r="1017" spans="2:18" x14ac:dyDescent="0.2">
      <c r="B1017" s="53"/>
      <c r="C1017" s="78"/>
      <c r="D1017" s="78"/>
      <c r="E1017" s="78"/>
      <c r="F1017" s="78"/>
      <c r="G1017" s="78"/>
      <c r="H1017" s="79"/>
      <c r="I1017" s="78"/>
      <c r="J1017" s="78"/>
      <c r="K1017" s="78"/>
      <c r="L1017" s="78"/>
      <c r="M1017" s="16"/>
      <c r="N1017" s="78"/>
      <c r="O1017" s="78"/>
      <c r="P1017" s="78"/>
      <c r="Q1017" s="78"/>
      <c r="R1017" s="54"/>
    </row>
    <row r="1018" spans="2:18" x14ac:dyDescent="0.2">
      <c r="B1018" s="53"/>
      <c r="C1018" s="78"/>
      <c r="D1018" s="78"/>
      <c r="E1018" s="78"/>
      <c r="F1018" s="78"/>
      <c r="G1018" s="78"/>
      <c r="H1018" s="79"/>
      <c r="I1018" s="78"/>
      <c r="J1018" s="78"/>
      <c r="K1018" s="78"/>
      <c r="L1018" s="78"/>
      <c r="M1018" s="16"/>
      <c r="N1018" s="78"/>
      <c r="O1018" s="78"/>
      <c r="P1018" s="78"/>
      <c r="Q1018" s="78"/>
      <c r="R1018" s="54"/>
    </row>
    <row r="1019" spans="2:18" x14ac:dyDescent="0.2">
      <c r="B1019" s="53"/>
      <c r="C1019" s="78"/>
      <c r="D1019" s="78"/>
      <c r="E1019" s="78"/>
      <c r="F1019" s="78"/>
      <c r="G1019" s="78"/>
      <c r="H1019" s="79"/>
      <c r="I1019" s="78"/>
      <c r="J1019" s="78"/>
      <c r="K1019" s="78"/>
      <c r="L1019" s="78"/>
      <c r="M1019" s="16"/>
      <c r="N1019" s="78"/>
      <c r="O1019" s="78"/>
      <c r="P1019" s="78"/>
      <c r="Q1019" s="78"/>
      <c r="R1019" s="54"/>
    </row>
    <row r="1020" spans="2:18" x14ac:dyDescent="0.2">
      <c r="B1020" s="53"/>
      <c r="C1020" s="78"/>
      <c r="D1020" s="78"/>
      <c r="E1020" s="78"/>
      <c r="F1020" s="78"/>
      <c r="G1020" s="78"/>
      <c r="H1020" s="79"/>
      <c r="I1020" s="78"/>
      <c r="J1020" s="78"/>
      <c r="K1020" s="78"/>
      <c r="L1020" s="78"/>
      <c r="M1020" s="16"/>
      <c r="N1020" s="78"/>
      <c r="O1020" s="78"/>
      <c r="P1020" s="78"/>
      <c r="Q1020" s="78"/>
      <c r="R1020" s="54"/>
    </row>
    <row r="1021" spans="2:18" x14ac:dyDescent="0.2">
      <c r="B1021" s="53"/>
      <c r="C1021" s="78"/>
      <c r="D1021" s="78"/>
      <c r="E1021" s="78"/>
      <c r="F1021" s="78"/>
      <c r="G1021" s="78"/>
      <c r="H1021" s="79"/>
      <c r="I1021" s="78"/>
      <c r="J1021" s="78"/>
      <c r="K1021" s="78"/>
      <c r="L1021" s="78"/>
      <c r="M1021" s="16"/>
      <c r="N1021" s="78"/>
      <c r="O1021" s="78"/>
      <c r="P1021" s="78"/>
      <c r="Q1021" s="78"/>
      <c r="R1021" s="54"/>
    </row>
    <row r="1022" spans="2:18" x14ac:dyDescent="0.2">
      <c r="B1022" s="53"/>
      <c r="C1022" s="78"/>
      <c r="D1022" s="78"/>
      <c r="E1022" s="78"/>
      <c r="F1022" s="78"/>
      <c r="G1022" s="78"/>
      <c r="H1022" s="79"/>
      <c r="I1022" s="78"/>
      <c r="J1022" s="78"/>
      <c r="K1022" s="78"/>
      <c r="L1022" s="78"/>
      <c r="M1022" s="16"/>
      <c r="N1022" s="78"/>
      <c r="O1022" s="78"/>
      <c r="P1022" s="78"/>
      <c r="Q1022" s="78"/>
      <c r="R1022" s="54"/>
    </row>
    <row r="1023" spans="2:18" x14ac:dyDescent="0.2">
      <c r="B1023" s="53"/>
      <c r="C1023" s="78"/>
      <c r="D1023" s="78"/>
      <c r="E1023" s="78"/>
      <c r="F1023" s="78"/>
      <c r="G1023" s="78"/>
      <c r="H1023" s="79"/>
      <c r="I1023" s="78"/>
      <c r="J1023" s="78"/>
      <c r="K1023" s="78"/>
      <c r="L1023" s="78"/>
      <c r="M1023" s="16"/>
      <c r="N1023" s="78"/>
      <c r="O1023" s="78"/>
      <c r="P1023" s="78"/>
      <c r="Q1023" s="78"/>
      <c r="R1023" s="54"/>
    </row>
    <row r="1024" spans="2:18" x14ac:dyDescent="0.2">
      <c r="B1024" s="53"/>
      <c r="C1024" s="78"/>
      <c r="D1024" s="78"/>
      <c r="E1024" s="78"/>
      <c r="F1024" s="78"/>
      <c r="G1024" s="78"/>
      <c r="H1024" s="79"/>
      <c r="I1024" s="78"/>
      <c r="J1024" s="78"/>
      <c r="K1024" s="78"/>
      <c r="L1024" s="78"/>
      <c r="M1024" s="16"/>
      <c r="N1024" s="78"/>
      <c r="O1024" s="78"/>
      <c r="P1024" s="78"/>
      <c r="Q1024" s="78"/>
      <c r="R1024" s="54"/>
    </row>
    <row r="1025" spans="2:18" x14ac:dyDescent="0.2">
      <c r="B1025" s="53"/>
      <c r="C1025" s="78"/>
      <c r="D1025" s="78"/>
      <c r="E1025" s="78"/>
      <c r="F1025" s="78"/>
      <c r="G1025" s="78"/>
      <c r="H1025" s="79"/>
      <c r="I1025" s="78"/>
      <c r="J1025" s="78"/>
      <c r="K1025" s="78"/>
      <c r="L1025" s="78"/>
      <c r="M1025" s="16"/>
      <c r="N1025" s="78"/>
      <c r="O1025" s="78"/>
      <c r="P1025" s="78"/>
      <c r="Q1025" s="78"/>
      <c r="R1025" s="54"/>
    </row>
    <row r="1026" spans="2:18" x14ac:dyDescent="0.2">
      <c r="B1026" s="53"/>
      <c r="C1026" s="78"/>
      <c r="D1026" s="78"/>
      <c r="E1026" s="78"/>
      <c r="F1026" s="78"/>
      <c r="G1026" s="78"/>
      <c r="H1026" s="79"/>
      <c r="I1026" s="78"/>
      <c r="J1026" s="78"/>
      <c r="K1026" s="78"/>
      <c r="L1026" s="78"/>
      <c r="M1026" s="16"/>
      <c r="N1026" s="78"/>
      <c r="O1026" s="78"/>
      <c r="P1026" s="78"/>
      <c r="Q1026" s="78"/>
      <c r="R1026" s="54"/>
    </row>
    <row r="1027" spans="2:18" x14ac:dyDescent="0.2">
      <c r="B1027" s="53"/>
      <c r="C1027" s="78"/>
      <c r="D1027" s="78"/>
      <c r="E1027" s="78"/>
      <c r="F1027" s="78"/>
      <c r="G1027" s="78"/>
      <c r="H1027" s="79"/>
      <c r="I1027" s="78"/>
      <c r="J1027" s="78"/>
      <c r="K1027" s="78"/>
      <c r="L1027" s="78"/>
      <c r="M1027" s="16"/>
      <c r="N1027" s="78"/>
      <c r="O1027" s="78"/>
      <c r="P1027" s="78"/>
      <c r="Q1027" s="78"/>
      <c r="R1027" s="54"/>
    </row>
    <row r="1028" spans="2:18" x14ac:dyDescent="0.2">
      <c r="B1028" s="53"/>
      <c r="C1028" s="78"/>
      <c r="D1028" s="78"/>
      <c r="E1028" s="78"/>
      <c r="F1028" s="78"/>
      <c r="G1028" s="78"/>
      <c r="H1028" s="79"/>
      <c r="I1028" s="78"/>
      <c r="J1028" s="78"/>
      <c r="K1028" s="78"/>
      <c r="L1028" s="78"/>
      <c r="M1028" s="16"/>
      <c r="N1028" s="78"/>
      <c r="O1028" s="78"/>
      <c r="P1028" s="78"/>
      <c r="Q1028" s="78"/>
      <c r="R1028" s="54"/>
    </row>
    <row r="1029" spans="2:18" x14ac:dyDescent="0.2">
      <c r="B1029" s="53"/>
      <c r="C1029" s="78"/>
      <c r="D1029" s="78"/>
      <c r="E1029" s="78"/>
      <c r="F1029" s="78"/>
      <c r="G1029" s="78"/>
      <c r="H1029" s="79"/>
      <c r="I1029" s="78"/>
      <c r="J1029" s="78"/>
      <c r="K1029" s="78"/>
      <c r="L1029" s="78"/>
      <c r="M1029" s="16"/>
      <c r="N1029" s="78"/>
      <c r="O1029" s="78"/>
      <c r="P1029" s="78"/>
      <c r="Q1029" s="78"/>
      <c r="R1029" s="54"/>
    </row>
    <row r="1030" spans="2:18" x14ac:dyDescent="0.2">
      <c r="B1030" s="53"/>
      <c r="C1030" s="78"/>
      <c r="D1030" s="78"/>
      <c r="E1030" s="78"/>
      <c r="F1030" s="78"/>
      <c r="G1030" s="78"/>
      <c r="H1030" s="79"/>
      <c r="I1030" s="78"/>
      <c r="J1030" s="78"/>
      <c r="K1030" s="78"/>
      <c r="L1030" s="78"/>
      <c r="M1030" s="16"/>
      <c r="N1030" s="78"/>
      <c r="O1030" s="78"/>
      <c r="P1030" s="78"/>
      <c r="Q1030" s="78"/>
      <c r="R1030" s="54"/>
    </row>
    <row r="1031" spans="2:18" x14ac:dyDescent="0.2">
      <c r="B1031" s="53"/>
      <c r="C1031" s="78"/>
      <c r="D1031" s="78"/>
      <c r="E1031" s="78"/>
      <c r="F1031" s="78"/>
      <c r="G1031" s="78"/>
      <c r="H1031" s="79"/>
      <c r="I1031" s="78"/>
      <c r="J1031" s="78"/>
      <c r="K1031" s="78"/>
      <c r="L1031" s="78"/>
      <c r="M1031" s="16"/>
      <c r="N1031" s="78"/>
      <c r="O1031" s="78"/>
      <c r="P1031" s="78"/>
      <c r="Q1031" s="78"/>
      <c r="R1031" s="54"/>
    </row>
    <row r="1032" spans="2:18" x14ac:dyDescent="0.2">
      <c r="B1032" s="53"/>
      <c r="C1032" s="78"/>
      <c r="D1032" s="78"/>
      <c r="E1032" s="78"/>
      <c r="F1032" s="78"/>
      <c r="G1032" s="78"/>
      <c r="H1032" s="79"/>
      <c r="I1032" s="78"/>
      <c r="J1032" s="78"/>
      <c r="K1032" s="78"/>
      <c r="L1032" s="78"/>
      <c r="M1032" s="16"/>
      <c r="N1032" s="78"/>
      <c r="O1032" s="78"/>
      <c r="P1032" s="78"/>
      <c r="Q1032" s="78"/>
      <c r="R1032" s="54"/>
    </row>
    <row r="1033" spans="2:18" x14ac:dyDescent="0.2">
      <c r="B1033" s="53"/>
      <c r="C1033" s="78"/>
      <c r="D1033" s="78"/>
      <c r="E1033" s="78"/>
      <c r="F1033" s="78"/>
      <c r="G1033" s="78"/>
      <c r="H1033" s="79"/>
      <c r="I1033" s="78"/>
      <c r="J1033" s="78"/>
      <c r="K1033" s="78"/>
      <c r="L1033" s="78"/>
      <c r="M1033" s="16"/>
      <c r="N1033" s="78"/>
      <c r="O1033" s="78"/>
      <c r="P1033" s="78"/>
      <c r="Q1033" s="78"/>
      <c r="R1033" s="54"/>
    </row>
    <row r="1034" spans="2:18" x14ac:dyDescent="0.2">
      <c r="B1034" s="53"/>
      <c r="C1034" s="78"/>
      <c r="D1034" s="78"/>
      <c r="E1034" s="78"/>
      <c r="F1034" s="78"/>
      <c r="G1034" s="78"/>
      <c r="H1034" s="79"/>
      <c r="I1034" s="78"/>
      <c r="J1034" s="78"/>
      <c r="K1034" s="78"/>
      <c r="L1034" s="78"/>
      <c r="M1034" s="16"/>
      <c r="N1034" s="78"/>
      <c r="O1034" s="78"/>
      <c r="P1034" s="78"/>
      <c r="Q1034" s="78"/>
      <c r="R1034" s="54"/>
    </row>
    <row r="1035" spans="2:18" x14ac:dyDescent="0.2">
      <c r="B1035" s="53"/>
      <c r="C1035" s="78"/>
      <c r="D1035" s="78"/>
      <c r="E1035" s="78"/>
      <c r="F1035" s="78"/>
      <c r="G1035" s="78"/>
      <c r="H1035" s="79"/>
      <c r="I1035" s="78"/>
      <c r="J1035" s="78"/>
      <c r="K1035" s="78"/>
      <c r="L1035" s="78"/>
      <c r="M1035" s="16"/>
      <c r="N1035" s="78"/>
      <c r="O1035" s="78"/>
      <c r="P1035" s="78"/>
      <c r="Q1035" s="78"/>
      <c r="R1035" s="54"/>
    </row>
    <row r="1036" spans="2:18" x14ac:dyDescent="0.2">
      <c r="B1036" s="53"/>
      <c r="C1036" s="78"/>
      <c r="D1036" s="78"/>
      <c r="E1036" s="78"/>
      <c r="F1036" s="78"/>
      <c r="G1036" s="78"/>
      <c r="H1036" s="79"/>
      <c r="I1036" s="78"/>
      <c r="J1036" s="78"/>
      <c r="K1036" s="78"/>
      <c r="L1036" s="78"/>
      <c r="M1036" s="16"/>
      <c r="N1036" s="78"/>
      <c r="O1036" s="78"/>
      <c r="P1036" s="78"/>
      <c r="Q1036" s="78"/>
      <c r="R1036" s="54"/>
    </row>
    <row r="1037" spans="2:18" x14ac:dyDescent="0.2">
      <c r="B1037" s="53"/>
      <c r="C1037" s="78"/>
      <c r="D1037" s="78"/>
      <c r="E1037" s="78"/>
      <c r="F1037" s="78"/>
      <c r="G1037" s="78"/>
      <c r="H1037" s="79"/>
      <c r="I1037" s="78"/>
      <c r="J1037" s="78"/>
      <c r="K1037" s="78"/>
      <c r="L1037" s="78"/>
      <c r="M1037" s="16"/>
      <c r="N1037" s="78"/>
      <c r="O1037" s="78"/>
      <c r="P1037" s="78"/>
      <c r="Q1037" s="78"/>
      <c r="R1037" s="54"/>
    </row>
    <row r="1038" spans="2:18" x14ac:dyDescent="0.2">
      <c r="B1038" s="53"/>
      <c r="C1038" s="78"/>
      <c r="D1038" s="78"/>
      <c r="E1038" s="78"/>
      <c r="F1038" s="78"/>
      <c r="G1038" s="78"/>
      <c r="H1038" s="79"/>
      <c r="I1038" s="78"/>
      <c r="J1038" s="78"/>
      <c r="K1038" s="78"/>
      <c r="L1038" s="78"/>
      <c r="M1038" s="16"/>
      <c r="N1038" s="78"/>
      <c r="O1038" s="78"/>
      <c r="P1038" s="78"/>
      <c r="Q1038" s="78"/>
      <c r="R1038" s="54"/>
    </row>
    <row r="1039" spans="2:18" x14ac:dyDescent="0.2">
      <c r="B1039" s="53"/>
      <c r="C1039" s="78"/>
      <c r="D1039" s="78"/>
      <c r="E1039" s="78"/>
      <c r="F1039" s="78"/>
      <c r="G1039" s="78"/>
      <c r="H1039" s="79"/>
      <c r="I1039" s="78"/>
      <c r="J1039" s="78"/>
      <c r="K1039" s="78"/>
      <c r="L1039" s="78"/>
      <c r="M1039" s="16"/>
      <c r="N1039" s="78"/>
      <c r="O1039" s="78"/>
      <c r="P1039" s="78"/>
      <c r="Q1039" s="78"/>
      <c r="R1039" s="54"/>
    </row>
    <row r="1040" spans="2:18" x14ac:dyDescent="0.2">
      <c r="B1040" s="53"/>
      <c r="C1040" s="78"/>
      <c r="D1040" s="78"/>
      <c r="E1040" s="78"/>
      <c r="F1040" s="78"/>
      <c r="G1040" s="78"/>
      <c r="H1040" s="79"/>
      <c r="I1040" s="78"/>
      <c r="J1040" s="78"/>
      <c r="K1040" s="78"/>
      <c r="L1040" s="78"/>
      <c r="M1040" s="16"/>
      <c r="N1040" s="78"/>
      <c r="O1040" s="78"/>
      <c r="P1040" s="78"/>
      <c r="Q1040" s="78"/>
      <c r="R1040" s="54"/>
    </row>
    <row r="1041" spans="2:18" x14ac:dyDescent="0.2">
      <c r="B1041" s="53"/>
      <c r="C1041" s="78"/>
      <c r="D1041" s="78"/>
      <c r="E1041" s="78"/>
      <c r="F1041" s="78"/>
      <c r="G1041" s="78"/>
      <c r="H1041" s="79"/>
      <c r="I1041" s="78"/>
      <c r="J1041" s="78"/>
      <c r="K1041" s="78"/>
      <c r="L1041" s="78"/>
      <c r="M1041" s="16"/>
      <c r="N1041" s="78"/>
      <c r="O1041" s="78"/>
      <c r="P1041" s="78"/>
      <c r="Q1041" s="78"/>
      <c r="R1041" s="54"/>
    </row>
    <row r="1042" spans="2:18" x14ac:dyDescent="0.2">
      <c r="B1042" s="53"/>
      <c r="C1042" s="78"/>
      <c r="D1042" s="78"/>
      <c r="E1042" s="78"/>
      <c r="F1042" s="78"/>
      <c r="G1042" s="78"/>
      <c r="H1042" s="79"/>
      <c r="I1042" s="78"/>
      <c r="J1042" s="78"/>
      <c r="K1042" s="78"/>
      <c r="L1042" s="78"/>
      <c r="M1042" s="16"/>
      <c r="N1042" s="78"/>
      <c r="O1042" s="78"/>
      <c r="P1042" s="78"/>
      <c r="Q1042" s="78"/>
      <c r="R1042" s="54"/>
    </row>
    <row r="1043" spans="2:18" x14ac:dyDescent="0.2">
      <c r="B1043" s="53"/>
      <c r="C1043" s="78"/>
      <c r="D1043" s="78"/>
      <c r="E1043" s="78"/>
      <c r="F1043" s="78"/>
      <c r="G1043" s="78"/>
      <c r="H1043" s="79"/>
      <c r="I1043" s="78"/>
      <c r="J1043" s="78"/>
      <c r="K1043" s="78"/>
      <c r="L1043" s="78"/>
      <c r="M1043" s="16"/>
      <c r="N1043" s="78"/>
      <c r="O1043" s="78"/>
      <c r="P1043" s="78"/>
      <c r="Q1043" s="78"/>
      <c r="R1043" s="54"/>
    </row>
    <row r="1044" spans="2:18" x14ac:dyDescent="0.2">
      <c r="B1044" s="53"/>
      <c r="C1044" s="78"/>
      <c r="D1044" s="78"/>
      <c r="E1044" s="78"/>
      <c r="F1044" s="78"/>
      <c r="G1044" s="78"/>
      <c r="H1044" s="79"/>
      <c r="I1044" s="78"/>
      <c r="J1044" s="78"/>
      <c r="K1044" s="78"/>
      <c r="L1044" s="78"/>
      <c r="M1044" s="16"/>
      <c r="N1044" s="78"/>
      <c r="O1044" s="78"/>
      <c r="P1044" s="78"/>
      <c r="Q1044" s="78"/>
      <c r="R1044" s="54"/>
    </row>
    <row r="1045" spans="2:18" x14ac:dyDescent="0.2">
      <c r="B1045" s="53"/>
      <c r="C1045" s="78"/>
      <c r="D1045" s="78"/>
      <c r="E1045" s="78"/>
      <c r="F1045" s="78"/>
      <c r="G1045" s="78"/>
      <c r="H1045" s="79"/>
      <c r="I1045" s="78"/>
      <c r="J1045" s="78"/>
      <c r="K1045" s="78"/>
      <c r="L1045" s="78"/>
      <c r="M1045" s="16"/>
      <c r="N1045" s="78"/>
      <c r="O1045" s="78"/>
      <c r="P1045" s="78"/>
      <c r="Q1045" s="78"/>
      <c r="R1045" s="54"/>
    </row>
    <row r="1046" spans="2:18" x14ac:dyDescent="0.2">
      <c r="B1046" s="53"/>
      <c r="C1046" s="78"/>
      <c r="D1046" s="78"/>
      <c r="E1046" s="78"/>
      <c r="F1046" s="78"/>
      <c r="G1046" s="78"/>
      <c r="H1046" s="79"/>
      <c r="I1046" s="78"/>
      <c r="J1046" s="78"/>
      <c r="K1046" s="78"/>
      <c r="L1046" s="78"/>
      <c r="M1046" s="16"/>
      <c r="N1046" s="78"/>
      <c r="O1046" s="78"/>
      <c r="P1046" s="78"/>
      <c r="Q1046" s="78"/>
      <c r="R1046" s="54"/>
    </row>
    <row r="1047" spans="2:18" x14ac:dyDescent="0.2">
      <c r="B1047" s="53"/>
      <c r="C1047" s="78"/>
      <c r="D1047" s="78"/>
      <c r="E1047" s="78"/>
      <c r="F1047" s="78"/>
      <c r="G1047" s="78"/>
      <c r="H1047" s="79"/>
      <c r="I1047" s="78"/>
      <c r="J1047" s="78"/>
      <c r="K1047" s="78"/>
      <c r="L1047" s="78"/>
      <c r="M1047" s="16"/>
      <c r="N1047" s="78"/>
      <c r="O1047" s="78"/>
      <c r="P1047" s="78"/>
      <c r="Q1047" s="78"/>
      <c r="R1047" s="54"/>
    </row>
    <row r="1048" spans="2:18" x14ac:dyDescent="0.2">
      <c r="B1048" s="53"/>
      <c r="C1048" s="78"/>
      <c r="D1048" s="78"/>
      <c r="E1048" s="78"/>
      <c r="F1048" s="78"/>
      <c r="G1048" s="78"/>
      <c r="H1048" s="79"/>
      <c r="I1048" s="78"/>
      <c r="J1048" s="78"/>
      <c r="K1048" s="78"/>
      <c r="L1048" s="78"/>
      <c r="M1048" s="16"/>
      <c r="N1048" s="78"/>
      <c r="O1048" s="78"/>
      <c r="P1048" s="78"/>
      <c r="Q1048" s="78"/>
      <c r="R1048" s="54"/>
    </row>
    <row r="1049" spans="2:18" x14ac:dyDescent="0.2">
      <c r="B1049" s="53"/>
      <c r="C1049" s="78"/>
      <c r="D1049" s="78"/>
      <c r="E1049" s="78"/>
      <c r="F1049" s="78"/>
      <c r="G1049" s="78"/>
      <c r="H1049" s="79"/>
      <c r="I1049" s="78"/>
      <c r="J1049" s="78"/>
      <c r="K1049" s="78"/>
      <c r="L1049" s="78"/>
      <c r="M1049" s="16"/>
      <c r="N1049" s="78"/>
      <c r="O1049" s="78"/>
      <c r="P1049" s="78"/>
      <c r="Q1049" s="78"/>
      <c r="R1049" s="54"/>
    </row>
    <row r="1050" spans="2:18" x14ac:dyDescent="0.2">
      <c r="B1050" s="53"/>
      <c r="C1050" s="78"/>
      <c r="D1050" s="78"/>
      <c r="E1050" s="78"/>
      <c r="F1050" s="78"/>
      <c r="G1050" s="78"/>
      <c r="H1050" s="79"/>
      <c r="I1050" s="78"/>
      <c r="J1050" s="78"/>
      <c r="K1050" s="78"/>
      <c r="L1050" s="78"/>
      <c r="M1050" s="16"/>
      <c r="N1050" s="78"/>
      <c r="O1050" s="78"/>
      <c r="P1050" s="78"/>
      <c r="Q1050" s="78"/>
      <c r="R1050" s="54"/>
    </row>
    <row r="1051" spans="2:18" x14ac:dyDescent="0.2">
      <c r="B1051" s="53"/>
      <c r="C1051" s="78"/>
      <c r="D1051" s="78"/>
      <c r="E1051" s="78"/>
      <c r="F1051" s="78"/>
      <c r="G1051" s="78"/>
      <c r="H1051" s="79"/>
      <c r="I1051" s="78"/>
      <c r="J1051" s="78"/>
      <c r="K1051" s="78"/>
      <c r="L1051" s="78"/>
      <c r="M1051" s="16"/>
      <c r="N1051" s="78"/>
      <c r="O1051" s="78"/>
      <c r="P1051" s="78"/>
      <c r="Q1051" s="78"/>
      <c r="R1051" s="54"/>
    </row>
    <row r="1052" spans="2:18" x14ac:dyDescent="0.2">
      <c r="B1052" s="53"/>
      <c r="C1052" s="78"/>
      <c r="D1052" s="78"/>
      <c r="E1052" s="78"/>
      <c r="F1052" s="78"/>
      <c r="G1052" s="78"/>
      <c r="H1052" s="79"/>
      <c r="I1052" s="78"/>
      <c r="J1052" s="78"/>
      <c r="K1052" s="78"/>
      <c r="L1052" s="78"/>
      <c r="M1052" s="16"/>
      <c r="N1052" s="78"/>
      <c r="O1052" s="78"/>
      <c r="P1052" s="78"/>
      <c r="Q1052" s="78"/>
      <c r="R1052" s="54"/>
    </row>
    <row r="1053" spans="2:18" x14ac:dyDescent="0.2">
      <c r="B1053" s="53"/>
      <c r="C1053" s="78"/>
      <c r="D1053" s="78"/>
      <c r="E1053" s="78"/>
      <c r="F1053" s="78"/>
      <c r="G1053" s="78"/>
      <c r="H1053" s="79"/>
      <c r="I1053" s="78"/>
      <c r="J1053" s="78"/>
      <c r="K1053" s="78"/>
      <c r="L1053" s="78"/>
      <c r="M1053" s="16"/>
      <c r="N1053" s="78"/>
      <c r="O1053" s="78"/>
      <c r="P1053" s="78"/>
      <c r="Q1053" s="78"/>
      <c r="R1053" s="54"/>
    </row>
    <row r="1054" spans="2:18" x14ac:dyDescent="0.2">
      <c r="B1054" s="53"/>
      <c r="C1054" s="78"/>
      <c r="D1054" s="78"/>
      <c r="E1054" s="78"/>
      <c r="F1054" s="78"/>
      <c r="G1054" s="78"/>
      <c r="H1054" s="79"/>
      <c r="I1054" s="78"/>
      <c r="J1054" s="78"/>
      <c r="K1054" s="78"/>
      <c r="L1054" s="78"/>
      <c r="M1054" s="16"/>
      <c r="N1054" s="78"/>
      <c r="O1054" s="78"/>
      <c r="P1054" s="78"/>
      <c r="Q1054" s="78"/>
      <c r="R1054" s="54"/>
    </row>
    <row r="1055" spans="2:18" x14ac:dyDescent="0.2">
      <c r="B1055" s="53"/>
      <c r="C1055" s="78"/>
      <c r="D1055" s="78"/>
      <c r="E1055" s="78"/>
      <c r="F1055" s="78"/>
      <c r="G1055" s="78"/>
      <c r="H1055" s="79"/>
      <c r="I1055" s="78"/>
      <c r="J1055" s="78"/>
      <c r="K1055" s="78"/>
      <c r="L1055" s="78"/>
      <c r="M1055" s="16"/>
      <c r="N1055" s="78"/>
      <c r="O1055" s="78"/>
      <c r="P1055" s="78"/>
      <c r="Q1055" s="78"/>
      <c r="R1055" s="54"/>
    </row>
    <row r="1056" spans="2:18" x14ac:dyDescent="0.2">
      <c r="B1056" s="53"/>
      <c r="C1056" s="78"/>
      <c r="D1056" s="78"/>
      <c r="E1056" s="78"/>
      <c r="F1056" s="78"/>
      <c r="G1056" s="78"/>
      <c r="H1056" s="79"/>
      <c r="I1056" s="78"/>
      <c r="J1056" s="78"/>
      <c r="K1056" s="78"/>
      <c r="L1056" s="78"/>
      <c r="M1056" s="16"/>
      <c r="N1056" s="78"/>
      <c r="O1056" s="78"/>
      <c r="P1056" s="78"/>
      <c r="Q1056" s="78"/>
      <c r="R1056" s="54"/>
    </row>
    <row r="1057" spans="2:18" x14ac:dyDescent="0.2">
      <c r="B1057" s="53"/>
      <c r="C1057" s="78"/>
      <c r="D1057" s="78"/>
      <c r="E1057" s="78"/>
      <c r="F1057" s="78"/>
      <c r="G1057" s="78"/>
      <c r="H1057" s="79"/>
      <c r="I1057" s="78"/>
      <c r="J1057" s="78"/>
      <c r="K1057" s="78"/>
      <c r="L1057" s="78"/>
      <c r="M1057" s="16"/>
      <c r="N1057" s="78"/>
      <c r="O1057" s="78"/>
      <c r="P1057" s="78"/>
      <c r="Q1057" s="78"/>
      <c r="R1057" s="54"/>
    </row>
    <row r="1058" spans="2:18" x14ac:dyDescent="0.2">
      <c r="B1058" s="53"/>
      <c r="C1058" s="78"/>
      <c r="D1058" s="78"/>
      <c r="E1058" s="78"/>
      <c r="F1058" s="78"/>
      <c r="G1058" s="78"/>
      <c r="H1058" s="79"/>
      <c r="I1058" s="78"/>
      <c r="J1058" s="78"/>
      <c r="K1058" s="78"/>
      <c r="L1058" s="78"/>
      <c r="M1058" s="16"/>
      <c r="N1058" s="78"/>
      <c r="O1058" s="78"/>
      <c r="P1058" s="78"/>
      <c r="Q1058" s="78"/>
      <c r="R1058" s="54"/>
    </row>
    <row r="1059" spans="2:18" x14ac:dyDescent="0.2">
      <c r="B1059" s="53"/>
      <c r="C1059" s="78"/>
      <c r="D1059" s="78"/>
      <c r="E1059" s="78"/>
      <c r="F1059" s="78"/>
      <c r="G1059" s="78"/>
      <c r="H1059" s="79"/>
      <c r="I1059" s="78"/>
      <c r="J1059" s="78"/>
      <c r="K1059" s="78"/>
      <c r="L1059" s="78"/>
      <c r="M1059" s="16"/>
      <c r="N1059" s="78"/>
      <c r="O1059" s="78"/>
      <c r="P1059" s="78"/>
      <c r="Q1059" s="78"/>
      <c r="R1059" s="54"/>
    </row>
    <row r="1060" spans="2:18" x14ac:dyDescent="0.2">
      <c r="B1060" s="53"/>
      <c r="C1060" s="78"/>
      <c r="D1060" s="78"/>
      <c r="E1060" s="78"/>
      <c r="F1060" s="78"/>
      <c r="G1060" s="78"/>
      <c r="H1060" s="79"/>
      <c r="I1060" s="78"/>
      <c r="J1060" s="78"/>
      <c r="K1060" s="78"/>
      <c r="L1060" s="78"/>
      <c r="M1060" s="16"/>
      <c r="N1060" s="78"/>
      <c r="O1060" s="78"/>
      <c r="P1060" s="78"/>
      <c r="Q1060" s="78"/>
      <c r="R1060" s="54"/>
    </row>
    <row r="1061" spans="2:18" x14ac:dyDescent="0.2">
      <c r="B1061" s="53"/>
      <c r="C1061" s="78"/>
      <c r="D1061" s="78"/>
      <c r="E1061" s="78"/>
      <c r="F1061" s="78"/>
      <c r="G1061" s="78"/>
      <c r="H1061" s="79"/>
      <c r="I1061" s="78"/>
      <c r="J1061" s="78"/>
      <c r="K1061" s="78"/>
      <c r="L1061" s="78"/>
      <c r="M1061" s="16"/>
      <c r="N1061" s="78"/>
      <c r="O1061" s="78"/>
      <c r="P1061" s="78"/>
      <c r="Q1061" s="78"/>
      <c r="R1061" s="54"/>
    </row>
    <row r="1062" spans="2:18" x14ac:dyDescent="0.2">
      <c r="B1062" s="53"/>
      <c r="C1062" s="78"/>
      <c r="D1062" s="78"/>
      <c r="E1062" s="78"/>
      <c r="F1062" s="78"/>
      <c r="G1062" s="78"/>
      <c r="H1062" s="79"/>
      <c r="I1062" s="78"/>
      <c r="J1062" s="78"/>
      <c r="K1062" s="78"/>
      <c r="L1062" s="78"/>
      <c r="M1062" s="16"/>
      <c r="N1062" s="78"/>
      <c r="O1062" s="78"/>
      <c r="P1062" s="78"/>
      <c r="Q1062" s="78"/>
      <c r="R1062" s="54"/>
    </row>
    <row r="1063" spans="2:18" x14ac:dyDescent="0.2">
      <c r="B1063" s="53"/>
      <c r="C1063" s="78"/>
      <c r="D1063" s="78"/>
      <c r="E1063" s="78"/>
      <c r="F1063" s="78"/>
      <c r="G1063" s="78"/>
      <c r="H1063" s="79"/>
      <c r="I1063" s="78"/>
      <c r="J1063" s="78"/>
      <c r="K1063" s="78"/>
      <c r="L1063" s="78"/>
      <c r="M1063" s="16"/>
      <c r="N1063" s="78"/>
      <c r="O1063" s="78"/>
      <c r="P1063" s="78"/>
      <c r="Q1063" s="78"/>
      <c r="R1063" s="54"/>
    </row>
    <row r="1064" spans="2:18" x14ac:dyDescent="0.2">
      <c r="B1064" s="53"/>
      <c r="C1064" s="78"/>
      <c r="D1064" s="78"/>
      <c r="E1064" s="78"/>
      <c r="F1064" s="78"/>
      <c r="G1064" s="78"/>
      <c r="H1064" s="79"/>
      <c r="I1064" s="78"/>
      <c r="J1064" s="78"/>
      <c r="K1064" s="78"/>
      <c r="L1064" s="78"/>
      <c r="M1064" s="16"/>
      <c r="N1064" s="78"/>
      <c r="O1064" s="78"/>
      <c r="P1064" s="78"/>
      <c r="Q1064" s="78"/>
      <c r="R1064" s="54"/>
    </row>
    <row r="1065" spans="2:18" x14ac:dyDescent="0.2">
      <c r="B1065" s="53"/>
      <c r="C1065" s="78"/>
      <c r="D1065" s="78"/>
      <c r="E1065" s="78"/>
      <c r="F1065" s="78"/>
      <c r="G1065" s="78"/>
      <c r="H1065" s="79"/>
      <c r="I1065" s="78"/>
      <c r="J1065" s="78"/>
      <c r="K1065" s="78"/>
      <c r="L1065" s="78"/>
      <c r="M1065" s="16"/>
      <c r="N1065" s="78"/>
      <c r="O1065" s="78"/>
      <c r="P1065" s="78"/>
      <c r="Q1065" s="78"/>
      <c r="R1065" s="54"/>
    </row>
    <row r="1066" spans="2:18" x14ac:dyDescent="0.2">
      <c r="B1066" s="53"/>
      <c r="C1066" s="78"/>
      <c r="D1066" s="78"/>
      <c r="E1066" s="78"/>
      <c r="F1066" s="78"/>
      <c r="G1066" s="78"/>
      <c r="H1066" s="79"/>
      <c r="I1066" s="78"/>
      <c r="J1066" s="78"/>
      <c r="K1066" s="78"/>
      <c r="L1066" s="78"/>
      <c r="M1066" s="16"/>
      <c r="N1066" s="78"/>
      <c r="O1066" s="78"/>
      <c r="P1066" s="78"/>
      <c r="Q1066" s="78"/>
      <c r="R1066" s="54"/>
    </row>
    <row r="1067" spans="2:18" x14ac:dyDescent="0.2">
      <c r="B1067" s="53"/>
      <c r="C1067" s="78"/>
      <c r="D1067" s="78"/>
      <c r="E1067" s="78"/>
      <c r="F1067" s="78"/>
      <c r="G1067" s="78"/>
      <c r="H1067" s="79"/>
      <c r="I1067" s="78"/>
      <c r="J1067" s="78"/>
      <c r="K1067" s="78"/>
      <c r="L1067" s="78"/>
      <c r="M1067" s="16"/>
      <c r="N1067" s="78"/>
      <c r="O1067" s="78"/>
      <c r="P1067" s="78"/>
      <c r="Q1067" s="78"/>
      <c r="R1067" s="54"/>
    </row>
    <row r="1068" spans="2:18" x14ac:dyDescent="0.2">
      <c r="B1068" s="53"/>
      <c r="C1068" s="78"/>
      <c r="D1068" s="78"/>
      <c r="E1068" s="78"/>
      <c r="F1068" s="78"/>
      <c r="G1068" s="78"/>
      <c r="H1068" s="79"/>
      <c r="I1068" s="78"/>
      <c r="J1068" s="78"/>
      <c r="K1068" s="78"/>
      <c r="L1068" s="78"/>
      <c r="M1068" s="16"/>
      <c r="N1068" s="78"/>
      <c r="O1068" s="78"/>
      <c r="P1068" s="78"/>
      <c r="Q1068" s="78"/>
      <c r="R1068" s="54"/>
    </row>
    <row r="1069" spans="2:18" x14ac:dyDescent="0.2">
      <c r="B1069" s="53"/>
      <c r="C1069" s="78"/>
      <c r="D1069" s="78"/>
      <c r="E1069" s="78"/>
      <c r="F1069" s="78"/>
      <c r="G1069" s="78"/>
      <c r="H1069" s="79"/>
      <c r="I1069" s="78"/>
      <c r="J1069" s="78"/>
      <c r="K1069" s="78"/>
      <c r="L1069" s="78"/>
      <c r="M1069" s="16"/>
      <c r="N1069" s="78"/>
      <c r="O1069" s="78"/>
      <c r="P1069" s="78"/>
      <c r="Q1069" s="78"/>
      <c r="R1069" s="54"/>
    </row>
    <row r="1070" spans="2:18" x14ac:dyDescent="0.2">
      <c r="B1070" s="53"/>
      <c r="C1070" s="78"/>
      <c r="D1070" s="78"/>
      <c r="E1070" s="78"/>
      <c r="F1070" s="78"/>
      <c r="G1070" s="78"/>
      <c r="H1070" s="79"/>
      <c r="I1070" s="78"/>
      <c r="J1070" s="78"/>
      <c r="K1070" s="78"/>
      <c r="L1070" s="78"/>
      <c r="M1070" s="16"/>
      <c r="N1070" s="78"/>
      <c r="O1070" s="78"/>
      <c r="P1070" s="78"/>
      <c r="Q1070" s="78"/>
      <c r="R1070" s="54"/>
    </row>
    <row r="1071" spans="2:18" x14ac:dyDescent="0.2">
      <c r="B1071" s="53"/>
      <c r="C1071" s="78"/>
      <c r="D1071" s="78"/>
      <c r="E1071" s="78"/>
      <c r="F1071" s="78"/>
      <c r="G1071" s="78"/>
      <c r="H1071" s="79"/>
      <c r="I1071" s="78"/>
      <c r="J1071" s="78"/>
      <c r="K1071" s="78"/>
      <c r="L1071" s="78"/>
      <c r="M1071" s="16"/>
      <c r="N1071" s="78"/>
      <c r="O1071" s="78"/>
      <c r="P1071" s="78"/>
      <c r="Q1071" s="78"/>
      <c r="R1071" s="54"/>
    </row>
    <row r="1072" spans="2:18" x14ac:dyDescent="0.2">
      <c r="B1072" s="53"/>
      <c r="C1072" s="78"/>
      <c r="D1072" s="78"/>
      <c r="E1072" s="78"/>
      <c r="F1072" s="78"/>
      <c r="G1072" s="78"/>
      <c r="H1072" s="79"/>
      <c r="I1072" s="78"/>
      <c r="J1072" s="78"/>
      <c r="K1072" s="78"/>
      <c r="L1072" s="78"/>
      <c r="M1072" s="16"/>
      <c r="N1072" s="78"/>
      <c r="O1072" s="78"/>
      <c r="P1072" s="78"/>
      <c r="Q1072" s="78"/>
      <c r="R1072" s="54"/>
    </row>
    <row r="1073" spans="2:18" x14ac:dyDescent="0.2">
      <c r="B1073" s="53"/>
      <c r="C1073" s="78"/>
      <c r="D1073" s="78"/>
      <c r="E1073" s="78"/>
      <c r="F1073" s="78"/>
      <c r="G1073" s="78"/>
      <c r="H1073" s="79"/>
      <c r="I1073" s="78"/>
      <c r="J1073" s="78"/>
      <c r="K1073" s="78"/>
      <c r="L1073" s="78"/>
      <c r="M1073" s="16"/>
      <c r="N1073" s="78"/>
      <c r="O1073" s="78"/>
      <c r="P1073" s="78"/>
      <c r="Q1073" s="78"/>
      <c r="R1073" s="54"/>
    </row>
    <row r="1074" spans="2:18" x14ac:dyDescent="0.2">
      <c r="B1074" s="53"/>
      <c r="C1074" s="78"/>
      <c r="D1074" s="78"/>
      <c r="E1074" s="78"/>
      <c r="F1074" s="78"/>
      <c r="G1074" s="78"/>
      <c r="H1074" s="79"/>
      <c r="I1074" s="78"/>
      <c r="J1074" s="78"/>
      <c r="K1074" s="78"/>
      <c r="L1074" s="78"/>
      <c r="M1074" s="16"/>
      <c r="N1074" s="78"/>
      <c r="O1074" s="78"/>
      <c r="P1074" s="78"/>
      <c r="Q1074" s="78"/>
      <c r="R1074" s="54"/>
    </row>
    <row r="1075" spans="2:18" x14ac:dyDescent="0.2">
      <c r="B1075" s="53"/>
      <c r="C1075" s="78"/>
      <c r="D1075" s="78"/>
      <c r="E1075" s="78"/>
      <c r="F1075" s="78"/>
      <c r="G1075" s="78"/>
      <c r="H1075" s="79"/>
      <c r="I1075" s="78"/>
      <c r="J1075" s="78"/>
      <c r="K1075" s="78"/>
      <c r="L1075" s="78"/>
      <c r="M1075" s="16"/>
      <c r="N1075" s="78"/>
      <c r="O1075" s="78"/>
      <c r="P1075" s="78"/>
      <c r="Q1075" s="78"/>
      <c r="R1075" s="54"/>
    </row>
    <row r="1076" spans="2:18" x14ac:dyDescent="0.2">
      <c r="B1076" s="53"/>
      <c r="C1076" s="78"/>
      <c r="D1076" s="78"/>
      <c r="E1076" s="78"/>
      <c r="F1076" s="78"/>
      <c r="G1076" s="78"/>
      <c r="H1076" s="79"/>
      <c r="I1076" s="78"/>
      <c r="J1076" s="78"/>
      <c r="K1076" s="78"/>
      <c r="L1076" s="78"/>
      <c r="M1076" s="16"/>
      <c r="N1076" s="78"/>
      <c r="O1076" s="78"/>
      <c r="P1076" s="78"/>
      <c r="Q1076" s="78"/>
      <c r="R1076" s="54"/>
    </row>
    <row r="1077" spans="2:18" x14ac:dyDescent="0.2">
      <c r="B1077" s="53"/>
      <c r="C1077" s="78"/>
      <c r="D1077" s="78"/>
      <c r="E1077" s="78"/>
      <c r="F1077" s="78"/>
      <c r="G1077" s="78"/>
      <c r="H1077" s="79"/>
      <c r="I1077" s="78"/>
      <c r="J1077" s="78"/>
      <c r="K1077" s="78"/>
      <c r="L1077" s="78"/>
      <c r="M1077" s="16"/>
      <c r="N1077" s="78"/>
      <c r="O1077" s="78"/>
      <c r="P1077" s="78"/>
      <c r="Q1077" s="78"/>
      <c r="R1077" s="54"/>
    </row>
    <row r="1078" spans="2:18" x14ac:dyDescent="0.2">
      <c r="B1078" s="53"/>
      <c r="C1078" s="78"/>
      <c r="D1078" s="78"/>
      <c r="E1078" s="78"/>
      <c r="F1078" s="78"/>
      <c r="G1078" s="78"/>
      <c r="H1078" s="79"/>
      <c r="I1078" s="78"/>
      <c r="J1078" s="78"/>
      <c r="K1078" s="78"/>
      <c r="L1078" s="78"/>
      <c r="M1078" s="16"/>
      <c r="N1078" s="78"/>
      <c r="O1078" s="78"/>
      <c r="P1078" s="78"/>
      <c r="Q1078" s="78"/>
      <c r="R1078" s="54"/>
    </row>
    <row r="1079" spans="2:18" x14ac:dyDescent="0.2">
      <c r="B1079" s="53"/>
      <c r="C1079" s="78"/>
      <c r="D1079" s="78"/>
      <c r="E1079" s="78"/>
      <c r="F1079" s="78"/>
      <c r="G1079" s="78"/>
      <c r="H1079" s="79"/>
      <c r="I1079" s="78"/>
      <c r="J1079" s="78"/>
      <c r="K1079" s="78"/>
      <c r="L1079" s="78"/>
      <c r="M1079" s="16"/>
      <c r="N1079" s="78"/>
      <c r="O1079" s="78"/>
      <c r="P1079" s="78"/>
      <c r="Q1079" s="78"/>
      <c r="R1079" s="54"/>
    </row>
    <row r="1080" spans="2:18" x14ac:dyDescent="0.2">
      <c r="B1080" s="53"/>
      <c r="C1080" s="78"/>
      <c r="D1080" s="78"/>
      <c r="E1080" s="78"/>
      <c r="F1080" s="78"/>
      <c r="G1080" s="78"/>
      <c r="H1080" s="79"/>
      <c r="I1080" s="78"/>
      <c r="J1080" s="78"/>
      <c r="K1080" s="78"/>
      <c r="L1080" s="78"/>
      <c r="M1080" s="16"/>
      <c r="N1080" s="78"/>
      <c r="O1080" s="78"/>
      <c r="P1080" s="78"/>
      <c r="Q1080" s="78"/>
      <c r="R1080" s="54"/>
    </row>
    <row r="1081" spans="2:18" x14ac:dyDescent="0.2">
      <c r="B1081" s="53"/>
      <c r="C1081" s="78"/>
      <c r="D1081" s="78"/>
      <c r="E1081" s="78"/>
      <c r="F1081" s="78"/>
      <c r="G1081" s="78"/>
      <c r="H1081" s="79"/>
      <c r="I1081" s="78"/>
      <c r="J1081" s="78"/>
      <c r="K1081" s="78"/>
      <c r="L1081" s="78"/>
      <c r="M1081" s="16"/>
      <c r="N1081" s="78"/>
      <c r="O1081" s="78"/>
      <c r="P1081" s="78"/>
      <c r="Q1081" s="78"/>
      <c r="R1081" s="54"/>
    </row>
    <row r="1082" spans="2:18" x14ac:dyDescent="0.2">
      <c r="B1082" s="53"/>
      <c r="C1082" s="78"/>
      <c r="D1082" s="78"/>
      <c r="E1082" s="78"/>
      <c r="F1082" s="78"/>
      <c r="G1082" s="78"/>
      <c r="H1082" s="79"/>
      <c r="I1082" s="78"/>
      <c r="J1082" s="78"/>
      <c r="K1082" s="78"/>
      <c r="L1082" s="78"/>
      <c r="M1082" s="16"/>
      <c r="N1082" s="78"/>
      <c r="O1082" s="78"/>
      <c r="P1082" s="78"/>
      <c r="Q1082" s="78"/>
      <c r="R1082" s="54"/>
    </row>
    <row r="1083" spans="2:18" x14ac:dyDescent="0.2">
      <c r="B1083" s="53"/>
      <c r="C1083" s="78"/>
      <c r="D1083" s="78"/>
      <c r="E1083" s="78"/>
      <c r="F1083" s="78"/>
      <c r="G1083" s="78"/>
      <c r="H1083" s="79"/>
      <c r="I1083" s="78"/>
      <c r="J1083" s="78"/>
      <c r="K1083" s="78"/>
      <c r="L1083" s="78"/>
      <c r="M1083" s="16"/>
      <c r="N1083" s="78"/>
      <c r="O1083" s="78"/>
      <c r="P1083" s="78"/>
      <c r="Q1083" s="78"/>
      <c r="R1083" s="54"/>
    </row>
    <row r="1084" spans="2:18" x14ac:dyDescent="0.2">
      <c r="B1084" s="53"/>
      <c r="C1084" s="78"/>
      <c r="D1084" s="78"/>
      <c r="E1084" s="78"/>
      <c r="F1084" s="78"/>
      <c r="G1084" s="78"/>
      <c r="H1084" s="79"/>
      <c r="I1084" s="78"/>
      <c r="J1084" s="78"/>
      <c r="K1084" s="78"/>
      <c r="L1084" s="78"/>
      <c r="M1084" s="16"/>
      <c r="N1084" s="78"/>
      <c r="O1084" s="78"/>
      <c r="P1084" s="78"/>
      <c r="Q1084" s="78"/>
      <c r="R1084" s="54"/>
    </row>
    <row r="1085" spans="2:18" x14ac:dyDescent="0.2">
      <c r="B1085" s="53"/>
      <c r="C1085" s="78"/>
      <c r="D1085" s="78"/>
      <c r="E1085" s="78"/>
      <c r="F1085" s="78"/>
      <c r="G1085" s="78"/>
      <c r="H1085" s="79"/>
      <c r="I1085" s="78"/>
      <c r="J1085" s="78"/>
      <c r="K1085" s="78"/>
      <c r="L1085" s="78"/>
      <c r="M1085" s="16"/>
      <c r="N1085" s="78"/>
      <c r="O1085" s="78"/>
      <c r="P1085" s="78"/>
      <c r="Q1085" s="78"/>
      <c r="R1085" s="54"/>
    </row>
    <row r="1086" spans="2:18" x14ac:dyDescent="0.2">
      <c r="B1086" s="53"/>
      <c r="C1086" s="78"/>
      <c r="D1086" s="78"/>
      <c r="E1086" s="78"/>
      <c r="F1086" s="78"/>
      <c r="G1086" s="78"/>
      <c r="H1086" s="79"/>
      <c r="I1086" s="78"/>
      <c r="J1086" s="78"/>
      <c r="K1086" s="78"/>
      <c r="L1086" s="78"/>
      <c r="M1086" s="16"/>
      <c r="N1086" s="78"/>
      <c r="O1086" s="78"/>
      <c r="P1086" s="78"/>
      <c r="Q1086" s="78"/>
      <c r="R1086" s="54"/>
    </row>
    <row r="1087" spans="2:18" x14ac:dyDescent="0.2">
      <c r="B1087" s="53"/>
      <c r="C1087" s="78"/>
      <c r="D1087" s="78"/>
      <c r="E1087" s="78"/>
      <c r="F1087" s="78"/>
      <c r="G1087" s="78"/>
      <c r="H1087" s="79"/>
      <c r="I1087" s="78"/>
      <c r="J1087" s="78"/>
      <c r="K1087" s="78"/>
      <c r="L1087" s="78"/>
      <c r="M1087" s="16"/>
      <c r="N1087" s="78"/>
      <c r="O1087" s="78"/>
      <c r="P1087" s="78"/>
      <c r="Q1087" s="78"/>
      <c r="R1087" s="54"/>
    </row>
    <row r="1088" spans="2:18" x14ac:dyDescent="0.2">
      <c r="B1088" s="53"/>
      <c r="C1088" s="78"/>
      <c r="D1088" s="78"/>
      <c r="E1088" s="78"/>
      <c r="F1088" s="78"/>
      <c r="G1088" s="78"/>
      <c r="H1088" s="79"/>
      <c r="I1088" s="78"/>
      <c r="J1088" s="78"/>
      <c r="K1088" s="78"/>
      <c r="L1088" s="78"/>
      <c r="M1088" s="16"/>
      <c r="N1088" s="78"/>
      <c r="O1088" s="78"/>
      <c r="P1088" s="78"/>
      <c r="Q1088" s="78"/>
      <c r="R1088" s="54"/>
    </row>
    <row r="1089" spans="2:18" x14ac:dyDescent="0.2">
      <c r="B1089" s="53"/>
      <c r="C1089" s="78"/>
      <c r="D1089" s="78"/>
      <c r="E1089" s="78"/>
      <c r="F1089" s="78"/>
      <c r="G1089" s="78"/>
      <c r="H1089" s="79"/>
      <c r="I1089" s="78"/>
      <c r="J1089" s="78"/>
      <c r="K1089" s="78"/>
      <c r="L1089" s="78"/>
      <c r="M1089" s="16"/>
      <c r="N1089" s="78"/>
      <c r="O1089" s="78"/>
      <c r="P1089" s="78"/>
      <c r="Q1089" s="78"/>
      <c r="R1089" s="54"/>
    </row>
    <row r="1090" spans="2:18" x14ac:dyDescent="0.2">
      <c r="B1090" s="53"/>
      <c r="C1090" s="78"/>
      <c r="D1090" s="78"/>
      <c r="E1090" s="78"/>
      <c r="F1090" s="78"/>
      <c r="G1090" s="78"/>
      <c r="H1090" s="79"/>
      <c r="I1090" s="78"/>
      <c r="J1090" s="78"/>
      <c r="K1090" s="78"/>
      <c r="L1090" s="78"/>
      <c r="M1090" s="16"/>
      <c r="N1090" s="78"/>
      <c r="O1090" s="78"/>
      <c r="P1090" s="78"/>
      <c r="Q1090" s="78"/>
      <c r="R1090" s="54"/>
    </row>
    <row r="1091" spans="2:18" x14ac:dyDescent="0.2">
      <c r="B1091" s="53"/>
      <c r="C1091" s="78"/>
      <c r="D1091" s="78"/>
      <c r="E1091" s="78"/>
      <c r="F1091" s="78"/>
      <c r="G1091" s="78"/>
      <c r="H1091" s="79"/>
      <c r="I1091" s="78"/>
      <c r="J1091" s="78"/>
      <c r="K1091" s="78"/>
      <c r="L1091" s="78"/>
      <c r="M1091" s="16"/>
      <c r="N1091" s="78"/>
      <c r="O1091" s="78"/>
      <c r="P1091" s="78"/>
      <c r="Q1091" s="78"/>
      <c r="R1091" s="54"/>
    </row>
    <row r="1092" spans="2:18" x14ac:dyDescent="0.2">
      <c r="B1092" s="53"/>
      <c r="C1092" s="78"/>
      <c r="D1092" s="78"/>
      <c r="E1092" s="78"/>
      <c r="F1092" s="78"/>
      <c r="G1092" s="78"/>
      <c r="H1092" s="79"/>
      <c r="I1092" s="78"/>
      <c r="J1092" s="78"/>
      <c r="K1092" s="78"/>
      <c r="L1092" s="78"/>
      <c r="M1092" s="16"/>
      <c r="N1092" s="78"/>
      <c r="O1092" s="78"/>
      <c r="P1092" s="78"/>
      <c r="Q1092" s="78"/>
      <c r="R1092" s="54"/>
    </row>
    <row r="1093" spans="2:18" x14ac:dyDescent="0.2">
      <c r="B1093" s="53"/>
      <c r="C1093" s="78"/>
      <c r="D1093" s="78"/>
      <c r="E1093" s="78"/>
      <c r="F1093" s="78"/>
      <c r="G1093" s="78"/>
      <c r="H1093" s="79"/>
      <c r="I1093" s="78"/>
      <c r="J1093" s="78"/>
      <c r="K1093" s="78"/>
      <c r="L1093" s="78"/>
      <c r="M1093" s="16"/>
      <c r="N1093" s="78"/>
      <c r="O1093" s="78"/>
      <c r="P1093" s="78"/>
      <c r="Q1093" s="78"/>
      <c r="R1093" s="54"/>
    </row>
    <row r="1094" spans="2:18" x14ac:dyDescent="0.2">
      <c r="B1094" s="53"/>
      <c r="C1094" s="78"/>
      <c r="D1094" s="78"/>
      <c r="E1094" s="78"/>
      <c r="F1094" s="78"/>
      <c r="G1094" s="78"/>
      <c r="H1094" s="79"/>
      <c r="I1094" s="78"/>
      <c r="J1094" s="78"/>
      <c r="K1094" s="78"/>
      <c r="L1094" s="78"/>
      <c r="M1094" s="16"/>
      <c r="N1094" s="78"/>
      <c r="O1094" s="78"/>
      <c r="P1094" s="78"/>
      <c r="Q1094" s="78"/>
      <c r="R1094" s="54"/>
    </row>
    <row r="1095" spans="2:18" x14ac:dyDescent="0.2">
      <c r="B1095" s="53"/>
      <c r="C1095" s="78"/>
      <c r="D1095" s="78"/>
      <c r="E1095" s="78"/>
      <c r="F1095" s="78"/>
      <c r="G1095" s="78"/>
      <c r="H1095" s="79"/>
      <c r="I1095" s="78"/>
      <c r="J1095" s="78"/>
      <c r="K1095" s="78"/>
      <c r="L1095" s="78"/>
      <c r="M1095" s="16"/>
      <c r="N1095" s="78"/>
      <c r="O1095" s="78"/>
      <c r="P1095" s="78"/>
      <c r="Q1095" s="78"/>
      <c r="R1095" s="54"/>
    </row>
    <row r="1096" spans="2:18" x14ac:dyDescent="0.2">
      <c r="B1096" s="53"/>
      <c r="C1096" s="78"/>
      <c r="D1096" s="78"/>
      <c r="E1096" s="78"/>
      <c r="F1096" s="78"/>
      <c r="G1096" s="78"/>
      <c r="H1096" s="79"/>
      <c r="I1096" s="78"/>
      <c r="J1096" s="78"/>
      <c r="K1096" s="78"/>
      <c r="L1096" s="78"/>
      <c r="M1096" s="16"/>
      <c r="N1096" s="78"/>
      <c r="O1096" s="78"/>
      <c r="P1096" s="78"/>
      <c r="Q1096" s="78"/>
      <c r="R1096" s="54"/>
    </row>
    <row r="1097" spans="2:18" x14ac:dyDescent="0.2">
      <c r="B1097" s="53"/>
      <c r="C1097" s="78"/>
      <c r="D1097" s="78"/>
      <c r="E1097" s="78"/>
      <c r="F1097" s="78"/>
      <c r="G1097" s="78"/>
      <c r="H1097" s="79"/>
      <c r="I1097" s="78"/>
      <c r="J1097" s="78"/>
      <c r="K1097" s="78"/>
      <c r="L1097" s="78"/>
      <c r="M1097" s="16"/>
      <c r="N1097" s="78"/>
      <c r="O1097" s="78"/>
      <c r="P1097" s="78"/>
      <c r="Q1097" s="78"/>
      <c r="R1097" s="54"/>
    </row>
    <row r="1098" spans="2:18" x14ac:dyDescent="0.2">
      <c r="B1098" s="53"/>
      <c r="C1098" s="78"/>
      <c r="D1098" s="78"/>
      <c r="E1098" s="78"/>
      <c r="F1098" s="78"/>
      <c r="G1098" s="78"/>
      <c r="H1098" s="79"/>
      <c r="I1098" s="78"/>
      <c r="J1098" s="78"/>
      <c r="K1098" s="78"/>
      <c r="L1098" s="78"/>
      <c r="M1098" s="16"/>
      <c r="N1098" s="78"/>
      <c r="O1098" s="78"/>
      <c r="P1098" s="78"/>
      <c r="Q1098" s="78"/>
      <c r="R1098" s="54"/>
    </row>
    <row r="1099" spans="2:18" x14ac:dyDescent="0.2">
      <c r="B1099" s="53"/>
      <c r="C1099" s="78"/>
      <c r="D1099" s="78"/>
      <c r="E1099" s="78"/>
      <c r="F1099" s="78"/>
      <c r="G1099" s="78"/>
      <c r="H1099" s="79"/>
      <c r="I1099" s="78"/>
      <c r="J1099" s="78"/>
      <c r="K1099" s="78"/>
      <c r="L1099" s="78"/>
      <c r="M1099" s="16"/>
      <c r="N1099" s="78"/>
      <c r="O1099" s="78"/>
      <c r="P1099" s="78"/>
      <c r="Q1099" s="78"/>
      <c r="R1099" s="54"/>
    </row>
    <row r="1100" spans="2:18" x14ac:dyDescent="0.2">
      <c r="B1100" s="53"/>
      <c r="C1100" s="78"/>
      <c r="D1100" s="78"/>
      <c r="E1100" s="78"/>
      <c r="F1100" s="78"/>
      <c r="G1100" s="78"/>
      <c r="H1100" s="79"/>
      <c r="I1100" s="78"/>
      <c r="J1100" s="78"/>
      <c r="K1100" s="78"/>
      <c r="L1100" s="78"/>
      <c r="M1100" s="16"/>
      <c r="N1100" s="78"/>
      <c r="O1100" s="78"/>
      <c r="P1100" s="78"/>
      <c r="Q1100" s="78"/>
      <c r="R1100" s="54"/>
    </row>
    <row r="1101" spans="2:18" x14ac:dyDescent="0.2">
      <c r="B1101" s="53"/>
      <c r="C1101" s="78"/>
      <c r="D1101" s="78"/>
      <c r="E1101" s="78"/>
      <c r="F1101" s="78"/>
      <c r="G1101" s="78"/>
      <c r="H1101" s="79"/>
      <c r="I1101" s="78"/>
      <c r="J1101" s="78"/>
      <c r="K1101" s="78"/>
      <c r="L1101" s="78"/>
      <c r="M1101" s="16"/>
      <c r="N1101" s="78"/>
      <c r="O1101" s="78"/>
      <c r="P1101" s="78"/>
      <c r="Q1101" s="78"/>
      <c r="R1101" s="54"/>
    </row>
    <row r="1102" spans="2:18" x14ac:dyDescent="0.2">
      <c r="B1102" s="53"/>
      <c r="C1102" s="78"/>
      <c r="D1102" s="78"/>
      <c r="E1102" s="78"/>
      <c r="F1102" s="78"/>
      <c r="G1102" s="78"/>
      <c r="H1102" s="79"/>
      <c r="I1102" s="78"/>
      <c r="J1102" s="78"/>
      <c r="K1102" s="78"/>
      <c r="L1102" s="78"/>
      <c r="M1102" s="16"/>
      <c r="N1102" s="78"/>
      <c r="O1102" s="78"/>
      <c r="P1102" s="78"/>
      <c r="Q1102" s="78"/>
      <c r="R1102" s="54"/>
    </row>
    <row r="1103" spans="2:18" x14ac:dyDescent="0.2">
      <c r="B1103" s="53"/>
      <c r="C1103" s="78"/>
      <c r="D1103" s="78"/>
      <c r="E1103" s="78"/>
      <c r="F1103" s="78"/>
      <c r="G1103" s="78"/>
      <c r="H1103" s="79"/>
      <c r="I1103" s="78"/>
      <c r="J1103" s="78"/>
      <c r="K1103" s="78"/>
      <c r="L1103" s="78"/>
      <c r="M1103" s="16"/>
      <c r="N1103" s="78"/>
      <c r="O1103" s="78"/>
      <c r="P1103" s="78"/>
      <c r="Q1103" s="78"/>
      <c r="R1103" s="54"/>
    </row>
    <row r="1104" spans="2:18" x14ac:dyDescent="0.2">
      <c r="B1104" s="53"/>
      <c r="C1104" s="78"/>
      <c r="D1104" s="78"/>
      <c r="E1104" s="78"/>
      <c r="F1104" s="78"/>
      <c r="G1104" s="78"/>
      <c r="H1104" s="79"/>
      <c r="I1104" s="78"/>
      <c r="J1104" s="78"/>
      <c r="K1104" s="78"/>
      <c r="L1104" s="78"/>
      <c r="M1104" s="16"/>
      <c r="N1104" s="78"/>
      <c r="O1104" s="78"/>
      <c r="P1104" s="78"/>
      <c r="Q1104" s="78"/>
      <c r="R1104" s="54"/>
    </row>
    <row r="1105" spans="2:18" x14ac:dyDescent="0.2">
      <c r="B1105" s="53"/>
      <c r="C1105" s="78"/>
      <c r="D1105" s="78"/>
      <c r="E1105" s="78"/>
      <c r="F1105" s="78"/>
      <c r="G1105" s="78"/>
      <c r="H1105" s="79"/>
      <c r="I1105" s="78"/>
      <c r="J1105" s="78"/>
      <c r="K1105" s="78"/>
      <c r="L1105" s="78"/>
      <c r="M1105" s="16"/>
      <c r="N1105" s="78"/>
      <c r="O1105" s="78"/>
      <c r="P1105" s="78"/>
      <c r="Q1105" s="78"/>
      <c r="R1105" s="54"/>
    </row>
    <row r="1106" spans="2:18" x14ac:dyDescent="0.2">
      <c r="B1106" s="53"/>
      <c r="C1106" s="78"/>
      <c r="D1106" s="78"/>
      <c r="E1106" s="78"/>
      <c r="F1106" s="78"/>
      <c r="G1106" s="78"/>
      <c r="H1106" s="79"/>
      <c r="I1106" s="78"/>
      <c r="J1106" s="78"/>
      <c r="K1106" s="78"/>
      <c r="L1106" s="78"/>
      <c r="M1106" s="16"/>
      <c r="N1106" s="78"/>
      <c r="O1106" s="78"/>
      <c r="P1106" s="78"/>
      <c r="Q1106" s="78"/>
      <c r="R1106" s="54"/>
    </row>
    <row r="1107" spans="2:18" x14ac:dyDescent="0.2">
      <c r="B1107" s="53"/>
      <c r="C1107" s="78"/>
      <c r="D1107" s="78"/>
      <c r="E1107" s="78"/>
      <c r="F1107" s="78"/>
      <c r="G1107" s="78"/>
      <c r="H1107" s="79"/>
      <c r="I1107" s="78"/>
      <c r="J1107" s="78"/>
      <c r="K1107" s="78"/>
      <c r="L1107" s="78"/>
      <c r="M1107" s="16"/>
      <c r="N1107" s="78"/>
      <c r="O1107" s="78"/>
      <c r="P1107" s="78"/>
      <c r="Q1107" s="78"/>
      <c r="R1107" s="54"/>
    </row>
    <row r="1108" spans="2:18" x14ac:dyDescent="0.2">
      <c r="B1108" s="53"/>
      <c r="C1108" s="78"/>
      <c r="D1108" s="78"/>
      <c r="E1108" s="78"/>
      <c r="F1108" s="78"/>
      <c r="G1108" s="78"/>
      <c r="H1108" s="79"/>
      <c r="I1108" s="78"/>
      <c r="J1108" s="78"/>
      <c r="K1108" s="78"/>
      <c r="L1108" s="78"/>
      <c r="M1108" s="16"/>
      <c r="N1108" s="78"/>
      <c r="O1108" s="78"/>
      <c r="P1108" s="78"/>
      <c r="Q1108" s="78"/>
      <c r="R1108" s="54"/>
    </row>
    <row r="1109" spans="2:18" x14ac:dyDescent="0.2">
      <c r="B1109" s="53"/>
      <c r="C1109" s="78"/>
      <c r="D1109" s="78"/>
      <c r="E1109" s="78"/>
      <c r="F1109" s="78"/>
      <c r="G1109" s="78"/>
      <c r="H1109" s="79"/>
      <c r="I1109" s="78"/>
      <c r="J1109" s="78"/>
      <c r="K1109" s="78"/>
      <c r="L1109" s="78"/>
      <c r="M1109" s="16"/>
      <c r="N1109" s="78"/>
      <c r="O1109" s="78"/>
      <c r="P1109" s="78"/>
      <c r="Q1109" s="78"/>
      <c r="R1109" s="54"/>
    </row>
    <row r="1110" spans="2:18" x14ac:dyDescent="0.2">
      <c r="B1110" s="53"/>
      <c r="C1110" s="78"/>
      <c r="D1110" s="78"/>
      <c r="E1110" s="78"/>
      <c r="F1110" s="78"/>
      <c r="G1110" s="78"/>
      <c r="H1110" s="79"/>
      <c r="I1110" s="78"/>
      <c r="J1110" s="78"/>
      <c r="K1110" s="78"/>
      <c r="L1110" s="78"/>
      <c r="M1110" s="16"/>
      <c r="N1110" s="78"/>
      <c r="O1110" s="78"/>
      <c r="P1110" s="78"/>
      <c r="Q1110" s="78"/>
      <c r="R1110" s="54"/>
    </row>
    <row r="1111" spans="2:18" x14ac:dyDescent="0.2">
      <c r="B1111" s="53"/>
      <c r="C1111" s="78"/>
      <c r="D1111" s="78"/>
      <c r="E1111" s="78"/>
      <c r="F1111" s="78"/>
      <c r="G1111" s="78"/>
      <c r="H1111" s="79"/>
      <c r="I1111" s="78"/>
      <c r="J1111" s="78"/>
      <c r="K1111" s="78"/>
      <c r="L1111" s="78"/>
      <c r="M1111" s="16"/>
      <c r="N1111" s="78"/>
      <c r="O1111" s="78"/>
      <c r="P1111" s="78"/>
      <c r="Q1111" s="78"/>
      <c r="R1111" s="54"/>
    </row>
    <row r="1112" spans="2:18" x14ac:dyDescent="0.2">
      <c r="B1112" s="53"/>
      <c r="C1112" s="78"/>
      <c r="D1112" s="78"/>
      <c r="E1112" s="78"/>
      <c r="F1112" s="78"/>
      <c r="G1112" s="78"/>
      <c r="H1112" s="79"/>
      <c r="I1112" s="78"/>
      <c r="J1112" s="78"/>
      <c r="K1112" s="78"/>
      <c r="L1112" s="78"/>
      <c r="M1112" s="16"/>
      <c r="N1112" s="78"/>
      <c r="O1112" s="78"/>
      <c r="P1112" s="78"/>
      <c r="Q1112" s="78"/>
      <c r="R1112" s="54"/>
    </row>
    <row r="1113" spans="2:18" x14ac:dyDescent="0.2">
      <c r="B1113" s="53"/>
      <c r="C1113" s="78"/>
      <c r="D1113" s="78"/>
      <c r="E1113" s="78"/>
      <c r="F1113" s="78"/>
      <c r="G1113" s="78"/>
      <c r="H1113" s="79"/>
      <c r="I1113" s="78"/>
      <c r="J1113" s="78"/>
      <c r="K1113" s="78"/>
      <c r="L1113" s="78"/>
      <c r="M1113" s="16"/>
      <c r="N1113" s="78"/>
      <c r="O1113" s="78"/>
      <c r="P1113" s="78"/>
      <c r="Q1113" s="78"/>
      <c r="R1113" s="54"/>
    </row>
    <row r="1114" spans="2:18" x14ac:dyDescent="0.2">
      <c r="B1114" s="53"/>
      <c r="C1114" s="78"/>
      <c r="D1114" s="78"/>
      <c r="E1114" s="78"/>
      <c r="F1114" s="78"/>
      <c r="G1114" s="78"/>
      <c r="H1114" s="79"/>
      <c r="I1114" s="78"/>
      <c r="J1114" s="78"/>
      <c r="K1114" s="78"/>
      <c r="L1114" s="78"/>
      <c r="M1114" s="16"/>
      <c r="N1114" s="78"/>
      <c r="O1114" s="78"/>
      <c r="P1114" s="78"/>
      <c r="Q1114" s="78"/>
      <c r="R1114" s="54"/>
    </row>
    <row r="1115" spans="2:18" x14ac:dyDescent="0.2">
      <c r="B1115" s="53"/>
      <c r="C1115" s="78"/>
      <c r="D1115" s="78"/>
      <c r="E1115" s="78"/>
      <c r="F1115" s="78"/>
      <c r="G1115" s="78"/>
      <c r="H1115" s="79"/>
      <c r="I1115" s="78"/>
      <c r="J1115" s="78"/>
      <c r="K1115" s="78"/>
      <c r="L1115" s="78"/>
      <c r="M1115" s="16"/>
      <c r="N1115" s="78"/>
      <c r="O1115" s="78"/>
      <c r="P1115" s="78"/>
      <c r="Q1115" s="78"/>
      <c r="R1115" s="54"/>
    </row>
    <row r="1116" spans="2:18" x14ac:dyDescent="0.2">
      <c r="B1116" s="53"/>
      <c r="C1116" s="78"/>
      <c r="D1116" s="78"/>
      <c r="E1116" s="78"/>
      <c r="F1116" s="78"/>
      <c r="G1116" s="78"/>
      <c r="H1116" s="79"/>
      <c r="I1116" s="78"/>
      <c r="J1116" s="78"/>
      <c r="K1116" s="78"/>
      <c r="L1116" s="78"/>
      <c r="M1116" s="16"/>
      <c r="N1116" s="78"/>
      <c r="O1116" s="78"/>
      <c r="P1116" s="78"/>
      <c r="Q1116" s="78"/>
      <c r="R1116" s="54"/>
    </row>
    <row r="1117" spans="2:18" x14ac:dyDescent="0.2">
      <c r="B1117" s="53"/>
      <c r="C1117" s="78"/>
      <c r="D1117" s="78"/>
      <c r="E1117" s="78"/>
      <c r="F1117" s="78"/>
      <c r="G1117" s="78"/>
      <c r="H1117" s="79"/>
      <c r="I1117" s="78"/>
      <c r="J1117" s="78"/>
      <c r="K1117" s="78"/>
      <c r="L1117" s="78"/>
      <c r="M1117" s="16"/>
      <c r="N1117" s="78"/>
      <c r="O1117" s="78"/>
      <c r="P1117" s="78"/>
      <c r="Q1117" s="78"/>
      <c r="R1117" s="54"/>
    </row>
    <row r="1118" spans="2:18" x14ac:dyDescent="0.2">
      <c r="B1118" s="53"/>
      <c r="C1118" s="78"/>
      <c r="D1118" s="78"/>
      <c r="E1118" s="78"/>
      <c r="F1118" s="78"/>
      <c r="G1118" s="78"/>
      <c r="H1118" s="79"/>
      <c r="I1118" s="78"/>
      <c r="J1118" s="78"/>
      <c r="K1118" s="78"/>
      <c r="L1118" s="78"/>
      <c r="M1118" s="16"/>
      <c r="N1118" s="78"/>
      <c r="O1118" s="78"/>
      <c r="P1118" s="78"/>
      <c r="Q1118" s="78"/>
      <c r="R1118" s="54"/>
    </row>
    <row r="1119" spans="2:18" x14ac:dyDescent="0.2">
      <c r="B1119" s="53"/>
      <c r="C1119" s="78"/>
      <c r="D1119" s="78"/>
      <c r="E1119" s="78"/>
      <c r="F1119" s="78"/>
      <c r="G1119" s="78"/>
      <c r="H1119" s="79"/>
      <c r="I1119" s="78"/>
      <c r="J1119" s="78"/>
      <c r="K1119" s="78"/>
      <c r="L1119" s="78"/>
      <c r="M1119" s="16"/>
      <c r="N1119" s="78"/>
      <c r="O1119" s="78"/>
      <c r="P1119" s="78"/>
      <c r="Q1119" s="78"/>
      <c r="R1119" s="54"/>
    </row>
    <row r="1120" spans="2:18" x14ac:dyDescent="0.2">
      <c r="B1120" s="53"/>
      <c r="C1120" s="78"/>
      <c r="D1120" s="78"/>
      <c r="E1120" s="78"/>
      <c r="F1120" s="78"/>
      <c r="G1120" s="78"/>
      <c r="H1120" s="79"/>
      <c r="I1120" s="78"/>
      <c r="J1120" s="78"/>
      <c r="K1120" s="78"/>
      <c r="L1120" s="78"/>
      <c r="M1120" s="16"/>
      <c r="N1120" s="78"/>
      <c r="O1120" s="78"/>
      <c r="P1120" s="78"/>
      <c r="Q1120" s="78"/>
      <c r="R1120" s="54"/>
    </row>
    <row r="1121" spans="2:18" x14ac:dyDescent="0.2">
      <c r="B1121" s="53"/>
      <c r="C1121" s="78"/>
      <c r="D1121" s="78"/>
      <c r="E1121" s="78"/>
      <c r="F1121" s="78"/>
      <c r="G1121" s="78"/>
      <c r="H1121" s="79"/>
      <c r="I1121" s="78"/>
      <c r="J1121" s="78"/>
      <c r="K1121" s="78"/>
      <c r="L1121" s="78"/>
      <c r="M1121" s="16"/>
      <c r="N1121" s="78"/>
      <c r="O1121" s="78"/>
      <c r="P1121" s="78"/>
      <c r="Q1121" s="78"/>
      <c r="R1121" s="54"/>
    </row>
    <row r="1122" spans="2:18" x14ac:dyDescent="0.2">
      <c r="B1122" s="53"/>
      <c r="C1122" s="78"/>
      <c r="D1122" s="78"/>
      <c r="E1122" s="78"/>
      <c r="F1122" s="78"/>
      <c r="G1122" s="78"/>
      <c r="H1122" s="79"/>
      <c r="I1122" s="78"/>
      <c r="J1122" s="78"/>
      <c r="K1122" s="78"/>
      <c r="L1122" s="78"/>
      <c r="M1122" s="16"/>
      <c r="N1122" s="78"/>
      <c r="O1122" s="78"/>
      <c r="P1122" s="78"/>
      <c r="Q1122" s="78"/>
      <c r="R1122" s="54"/>
    </row>
    <row r="1123" spans="2:18" x14ac:dyDescent="0.2">
      <c r="B1123" s="53"/>
      <c r="C1123" s="78"/>
      <c r="D1123" s="78"/>
      <c r="E1123" s="78"/>
      <c r="F1123" s="78"/>
      <c r="G1123" s="78"/>
      <c r="H1123" s="79"/>
      <c r="I1123" s="78"/>
      <c r="J1123" s="78"/>
      <c r="K1123" s="78"/>
      <c r="L1123" s="78"/>
      <c r="M1123" s="16"/>
      <c r="N1123" s="78"/>
      <c r="O1123" s="78"/>
      <c r="P1123" s="78"/>
      <c r="Q1123" s="78"/>
      <c r="R1123" s="54"/>
    </row>
    <row r="1124" spans="2:18" x14ac:dyDescent="0.2">
      <c r="B1124" s="53"/>
      <c r="C1124" s="78"/>
      <c r="D1124" s="78"/>
      <c r="E1124" s="78"/>
      <c r="F1124" s="78"/>
      <c r="G1124" s="78"/>
      <c r="H1124" s="79"/>
      <c r="I1124" s="78"/>
      <c r="J1124" s="78"/>
      <c r="K1124" s="78"/>
      <c r="L1124" s="78"/>
      <c r="M1124" s="16"/>
      <c r="N1124" s="78"/>
      <c r="O1124" s="78"/>
      <c r="P1124" s="78"/>
      <c r="Q1124" s="78"/>
      <c r="R1124" s="54"/>
    </row>
    <row r="1125" spans="2:18" x14ac:dyDescent="0.2">
      <c r="B1125" s="53"/>
      <c r="C1125" s="78"/>
      <c r="D1125" s="78"/>
      <c r="E1125" s="78"/>
      <c r="F1125" s="78"/>
      <c r="G1125" s="78"/>
      <c r="H1125" s="79"/>
      <c r="I1125" s="78"/>
      <c r="J1125" s="78"/>
      <c r="K1125" s="78"/>
      <c r="L1125" s="78"/>
      <c r="M1125" s="16"/>
      <c r="N1125" s="78"/>
      <c r="O1125" s="78"/>
      <c r="P1125" s="78"/>
      <c r="Q1125" s="78"/>
      <c r="R1125" s="54"/>
    </row>
    <row r="1126" spans="2:18" x14ac:dyDescent="0.2">
      <c r="B1126" s="53"/>
      <c r="C1126" s="78"/>
      <c r="D1126" s="78"/>
      <c r="E1126" s="78"/>
      <c r="F1126" s="78"/>
      <c r="G1126" s="78"/>
      <c r="H1126" s="79"/>
      <c r="I1126" s="78"/>
      <c r="J1126" s="78"/>
      <c r="K1126" s="78"/>
      <c r="L1126" s="78"/>
      <c r="M1126" s="16"/>
      <c r="N1126" s="78"/>
      <c r="O1126" s="78"/>
      <c r="P1126" s="78"/>
      <c r="Q1126" s="78"/>
      <c r="R1126" s="54"/>
    </row>
    <row r="1127" spans="2:18" x14ac:dyDescent="0.2">
      <c r="B1127" s="53"/>
      <c r="C1127" s="78"/>
      <c r="D1127" s="78"/>
      <c r="E1127" s="78"/>
      <c r="F1127" s="78"/>
      <c r="G1127" s="78"/>
      <c r="H1127" s="79"/>
      <c r="I1127" s="78"/>
      <c r="J1127" s="78"/>
      <c r="K1127" s="78"/>
      <c r="L1127" s="78"/>
      <c r="M1127" s="16"/>
      <c r="N1127" s="78"/>
      <c r="O1127" s="78"/>
      <c r="P1127" s="78"/>
      <c r="Q1127" s="78"/>
      <c r="R1127" s="54"/>
    </row>
    <row r="1128" spans="2:18" x14ac:dyDescent="0.2">
      <c r="B1128" s="53"/>
      <c r="C1128" s="78"/>
      <c r="D1128" s="78"/>
      <c r="E1128" s="78"/>
      <c r="F1128" s="78"/>
      <c r="G1128" s="78"/>
      <c r="H1128" s="79"/>
      <c r="I1128" s="78"/>
      <c r="J1128" s="78"/>
      <c r="K1128" s="78"/>
      <c r="L1128" s="78"/>
      <c r="M1128" s="16"/>
      <c r="N1128" s="78"/>
      <c r="O1128" s="78"/>
      <c r="P1128" s="78"/>
      <c r="Q1128" s="78"/>
      <c r="R1128" s="54"/>
    </row>
    <row r="1129" spans="2:18" x14ac:dyDescent="0.2">
      <c r="B1129" s="53"/>
      <c r="C1129" s="78"/>
      <c r="D1129" s="78"/>
      <c r="E1129" s="78"/>
      <c r="F1129" s="78"/>
      <c r="G1129" s="78"/>
      <c r="H1129" s="79"/>
      <c r="I1129" s="78"/>
      <c r="J1129" s="78"/>
      <c r="K1129" s="78"/>
      <c r="L1129" s="78"/>
      <c r="M1129" s="16"/>
      <c r="N1129" s="78"/>
      <c r="O1129" s="78"/>
      <c r="P1129" s="78"/>
      <c r="Q1129" s="78"/>
      <c r="R1129" s="54"/>
    </row>
    <row r="1130" spans="2:18" x14ac:dyDescent="0.2">
      <c r="B1130" s="53"/>
      <c r="C1130" s="78"/>
      <c r="D1130" s="78"/>
      <c r="E1130" s="78"/>
      <c r="F1130" s="78"/>
      <c r="G1130" s="78"/>
      <c r="H1130" s="79"/>
      <c r="I1130" s="78"/>
      <c r="J1130" s="78"/>
      <c r="K1130" s="78"/>
      <c r="L1130" s="78"/>
      <c r="M1130" s="16"/>
      <c r="N1130" s="78"/>
      <c r="O1130" s="78"/>
      <c r="P1130" s="78"/>
      <c r="Q1130" s="78"/>
      <c r="R1130" s="54"/>
    </row>
    <row r="1131" spans="2:18" x14ac:dyDescent="0.2">
      <c r="B1131" s="53"/>
      <c r="C1131" s="78"/>
      <c r="D1131" s="78"/>
      <c r="E1131" s="78"/>
      <c r="F1131" s="78"/>
      <c r="G1131" s="78"/>
      <c r="H1131" s="79"/>
      <c r="I1131" s="78"/>
      <c r="J1131" s="78"/>
      <c r="K1131" s="78"/>
      <c r="L1131" s="78"/>
      <c r="M1131" s="16"/>
      <c r="N1131" s="78"/>
      <c r="O1131" s="78"/>
      <c r="P1131" s="78"/>
      <c r="Q1131" s="78"/>
      <c r="R1131" s="54"/>
    </row>
    <row r="1132" spans="2:18" x14ac:dyDescent="0.2">
      <c r="B1132" s="53"/>
      <c r="C1132" s="78"/>
      <c r="D1132" s="78"/>
      <c r="E1132" s="78"/>
      <c r="F1132" s="78"/>
      <c r="G1132" s="78"/>
      <c r="H1132" s="79"/>
      <c r="I1132" s="78"/>
      <c r="J1132" s="78"/>
      <c r="K1132" s="78"/>
      <c r="L1132" s="78"/>
      <c r="M1132" s="16"/>
      <c r="N1132" s="78"/>
      <c r="O1132" s="78"/>
      <c r="P1132" s="78"/>
      <c r="Q1132" s="78"/>
      <c r="R1132" s="54"/>
    </row>
    <row r="1133" spans="2:18" x14ac:dyDescent="0.2">
      <c r="B1133" s="53"/>
      <c r="C1133" s="78"/>
      <c r="D1133" s="78"/>
      <c r="E1133" s="78"/>
      <c r="F1133" s="78"/>
      <c r="G1133" s="78"/>
      <c r="H1133" s="79"/>
      <c r="I1133" s="78"/>
      <c r="J1133" s="78"/>
      <c r="K1133" s="78"/>
      <c r="L1133" s="78"/>
      <c r="M1133" s="16"/>
      <c r="N1133" s="78"/>
      <c r="O1133" s="78"/>
      <c r="P1133" s="78"/>
      <c r="Q1133" s="78"/>
      <c r="R1133" s="54"/>
    </row>
    <row r="1134" spans="2:18" x14ac:dyDescent="0.2">
      <c r="B1134" s="53"/>
      <c r="C1134" s="78"/>
      <c r="D1134" s="78"/>
      <c r="E1134" s="78"/>
      <c r="F1134" s="78"/>
      <c r="G1134" s="78"/>
      <c r="H1134" s="79"/>
      <c r="I1134" s="78"/>
      <c r="J1134" s="78"/>
      <c r="K1134" s="78"/>
      <c r="L1134" s="78"/>
      <c r="M1134" s="16"/>
      <c r="N1134" s="78"/>
      <c r="O1134" s="78"/>
      <c r="P1134" s="78"/>
      <c r="Q1134" s="78"/>
      <c r="R1134" s="54"/>
    </row>
    <row r="1135" spans="2:18" x14ac:dyDescent="0.2">
      <c r="B1135" s="53"/>
      <c r="C1135" s="78"/>
      <c r="D1135" s="78"/>
      <c r="E1135" s="78"/>
      <c r="F1135" s="78"/>
      <c r="G1135" s="78"/>
      <c r="H1135" s="79"/>
      <c r="I1135" s="78"/>
      <c r="J1135" s="78"/>
      <c r="K1135" s="78"/>
      <c r="L1135" s="78"/>
      <c r="M1135" s="16"/>
      <c r="N1135" s="78"/>
      <c r="O1135" s="78"/>
      <c r="P1135" s="78"/>
      <c r="Q1135" s="78"/>
      <c r="R1135" s="54"/>
    </row>
    <row r="1136" spans="2:18" x14ac:dyDescent="0.2">
      <c r="B1136" s="53"/>
      <c r="C1136" s="78"/>
      <c r="D1136" s="78"/>
      <c r="E1136" s="78"/>
      <c r="F1136" s="78"/>
      <c r="G1136" s="78"/>
      <c r="H1136" s="79"/>
      <c r="I1136" s="78"/>
      <c r="J1136" s="78"/>
      <c r="K1136" s="78"/>
      <c r="L1136" s="78"/>
      <c r="M1136" s="16"/>
      <c r="N1136" s="78"/>
      <c r="O1136" s="78"/>
      <c r="P1136" s="78"/>
      <c r="Q1136" s="78"/>
      <c r="R1136" s="54"/>
    </row>
    <row r="1137" spans="2:18" x14ac:dyDescent="0.2">
      <c r="B1137" s="53"/>
      <c r="C1137" s="78"/>
      <c r="D1137" s="78"/>
      <c r="E1137" s="78"/>
      <c r="F1137" s="78"/>
      <c r="G1137" s="78"/>
      <c r="H1137" s="79"/>
      <c r="I1137" s="78"/>
      <c r="J1137" s="78"/>
      <c r="K1137" s="78"/>
      <c r="L1137" s="78"/>
      <c r="M1137" s="16"/>
      <c r="N1137" s="78"/>
      <c r="O1137" s="78"/>
      <c r="P1137" s="78"/>
      <c r="Q1137" s="78"/>
      <c r="R1137" s="54"/>
    </row>
    <row r="1138" spans="2:18" x14ac:dyDescent="0.2">
      <c r="B1138" s="53"/>
      <c r="C1138" s="78"/>
      <c r="D1138" s="78"/>
      <c r="E1138" s="78"/>
      <c r="F1138" s="78"/>
      <c r="G1138" s="78"/>
      <c r="H1138" s="79"/>
      <c r="I1138" s="78"/>
      <c r="J1138" s="78"/>
      <c r="K1138" s="78"/>
      <c r="L1138" s="78"/>
      <c r="M1138" s="16"/>
      <c r="N1138" s="78"/>
      <c r="O1138" s="78"/>
      <c r="P1138" s="78"/>
      <c r="Q1138" s="78"/>
      <c r="R1138" s="54"/>
    </row>
    <row r="1139" spans="2:18" x14ac:dyDescent="0.2">
      <c r="B1139" s="53"/>
      <c r="C1139" s="78"/>
      <c r="D1139" s="78"/>
      <c r="E1139" s="78"/>
      <c r="F1139" s="78"/>
      <c r="G1139" s="78"/>
      <c r="H1139" s="79"/>
      <c r="I1139" s="78"/>
      <c r="J1139" s="78"/>
      <c r="K1139" s="78"/>
      <c r="L1139" s="78"/>
      <c r="M1139" s="16"/>
      <c r="N1139" s="78"/>
      <c r="O1139" s="78"/>
      <c r="P1139" s="78"/>
      <c r="Q1139" s="78"/>
      <c r="R1139" s="54"/>
    </row>
    <row r="1140" spans="2:18" x14ac:dyDescent="0.2">
      <c r="B1140" s="53"/>
      <c r="C1140" s="78"/>
      <c r="D1140" s="78"/>
      <c r="E1140" s="78"/>
      <c r="F1140" s="78"/>
      <c r="G1140" s="78"/>
      <c r="H1140" s="79"/>
      <c r="I1140" s="78"/>
      <c r="J1140" s="78"/>
      <c r="K1140" s="78"/>
      <c r="L1140" s="78"/>
      <c r="M1140" s="16"/>
      <c r="N1140" s="78"/>
      <c r="O1140" s="78"/>
      <c r="P1140" s="78"/>
      <c r="Q1140" s="78"/>
      <c r="R1140" s="54"/>
    </row>
    <row r="1141" spans="2:18" x14ac:dyDescent="0.2">
      <c r="B1141" s="53"/>
      <c r="C1141" s="78"/>
      <c r="D1141" s="78"/>
      <c r="E1141" s="78"/>
      <c r="F1141" s="78"/>
      <c r="G1141" s="78"/>
      <c r="H1141" s="79"/>
      <c r="I1141" s="78"/>
      <c r="J1141" s="78"/>
      <c r="K1141" s="78"/>
      <c r="L1141" s="78"/>
      <c r="M1141" s="16"/>
      <c r="N1141" s="78"/>
      <c r="O1141" s="78"/>
      <c r="P1141" s="78"/>
      <c r="Q1141" s="78"/>
      <c r="R1141" s="54"/>
    </row>
    <row r="1142" spans="2:18" x14ac:dyDescent="0.2">
      <c r="B1142" s="53"/>
      <c r="C1142" s="78"/>
      <c r="D1142" s="78"/>
      <c r="E1142" s="78"/>
      <c r="F1142" s="78"/>
      <c r="G1142" s="78"/>
      <c r="H1142" s="79"/>
      <c r="I1142" s="78"/>
      <c r="J1142" s="78"/>
      <c r="K1142" s="78"/>
      <c r="L1142" s="78"/>
      <c r="M1142" s="16"/>
      <c r="N1142" s="78"/>
      <c r="O1142" s="78"/>
      <c r="P1142" s="78"/>
      <c r="Q1142" s="78"/>
      <c r="R1142" s="54"/>
    </row>
    <row r="1143" spans="2:18" x14ac:dyDescent="0.2">
      <c r="B1143" s="53"/>
      <c r="C1143" s="78"/>
      <c r="D1143" s="78"/>
      <c r="E1143" s="78"/>
      <c r="F1143" s="78"/>
      <c r="G1143" s="78"/>
      <c r="H1143" s="79"/>
      <c r="I1143" s="78"/>
      <c r="J1143" s="78"/>
      <c r="K1143" s="78"/>
      <c r="L1143" s="78"/>
      <c r="M1143" s="16"/>
      <c r="N1143" s="78"/>
      <c r="O1143" s="78"/>
      <c r="P1143" s="78"/>
      <c r="Q1143" s="78"/>
      <c r="R1143" s="54"/>
    </row>
    <row r="1144" spans="2:18" x14ac:dyDescent="0.2">
      <c r="B1144" s="53"/>
      <c r="C1144" s="78"/>
      <c r="D1144" s="78"/>
      <c r="E1144" s="78"/>
      <c r="F1144" s="78"/>
      <c r="G1144" s="78"/>
      <c r="H1144" s="79"/>
      <c r="I1144" s="78"/>
      <c r="J1144" s="78"/>
      <c r="K1144" s="78"/>
      <c r="L1144" s="78"/>
      <c r="M1144" s="16"/>
      <c r="N1144" s="78"/>
      <c r="O1144" s="78"/>
      <c r="P1144" s="78"/>
      <c r="Q1144" s="78"/>
      <c r="R1144" s="54"/>
    </row>
    <row r="1145" spans="2:18" x14ac:dyDescent="0.2">
      <c r="B1145" s="53"/>
      <c r="C1145" s="78"/>
      <c r="D1145" s="78"/>
      <c r="E1145" s="78"/>
      <c r="F1145" s="78"/>
      <c r="G1145" s="78"/>
      <c r="H1145" s="79"/>
      <c r="I1145" s="78"/>
      <c r="J1145" s="78"/>
      <c r="K1145" s="78"/>
      <c r="L1145" s="78"/>
      <c r="M1145" s="16"/>
      <c r="N1145" s="78"/>
      <c r="O1145" s="78"/>
      <c r="P1145" s="78"/>
      <c r="Q1145" s="78"/>
      <c r="R1145" s="54"/>
    </row>
    <row r="1146" spans="2:18" x14ac:dyDescent="0.2">
      <c r="B1146" s="53"/>
      <c r="C1146" s="78"/>
      <c r="D1146" s="78"/>
      <c r="E1146" s="78"/>
      <c r="F1146" s="78"/>
      <c r="G1146" s="78"/>
      <c r="H1146" s="79"/>
      <c r="I1146" s="78"/>
      <c r="J1146" s="78"/>
      <c r="K1146" s="78"/>
      <c r="L1146" s="78"/>
      <c r="M1146" s="16"/>
      <c r="N1146" s="78"/>
      <c r="O1146" s="78"/>
      <c r="P1146" s="78"/>
      <c r="Q1146" s="78"/>
      <c r="R1146" s="54"/>
    </row>
    <row r="1147" spans="2:18" x14ac:dyDescent="0.2">
      <c r="B1147" s="53"/>
      <c r="C1147" s="78"/>
      <c r="D1147" s="78"/>
      <c r="E1147" s="78"/>
      <c r="F1147" s="78"/>
      <c r="G1147" s="78"/>
      <c r="H1147" s="79"/>
      <c r="I1147" s="78"/>
      <c r="J1147" s="78"/>
      <c r="K1147" s="78"/>
      <c r="L1147" s="78"/>
      <c r="M1147" s="16"/>
      <c r="N1147" s="78"/>
      <c r="O1147" s="78"/>
      <c r="P1147" s="78"/>
      <c r="Q1147" s="78"/>
      <c r="R1147" s="54"/>
    </row>
    <row r="1148" spans="2:18" x14ac:dyDescent="0.2">
      <c r="B1148" s="53"/>
      <c r="C1148" s="78"/>
      <c r="D1148" s="78"/>
      <c r="E1148" s="78"/>
      <c r="F1148" s="78"/>
      <c r="G1148" s="78"/>
      <c r="H1148" s="79"/>
      <c r="I1148" s="78"/>
      <c r="J1148" s="78"/>
      <c r="K1148" s="78"/>
      <c r="L1148" s="78"/>
      <c r="M1148" s="16"/>
      <c r="N1148" s="78"/>
      <c r="O1148" s="78"/>
      <c r="P1148" s="78"/>
      <c r="Q1148" s="78"/>
      <c r="R1148" s="54"/>
    </row>
    <row r="1149" spans="2:18" x14ac:dyDescent="0.2">
      <c r="B1149" s="53"/>
      <c r="C1149" s="78"/>
      <c r="D1149" s="78"/>
      <c r="E1149" s="78"/>
      <c r="F1149" s="78"/>
      <c r="G1149" s="78"/>
      <c r="H1149" s="79"/>
      <c r="I1149" s="78"/>
      <c r="J1149" s="78"/>
      <c r="K1149" s="78"/>
      <c r="L1149" s="78"/>
      <c r="M1149" s="16"/>
      <c r="N1149" s="78"/>
      <c r="O1149" s="78"/>
      <c r="P1149" s="78"/>
      <c r="Q1149" s="78"/>
      <c r="R1149" s="54"/>
    </row>
    <row r="1150" spans="2:18" x14ac:dyDescent="0.2">
      <c r="B1150" s="53"/>
      <c r="C1150" s="78"/>
      <c r="D1150" s="78"/>
      <c r="E1150" s="78"/>
      <c r="F1150" s="78"/>
      <c r="G1150" s="78"/>
      <c r="H1150" s="79"/>
      <c r="I1150" s="78"/>
      <c r="J1150" s="78"/>
      <c r="K1150" s="78"/>
      <c r="L1150" s="78"/>
      <c r="M1150" s="16"/>
      <c r="N1150" s="78"/>
      <c r="O1150" s="78"/>
      <c r="P1150" s="78"/>
      <c r="Q1150" s="78"/>
      <c r="R1150" s="54"/>
    </row>
    <row r="1151" spans="2:18" x14ac:dyDescent="0.2">
      <c r="B1151" s="53"/>
      <c r="C1151" s="78"/>
      <c r="D1151" s="78"/>
      <c r="E1151" s="78"/>
      <c r="F1151" s="78"/>
      <c r="G1151" s="78"/>
      <c r="H1151" s="79"/>
      <c r="I1151" s="78"/>
      <c r="J1151" s="78"/>
      <c r="K1151" s="78"/>
      <c r="L1151" s="78"/>
      <c r="M1151" s="16"/>
      <c r="N1151" s="78"/>
      <c r="O1151" s="78"/>
      <c r="P1151" s="78"/>
      <c r="Q1151" s="78"/>
      <c r="R1151" s="54"/>
    </row>
    <row r="1152" spans="2:18" x14ac:dyDescent="0.2">
      <c r="B1152" s="53"/>
      <c r="C1152" s="78"/>
      <c r="D1152" s="78"/>
      <c r="E1152" s="78"/>
      <c r="F1152" s="78"/>
      <c r="G1152" s="78"/>
      <c r="H1152" s="79"/>
      <c r="I1152" s="78"/>
      <c r="J1152" s="78"/>
      <c r="K1152" s="78"/>
      <c r="L1152" s="78"/>
      <c r="M1152" s="16"/>
      <c r="N1152" s="78"/>
      <c r="O1152" s="78"/>
      <c r="P1152" s="78"/>
      <c r="Q1152" s="78"/>
      <c r="R1152" s="54"/>
    </row>
    <row r="1153" spans="2:18" x14ac:dyDescent="0.2">
      <c r="B1153" s="53"/>
      <c r="C1153" s="78"/>
      <c r="D1153" s="78"/>
      <c r="E1153" s="78"/>
      <c r="F1153" s="78"/>
      <c r="G1153" s="78"/>
      <c r="H1153" s="79"/>
      <c r="I1153" s="78"/>
      <c r="J1153" s="78"/>
      <c r="K1153" s="78"/>
      <c r="L1153" s="78"/>
      <c r="M1153" s="16"/>
      <c r="N1153" s="78"/>
      <c r="O1153" s="78"/>
      <c r="P1153" s="78"/>
      <c r="Q1153" s="78"/>
      <c r="R1153" s="54"/>
    </row>
    <row r="1154" spans="2:18" x14ac:dyDescent="0.2">
      <c r="B1154" s="53"/>
      <c r="C1154" s="78"/>
      <c r="D1154" s="78"/>
      <c r="E1154" s="78"/>
      <c r="F1154" s="78"/>
      <c r="G1154" s="78"/>
      <c r="H1154" s="79"/>
      <c r="I1154" s="78"/>
      <c r="J1154" s="78"/>
      <c r="K1154" s="78"/>
      <c r="L1154" s="78"/>
      <c r="M1154" s="16"/>
      <c r="N1154" s="78"/>
      <c r="O1154" s="78"/>
      <c r="P1154" s="78"/>
      <c r="Q1154" s="78"/>
      <c r="R1154" s="54"/>
    </row>
    <row r="1155" spans="2:18" x14ac:dyDescent="0.2">
      <c r="B1155" s="53"/>
      <c r="C1155" s="78"/>
      <c r="D1155" s="78"/>
      <c r="E1155" s="78"/>
      <c r="F1155" s="78"/>
      <c r="G1155" s="78"/>
      <c r="H1155" s="79"/>
      <c r="I1155" s="78"/>
      <c r="J1155" s="78"/>
      <c r="K1155" s="78"/>
      <c r="L1155" s="78"/>
      <c r="M1155" s="16"/>
      <c r="N1155" s="78"/>
      <c r="O1155" s="78"/>
      <c r="P1155" s="78"/>
      <c r="Q1155" s="78"/>
      <c r="R1155" s="54"/>
    </row>
    <row r="1156" spans="2:18" x14ac:dyDescent="0.2">
      <c r="B1156" s="53"/>
      <c r="C1156" s="78"/>
      <c r="D1156" s="78"/>
      <c r="E1156" s="78"/>
      <c r="F1156" s="78"/>
      <c r="G1156" s="78"/>
      <c r="H1156" s="79"/>
      <c r="I1156" s="78"/>
      <c r="J1156" s="78"/>
      <c r="K1156" s="78"/>
      <c r="L1156" s="78"/>
      <c r="M1156" s="16"/>
      <c r="N1156" s="78"/>
      <c r="O1156" s="78"/>
      <c r="P1156" s="78"/>
      <c r="Q1156" s="78"/>
      <c r="R1156" s="54"/>
    </row>
    <row r="1157" spans="2:18" x14ac:dyDescent="0.2">
      <c r="B1157" s="53"/>
      <c r="C1157" s="78"/>
      <c r="D1157" s="78"/>
      <c r="E1157" s="78"/>
      <c r="F1157" s="78"/>
      <c r="G1157" s="78"/>
      <c r="H1157" s="79"/>
      <c r="I1157" s="78"/>
      <c r="J1157" s="78"/>
      <c r="K1157" s="78"/>
      <c r="L1157" s="78"/>
      <c r="M1157" s="16"/>
      <c r="N1157" s="78"/>
      <c r="O1157" s="78"/>
      <c r="P1157" s="78"/>
      <c r="Q1157" s="78"/>
      <c r="R1157" s="54"/>
    </row>
    <row r="1158" spans="2:18" x14ac:dyDescent="0.2">
      <c r="B1158" s="53"/>
      <c r="C1158" s="78"/>
      <c r="D1158" s="78"/>
      <c r="E1158" s="78"/>
      <c r="F1158" s="78"/>
      <c r="G1158" s="78"/>
      <c r="H1158" s="79"/>
      <c r="I1158" s="78"/>
      <c r="J1158" s="78"/>
      <c r="K1158" s="78"/>
      <c r="L1158" s="78"/>
      <c r="M1158" s="16"/>
      <c r="N1158" s="78"/>
      <c r="O1158" s="78"/>
      <c r="P1158" s="78"/>
      <c r="Q1158" s="78"/>
      <c r="R1158" s="54"/>
    </row>
    <row r="1159" spans="2:18" x14ac:dyDescent="0.2">
      <c r="B1159" s="53"/>
      <c r="C1159" s="78"/>
      <c r="D1159" s="78"/>
      <c r="E1159" s="78"/>
      <c r="F1159" s="78"/>
      <c r="G1159" s="78"/>
      <c r="H1159" s="79"/>
      <c r="I1159" s="78"/>
      <c r="J1159" s="78"/>
      <c r="K1159" s="78"/>
      <c r="L1159" s="78"/>
      <c r="M1159" s="16"/>
      <c r="N1159" s="78"/>
      <c r="O1159" s="78"/>
      <c r="P1159" s="78"/>
      <c r="Q1159" s="78"/>
      <c r="R1159" s="54"/>
    </row>
    <row r="1160" spans="2:18" x14ac:dyDescent="0.2">
      <c r="B1160" s="53"/>
      <c r="C1160" s="78"/>
      <c r="D1160" s="78"/>
      <c r="E1160" s="78"/>
      <c r="F1160" s="78"/>
      <c r="G1160" s="78"/>
      <c r="H1160" s="79"/>
      <c r="I1160" s="78"/>
      <c r="J1160" s="78"/>
      <c r="K1160" s="78"/>
      <c r="L1160" s="78"/>
      <c r="M1160" s="16"/>
      <c r="N1160" s="78"/>
      <c r="O1160" s="78"/>
      <c r="P1160" s="78"/>
      <c r="Q1160" s="78"/>
      <c r="R1160" s="54"/>
    </row>
    <row r="1161" spans="2:18" x14ac:dyDescent="0.2">
      <c r="B1161" s="53"/>
      <c r="C1161" s="78"/>
      <c r="D1161" s="78"/>
      <c r="E1161" s="78"/>
      <c r="F1161" s="78"/>
      <c r="G1161" s="78"/>
      <c r="H1161" s="79"/>
      <c r="I1161" s="78"/>
      <c r="J1161" s="78"/>
      <c r="K1161" s="78"/>
      <c r="L1161" s="78"/>
      <c r="M1161" s="16"/>
      <c r="N1161" s="78"/>
      <c r="O1161" s="78"/>
      <c r="P1161" s="78"/>
      <c r="Q1161" s="78"/>
      <c r="R1161" s="54"/>
    </row>
    <row r="1162" spans="2:18" x14ac:dyDescent="0.2">
      <c r="B1162" s="53"/>
      <c r="C1162" s="78"/>
      <c r="D1162" s="78"/>
      <c r="E1162" s="78"/>
      <c r="F1162" s="78"/>
      <c r="G1162" s="78"/>
      <c r="H1162" s="79"/>
      <c r="I1162" s="78"/>
      <c r="J1162" s="78"/>
      <c r="K1162" s="78"/>
      <c r="L1162" s="78"/>
      <c r="M1162" s="16"/>
      <c r="N1162" s="78"/>
      <c r="O1162" s="78"/>
      <c r="P1162" s="78"/>
      <c r="Q1162" s="78"/>
      <c r="R1162" s="54"/>
    </row>
    <row r="1163" spans="2:18" x14ac:dyDescent="0.2">
      <c r="B1163" s="53"/>
      <c r="C1163" s="78"/>
      <c r="D1163" s="78"/>
      <c r="E1163" s="78"/>
      <c r="F1163" s="78"/>
      <c r="G1163" s="78"/>
      <c r="H1163" s="79"/>
      <c r="I1163" s="78"/>
      <c r="J1163" s="78"/>
      <c r="K1163" s="78"/>
      <c r="L1163" s="78"/>
      <c r="M1163" s="16"/>
      <c r="N1163" s="78"/>
      <c r="O1163" s="78"/>
      <c r="P1163" s="78"/>
      <c r="Q1163" s="78"/>
      <c r="R1163" s="54"/>
    </row>
    <row r="1164" spans="2:18" x14ac:dyDescent="0.2">
      <c r="B1164" s="53"/>
      <c r="C1164" s="78"/>
      <c r="D1164" s="78"/>
      <c r="E1164" s="78"/>
      <c r="F1164" s="78"/>
      <c r="G1164" s="78"/>
      <c r="H1164" s="79"/>
      <c r="I1164" s="78"/>
      <c r="J1164" s="78"/>
      <c r="K1164" s="78"/>
      <c r="L1164" s="78"/>
      <c r="M1164" s="16"/>
      <c r="N1164" s="78"/>
      <c r="O1164" s="78"/>
      <c r="P1164" s="78"/>
      <c r="Q1164" s="78"/>
      <c r="R1164" s="54"/>
    </row>
    <row r="1165" spans="2:18" x14ac:dyDescent="0.2">
      <c r="B1165" s="53"/>
      <c r="C1165" s="78"/>
      <c r="D1165" s="78"/>
      <c r="E1165" s="78"/>
      <c r="F1165" s="78"/>
      <c r="G1165" s="78"/>
      <c r="H1165" s="79"/>
      <c r="I1165" s="78"/>
      <c r="J1165" s="78"/>
      <c r="K1165" s="78"/>
      <c r="L1165" s="78"/>
      <c r="M1165" s="16"/>
      <c r="N1165" s="78"/>
      <c r="O1165" s="78"/>
      <c r="P1165" s="78"/>
      <c r="Q1165" s="78"/>
      <c r="R1165" s="54"/>
    </row>
    <row r="1166" spans="2:18" x14ac:dyDescent="0.2">
      <c r="B1166" s="53"/>
      <c r="C1166" s="78"/>
      <c r="D1166" s="78"/>
      <c r="E1166" s="78"/>
      <c r="F1166" s="78"/>
      <c r="G1166" s="78"/>
      <c r="H1166" s="79"/>
      <c r="I1166" s="78"/>
      <c r="J1166" s="78"/>
      <c r="K1166" s="78"/>
      <c r="L1166" s="78"/>
      <c r="M1166" s="16"/>
      <c r="N1166" s="78"/>
      <c r="O1166" s="78"/>
      <c r="P1166" s="78"/>
      <c r="Q1166" s="78"/>
      <c r="R1166" s="54"/>
    </row>
    <row r="1167" spans="2:18" x14ac:dyDescent="0.2">
      <c r="B1167" s="53"/>
      <c r="C1167" s="78"/>
      <c r="D1167" s="78"/>
      <c r="E1167" s="78"/>
      <c r="F1167" s="78"/>
      <c r="G1167" s="78"/>
      <c r="H1167" s="79"/>
      <c r="I1167" s="78"/>
      <c r="J1167" s="78"/>
      <c r="K1167" s="78"/>
      <c r="L1167" s="78"/>
      <c r="M1167" s="16"/>
      <c r="N1167" s="78"/>
      <c r="O1167" s="78"/>
      <c r="P1167" s="78"/>
      <c r="Q1167" s="78"/>
      <c r="R1167" s="54"/>
    </row>
    <row r="1168" spans="2:18" x14ac:dyDescent="0.2">
      <c r="B1168" s="53"/>
      <c r="C1168" s="78"/>
      <c r="D1168" s="78"/>
      <c r="E1168" s="78"/>
      <c r="F1168" s="78"/>
      <c r="G1168" s="78"/>
      <c r="H1168" s="79"/>
      <c r="I1168" s="78"/>
      <c r="J1168" s="78"/>
      <c r="K1168" s="78"/>
      <c r="L1168" s="78"/>
      <c r="M1168" s="16"/>
      <c r="N1168" s="78"/>
      <c r="O1168" s="78"/>
      <c r="P1168" s="78"/>
      <c r="Q1168" s="78"/>
      <c r="R1168" s="54"/>
    </row>
    <row r="1169" spans="2:18" x14ac:dyDescent="0.2">
      <c r="B1169" s="53"/>
      <c r="C1169" s="78"/>
      <c r="D1169" s="78"/>
      <c r="E1169" s="78"/>
      <c r="F1169" s="78"/>
      <c r="G1169" s="78"/>
      <c r="H1169" s="79"/>
      <c r="I1169" s="78"/>
      <c r="J1169" s="78"/>
      <c r="K1169" s="78"/>
      <c r="L1169" s="78"/>
      <c r="M1169" s="16"/>
      <c r="N1169" s="78"/>
      <c r="O1169" s="78"/>
      <c r="P1169" s="78"/>
      <c r="Q1169" s="78"/>
      <c r="R1169" s="54"/>
    </row>
    <row r="1170" spans="2:18" x14ac:dyDescent="0.2">
      <c r="B1170" s="53"/>
      <c r="C1170" s="78"/>
      <c r="D1170" s="78"/>
      <c r="E1170" s="78"/>
      <c r="F1170" s="78"/>
      <c r="G1170" s="78"/>
      <c r="H1170" s="79"/>
      <c r="I1170" s="78"/>
      <c r="J1170" s="78"/>
      <c r="K1170" s="78"/>
      <c r="L1170" s="78"/>
      <c r="M1170" s="16"/>
      <c r="N1170" s="78"/>
      <c r="O1170" s="78"/>
      <c r="P1170" s="78"/>
      <c r="Q1170" s="78"/>
      <c r="R1170" s="54"/>
    </row>
    <row r="1171" spans="2:18" x14ac:dyDescent="0.2">
      <c r="B1171" s="53"/>
      <c r="C1171" s="78"/>
      <c r="D1171" s="78"/>
      <c r="E1171" s="78"/>
      <c r="F1171" s="78"/>
      <c r="G1171" s="78"/>
      <c r="H1171" s="79"/>
      <c r="I1171" s="78"/>
      <c r="J1171" s="78"/>
      <c r="K1171" s="78"/>
      <c r="L1171" s="78"/>
      <c r="M1171" s="16"/>
      <c r="N1171" s="78"/>
      <c r="O1171" s="78"/>
      <c r="P1171" s="78"/>
      <c r="Q1171" s="78"/>
      <c r="R1171" s="54"/>
    </row>
    <row r="1172" spans="2:18" x14ac:dyDescent="0.2">
      <c r="B1172" s="53"/>
      <c r="C1172" s="78"/>
      <c r="D1172" s="78"/>
      <c r="E1172" s="78"/>
      <c r="F1172" s="78"/>
      <c r="G1172" s="78"/>
      <c r="H1172" s="79"/>
      <c r="I1172" s="78"/>
      <c r="J1172" s="78"/>
      <c r="K1172" s="78"/>
      <c r="L1172" s="78"/>
      <c r="M1172" s="16"/>
      <c r="N1172" s="78"/>
      <c r="O1172" s="78"/>
      <c r="P1172" s="78"/>
      <c r="Q1172" s="78"/>
      <c r="R1172" s="54"/>
    </row>
    <row r="1173" spans="2:18" x14ac:dyDescent="0.2">
      <c r="B1173" s="53"/>
      <c r="C1173" s="78"/>
      <c r="D1173" s="78"/>
      <c r="E1173" s="78"/>
      <c r="F1173" s="78"/>
      <c r="G1173" s="78"/>
      <c r="H1173" s="79"/>
      <c r="I1173" s="78"/>
      <c r="J1173" s="78"/>
      <c r="K1173" s="78"/>
      <c r="L1173" s="78"/>
      <c r="M1173" s="16"/>
      <c r="N1173" s="78"/>
      <c r="O1173" s="78"/>
      <c r="P1173" s="78"/>
      <c r="Q1173" s="78"/>
      <c r="R1173" s="54"/>
    </row>
    <row r="1174" spans="2:18" x14ac:dyDescent="0.2">
      <c r="B1174" s="53"/>
      <c r="C1174" s="78"/>
      <c r="D1174" s="78"/>
      <c r="E1174" s="78"/>
      <c r="F1174" s="78"/>
      <c r="G1174" s="78"/>
      <c r="H1174" s="79"/>
      <c r="I1174" s="78"/>
      <c r="J1174" s="78"/>
      <c r="K1174" s="78"/>
      <c r="L1174" s="78"/>
      <c r="M1174" s="16"/>
      <c r="N1174" s="78"/>
      <c r="O1174" s="78"/>
      <c r="P1174" s="78"/>
      <c r="Q1174" s="78"/>
      <c r="R1174" s="54"/>
    </row>
    <row r="1175" spans="2:18" x14ac:dyDescent="0.2">
      <c r="B1175" s="53"/>
      <c r="C1175" s="78"/>
      <c r="D1175" s="78"/>
      <c r="E1175" s="78"/>
      <c r="F1175" s="78"/>
      <c r="G1175" s="78"/>
      <c r="H1175" s="79"/>
      <c r="I1175" s="78"/>
      <c r="J1175" s="78"/>
      <c r="K1175" s="78"/>
      <c r="L1175" s="78"/>
      <c r="M1175" s="16"/>
      <c r="N1175" s="78"/>
      <c r="O1175" s="78"/>
      <c r="P1175" s="78"/>
      <c r="Q1175" s="78"/>
      <c r="R1175" s="54"/>
    </row>
    <row r="1176" spans="2:18" x14ac:dyDescent="0.2">
      <c r="B1176" s="53"/>
      <c r="C1176" s="78"/>
      <c r="D1176" s="78"/>
      <c r="E1176" s="78"/>
      <c r="F1176" s="78"/>
      <c r="G1176" s="78"/>
      <c r="H1176" s="79"/>
      <c r="I1176" s="78"/>
      <c r="J1176" s="78"/>
      <c r="K1176" s="78"/>
      <c r="L1176" s="78"/>
      <c r="M1176" s="16"/>
      <c r="N1176" s="78"/>
      <c r="O1176" s="78"/>
      <c r="P1176" s="78"/>
      <c r="Q1176" s="78"/>
      <c r="R1176" s="54"/>
    </row>
    <row r="1177" spans="2:18" x14ac:dyDescent="0.2">
      <c r="B1177" s="53"/>
      <c r="C1177" s="78"/>
      <c r="D1177" s="78"/>
      <c r="E1177" s="78"/>
      <c r="F1177" s="78"/>
      <c r="G1177" s="78"/>
      <c r="H1177" s="79"/>
      <c r="I1177" s="78"/>
      <c r="J1177" s="78"/>
      <c r="K1177" s="78"/>
      <c r="L1177" s="78"/>
      <c r="M1177" s="16"/>
      <c r="N1177" s="78"/>
      <c r="O1177" s="78"/>
      <c r="P1177" s="78"/>
      <c r="Q1177" s="78"/>
      <c r="R1177" s="54"/>
    </row>
    <row r="1178" spans="2:18" x14ac:dyDescent="0.2">
      <c r="B1178" s="53"/>
      <c r="C1178" s="78"/>
      <c r="D1178" s="78"/>
      <c r="E1178" s="78"/>
      <c r="F1178" s="78"/>
      <c r="G1178" s="78"/>
      <c r="H1178" s="79"/>
      <c r="I1178" s="78"/>
      <c r="J1178" s="78"/>
      <c r="K1178" s="78"/>
      <c r="L1178" s="78"/>
      <c r="M1178" s="16"/>
      <c r="N1178" s="78"/>
      <c r="O1178" s="78"/>
      <c r="P1178" s="78"/>
      <c r="Q1178" s="78"/>
      <c r="R1178" s="54"/>
    </row>
    <row r="1179" spans="2:18" x14ac:dyDescent="0.2">
      <c r="B1179" s="53"/>
      <c r="C1179" s="78"/>
      <c r="D1179" s="78"/>
      <c r="E1179" s="78"/>
      <c r="F1179" s="78"/>
      <c r="G1179" s="78"/>
      <c r="H1179" s="79"/>
      <c r="I1179" s="78"/>
      <c r="J1179" s="78"/>
      <c r="K1179" s="78"/>
      <c r="L1179" s="78"/>
      <c r="M1179" s="16"/>
      <c r="N1179" s="78"/>
      <c r="O1179" s="78"/>
      <c r="P1179" s="78"/>
      <c r="Q1179" s="78"/>
      <c r="R1179" s="54"/>
    </row>
    <row r="1180" spans="2:18" x14ac:dyDescent="0.2">
      <c r="B1180" s="53"/>
      <c r="C1180" s="78"/>
      <c r="D1180" s="78"/>
      <c r="E1180" s="78"/>
      <c r="F1180" s="78"/>
      <c r="G1180" s="78"/>
      <c r="H1180" s="79"/>
      <c r="I1180" s="78"/>
      <c r="J1180" s="78"/>
      <c r="K1180" s="78"/>
      <c r="L1180" s="78"/>
      <c r="M1180" s="16"/>
      <c r="N1180" s="78"/>
      <c r="O1180" s="78"/>
      <c r="P1180" s="78"/>
      <c r="Q1180" s="78"/>
      <c r="R1180" s="54"/>
    </row>
    <row r="1181" spans="2:18" x14ac:dyDescent="0.2">
      <c r="B1181" s="53"/>
      <c r="C1181" s="78"/>
      <c r="D1181" s="78"/>
      <c r="E1181" s="78"/>
      <c r="F1181" s="78"/>
      <c r="G1181" s="78"/>
      <c r="H1181" s="79"/>
      <c r="I1181" s="78"/>
      <c r="J1181" s="78"/>
      <c r="K1181" s="78"/>
      <c r="L1181" s="78"/>
      <c r="M1181" s="16"/>
      <c r="N1181" s="78"/>
      <c r="O1181" s="78"/>
      <c r="P1181" s="78"/>
      <c r="Q1181" s="78"/>
      <c r="R1181" s="54"/>
    </row>
    <row r="1182" spans="2:18" x14ac:dyDescent="0.2">
      <c r="B1182" s="53"/>
      <c r="C1182" s="78"/>
      <c r="D1182" s="78"/>
      <c r="E1182" s="78"/>
      <c r="F1182" s="78"/>
      <c r="G1182" s="78"/>
      <c r="H1182" s="79"/>
      <c r="I1182" s="78"/>
      <c r="J1182" s="78"/>
      <c r="K1182" s="78"/>
      <c r="L1182" s="78"/>
      <c r="M1182" s="16"/>
      <c r="N1182" s="78"/>
      <c r="O1182" s="78"/>
      <c r="P1182" s="78"/>
      <c r="Q1182" s="78"/>
      <c r="R1182" s="54"/>
    </row>
    <row r="1183" spans="2:18" x14ac:dyDescent="0.2">
      <c r="B1183" s="53"/>
      <c r="C1183" s="78"/>
      <c r="D1183" s="78"/>
      <c r="E1183" s="78"/>
      <c r="F1183" s="78"/>
      <c r="G1183" s="78"/>
      <c r="H1183" s="79"/>
      <c r="I1183" s="78"/>
      <c r="J1183" s="78"/>
      <c r="K1183" s="78"/>
      <c r="L1183" s="78"/>
      <c r="M1183" s="16"/>
      <c r="N1183" s="78"/>
      <c r="O1183" s="78"/>
      <c r="P1183" s="78"/>
      <c r="Q1183" s="78"/>
      <c r="R1183" s="54"/>
    </row>
    <row r="1184" spans="2:18" x14ac:dyDescent="0.2">
      <c r="B1184" s="53"/>
      <c r="C1184" s="78"/>
      <c r="D1184" s="78"/>
      <c r="E1184" s="78"/>
      <c r="F1184" s="78"/>
      <c r="G1184" s="78"/>
      <c r="H1184" s="79"/>
      <c r="I1184" s="78"/>
      <c r="J1184" s="78"/>
      <c r="K1184" s="78"/>
      <c r="L1184" s="78"/>
      <c r="M1184" s="16"/>
      <c r="N1184" s="78"/>
      <c r="O1184" s="78"/>
      <c r="P1184" s="78"/>
      <c r="Q1184" s="78"/>
      <c r="R1184" s="54"/>
    </row>
    <row r="1185" spans="2:18" x14ac:dyDescent="0.2">
      <c r="B1185" s="53"/>
      <c r="C1185" s="78"/>
      <c r="D1185" s="78"/>
      <c r="E1185" s="78"/>
      <c r="F1185" s="78"/>
      <c r="G1185" s="78"/>
      <c r="H1185" s="79"/>
      <c r="I1185" s="78"/>
      <c r="J1185" s="78"/>
      <c r="K1185" s="78"/>
      <c r="L1185" s="78"/>
      <c r="M1185" s="16"/>
      <c r="N1185" s="78"/>
      <c r="O1185" s="78"/>
      <c r="P1185" s="78"/>
      <c r="Q1185" s="78"/>
      <c r="R1185" s="54"/>
    </row>
    <row r="1186" spans="2:18" x14ac:dyDescent="0.2">
      <c r="B1186" s="53"/>
      <c r="C1186" s="78"/>
      <c r="D1186" s="78"/>
      <c r="E1186" s="78"/>
      <c r="F1186" s="78"/>
      <c r="G1186" s="78"/>
      <c r="H1186" s="79"/>
      <c r="I1186" s="78"/>
      <c r="J1186" s="78"/>
      <c r="K1186" s="78"/>
      <c r="L1186" s="78"/>
      <c r="M1186" s="16"/>
      <c r="N1186" s="78"/>
      <c r="O1186" s="78"/>
      <c r="P1186" s="78"/>
      <c r="Q1186" s="78"/>
      <c r="R1186" s="54"/>
    </row>
    <row r="1187" spans="2:18" x14ac:dyDescent="0.2">
      <c r="B1187" s="53"/>
      <c r="C1187" s="78"/>
      <c r="D1187" s="78"/>
      <c r="E1187" s="78"/>
      <c r="F1187" s="78"/>
      <c r="G1187" s="78"/>
      <c r="H1187" s="79"/>
      <c r="I1187" s="78"/>
      <c r="J1187" s="78"/>
      <c r="K1187" s="78"/>
      <c r="L1187" s="78"/>
      <c r="M1187" s="16"/>
      <c r="N1187" s="78"/>
      <c r="O1187" s="78"/>
      <c r="P1187" s="78"/>
      <c r="Q1187" s="78"/>
      <c r="R1187" s="54"/>
    </row>
    <row r="1188" spans="2:18" x14ac:dyDescent="0.2">
      <c r="B1188" s="53"/>
      <c r="C1188" s="78"/>
      <c r="D1188" s="78"/>
      <c r="E1188" s="78"/>
      <c r="F1188" s="78"/>
      <c r="G1188" s="78"/>
      <c r="H1188" s="79"/>
      <c r="I1188" s="78"/>
      <c r="J1188" s="78"/>
      <c r="K1188" s="78"/>
      <c r="L1188" s="78"/>
      <c r="M1188" s="16"/>
      <c r="N1188" s="78"/>
      <c r="O1188" s="78"/>
      <c r="P1188" s="78"/>
      <c r="Q1188" s="78"/>
      <c r="R1188" s="54"/>
    </row>
    <row r="1189" spans="2:18" x14ac:dyDescent="0.2">
      <c r="B1189" s="53"/>
      <c r="C1189" s="78"/>
      <c r="D1189" s="78"/>
      <c r="E1189" s="78"/>
      <c r="F1189" s="78"/>
      <c r="G1189" s="78"/>
      <c r="H1189" s="79"/>
      <c r="I1189" s="78"/>
      <c r="J1189" s="78"/>
      <c r="K1189" s="78"/>
      <c r="L1189" s="78"/>
      <c r="M1189" s="16"/>
      <c r="N1189" s="78"/>
      <c r="O1189" s="78"/>
      <c r="P1189" s="78"/>
      <c r="Q1189" s="78"/>
      <c r="R1189" s="54"/>
    </row>
    <row r="1190" spans="2:18" x14ac:dyDescent="0.2">
      <c r="B1190" s="53"/>
      <c r="C1190" s="78"/>
      <c r="D1190" s="78"/>
      <c r="E1190" s="78"/>
      <c r="F1190" s="78"/>
      <c r="G1190" s="78"/>
      <c r="H1190" s="79"/>
      <c r="I1190" s="78"/>
      <c r="J1190" s="78"/>
      <c r="K1190" s="78"/>
      <c r="L1190" s="78"/>
      <c r="M1190" s="16"/>
      <c r="N1190" s="78"/>
      <c r="O1190" s="78"/>
      <c r="P1190" s="78"/>
      <c r="Q1190" s="78"/>
      <c r="R1190" s="54"/>
    </row>
    <row r="1191" spans="2:18" x14ac:dyDescent="0.2">
      <c r="B1191" s="53"/>
      <c r="C1191" s="78"/>
      <c r="D1191" s="78"/>
      <c r="E1191" s="78"/>
      <c r="F1191" s="78"/>
      <c r="G1191" s="78"/>
      <c r="H1191" s="79"/>
      <c r="I1191" s="78"/>
      <c r="J1191" s="78"/>
      <c r="K1191" s="78"/>
      <c r="L1191" s="78"/>
      <c r="M1191" s="16"/>
      <c r="N1191" s="78"/>
      <c r="O1191" s="78"/>
      <c r="P1191" s="78"/>
      <c r="Q1191" s="78"/>
      <c r="R1191" s="54"/>
    </row>
    <row r="1192" spans="2:18" x14ac:dyDescent="0.2">
      <c r="B1192" s="53"/>
      <c r="C1192" s="78"/>
      <c r="D1192" s="78"/>
      <c r="E1192" s="78"/>
      <c r="F1192" s="78"/>
      <c r="G1192" s="78"/>
      <c r="H1192" s="79"/>
      <c r="I1192" s="78"/>
      <c r="J1192" s="78"/>
      <c r="K1192" s="78"/>
      <c r="L1192" s="78"/>
      <c r="M1192" s="16"/>
      <c r="N1192" s="78"/>
      <c r="O1192" s="78"/>
      <c r="P1192" s="78"/>
      <c r="Q1192" s="78"/>
      <c r="R1192" s="54"/>
    </row>
    <row r="1193" spans="2:18" x14ac:dyDescent="0.2">
      <c r="B1193" s="53"/>
      <c r="C1193" s="78"/>
      <c r="D1193" s="78"/>
      <c r="E1193" s="78"/>
      <c r="F1193" s="78"/>
      <c r="G1193" s="78"/>
      <c r="H1193" s="79"/>
      <c r="I1193" s="78"/>
      <c r="J1193" s="78"/>
      <c r="K1193" s="78"/>
      <c r="L1193" s="78"/>
      <c r="M1193" s="16"/>
      <c r="N1193" s="78"/>
      <c r="O1193" s="78"/>
      <c r="P1193" s="78"/>
      <c r="Q1193" s="78"/>
      <c r="R1193" s="54"/>
    </row>
    <row r="1194" spans="2:18" x14ac:dyDescent="0.2">
      <c r="B1194" s="53"/>
      <c r="C1194" s="78"/>
      <c r="D1194" s="78"/>
      <c r="E1194" s="78"/>
      <c r="F1194" s="78"/>
      <c r="G1194" s="78"/>
      <c r="H1194" s="79"/>
      <c r="I1194" s="78"/>
      <c r="J1194" s="78"/>
      <c r="K1194" s="78"/>
      <c r="L1194" s="78"/>
      <c r="M1194" s="16"/>
      <c r="N1194" s="78"/>
      <c r="O1194" s="78"/>
      <c r="P1194" s="78"/>
      <c r="Q1194" s="78"/>
      <c r="R1194" s="54"/>
    </row>
    <row r="1195" spans="2:18" x14ac:dyDescent="0.2">
      <c r="B1195" s="53"/>
      <c r="C1195" s="78"/>
      <c r="D1195" s="78"/>
      <c r="E1195" s="78"/>
      <c r="F1195" s="78"/>
      <c r="G1195" s="78"/>
      <c r="H1195" s="79"/>
      <c r="I1195" s="78"/>
      <c r="J1195" s="78"/>
      <c r="K1195" s="78"/>
      <c r="L1195" s="78"/>
      <c r="M1195" s="16"/>
      <c r="N1195" s="78"/>
      <c r="O1195" s="78"/>
      <c r="P1195" s="78"/>
      <c r="Q1195" s="78"/>
      <c r="R1195" s="54"/>
    </row>
    <row r="1196" spans="2:18" x14ac:dyDescent="0.2">
      <c r="B1196" s="53"/>
      <c r="C1196" s="78"/>
      <c r="D1196" s="78"/>
      <c r="E1196" s="78"/>
      <c r="F1196" s="78"/>
      <c r="G1196" s="78"/>
      <c r="H1196" s="79"/>
      <c r="I1196" s="78"/>
      <c r="J1196" s="78"/>
      <c r="K1196" s="78"/>
      <c r="L1196" s="78"/>
      <c r="M1196" s="16"/>
      <c r="N1196" s="78"/>
      <c r="O1196" s="78"/>
      <c r="P1196" s="78"/>
      <c r="Q1196" s="78"/>
      <c r="R1196" s="54"/>
    </row>
    <row r="1197" spans="2:18" x14ac:dyDescent="0.2">
      <c r="B1197" s="53"/>
      <c r="C1197" s="78"/>
      <c r="D1197" s="78"/>
      <c r="E1197" s="78"/>
      <c r="F1197" s="78"/>
      <c r="G1197" s="78"/>
      <c r="H1197" s="79"/>
      <c r="I1197" s="78"/>
      <c r="J1197" s="78"/>
      <c r="K1197" s="78"/>
      <c r="L1197" s="78"/>
      <c r="M1197" s="16"/>
      <c r="N1197" s="78"/>
      <c r="O1197" s="78"/>
      <c r="P1197" s="78"/>
      <c r="Q1197" s="78"/>
      <c r="R1197" s="54"/>
    </row>
    <row r="1198" spans="2:18" x14ac:dyDescent="0.2">
      <c r="B1198" s="53"/>
      <c r="C1198" s="78"/>
      <c r="D1198" s="78"/>
      <c r="E1198" s="78"/>
      <c r="F1198" s="78"/>
      <c r="G1198" s="78"/>
      <c r="H1198" s="79"/>
      <c r="I1198" s="78"/>
      <c r="J1198" s="78"/>
      <c r="K1198" s="78"/>
      <c r="L1198" s="78"/>
      <c r="M1198" s="16"/>
      <c r="N1198" s="78"/>
      <c r="O1198" s="78"/>
      <c r="P1198" s="78"/>
      <c r="Q1198" s="78"/>
      <c r="R1198" s="54"/>
    </row>
    <row r="1199" spans="2:18" x14ac:dyDescent="0.2">
      <c r="B1199" s="53"/>
      <c r="C1199" s="78"/>
      <c r="D1199" s="78"/>
      <c r="E1199" s="78"/>
      <c r="F1199" s="78"/>
      <c r="G1199" s="78"/>
      <c r="H1199" s="79"/>
      <c r="I1199" s="78"/>
      <c r="J1199" s="78"/>
      <c r="K1199" s="78"/>
      <c r="L1199" s="78"/>
      <c r="M1199" s="16"/>
      <c r="N1199" s="78"/>
      <c r="O1199" s="78"/>
      <c r="P1199" s="78"/>
      <c r="Q1199" s="78"/>
      <c r="R1199" s="54"/>
    </row>
    <row r="1200" spans="2:18" x14ac:dyDescent="0.2">
      <c r="B1200" s="53"/>
      <c r="C1200" s="78"/>
      <c r="D1200" s="78"/>
      <c r="E1200" s="78"/>
      <c r="F1200" s="78"/>
      <c r="G1200" s="78"/>
      <c r="H1200" s="79"/>
      <c r="I1200" s="78"/>
      <c r="J1200" s="78"/>
      <c r="K1200" s="78"/>
      <c r="L1200" s="78"/>
      <c r="M1200" s="16"/>
      <c r="N1200" s="78"/>
      <c r="O1200" s="78"/>
      <c r="P1200" s="78"/>
      <c r="Q1200" s="78"/>
      <c r="R1200" s="54"/>
    </row>
    <row r="1201" spans="2:18" x14ac:dyDescent="0.2">
      <c r="B1201" s="53"/>
      <c r="C1201" s="78"/>
      <c r="D1201" s="78"/>
      <c r="E1201" s="78"/>
      <c r="F1201" s="78"/>
      <c r="G1201" s="78"/>
      <c r="H1201" s="79"/>
      <c r="I1201" s="78"/>
      <c r="J1201" s="78"/>
      <c r="K1201" s="78"/>
      <c r="L1201" s="78"/>
      <c r="M1201" s="16"/>
      <c r="N1201" s="78"/>
      <c r="O1201" s="78"/>
      <c r="P1201" s="78"/>
      <c r="Q1201" s="78"/>
      <c r="R1201" s="54"/>
    </row>
    <row r="1202" spans="2:18" x14ac:dyDescent="0.2">
      <c r="B1202" s="53"/>
      <c r="C1202" s="78"/>
      <c r="D1202" s="78"/>
      <c r="E1202" s="78"/>
      <c r="F1202" s="78"/>
      <c r="G1202" s="78"/>
      <c r="H1202" s="79"/>
      <c r="I1202" s="78"/>
      <c r="J1202" s="78"/>
      <c r="K1202" s="78"/>
      <c r="L1202" s="78"/>
      <c r="M1202" s="16"/>
      <c r="N1202" s="78"/>
      <c r="O1202" s="78"/>
      <c r="P1202" s="78"/>
      <c r="Q1202" s="78"/>
      <c r="R1202" s="54"/>
    </row>
    <row r="1203" spans="2:18" x14ac:dyDescent="0.2">
      <c r="B1203" s="53"/>
      <c r="C1203" s="78"/>
      <c r="D1203" s="78"/>
      <c r="E1203" s="78"/>
      <c r="F1203" s="78"/>
      <c r="G1203" s="78"/>
      <c r="H1203" s="79"/>
      <c r="I1203" s="78"/>
      <c r="J1203" s="78"/>
      <c r="K1203" s="78"/>
      <c r="L1203" s="78"/>
      <c r="M1203" s="16"/>
      <c r="N1203" s="78"/>
      <c r="O1203" s="78"/>
      <c r="P1203" s="78"/>
      <c r="Q1203" s="78"/>
      <c r="R1203" s="54"/>
    </row>
    <row r="1204" spans="2:18" x14ac:dyDescent="0.2">
      <c r="B1204" s="53"/>
      <c r="C1204" s="78"/>
      <c r="D1204" s="78"/>
      <c r="E1204" s="78"/>
      <c r="F1204" s="78"/>
      <c r="G1204" s="78"/>
      <c r="H1204" s="79"/>
      <c r="I1204" s="78"/>
      <c r="J1204" s="78"/>
      <c r="K1204" s="78"/>
      <c r="L1204" s="78"/>
      <c r="M1204" s="16"/>
      <c r="N1204" s="78"/>
      <c r="O1204" s="78"/>
      <c r="P1204" s="78"/>
      <c r="Q1204" s="78"/>
      <c r="R1204" s="54"/>
    </row>
    <row r="1205" spans="2:18" x14ac:dyDescent="0.2">
      <c r="B1205" s="53"/>
      <c r="C1205" s="78"/>
      <c r="D1205" s="78"/>
      <c r="E1205" s="78"/>
      <c r="F1205" s="78"/>
      <c r="G1205" s="78"/>
      <c r="H1205" s="79"/>
      <c r="I1205" s="78"/>
      <c r="J1205" s="78"/>
      <c r="K1205" s="78"/>
      <c r="L1205" s="78"/>
      <c r="M1205" s="16"/>
      <c r="N1205" s="78"/>
      <c r="O1205" s="78"/>
      <c r="P1205" s="78"/>
      <c r="Q1205" s="78"/>
      <c r="R1205" s="54"/>
    </row>
    <row r="1206" spans="2:18" x14ac:dyDescent="0.2">
      <c r="B1206" s="53"/>
      <c r="C1206" s="78"/>
      <c r="D1206" s="78"/>
      <c r="E1206" s="78"/>
      <c r="F1206" s="78"/>
      <c r="G1206" s="78"/>
      <c r="H1206" s="79"/>
      <c r="I1206" s="78"/>
      <c r="J1206" s="78"/>
      <c r="K1206" s="78"/>
      <c r="L1206" s="78"/>
      <c r="M1206" s="16"/>
      <c r="N1206" s="78"/>
      <c r="O1206" s="78"/>
      <c r="P1206" s="78"/>
      <c r="Q1206" s="78"/>
      <c r="R1206" s="54"/>
    </row>
    <row r="1207" spans="2:18" x14ac:dyDescent="0.2">
      <c r="B1207" s="53"/>
      <c r="C1207" s="78"/>
      <c r="D1207" s="78"/>
      <c r="E1207" s="78"/>
      <c r="F1207" s="78"/>
      <c r="G1207" s="78"/>
      <c r="H1207" s="79"/>
      <c r="I1207" s="78"/>
      <c r="J1207" s="78"/>
      <c r="K1207" s="78"/>
      <c r="L1207" s="78"/>
      <c r="M1207" s="16"/>
      <c r="N1207" s="78"/>
      <c r="O1207" s="78"/>
      <c r="P1207" s="78"/>
      <c r="Q1207" s="78"/>
      <c r="R1207" s="54"/>
    </row>
    <row r="1208" spans="2:18" x14ac:dyDescent="0.2">
      <c r="B1208" s="53"/>
      <c r="C1208" s="78"/>
      <c r="D1208" s="78"/>
      <c r="E1208" s="78"/>
      <c r="F1208" s="78"/>
      <c r="G1208" s="78"/>
      <c r="H1208" s="79"/>
      <c r="I1208" s="78"/>
      <c r="J1208" s="78"/>
      <c r="K1208" s="78"/>
      <c r="L1208" s="78"/>
      <c r="M1208" s="16"/>
      <c r="N1208" s="78"/>
      <c r="O1208" s="78"/>
      <c r="P1208" s="78"/>
      <c r="Q1208" s="78"/>
      <c r="R1208" s="54"/>
    </row>
    <row r="1209" spans="2:18" x14ac:dyDescent="0.2">
      <c r="B1209" s="53"/>
      <c r="C1209" s="78"/>
      <c r="D1209" s="78"/>
      <c r="E1209" s="78"/>
      <c r="F1209" s="78"/>
      <c r="G1209" s="78"/>
      <c r="H1209" s="79"/>
      <c r="I1209" s="78"/>
      <c r="J1209" s="78"/>
      <c r="K1209" s="78"/>
      <c r="L1209" s="78"/>
      <c r="M1209" s="16"/>
      <c r="N1209" s="78"/>
      <c r="O1209" s="78"/>
      <c r="P1209" s="78"/>
      <c r="Q1209" s="78"/>
      <c r="R1209" s="54"/>
    </row>
    <row r="1210" spans="2:18" x14ac:dyDescent="0.2">
      <c r="B1210" s="53"/>
      <c r="C1210" s="78"/>
      <c r="D1210" s="78"/>
      <c r="E1210" s="78"/>
      <c r="F1210" s="78"/>
      <c r="G1210" s="78"/>
      <c r="H1210" s="79"/>
      <c r="I1210" s="78"/>
      <c r="J1210" s="78"/>
      <c r="K1210" s="78"/>
      <c r="L1210" s="78"/>
      <c r="M1210" s="16"/>
      <c r="N1210" s="78"/>
      <c r="O1210" s="78"/>
      <c r="P1210" s="78"/>
      <c r="Q1210" s="78"/>
      <c r="R1210" s="54"/>
    </row>
    <row r="1211" spans="2:18" x14ac:dyDescent="0.2">
      <c r="B1211" s="53"/>
      <c r="C1211" s="78"/>
      <c r="D1211" s="78"/>
      <c r="E1211" s="78"/>
      <c r="F1211" s="78"/>
      <c r="G1211" s="78"/>
      <c r="H1211" s="79"/>
      <c r="I1211" s="78"/>
      <c r="J1211" s="78"/>
      <c r="K1211" s="78"/>
      <c r="L1211" s="78"/>
      <c r="M1211" s="16"/>
      <c r="N1211" s="78"/>
      <c r="O1211" s="78"/>
      <c r="P1211" s="78"/>
      <c r="Q1211" s="78"/>
      <c r="R1211" s="54"/>
    </row>
    <row r="1212" spans="2:18" x14ac:dyDescent="0.2">
      <c r="B1212" s="53"/>
      <c r="C1212" s="78"/>
      <c r="D1212" s="78"/>
      <c r="E1212" s="78"/>
      <c r="F1212" s="78"/>
      <c r="G1212" s="78"/>
      <c r="H1212" s="79"/>
      <c r="I1212" s="78"/>
      <c r="J1212" s="78"/>
      <c r="K1212" s="78"/>
      <c r="L1212" s="78"/>
      <c r="M1212" s="16"/>
      <c r="N1212" s="78"/>
      <c r="O1212" s="78"/>
      <c r="P1212" s="78"/>
      <c r="Q1212" s="78"/>
      <c r="R1212" s="54"/>
    </row>
    <row r="1213" spans="2:18" x14ac:dyDescent="0.2">
      <c r="B1213" s="53"/>
      <c r="C1213" s="78"/>
      <c r="D1213" s="78"/>
      <c r="E1213" s="78"/>
      <c r="F1213" s="78"/>
      <c r="G1213" s="78"/>
      <c r="H1213" s="79"/>
      <c r="I1213" s="78"/>
      <c r="J1213" s="78"/>
      <c r="K1213" s="78"/>
      <c r="L1213" s="78"/>
      <c r="M1213" s="16"/>
      <c r="N1213" s="78"/>
      <c r="O1213" s="78"/>
      <c r="P1213" s="78"/>
      <c r="Q1213" s="78"/>
      <c r="R1213" s="54"/>
    </row>
    <row r="1214" spans="2:18" x14ac:dyDescent="0.2">
      <c r="B1214" s="53"/>
      <c r="C1214" s="78"/>
      <c r="D1214" s="78"/>
      <c r="E1214" s="78"/>
      <c r="F1214" s="78"/>
      <c r="G1214" s="78"/>
      <c r="H1214" s="79"/>
      <c r="I1214" s="78"/>
      <c r="J1214" s="78"/>
      <c r="K1214" s="78"/>
      <c r="L1214" s="78"/>
      <c r="M1214" s="16"/>
      <c r="N1214" s="78"/>
      <c r="O1214" s="78"/>
      <c r="P1214" s="78"/>
      <c r="Q1214" s="78"/>
      <c r="R1214" s="54"/>
    </row>
    <row r="1215" spans="2:18" x14ac:dyDescent="0.2">
      <c r="B1215" s="53"/>
      <c r="C1215" s="78"/>
      <c r="D1215" s="78"/>
      <c r="E1215" s="78"/>
      <c r="F1215" s="78"/>
      <c r="G1215" s="78"/>
      <c r="H1215" s="79"/>
      <c r="I1215" s="78"/>
      <c r="J1215" s="78"/>
      <c r="K1215" s="78"/>
      <c r="L1215" s="78"/>
      <c r="M1215" s="16"/>
      <c r="N1215" s="78"/>
      <c r="O1215" s="78"/>
      <c r="P1215" s="78"/>
      <c r="Q1215" s="78"/>
      <c r="R1215" s="54"/>
    </row>
    <row r="1216" spans="2:18" x14ac:dyDescent="0.2">
      <c r="B1216" s="53"/>
      <c r="C1216" s="78"/>
      <c r="D1216" s="78"/>
      <c r="E1216" s="78"/>
      <c r="F1216" s="78"/>
      <c r="G1216" s="78"/>
      <c r="H1216" s="79"/>
      <c r="I1216" s="78"/>
      <c r="J1216" s="78"/>
      <c r="K1216" s="78"/>
      <c r="L1216" s="78"/>
      <c r="M1216" s="16"/>
      <c r="N1216" s="78"/>
      <c r="O1216" s="78"/>
      <c r="P1216" s="78"/>
      <c r="Q1216" s="78"/>
      <c r="R1216" s="54"/>
    </row>
    <row r="1217" spans="2:18" x14ac:dyDescent="0.2">
      <c r="B1217" s="53"/>
      <c r="C1217" s="78"/>
      <c r="D1217" s="78"/>
      <c r="E1217" s="78"/>
      <c r="F1217" s="78"/>
      <c r="G1217" s="78"/>
      <c r="H1217" s="79"/>
      <c r="I1217" s="78"/>
      <c r="J1217" s="78"/>
      <c r="K1217" s="78"/>
      <c r="L1217" s="78"/>
      <c r="M1217" s="16"/>
      <c r="N1217" s="78"/>
      <c r="O1217" s="78"/>
      <c r="P1217" s="78"/>
      <c r="Q1217" s="78"/>
      <c r="R1217" s="54"/>
    </row>
    <row r="1218" spans="2:18" x14ac:dyDescent="0.2">
      <c r="B1218" s="53"/>
      <c r="C1218" s="78"/>
      <c r="D1218" s="78"/>
      <c r="E1218" s="78"/>
      <c r="F1218" s="78"/>
      <c r="G1218" s="78"/>
      <c r="H1218" s="79"/>
      <c r="I1218" s="78"/>
      <c r="J1218" s="78"/>
      <c r="K1218" s="78"/>
      <c r="L1218" s="78"/>
      <c r="M1218" s="16"/>
      <c r="N1218" s="78"/>
      <c r="O1218" s="78"/>
      <c r="P1218" s="78"/>
      <c r="Q1218" s="78"/>
      <c r="R1218" s="54"/>
    </row>
    <row r="1219" spans="2:18" x14ac:dyDescent="0.2">
      <c r="B1219" s="53"/>
      <c r="C1219" s="78"/>
      <c r="D1219" s="78"/>
      <c r="E1219" s="78"/>
      <c r="F1219" s="78"/>
      <c r="G1219" s="78"/>
      <c r="H1219" s="79"/>
      <c r="I1219" s="78"/>
      <c r="J1219" s="78"/>
      <c r="K1219" s="78"/>
      <c r="L1219" s="78"/>
      <c r="M1219" s="16"/>
      <c r="N1219" s="78"/>
      <c r="O1219" s="78"/>
      <c r="P1219" s="78"/>
      <c r="Q1219" s="78"/>
      <c r="R1219" s="54"/>
    </row>
    <row r="1220" spans="2:18" x14ac:dyDescent="0.2">
      <c r="B1220" s="53"/>
      <c r="C1220" s="78"/>
      <c r="D1220" s="78"/>
      <c r="E1220" s="78"/>
      <c r="F1220" s="78"/>
      <c r="G1220" s="78"/>
      <c r="H1220" s="79"/>
      <c r="I1220" s="78"/>
      <c r="J1220" s="78"/>
      <c r="K1220" s="78"/>
      <c r="L1220" s="78"/>
      <c r="M1220" s="16"/>
      <c r="N1220" s="78"/>
      <c r="O1220" s="78"/>
      <c r="P1220" s="78"/>
      <c r="Q1220" s="78"/>
      <c r="R1220" s="54"/>
    </row>
    <row r="1221" spans="2:18" x14ac:dyDescent="0.2">
      <c r="B1221" s="53"/>
      <c r="C1221" s="78"/>
      <c r="D1221" s="78"/>
      <c r="E1221" s="78"/>
      <c r="F1221" s="78"/>
      <c r="G1221" s="78"/>
      <c r="H1221" s="79"/>
      <c r="I1221" s="78"/>
      <c r="J1221" s="78"/>
      <c r="K1221" s="78"/>
      <c r="L1221" s="78"/>
      <c r="M1221" s="16"/>
      <c r="N1221" s="78"/>
      <c r="O1221" s="78"/>
      <c r="P1221" s="78"/>
      <c r="Q1221" s="78"/>
      <c r="R1221" s="54"/>
    </row>
    <row r="1222" spans="2:18" x14ac:dyDescent="0.2">
      <c r="B1222" s="53"/>
      <c r="C1222" s="78"/>
      <c r="D1222" s="78"/>
      <c r="E1222" s="78"/>
      <c r="F1222" s="78"/>
      <c r="G1222" s="78"/>
      <c r="H1222" s="79"/>
      <c r="I1222" s="78"/>
      <c r="J1222" s="78"/>
      <c r="K1222" s="78"/>
      <c r="L1222" s="78"/>
      <c r="M1222" s="16"/>
      <c r="N1222" s="78"/>
      <c r="O1222" s="78"/>
      <c r="P1222" s="78"/>
      <c r="Q1222" s="78"/>
      <c r="R1222" s="54"/>
    </row>
    <row r="1223" spans="2:18" x14ac:dyDescent="0.2">
      <c r="B1223" s="53"/>
      <c r="C1223" s="78"/>
      <c r="D1223" s="78"/>
      <c r="E1223" s="78"/>
      <c r="F1223" s="78"/>
      <c r="G1223" s="78"/>
      <c r="H1223" s="79"/>
      <c r="I1223" s="78"/>
      <c r="J1223" s="78"/>
      <c r="K1223" s="78"/>
      <c r="L1223" s="78"/>
      <c r="M1223" s="16"/>
      <c r="N1223" s="78"/>
      <c r="O1223" s="78"/>
      <c r="P1223" s="78"/>
      <c r="Q1223" s="78"/>
      <c r="R1223" s="54"/>
    </row>
    <row r="1224" spans="2:18" x14ac:dyDescent="0.2">
      <c r="B1224" s="53"/>
      <c r="C1224" s="78"/>
      <c r="D1224" s="78"/>
      <c r="E1224" s="78"/>
      <c r="F1224" s="78"/>
      <c r="G1224" s="78"/>
      <c r="H1224" s="79"/>
      <c r="I1224" s="78"/>
      <c r="J1224" s="78"/>
      <c r="K1224" s="78"/>
      <c r="L1224" s="78"/>
      <c r="M1224" s="16"/>
      <c r="N1224" s="78"/>
      <c r="O1224" s="78"/>
      <c r="P1224" s="78"/>
      <c r="Q1224" s="78"/>
      <c r="R1224" s="54"/>
    </row>
    <row r="1225" spans="2:18" x14ac:dyDescent="0.2">
      <c r="B1225" s="53"/>
      <c r="C1225" s="78"/>
      <c r="D1225" s="78"/>
      <c r="E1225" s="78"/>
      <c r="F1225" s="78"/>
      <c r="G1225" s="78"/>
      <c r="H1225" s="79"/>
      <c r="I1225" s="78"/>
      <c r="J1225" s="78"/>
      <c r="K1225" s="78"/>
      <c r="L1225" s="78"/>
      <c r="M1225" s="16"/>
      <c r="N1225" s="78"/>
      <c r="O1225" s="78"/>
      <c r="P1225" s="78"/>
      <c r="Q1225" s="78"/>
      <c r="R1225" s="54"/>
    </row>
    <row r="1226" spans="2:18" x14ac:dyDescent="0.2">
      <c r="B1226" s="53"/>
      <c r="C1226" s="78"/>
      <c r="D1226" s="78"/>
      <c r="E1226" s="78"/>
      <c r="F1226" s="78"/>
      <c r="G1226" s="78"/>
      <c r="H1226" s="79"/>
      <c r="I1226" s="78"/>
      <c r="J1226" s="78"/>
      <c r="K1226" s="78"/>
      <c r="L1226" s="78"/>
      <c r="M1226" s="16"/>
      <c r="N1226" s="78"/>
      <c r="O1226" s="78"/>
      <c r="P1226" s="78"/>
      <c r="Q1226" s="78"/>
      <c r="R1226" s="54"/>
    </row>
    <row r="1227" spans="2:18" x14ac:dyDescent="0.2">
      <c r="B1227" s="53"/>
      <c r="C1227" s="78"/>
      <c r="D1227" s="78"/>
      <c r="E1227" s="78"/>
      <c r="F1227" s="78"/>
      <c r="G1227" s="78"/>
      <c r="H1227" s="79"/>
      <c r="I1227" s="78"/>
      <c r="J1227" s="78"/>
      <c r="K1227" s="78"/>
      <c r="L1227" s="78"/>
      <c r="M1227" s="16"/>
      <c r="N1227" s="78"/>
      <c r="O1227" s="78"/>
      <c r="P1227" s="78"/>
      <c r="Q1227" s="78"/>
      <c r="R1227" s="54"/>
    </row>
    <row r="1228" spans="2:18" x14ac:dyDescent="0.2">
      <c r="B1228" s="53"/>
      <c r="C1228" s="78"/>
      <c r="D1228" s="78"/>
      <c r="E1228" s="78"/>
      <c r="F1228" s="78"/>
      <c r="G1228" s="78"/>
      <c r="H1228" s="79"/>
      <c r="I1228" s="78"/>
      <c r="J1228" s="78"/>
      <c r="K1228" s="78"/>
      <c r="L1228" s="78"/>
      <c r="M1228" s="16"/>
      <c r="N1228" s="78"/>
      <c r="O1228" s="78"/>
      <c r="P1228" s="78"/>
      <c r="Q1228" s="78"/>
      <c r="R1228" s="54"/>
    </row>
    <row r="1229" spans="2:18" x14ac:dyDescent="0.2">
      <c r="B1229" s="53"/>
      <c r="C1229" s="78"/>
      <c r="D1229" s="78"/>
      <c r="E1229" s="78"/>
      <c r="F1229" s="78"/>
      <c r="G1229" s="78"/>
      <c r="H1229" s="79"/>
      <c r="I1229" s="78"/>
      <c r="J1229" s="78"/>
      <c r="K1229" s="78"/>
      <c r="L1229" s="78"/>
      <c r="M1229" s="16"/>
      <c r="N1229" s="78"/>
      <c r="O1229" s="78"/>
      <c r="P1229" s="78"/>
      <c r="Q1229" s="78"/>
      <c r="R1229" s="54"/>
    </row>
    <row r="1230" spans="2:18" x14ac:dyDescent="0.2">
      <c r="B1230" s="53"/>
      <c r="C1230" s="78"/>
      <c r="D1230" s="78"/>
      <c r="E1230" s="78"/>
      <c r="F1230" s="78"/>
      <c r="G1230" s="78"/>
      <c r="H1230" s="79"/>
      <c r="I1230" s="78"/>
      <c r="J1230" s="78"/>
      <c r="K1230" s="78"/>
      <c r="L1230" s="78"/>
      <c r="M1230" s="16"/>
      <c r="N1230" s="78"/>
      <c r="O1230" s="78"/>
      <c r="P1230" s="78"/>
      <c r="Q1230" s="78"/>
      <c r="R1230" s="54"/>
    </row>
    <row r="1231" spans="2:18" x14ac:dyDescent="0.2">
      <c r="B1231" s="53"/>
      <c r="C1231" s="78"/>
      <c r="D1231" s="78"/>
      <c r="E1231" s="78"/>
      <c r="F1231" s="78"/>
      <c r="G1231" s="78"/>
      <c r="H1231" s="79"/>
      <c r="I1231" s="78"/>
      <c r="J1231" s="78"/>
      <c r="K1231" s="78"/>
      <c r="L1231" s="78"/>
      <c r="M1231" s="16"/>
      <c r="N1231" s="78"/>
      <c r="O1231" s="78"/>
      <c r="P1231" s="78"/>
      <c r="Q1231" s="78"/>
      <c r="R1231" s="54"/>
    </row>
    <row r="1232" spans="2:18" x14ac:dyDescent="0.2">
      <c r="B1232" s="53"/>
      <c r="C1232" s="78"/>
      <c r="D1232" s="78"/>
      <c r="E1232" s="78"/>
      <c r="F1232" s="78"/>
      <c r="G1232" s="78"/>
      <c r="H1232" s="79"/>
      <c r="I1232" s="78"/>
      <c r="J1232" s="78"/>
      <c r="K1232" s="78"/>
      <c r="L1232" s="78"/>
      <c r="M1232" s="16"/>
      <c r="N1232" s="78"/>
      <c r="O1232" s="78"/>
      <c r="P1232" s="78"/>
      <c r="Q1232" s="78"/>
      <c r="R1232" s="54"/>
    </row>
    <row r="1233" spans="2:18" x14ac:dyDescent="0.2">
      <c r="B1233" s="53"/>
      <c r="C1233" s="78"/>
      <c r="D1233" s="78"/>
      <c r="E1233" s="78"/>
      <c r="F1233" s="78"/>
      <c r="G1233" s="78"/>
      <c r="H1233" s="79"/>
      <c r="I1233" s="78"/>
      <c r="J1233" s="78"/>
      <c r="K1233" s="78"/>
      <c r="L1233" s="78"/>
      <c r="M1233" s="16"/>
      <c r="N1233" s="78"/>
      <c r="O1233" s="78"/>
      <c r="P1233" s="78"/>
      <c r="Q1233" s="78"/>
      <c r="R1233" s="54"/>
    </row>
    <row r="1234" spans="2:18" x14ac:dyDescent="0.2">
      <c r="B1234" s="53"/>
      <c r="C1234" s="78"/>
      <c r="D1234" s="78"/>
      <c r="E1234" s="78"/>
      <c r="F1234" s="78"/>
      <c r="G1234" s="78"/>
      <c r="H1234" s="79"/>
      <c r="I1234" s="78"/>
      <c r="J1234" s="78"/>
      <c r="K1234" s="78"/>
      <c r="L1234" s="78"/>
      <c r="M1234" s="16"/>
      <c r="N1234" s="78"/>
      <c r="O1234" s="78"/>
      <c r="P1234" s="78"/>
      <c r="Q1234" s="78"/>
      <c r="R1234" s="54"/>
    </row>
    <row r="1235" spans="2:18" x14ac:dyDescent="0.2">
      <c r="B1235" s="53"/>
      <c r="C1235" s="78"/>
      <c r="D1235" s="78"/>
      <c r="E1235" s="78"/>
      <c r="F1235" s="78"/>
      <c r="G1235" s="78"/>
      <c r="H1235" s="79"/>
      <c r="I1235" s="78"/>
      <c r="J1235" s="78"/>
      <c r="K1235" s="78"/>
      <c r="L1235" s="78"/>
      <c r="M1235" s="16"/>
      <c r="N1235" s="78"/>
      <c r="O1235" s="78"/>
      <c r="P1235" s="78"/>
      <c r="Q1235" s="78"/>
      <c r="R1235" s="54"/>
    </row>
    <row r="1236" spans="2:18" x14ac:dyDescent="0.2">
      <c r="B1236" s="53"/>
      <c r="C1236" s="78"/>
      <c r="D1236" s="78"/>
      <c r="E1236" s="78"/>
      <c r="F1236" s="78"/>
      <c r="G1236" s="78"/>
      <c r="H1236" s="79"/>
      <c r="I1236" s="78"/>
      <c r="J1236" s="78"/>
      <c r="K1236" s="78"/>
      <c r="L1236" s="78"/>
      <c r="M1236" s="16"/>
      <c r="N1236" s="78"/>
      <c r="O1236" s="78"/>
      <c r="P1236" s="78"/>
      <c r="Q1236" s="78"/>
      <c r="R1236" s="54"/>
    </row>
    <row r="1237" spans="2:18" x14ac:dyDescent="0.2">
      <c r="B1237" s="53"/>
      <c r="C1237" s="78"/>
      <c r="D1237" s="78"/>
      <c r="E1237" s="78"/>
      <c r="F1237" s="78"/>
      <c r="G1237" s="78"/>
      <c r="H1237" s="79"/>
      <c r="I1237" s="78"/>
      <c r="J1237" s="78"/>
      <c r="K1237" s="78"/>
      <c r="L1237" s="78"/>
      <c r="M1237" s="16"/>
      <c r="N1237" s="78"/>
      <c r="O1237" s="78"/>
      <c r="P1237" s="78"/>
      <c r="Q1237" s="78"/>
      <c r="R1237" s="54"/>
    </row>
    <row r="1238" spans="2:18" x14ac:dyDescent="0.2">
      <c r="B1238" s="53"/>
      <c r="C1238" s="78"/>
      <c r="D1238" s="78"/>
      <c r="E1238" s="78"/>
      <c r="F1238" s="78"/>
      <c r="G1238" s="78"/>
      <c r="H1238" s="79"/>
      <c r="I1238" s="78"/>
      <c r="J1238" s="78"/>
      <c r="K1238" s="78"/>
      <c r="L1238" s="78"/>
      <c r="M1238" s="16"/>
      <c r="N1238" s="78"/>
      <c r="O1238" s="78"/>
      <c r="P1238" s="78"/>
      <c r="Q1238" s="78"/>
      <c r="R1238" s="54"/>
    </row>
    <row r="1239" spans="2:18" x14ac:dyDescent="0.2">
      <c r="B1239" s="53"/>
      <c r="C1239" s="78"/>
      <c r="D1239" s="78"/>
      <c r="E1239" s="78"/>
      <c r="F1239" s="78"/>
      <c r="G1239" s="78"/>
      <c r="H1239" s="79"/>
      <c r="I1239" s="78"/>
      <c r="J1239" s="78"/>
      <c r="K1239" s="78"/>
      <c r="L1239" s="78"/>
      <c r="M1239" s="16"/>
      <c r="N1239" s="78"/>
      <c r="O1239" s="78"/>
      <c r="P1239" s="78"/>
      <c r="Q1239" s="78"/>
      <c r="R1239" s="54"/>
    </row>
    <row r="1240" spans="2:18" x14ac:dyDescent="0.2">
      <c r="B1240" s="53"/>
      <c r="C1240" s="78"/>
      <c r="D1240" s="78"/>
      <c r="E1240" s="78"/>
      <c r="F1240" s="78"/>
      <c r="G1240" s="78"/>
      <c r="H1240" s="79"/>
      <c r="I1240" s="78"/>
      <c r="J1240" s="78"/>
      <c r="K1240" s="78"/>
      <c r="L1240" s="78"/>
      <c r="M1240" s="16"/>
      <c r="N1240" s="78"/>
      <c r="O1240" s="78"/>
      <c r="P1240" s="78"/>
      <c r="Q1240" s="78"/>
      <c r="R1240" s="54"/>
    </row>
    <row r="1241" spans="2:18" x14ac:dyDescent="0.2">
      <c r="B1241" s="53"/>
      <c r="C1241" s="78"/>
      <c r="D1241" s="78"/>
      <c r="E1241" s="78"/>
      <c r="F1241" s="78"/>
      <c r="G1241" s="78"/>
      <c r="H1241" s="79"/>
      <c r="I1241" s="78"/>
      <c r="J1241" s="78"/>
      <c r="K1241" s="78"/>
      <c r="L1241" s="78"/>
      <c r="M1241" s="16"/>
      <c r="N1241" s="78"/>
      <c r="O1241" s="78"/>
      <c r="P1241" s="78"/>
      <c r="Q1241" s="78"/>
      <c r="R1241" s="54"/>
    </row>
    <row r="1242" spans="2:18" x14ac:dyDescent="0.2">
      <c r="B1242" s="53"/>
      <c r="C1242" s="78"/>
      <c r="D1242" s="78"/>
      <c r="E1242" s="78"/>
      <c r="F1242" s="78"/>
      <c r="G1242" s="78"/>
      <c r="H1242" s="79"/>
      <c r="I1242" s="78"/>
      <c r="J1242" s="78"/>
      <c r="K1242" s="78"/>
      <c r="L1242" s="78"/>
      <c r="M1242" s="16"/>
      <c r="N1242" s="78"/>
      <c r="O1242" s="78"/>
      <c r="P1242" s="78"/>
      <c r="Q1242" s="78"/>
      <c r="R1242" s="54"/>
    </row>
    <row r="1243" spans="2:18" x14ac:dyDescent="0.2">
      <c r="B1243" s="53"/>
      <c r="C1243" s="78"/>
      <c r="D1243" s="78"/>
      <c r="E1243" s="78"/>
      <c r="F1243" s="78"/>
      <c r="G1243" s="78"/>
      <c r="H1243" s="79"/>
      <c r="I1243" s="78"/>
      <c r="J1243" s="78"/>
      <c r="K1243" s="78"/>
      <c r="L1243" s="78"/>
      <c r="M1243" s="16"/>
      <c r="N1243" s="78"/>
      <c r="O1243" s="78"/>
      <c r="P1243" s="78"/>
      <c r="Q1243" s="78"/>
      <c r="R1243" s="54"/>
    </row>
    <row r="1244" spans="2:18" x14ac:dyDescent="0.2">
      <c r="B1244" s="53"/>
      <c r="C1244" s="78"/>
      <c r="D1244" s="78"/>
      <c r="E1244" s="78"/>
      <c r="F1244" s="78"/>
      <c r="G1244" s="78"/>
      <c r="H1244" s="79"/>
      <c r="I1244" s="78"/>
      <c r="J1244" s="78"/>
      <c r="K1244" s="78"/>
      <c r="L1244" s="78"/>
      <c r="M1244" s="16"/>
      <c r="N1244" s="78"/>
      <c r="O1244" s="78"/>
      <c r="P1244" s="78"/>
      <c r="Q1244" s="78"/>
      <c r="R1244" s="54"/>
    </row>
    <row r="1245" spans="2:18" x14ac:dyDescent="0.2">
      <c r="B1245" s="53"/>
      <c r="C1245" s="78"/>
      <c r="D1245" s="78"/>
      <c r="E1245" s="78"/>
      <c r="F1245" s="78"/>
      <c r="G1245" s="78"/>
      <c r="H1245" s="79"/>
      <c r="I1245" s="78"/>
      <c r="J1245" s="78"/>
      <c r="K1245" s="78"/>
      <c r="L1245" s="78"/>
      <c r="M1245" s="16"/>
      <c r="N1245" s="78"/>
      <c r="O1245" s="78"/>
      <c r="P1245" s="78"/>
      <c r="Q1245" s="78"/>
      <c r="R1245" s="54"/>
    </row>
    <row r="1246" spans="2:18" x14ac:dyDescent="0.2">
      <c r="B1246" s="53"/>
      <c r="C1246" s="78"/>
      <c r="D1246" s="78"/>
      <c r="E1246" s="78"/>
      <c r="F1246" s="78"/>
      <c r="G1246" s="78"/>
      <c r="H1246" s="79"/>
      <c r="I1246" s="78"/>
      <c r="J1246" s="78"/>
      <c r="K1246" s="78"/>
      <c r="L1246" s="78"/>
      <c r="M1246" s="16"/>
      <c r="N1246" s="78"/>
      <c r="O1246" s="78"/>
      <c r="P1246" s="78"/>
      <c r="Q1246" s="78"/>
      <c r="R1246" s="54"/>
    </row>
    <row r="1247" spans="2:18" x14ac:dyDescent="0.2">
      <c r="B1247" s="53"/>
      <c r="C1247" s="78"/>
      <c r="D1247" s="78"/>
      <c r="E1247" s="78"/>
      <c r="F1247" s="78"/>
      <c r="G1247" s="78"/>
      <c r="H1247" s="79"/>
      <c r="I1247" s="78"/>
      <c r="J1247" s="78"/>
      <c r="K1247" s="78"/>
      <c r="L1247" s="78"/>
      <c r="M1247" s="16"/>
      <c r="N1247" s="78"/>
      <c r="O1247" s="78"/>
      <c r="P1247" s="78"/>
      <c r="Q1247" s="78"/>
      <c r="R1247" s="54"/>
    </row>
    <row r="1248" spans="2:18" x14ac:dyDescent="0.2">
      <c r="B1248" s="53"/>
      <c r="C1248" s="78"/>
      <c r="D1248" s="78"/>
      <c r="E1248" s="78"/>
      <c r="F1248" s="78"/>
      <c r="G1248" s="78"/>
      <c r="H1248" s="79"/>
      <c r="I1248" s="78"/>
      <c r="J1248" s="78"/>
      <c r="K1248" s="78"/>
      <c r="L1248" s="78"/>
      <c r="M1248" s="16"/>
      <c r="N1248" s="78"/>
      <c r="O1248" s="78"/>
      <c r="P1248" s="78"/>
      <c r="Q1248" s="78"/>
      <c r="R1248" s="54"/>
    </row>
    <row r="1249" spans="2:18" x14ac:dyDescent="0.2">
      <c r="B1249" s="53"/>
      <c r="C1249" s="78"/>
      <c r="D1249" s="78"/>
      <c r="E1249" s="78"/>
      <c r="F1249" s="78"/>
      <c r="G1249" s="78"/>
      <c r="H1249" s="79"/>
      <c r="I1249" s="78"/>
      <c r="J1249" s="78"/>
      <c r="K1249" s="78"/>
      <c r="L1249" s="78"/>
      <c r="M1249" s="16"/>
      <c r="N1249" s="78"/>
      <c r="O1249" s="78"/>
      <c r="P1249" s="78"/>
      <c r="Q1249" s="78"/>
      <c r="R1249" s="54"/>
    </row>
    <row r="1250" spans="2:18" x14ac:dyDescent="0.2">
      <c r="B1250" s="53"/>
      <c r="C1250" s="78"/>
      <c r="D1250" s="78"/>
      <c r="E1250" s="78"/>
      <c r="F1250" s="78"/>
      <c r="G1250" s="78"/>
      <c r="H1250" s="79"/>
      <c r="I1250" s="78"/>
      <c r="J1250" s="78"/>
      <c r="K1250" s="78"/>
      <c r="L1250" s="78"/>
      <c r="M1250" s="16"/>
      <c r="N1250" s="78"/>
      <c r="O1250" s="78"/>
      <c r="P1250" s="78"/>
      <c r="Q1250" s="78"/>
      <c r="R1250" s="54"/>
    </row>
    <row r="1251" spans="2:18" x14ac:dyDescent="0.2">
      <c r="B1251" s="53"/>
      <c r="C1251" s="78"/>
      <c r="D1251" s="78"/>
      <c r="E1251" s="78"/>
      <c r="F1251" s="78"/>
      <c r="G1251" s="78"/>
      <c r="H1251" s="79"/>
      <c r="I1251" s="78"/>
      <c r="J1251" s="78"/>
      <c r="K1251" s="78"/>
      <c r="L1251" s="78"/>
      <c r="M1251" s="16"/>
      <c r="N1251" s="78"/>
      <c r="O1251" s="78"/>
      <c r="P1251" s="78"/>
      <c r="Q1251" s="78"/>
      <c r="R1251" s="54"/>
    </row>
    <row r="1252" spans="2:18" x14ac:dyDescent="0.2">
      <c r="B1252" s="53"/>
      <c r="C1252" s="78"/>
      <c r="D1252" s="78"/>
      <c r="E1252" s="78"/>
      <c r="F1252" s="78"/>
      <c r="G1252" s="78"/>
      <c r="H1252" s="79"/>
      <c r="I1252" s="78"/>
      <c r="J1252" s="78"/>
      <c r="K1252" s="78"/>
      <c r="L1252" s="78"/>
      <c r="M1252" s="16"/>
      <c r="N1252" s="78"/>
      <c r="O1252" s="78"/>
      <c r="P1252" s="78"/>
      <c r="Q1252" s="78"/>
      <c r="R1252" s="54"/>
    </row>
    <row r="1253" spans="2:18" x14ac:dyDescent="0.2">
      <c r="B1253" s="53"/>
      <c r="C1253" s="78"/>
      <c r="D1253" s="78"/>
      <c r="E1253" s="78"/>
      <c r="F1253" s="78"/>
      <c r="G1253" s="78"/>
      <c r="H1253" s="79"/>
      <c r="I1253" s="78"/>
      <c r="J1253" s="78"/>
      <c r="K1253" s="78"/>
      <c r="L1253" s="78"/>
      <c r="M1253" s="16"/>
      <c r="N1253" s="78"/>
      <c r="O1253" s="78"/>
      <c r="P1253" s="78"/>
      <c r="Q1253" s="78"/>
      <c r="R1253" s="54"/>
    </row>
    <row r="1254" spans="2:18" x14ac:dyDescent="0.2">
      <c r="B1254" s="53"/>
      <c r="C1254" s="78"/>
      <c r="D1254" s="78"/>
      <c r="E1254" s="78"/>
      <c r="F1254" s="78"/>
      <c r="G1254" s="78"/>
      <c r="H1254" s="79"/>
      <c r="I1254" s="78"/>
      <c r="J1254" s="78"/>
      <c r="K1254" s="78"/>
      <c r="L1254" s="78"/>
      <c r="M1254" s="16"/>
      <c r="N1254" s="78"/>
      <c r="O1254" s="78"/>
      <c r="P1254" s="78"/>
      <c r="Q1254" s="78"/>
      <c r="R1254" s="54"/>
    </row>
    <row r="1255" spans="2:18" x14ac:dyDescent="0.2">
      <c r="B1255" s="53"/>
      <c r="C1255" s="78"/>
      <c r="D1255" s="78"/>
      <c r="E1255" s="78"/>
      <c r="F1255" s="78"/>
      <c r="G1255" s="78"/>
      <c r="H1255" s="79"/>
      <c r="I1255" s="78"/>
      <c r="J1255" s="78"/>
      <c r="K1255" s="78"/>
      <c r="L1255" s="78"/>
      <c r="M1255" s="16"/>
      <c r="N1255" s="78"/>
      <c r="O1255" s="78"/>
      <c r="P1255" s="78"/>
      <c r="Q1255" s="78"/>
      <c r="R1255" s="54"/>
    </row>
    <row r="1256" spans="2:18" x14ac:dyDescent="0.2">
      <c r="B1256" s="53"/>
      <c r="C1256" s="78"/>
      <c r="D1256" s="78"/>
      <c r="E1256" s="78"/>
      <c r="F1256" s="78"/>
      <c r="G1256" s="78"/>
      <c r="H1256" s="79"/>
      <c r="I1256" s="78"/>
      <c r="J1256" s="78"/>
      <c r="K1256" s="78"/>
      <c r="L1256" s="78"/>
      <c r="M1256" s="16"/>
      <c r="N1256" s="78"/>
      <c r="O1256" s="78"/>
      <c r="P1256" s="78"/>
      <c r="Q1256" s="78"/>
      <c r="R1256" s="54"/>
    </row>
    <row r="1257" spans="2:18" x14ac:dyDescent="0.2">
      <c r="B1257" s="53"/>
      <c r="C1257" s="78"/>
      <c r="D1257" s="78"/>
      <c r="E1257" s="78"/>
      <c r="F1257" s="78"/>
      <c r="G1257" s="78"/>
      <c r="H1257" s="79"/>
      <c r="I1257" s="78"/>
      <c r="J1257" s="78"/>
      <c r="K1257" s="78"/>
      <c r="L1257" s="78"/>
      <c r="M1257" s="16"/>
      <c r="N1257" s="78"/>
      <c r="O1257" s="78"/>
      <c r="P1257" s="78"/>
      <c r="Q1257" s="78"/>
      <c r="R1257" s="54"/>
    </row>
    <row r="1258" spans="2:18" x14ac:dyDescent="0.2">
      <c r="B1258" s="53"/>
      <c r="C1258" s="78"/>
      <c r="D1258" s="78"/>
      <c r="E1258" s="78"/>
      <c r="F1258" s="78"/>
      <c r="G1258" s="78"/>
      <c r="H1258" s="79"/>
      <c r="I1258" s="78"/>
      <c r="J1258" s="78"/>
      <c r="K1258" s="78"/>
      <c r="L1258" s="78"/>
      <c r="M1258" s="16"/>
      <c r="N1258" s="78"/>
      <c r="O1258" s="78"/>
      <c r="P1258" s="78"/>
      <c r="Q1258" s="78"/>
      <c r="R1258" s="54"/>
    </row>
    <row r="1259" spans="2:18" x14ac:dyDescent="0.2">
      <c r="B1259" s="53"/>
      <c r="C1259" s="78"/>
      <c r="D1259" s="78"/>
      <c r="E1259" s="78"/>
      <c r="F1259" s="78"/>
      <c r="G1259" s="78"/>
      <c r="H1259" s="79"/>
      <c r="I1259" s="78"/>
      <c r="J1259" s="78"/>
      <c r="K1259" s="78"/>
      <c r="L1259" s="78"/>
      <c r="M1259" s="16"/>
      <c r="N1259" s="78"/>
      <c r="O1259" s="78"/>
      <c r="P1259" s="78"/>
      <c r="Q1259" s="78"/>
      <c r="R1259" s="54"/>
    </row>
    <row r="1260" spans="2:18" x14ac:dyDescent="0.2">
      <c r="B1260" s="53"/>
      <c r="C1260" s="78"/>
      <c r="D1260" s="78"/>
      <c r="E1260" s="78"/>
      <c r="F1260" s="78"/>
      <c r="G1260" s="78"/>
      <c r="H1260" s="79"/>
      <c r="I1260" s="78"/>
      <c r="J1260" s="78"/>
      <c r="K1260" s="78"/>
      <c r="L1260" s="78"/>
      <c r="M1260" s="16"/>
      <c r="N1260" s="78"/>
      <c r="O1260" s="78"/>
      <c r="P1260" s="78"/>
      <c r="Q1260" s="78"/>
      <c r="R1260" s="54"/>
    </row>
    <row r="1261" spans="2:18" x14ac:dyDescent="0.2">
      <c r="B1261" s="53"/>
      <c r="C1261" s="78"/>
      <c r="D1261" s="78"/>
      <c r="E1261" s="78"/>
      <c r="F1261" s="78"/>
      <c r="G1261" s="78"/>
      <c r="H1261" s="79"/>
      <c r="I1261" s="78"/>
      <c r="J1261" s="78"/>
      <c r="K1261" s="78"/>
      <c r="L1261" s="78"/>
      <c r="M1261" s="16"/>
      <c r="N1261" s="78"/>
      <c r="O1261" s="78"/>
      <c r="P1261" s="78"/>
      <c r="Q1261" s="78"/>
      <c r="R1261" s="54"/>
    </row>
    <row r="1262" spans="2:18" x14ac:dyDescent="0.2">
      <c r="B1262" s="53"/>
      <c r="C1262" s="78"/>
      <c r="D1262" s="78"/>
      <c r="E1262" s="78"/>
      <c r="F1262" s="78"/>
      <c r="G1262" s="78"/>
      <c r="H1262" s="79"/>
      <c r="I1262" s="78"/>
      <c r="J1262" s="78"/>
      <c r="K1262" s="78"/>
      <c r="L1262" s="78"/>
      <c r="M1262" s="16"/>
      <c r="N1262" s="78"/>
      <c r="O1262" s="78"/>
      <c r="P1262" s="78"/>
      <c r="Q1262" s="78"/>
      <c r="R1262" s="54"/>
    </row>
    <row r="1263" spans="2:18" x14ac:dyDescent="0.2">
      <c r="B1263" s="53"/>
      <c r="C1263" s="78"/>
      <c r="D1263" s="78"/>
      <c r="E1263" s="78"/>
      <c r="F1263" s="78"/>
      <c r="G1263" s="78"/>
      <c r="H1263" s="79"/>
      <c r="I1263" s="78"/>
      <c r="J1263" s="78"/>
      <c r="K1263" s="78"/>
      <c r="L1263" s="78"/>
      <c r="M1263" s="16"/>
      <c r="N1263" s="78"/>
      <c r="O1263" s="78"/>
      <c r="P1263" s="78"/>
      <c r="Q1263" s="78"/>
      <c r="R1263" s="54"/>
    </row>
    <row r="1264" spans="2:18" x14ac:dyDescent="0.2">
      <c r="B1264" s="53"/>
      <c r="C1264" s="78"/>
      <c r="D1264" s="78"/>
      <c r="E1264" s="78"/>
      <c r="F1264" s="78"/>
      <c r="G1264" s="78"/>
      <c r="H1264" s="79"/>
      <c r="I1264" s="78"/>
      <c r="J1264" s="78"/>
      <c r="K1264" s="78"/>
      <c r="L1264" s="78"/>
      <c r="M1264" s="16"/>
      <c r="N1264" s="78"/>
      <c r="O1264" s="78"/>
      <c r="P1264" s="78"/>
      <c r="Q1264" s="78"/>
      <c r="R1264" s="54"/>
    </row>
    <row r="1265" spans="2:18" x14ac:dyDescent="0.2">
      <c r="B1265" s="53"/>
      <c r="C1265" s="78"/>
      <c r="D1265" s="78"/>
      <c r="E1265" s="78"/>
      <c r="F1265" s="78"/>
      <c r="G1265" s="78"/>
      <c r="H1265" s="79"/>
      <c r="I1265" s="78"/>
      <c r="J1265" s="78"/>
      <c r="K1265" s="78"/>
      <c r="L1265" s="78"/>
      <c r="M1265" s="16"/>
      <c r="N1265" s="78"/>
      <c r="O1265" s="78"/>
      <c r="P1265" s="78"/>
      <c r="Q1265" s="78"/>
      <c r="R1265" s="54"/>
    </row>
    <row r="1266" spans="2:18" x14ac:dyDescent="0.2">
      <c r="B1266" s="53"/>
      <c r="C1266" s="78"/>
      <c r="D1266" s="78"/>
      <c r="E1266" s="78"/>
      <c r="F1266" s="78"/>
      <c r="G1266" s="78"/>
      <c r="H1266" s="79"/>
      <c r="I1266" s="78"/>
      <c r="J1266" s="78"/>
      <c r="K1266" s="78"/>
      <c r="L1266" s="78"/>
      <c r="M1266" s="16"/>
      <c r="N1266" s="78"/>
      <c r="O1266" s="78"/>
      <c r="P1266" s="78"/>
      <c r="Q1266" s="78"/>
      <c r="R1266" s="54"/>
    </row>
    <row r="1267" spans="2:18" x14ac:dyDescent="0.2">
      <c r="B1267" s="53"/>
      <c r="C1267" s="78"/>
      <c r="D1267" s="78"/>
      <c r="E1267" s="78"/>
      <c r="F1267" s="78"/>
      <c r="G1267" s="78"/>
      <c r="H1267" s="79"/>
      <c r="I1267" s="78"/>
      <c r="J1267" s="78"/>
      <c r="K1267" s="78"/>
      <c r="L1267" s="78"/>
      <c r="M1267" s="16"/>
      <c r="N1267" s="78"/>
      <c r="O1267" s="78"/>
      <c r="P1267" s="78"/>
      <c r="Q1267" s="78"/>
      <c r="R1267" s="54"/>
    </row>
    <row r="1268" spans="2:18" x14ac:dyDescent="0.2">
      <c r="B1268" s="53"/>
      <c r="C1268" s="78"/>
      <c r="D1268" s="78"/>
      <c r="E1268" s="78"/>
      <c r="F1268" s="78"/>
      <c r="G1268" s="78"/>
      <c r="H1268" s="79"/>
      <c r="I1268" s="78"/>
      <c r="J1268" s="78"/>
      <c r="K1268" s="78"/>
      <c r="L1268" s="78"/>
      <c r="M1268" s="16"/>
      <c r="N1268" s="78"/>
      <c r="O1268" s="78"/>
      <c r="P1268" s="78"/>
      <c r="Q1268" s="78"/>
      <c r="R1268" s="54"/>
    </row>
    <row r="1269" spans="2:18" x14ac:dyDescent="0.2">
      <c r="B1269" s="53"/>
      <c r="C1269" s="78"/>
      <c r="D1269" s="78"/>
      <c r="E1269" s="78"/>
      <c r="F1269" s="78"/>
      <c r="G1269" s="78"/>
      <c r="H1269" s="79"/>
      <c r="I1269" s="78"/>
      <c r="J1269" s="78"/>
      <c r="K1269" s="78"/>
      <c r="L1269" s="78"/>
      <c r="M1269" s="16"/>
      <c r="N1269" s="78"/>
      <c r="O1269" s="78"/>
      <c r="P1269" s="78"/>
      <c r="Q1269" s="78"/>
      <c r="R1269" s="54"/>
    </row>
    <row r="1270" spans="2:18" x14ac:dyDescent="0.2">
      <c r="B1270" s="53"/>
      <c r="C1270" s="78"/>
      <c r="D1270" s="78"/>
      <c r="E1270" s="78"/>
      <c r="F1270" s="78"/>
      <c r="G1270" s="78"/>
      <c r="H1270" s="79"/>
      <c r="I1270" s="78"/>
      <c r="J1270" s="78"/>
      <c r="K1270" s="78"/>
      <c r="L1270" s="78"/>
      <c r="M1270" s="16"/>
      <c r="N1270" s="78"/>
      <c r="O1270" s="78"/>
      <c r="P1270" s="78"/>
      <c r="Q1270" s="78"/>
      <c r="R1270" s="54"/>
    </row>
    <row r="1271" spans="2:18" x14ac:dyDescent="0.2">
      <c r="B1271" s="53"/>
      <c r="C1271" s="78"/>
      <c r="D1271" s="78"/>
      <c r="E1271" s="78"/>
      <c r="F1271" s="78"/>
      <c r="G1271" s="78"/>
      <c r="H1271" s="79"/>
      <c r="I1271" s="78"/>
      <c r="J1271" s="78"/>
      <c r="K1271" s="78"/>
      <c r="L1271" s="78"/>
      <c r="M1271" s="16"/>
      <c r="N1271" s="78"/>
      <c r="O1271" s="78"/>
      <c r="P1271" s="78"/>
      <c r="Q1271" s="78"/>
      <c r="R1271" s="54"/>
    </row>
    <row r="1272" spans="2:18" x14ac:dyDescent="0.2">
      <c r="B1272" s="53"/>
      <c r="C1272" s="78"/>
      <c r="D1272" s="78"/>
      <c r="E1272" s="78"/>
      <c r="F1272" s="78"/>
      <c r="G1272" s="78"/>
      <c r="H1272" s="79"/>
      <c r="I1272" s="78"/>
      <c r="J1272" s="78"/>
      <c r="K1272" s="78"/>
      <c r="L1272" s="78"/>
      <c r="M1272" s="16"/>
      <c r="N1272" s="78"/>
      <c r="O1272" s="78"/>
      <c r="P1272" s="78"/>
      <c r="Q1272" s="78"/>
      <c r="R1272" s="54"/>
    </row>
    <row r="1273" spans="2:18" x14ac:dyDescent="0.2">
      <c r="B1273" s="53"/>
      <c r="C1273" s="78"/>
      <c r="D1273" s="78"/>
      <c r="E1273" s="78"/>
      <c r="F1273" s="78"/>
      <c r="G1273" s="78"/>
      <c r="H1273" s="79"/>
      <c r="I1273" s="78"/>
      <c r="J1273" s="78"/>
      <c r="K1273" s="78"/>
      <c r="L1273" s="78"/>
      <c r="M1273" s="16"/>
      <c r="N1273" s="78"/>
      <c r="O1273" s="78"/>
      <c r="P1273" s="78"/>
      <c r="Q1273" s="78"/>
      <c r="R1273" s="54"/>
    </row>
    <row r="1274" spans="2:18" x14ac:dyDescent="0.2">
      <c r="B1274" s="53"/>
      <c r="C1274" s="78"/>
      <c r="D1274" s="78"/>
      <c r="E1274" s="78"/>
      <c r="F1274" s="78"/>
      <c r="G1274" s="78"/>
      <c r="H1274" s="79"/>
      <c r="I1274" s="78"/>
      <c r="J1274" s="78"/>
      <c r="K1274" s="78"/>
      <c r="L1274" s="78"/>
      <c r="M1274" s="16"/>
      <c r="N1274" s="78"/>
      <c r="O1274" s="78"/>
      <c r="P1274" s="78"/>
      <c r="Q1274" s="78"/>
      <c r="R1274" s="54"/>
    </row>
    <row r="1275" spans="2:18" x14ac:dyDescent="0.2">
      <c r="B1275" s="53"/>
      <c r="C1275" s="78"/>
      <c r="D1275" s="78"/>
      <c r="E1275" s="78"/>
      <c r="F1275" s="78"/>
      <c r="G1275" s="78"/>
      <c r="H1275" s="79"/>
      <c r="I1275" s="78"/>
      <c r="J1275" s="78"/>
      <c r="K1275" s="78"/>
      <c r="L1275" s="78"/>
      <c r="M1275" s="16"/>
      <c r="N1275" s="78"/>
      <c r="O1275" s="78"/>
      <c r="P1275" s="78"/>
      <c r="Q1275" s="78"/>
      <c r="R1275" s="54"/>
    </row>
    <row r="1276" spans="2:18" x14ac:dyDescent="0.2">
      <c r="B1276" s="53"/>
      <c r="C1276" s="78"/>
      <c r="D1276" s="78"/>
      <c r="E1276" s="78"/>
      <c r="F1276" s="78"/>
      <c r="G1276" s="78"/>
      <c r="H1276" s="79"/>
      <c r="I1276" s="78"/>
      <c r="J1276" s="78"/>
      <c r="K1276" s="78"/>
      <c r="L1276" s="78"/>
      <c r="M1276" s="16"/>
      <c r="N1276" s="78"/>
      <c r="O1276" s="78"/>
      <c r="P1276" s="78"/>
      <c r="Q1276" s="78"/>
      <c r="R1276" s="54"/>
    </row>
    <row r="1277" spans="2:18" x14ac:dyDescent="0.2">
      <c r="B1277" s="53"/>
      <c r="C1277" s="78"/>
      <c r="D1277" s="78"/>
      <c r="E1277" s="78"/>
      <c r="F1277" s="78"/>
      <c r="G1277" s="78"/>
      <c r="H1277" s="79"/>
      <c r="I1277" s="78"/>
      <c r="J1277" s="78"/>
      <c r="K1277" s="78"/>
      <c r="L1277" s="78"/>
      <c r="M1277" s="16"/>
      <c r="N1277" s="78"/>
      <c r="O1277" s="78"/>
      <c r="P1277" s="78"/>
      <c r="Q1277" s="78"/>
      <c r="R1277" s="54"/>
    </row>
    <row r="1278" spans="2:18" x14ac:dyDescent="0.2">
      <c r="B1278" s="53"/>
      <c r="C1278" s="78"/>
      <c r="D1278" s="78"/>
      <c r="E1278" s="78"/>
      <c r="F1278" s="78"/>
      <c r="G1278" s="78"/>
      <c r="H1278" s="79"/>
      <c r="I1278" s="78"/>
      <c r="J1278" s="78"/>
      <c r="K1278" s="78"/>
      <c r="L1278" s="78"/>
      <c r="M1278" s="16"/>
      <c r="N1278" s="78"/>
      <c r="O1278" s="78"/>
      <c r="P1278" s="78"/>
      <c r="Q1278" s="78"/>
      <c r="R1278" s="54"/>
    </row>
    <row r="1279" spans="2:18" x14ac:dyDescent="0.2">
      <c r="B1279" s="53"/>
      <c r="C1279" s="78"/>
      <c r="D1279" s="78"/>
      <c r="E1279" s="78"/>
      <c r="F1279" s="78"/>
      <c r="G1279" s="78"/>
      <c r="H1279" s="79"/>
      <c r="I1279" s="78"/>
      <c r="J1279" s="78"/>
      <c r="K1279" s="78"/>
      <c r="L1279" s="78"/>
      <c r="M1279" s="16"/>
      <c r="N1279" s="78"/>
      <c r="O1279" s="78"/>
      <c r="P1279" s="78"/>
      <c r="Q1279" s="78"/>
      <c r="R1279" s="54"/>
    </row>
    <row r="1280" spans="2:18" x14ac:dyDescent="0.2">
      <c r="B1280" s="53"/>
      <c r="C1280" s="78"/>
      <c r="D1280" s="78"/>
      <c r="E1280" s="78"/>
      <c r="F1280" s="78"/>
      <c r="G1280" s="78"/>
      <c r="H1280" s="79"/>
      <c r="I1280" s="78"/>
      <c r="J1280" s="78"/>
      <c r="K1280" s="78"/>
      <c r="L1280" s="78"/>
      <c r="M1280" s="16"/>
      <c r="N1280" s="78"/>
      <c r="O1280" s="78"/>
      <c r="P1280" s="78"/>
      <c r="Q1280" s="78"/>
      <c r="R1280" s="54"/>
    </row>
    <row r="1281" spans="2:18" x14ac:dyDescent="0.2">
      <c r="B1281" s="53"/>
      <c r="C1281" s="78"/>
      <c r="D1281" s="78"/>
      <c r="E1281" s="78"/>
      <c r="F1281" s="78"/>
      <c r="G1281" s="78"/>
      <c r="H1281" s="79"/>
      <c r="I1281" s="78"/>
      <c r="J1281" s="78"/>
      <c r="K1281" s="78"/>
      <c r="L1281" s="78"/>
      <c r="M1281" s="16"/>
      <c r="N1281" s="78"/>
      <c r="O1281" s="78"/>
      <c r="P1281" s="78"/>
      <c r="Q1281" s="78"/>
      <c r="R1281" s="54"/>
    </row>
    <row r="1282" spans="2:18" x14ac:dyDescent="0.2">
      <c r="B1282" s="53"/>
      <c r="C1282" s="78"/>
      <c r="D1282" s="78"/>
      <c r="E1282" s="78"/>
      <c r="F1282" s="78"/>
      <c r="G1282" s="78"/>
      <c r="H1282" s="79"/>
      <c r="I1282" s="78"/>
      <c r="J1282" s="78"/>
      <c r="K1282" s="78"/>
      <c r="L1282" s="78"/>
      <c r="M1282" s="16"/>
      <c r="N1282" s="78"/>
      <c r="O1282" s="78"/>
      <c r="P1282" s="78"/>
      <c r="Q1282" s="78"/>
      <c r="R1282" s="54"/>
    </row>
    <row r="1283" spans="2:18" x14ac:dyDescent="0.2">
      <c r="B1283" s="53"/>
      <c r="C1283" s="78"/>
      <c r="D1283" s="78"/>
      <c r="E1283" s="78"/>
      <c r="F1283" s="78"/>
      <c r="G1283" s="78"/>
      <c r="H1283" s="79"/>
      <c r="I1283" s="78"/>
      <c r="J1283" s="78"/>
      <c r="K1283" s="78"/>
      <c r="L1283" s="78"/>
      <c r="M1283" s="16"/>
      <c r="N1283" s="78"/>
      <c r="O1283" s="78"/>
      <c r="P1283" s="78"/>
      <c r="Q1283" s="78"/>
      <c r="R1283" s="54"/>
    </row>
    <row r="1284" spans="2:18" x14ac:dyDescent="0.2">
      <c r="B1284" s="53"/>
      <c r="C1284" s="78"/>
      <c r="D1284" s="78"/>
      <c r="E1284" s="78"/>
      <c r="F1284" s="78"/>
      <c r="G1284" s="78"/>
      <c r="H1284" s="79"/>
      <c r="I1284" s="78"/>
      <c r="J1284" s="78"/>
      <c r="K1284" s="78"/>
      <c r="L1284" s="78"/>
      <c r="M1284" s="16"/>
      <c r="N1284" s="78"/>
      <c r="O1284" s="78"/>
      <c r="P1284" s="78"/>
      <c r="Q1284" s="78"/>
      <c r="R1284" s="54"/>
    </row>
    <row r="1285" spans="2:18" x14ac:dyDescent="0.2">
      <c r="B1285" s="53"/>
      <c r="C1285" s="78"/>
      <c r="D1285" s="78"/>
      <c r="E1285" s="78"/>
      <c r="F1285" s="78"/>
      <c r="G1285" s="78"/>
      <c r="H1285" s="79"/>
      <c r="I1285" s="78"/>
      <c r="J1285" s="78"/>
      <c r="K1285" s="78"/>
      <c r="L1285" s="78"/>
      <c r="M1285" s="16"/>
      <c r="N1285" s="78"/>
      <c r="O1285" s="78"/>
      <c r="P1285" s="78"/>
      <c r="Q1285" s="78"/>
      <c r="R1285" s="54"/>
    </row>
    <row r="1286" spans="2:18" x14ac:dyDescent="0.2">
      <c r="B1286" s="53"/>
      <c r="C1286" s="78"/>
      <c r="D1286" s="78"/>
      <c r="E1286" s="78"/>
      <c r="F1286" s="78"/>
      <c r="G1286" s="78"/>
      <c r="H1286" s="79"/>
      <c r="I1286" s="78"/>
      <c r="J1286" s="78"/>
      <c r="K1286" s="78"/>
      <c r="L1286" s="78"/>
      <c r="M1286" s="16"/>
      <c r="N1286" s="78"/>
      <c r="O1286" s="78"/>
      <c r="P1286" s="78"/>
      <c r="Q1286" s="78"/>
      <c r="R1286" s="54"/>
    </row>
    <row r="1287" spans="2:18" x14ac:dyDescent="0.2">
      <c r="B1287" s="53"/>
      <c r="C1287" s="78"/>
      <c r="D1287" s="78"/>
      <c r="E1287" s="78"/>
      <c r="F1287" s="78"/>
      <c r="G1287" s="78"/>
      <c r="H1287" s="79"/>
      <c r="I1287" s="78"/>
      <c r="J1287" s="78"/>
      <c r="K1287" s="78"/>
      <c r="L1287" s="78"/>
      <c r="M1287" s="16"/>
      <c r="N1287" s="78"/>
      <c r="O1287" s="78"/>
      <c r="P1287" s="78"/>
      <c r="Q1287" s="78"/>
      <c r="R1287" s="54"/>
    </row>
    <row r="1288" spans="2:18" x14ac:dyDescent="0.2">
      <c r="B1288" s="53"/>
      <c r="C1288" s="78"/>
      <c r="D1288" s="78"/>
      <c r="E1288" s="78"/>
      <c r="F1288" s="78"/>
      <c r="G1288" s="78"/>
      <c r="H1288" s="79"/>
      <c r="I1288" s="78"/>
      <c r="J1288" s="78"/>
      <c r="K1288" s="78"/>
      <c r="L1288" s="78"/>
      <c r="M1288" s="16"/>
      <c r="N1288" s="78"/>
      <c r="O1288" s="78"/>
      <c r="P1288" s="78"/>
      <c r="Q1288" s="78"/>
      <c r="R1288" s="54"/>
    </row>
    <row r="1289" spans="2:18" x14ac:dyDescent="0.2">
      <c r="B1289" s="53"/>
      <c r="C1289" s="78"/>
      <c r="D1289" s="78"/>
      <c r="E1289" s="78"/>
      <c r="F1289" s="78"/>
      <c r="G1289" s="78"/>
      <c r="H1289" s="79"/>
      <c r="I1289" s="78"/>
      <c r="J1289" s="78"/>
      <c r="K1289" s="78"/>
      <c r="L1289" s="78"/>
      <c r="M1289" s="16"/>
      <c r="N1289" s="78"/>
      <c r="O1289" s="78"/>
      <c r="P1289" s="78"/>
      <c r="Q1289" s="78"/>
      <c r="R1289" s="54"/>
    </row>
    <row r="1290" spans="2:18" x14ac:dyDescent="0.2">
      <c r="B1290" s="53"/>
      <c r="C1290" s="78"/>
      <c r="D1290" s="78"/>
      <c r="E1290" s="78"/>
      <c r="F1290" s="78"/>
      <c r="G1290" s="78"/>
      <c r="H1290" s="79"/>
      <c r="I1290" s="78"/>
      <c r="J1290" s="78"/>
      <c r="K1290" s="78"/>
      <c r="L1290" s="78"/>
      <c r="M1290" s="16"/>
      <c r="N1290" s="78"/>
      <c r="O1290" s="78"/>
      <c r="P1290" s="78"/>
      <c r="Q1290" s="78"/>
      <c r="R1290" s="54"/>
    </row>
    <row r="1291" spans="2:18" x14ac:dyDescent="0.2">
      <c r="B1291" s="53"/>
      <c r="C1291" s="78"/>
      <c r="D1291" s="78"/>
      <c r="E1291" s="78"/>
      <c r="F1291" s="78"/>
      <c r="G1291" s="78"/>
      <c r="H1291" s="79"/>
      <c r="I1291" s="78"/>
      <c r="J1291" s="78"/>
      <c r="K1291" s="78"/>
      <c r="L1291" s="78"/>
      <c r="M1291" s="16"/>
      <c r="N1291" s="78"/>
      <c r="O1291" s="78"/>
      <c r="P1291" s="78"/>
      <c r="Q1291" s="78"/>
      <c r="R1291" s="54"/>
    </row>
    <row r="1292" spans="2:18" x14ac:dyDescent="0.2">
      <c r="B1292" s="53"/>
      <c r="C1292" s="78"/>
      <c r="D1292" s="78"/>
      <c r="E1292" s="78"/>
      <c r="F1292" s="78"/>
      <c r="G1292" s="78"/>
      <c r="H1292" s="79"/>
      <c r="I1292" s="78"/>
      <c r="J1292" s="78"/>
      <c r="K1292" s="78"/>
      <c r="L1292" s="78"/>
      <c r="M1292" s="16"/>
      <c r="N1292" s="78"/>
      <c r="O1292" s="78"/>
      <c r="P1292" s="78"/>
      <c r="Q1292" s="78"/>
      <c r="R1292" s="54"/>
    </row>
    <row r="1293" spans="2:18" x14ac:dyDescent="0.2">
      <c r="B1293" s="53"/>
      <c r="C1293" s="78"/>
      <c r="D1293" s="78"/>
      <c r="E1293" s="78"/>
      <c r="F1293" s="78"/>
      <c r="G1293" s="78"/>
      <c r="H1293" s="79"/>
      <c r="I1293" s="78"/>
      <c r="J1293" s="78"/>
      <c r="K1293" s="78"/>
      <c r="L1293" s="78"/>
      <c r="M1293" s="16"/>
      <c r="N1293" s="78"/>
      <c r="O1293" s="78"/>
      <c r="P1293" s="78"/>
      <c r="Q1293" s="78"/>
      <c r="R1293" s="54"/>
    </row>
    <row r="1294" spans="2:18" x14ac:dyDescent="0.2">
      <c r="B1294" s="53"/>
      <c r="C1294" s="78"/>
      <c r="D1294" s="78"/>
      <c r="E1294" s="78"/>
      <c r="F1294" s="78"/>
      <c r="G1294" s="78"/>
      <c r="H1294" s="79"/>
      <c r="I1294" s="78"/>
      <c r="J1294" s="78"/>
      <c r="K1294" s="78"/>
      <c r="L1294" s="78"/>
      <c r="M1294" s="16"/>
      <c r="N1294" s="78"/>
      <c r="O1294" s="78"/>
      <c r="P1294" s="78"/>
      <c r="Q1294" s="78"/>
      <c r="R1294" s="54"/>
    </row>
    <row r="1295" spans="2:18" x14ac:dyDescent="0.2">
      <c r="B1295" s="53"/>
      <c r="C1295" s="78"/>
      <c r="D1295" s="78"/>
      <c r="E1295" s="78"/>
      <c r="F1295" s="78"/>
      <c r="G1295" s="78"/>
      <c r="H1295" s="79"/>
      <c r="I1295" s="78"/>
      <c r="J1295" s="78"/>
      <c r="K1295" s="78"/>
      <c r="L1295" s="78"/>
      <c r="M1295" s="16"/>
      <c r="N1295" s="78"/>
      <c r="O1295" s="78"/>
      <c r="P1295" s="78"/>
      <c r="Q1295" s="78"/>
      <c r="R1295" s="54"/>
    </row>
    <row r="1296" spans="2:18" x14ac:dyDescent="0.2">
      <c r="B1296" s="53"/>
      <c r="C1296" s="78"/>
      <c r="D1296" s="78"/>
      <c r="E1296" s="78"/>
      <c r="F1296" s="78"/>
      <c r="G1296" s="78"/>
      <c r="H1296" s="79"/>
      <c r="I1296" s="78"/>
      <c r="J1296" s="78"/>
      <c r="K1296" s="78"/>
      <c r="L1296" s="78"/>
      <c r="M1296" s="16"/>
      <c r="N1296" s="78"/>
      <c r="O1296" s="78"/>
      <c r="P1296" s="78"/>
      <c r="Q1296" s="78"/>
      <c r="R1296" s="54"/>
    </row>
    <row r="1297" spans="2:18" x14ac:dyDescent="0.2">
      <c r="B1297" s="53"/>
      <c r="C1297" s="78"/>
      <c r="D1297" s="78"/>
      <c r="E1297" s="78"/>
      <c r="F1297" s="78"/>
      <c r="G1297" s="78"/>
      <c r="H1297" s="79"/>
      <c r="I1297" s="78"/>
      <c r="J1297" s="78"/>
      <c r="K1297" s="78"/>
      <c r="L1297" s="78"/>
      <c r="M1297" s="16"/>
      <c r="N1297" s="78"/>
      <c r="O1297" s="78"/>
      <c r="P1297" s="78"/>
      <c r="Q1297" s="78"/>
      <c r="R1297" s="54"/>
    </row>
    <row r="1298" spans="2:18" x14ac:dyDescent="0.2">
      <c r="B1298" s="53"/>
      <c r="C1298" s="78"/>
      <c r="D1298" s="78"/>
      <c r="E1298" s="78"/>
      <c r="F1298" s="78"/>
      <c r="G1298" s="78"/>
      <c r="H1298" s="79"/>
      <c r="I1298" s="78"/>
      <c r="J1298" s="78"/>
      <c r="K1298" s="78"/>
      <c r="L1298" s="78"/>
      <c r="M1298" s="16"/>
      <c r="N1298" s="78"/>
      <c r="O1298" s="78"/>
      <c r="P1298" s="78"/>
      <c r="Q1298" s="78"/>
      <c r="R1298" s="54"/>
    </row>
    <row r="1299" spans="2:18" x14ac:dyDescent="0.2">
      <c r="B1299" s="53"/>
      <c r="C1299" s="78"/>
      <c r="D1299" s="78"/>
      <c r="E1299" s="78"/>
      <c r="F1299" s="78"/>
      <c r="G1299" s="78"/>
      <c r="H1299" s="79"/>
      <c r="I1299" s="78"/>
      <c r="J1299" s="78"/>
      <c r="K1299" s="78"/>
      <c r="L1299" s="78"/>
      <c r="M1299" s="16"/>
      <c r="N1299" s="78"/>
      <c r="O1299" s="78"/>
      <c r="P1299" s="78"/>
      <c r="Q1299" s="78"/>
      <c r="R1299" s="54"/>
    </row>
    <row r="1300" spans="2:18" x14ac:dyDescent="0.2">
      <c r="B1300" s="53"/>
      <c r="C1300" s="78"/>
      <c r="D1300" s="78"/>
      <c r="E1300" s="78"/>
      <c r="F1300" s="78"/>
      <c r="G1300" s="78"/>
      <c r="H1300" s="79"/>
      <c r="I1300" s="78"/>
      <c r="J1300" s="78"/>
      <c r="K1300" s="78"/>
      <c r="L1300" s="78"/>
      <c r="M1300" s="16"/>
      <c r="N1300" s="78"/>
      <c r="O1300" s="78"/>
      <c r="P1300" s="78"/>
      <c r="Q1300" s="78"/>
      <c r="R1300" s="54"/>
    </row>
    <row r="1301" spans="2:18" x14ac:dyDescent="0.2">
      <c r="B1301" s="53"/>
      <c r="C1301" s="78"/>
      <c r="D1301" s="78"/>
      <c r="E1301" s="78"/>
      <c r="F1301" s="78"/>
      <c r="G1301" s="78"/>
      <c r="H1301" s="79"/>
      <c r="I1301" s="78"/>
      <c r="J1301" s="78"/>
      <c r="K1301" s="78"/>
      <c r="L1301" s="78"/>
      <c r="M1301" s="16"/>
      <c r="N1301" s="78"/>
      <c r="O1301" s="78"/>
      <c r="P1301" s="78"/>
      <c r="Q1301" s="78"/>
      <c r="R1301" s="54"/>
    </row>
    <row r="1302" spans="2:18" x14ac:dyDescent="0.2">
      <c r="B1302" s="53"/>
      <c r="C1302" s="78"/>
      <c r="D1302" s="78"/>
      <c r="E1302" s="78"/>
      <c r="F1302" s="78"/>
      <c r="G1302" s="78"/>
      <c r="H1302" s="79"/>
      <c r="I1302" s="78"/>
      <c r="J1302" s="78"/>
      <c r="K1302" s="78"/>
      <c r="L1302" s="78"/>
      <c r="M1302" s="16"/>
      <c r="N1302" s="78"/>
      <c r="O1302" s="78"/>
      <c r="P1302" s="78"/>
      <c r="Q1302" s="78"/>
      <c r="R1302" s="54"/>
    </row>
    <row r="1303" spans="2:18" x14ac:dyDescent="0.2">
      <c r="B1303" s="53"/>
      <c r="C1303" s="78"/>
      <c r="D1303" s="78"/>
      <c r="E1303" s="78"/>
      <c r="F1303" s="78"/>
      <c r="G1303" s="78"/>
      <c r="H1303" s="79"/>
      <c r="I1303" s="78"/>
      <c r="J1303" s="78"/>
      <c r="K1303" s="78"/>
      <c r="L1303" s="78"/>
      <c r="M1303" s="16"/>
      <c r="N1303" s="78"/>
      <c r="O1303" s="78"/>
      <c r="P1303" s="78"/>
      <c r="Q1303" s="78"/>
      <c r="R1303" s="54"/>
    </row>
    <row r="1304" spans="2:18" x14ac:dyDescent="0.2">
      <c r="B1304" s="53"/>
      <c r="C1304" s="78"/>
      <c r="D1304" s="78"/>
      <c r="E1304" s="78"/>
      <c r="F1304" s="78"/>
      <c r="G1304" s="78"/>
      <c r="H1304" s="79"/>
      <c r="I1304" s="78"/>
      <c r="J1304" s="78"/>
      <c r="K1304" s="78"/>
      <c r="L1304" s="78"/>
      <c r="M1304" s="16"/>
      <c r="N1304" s="78"/>
      <c r="O1304" s="78"/>
      <c r="P1304" s="78"/>
      <c r="Q1304" s="78"/>
      <c r="R1304" s="54"/>
    </row>
    <row r="1305" spans="2:18" x14ac:dyDescent="0.2">
      <c r="B1305" s="53"/>
      <c r="C1305" s="78"/>
      <c r="D1305" s="78"/>
      <c r="E1305" s="78"/>
      <c r="F1305" s="78"/>
      <c r="G1305" s="78"/>
      <c r="H1305" s="79"/>
      <c r="I1305" s="78"/>
      <c r="J1305" s="78"/>
      <c r="K1305" s="78"/>
      <c r="L1305" s="78"/>
      <c r="M1305" s="16"/>
      <c r="N1305" s="78"/>
      <c r="O1305" s="78"/>
      <c r="P1305" s="78"/>
      <c r="Q1305" s="78"/>
      <c r="R1305" s="54"/>
    </row>
    <row r="1306" spans="2:18" x14ac:dyDescent="0.2">
      <c r="B1306" s="53"/>
      <c r="C1306" s="78"/>
      <c r="D1306" s="78"/>
      <c r="E1306" s="78"/>
      <c r="F1306" s="78"/>
      <c r="G1306" s="78"/>
      <c r="H1306" s="79"/>
      <c r="I1306" s="78"/>
      <c r="J1306" s="78"/>
      <c r="K1306" s="78"/>
      <c r="L1306" s="78"/>
      <c r="M1306" s="16"/>
      <c r="N1306" s="78"/>
      <c r="O1306" s="78"/>
      <c r="P1306" s="78"/>
      <c r="Q1306" s="78"/>
      <c r="R1306" s="54"/>
    </row>
    <row r="1307" spans="2:18" x14ac:dyDescent="0.2">
      <c r="B1307" s="53"/>
      <c r="C1307" s="78"/>
      <c r="D1307" s="78"/>
      <c r="E1307" s="78"/>
      <c r="F1307" s="78"/>
      <c r="G1307" s="78"/>
      <c r="H1307" s="79"/>
      <c r="I1307" s="78"/>
      <c r="J1307" s="78"/>
      <c r="K1307" s="78"/>
      <c r="L1307" s="78"/>
      <c r="M1307" s="16"/>
      <c r="N1307" s="78"/>
      <c r="O1307" s="78"/>
      <c r="P1307" s="78"/>
      <c r="Q1307" s="78"/>
      <c r="R1307" s="54"/>
    </row>
    <row r="1308" spans="2:18" x14ac:dyDescent="0.2">
      <c r="B1308" s="53"/>
      <c r="C1308" s="78"/>
      <c r="D1308" s="78"/>
      <c r="E1308" s="78"/>
      <c r="F1308" s="78"/>
      <c r="G1308" s="78"/>
      <c r="H1308" s="79"/>
      <c r="I1308" s="78"/>
      <c r="J1308" s="78"/>
      <c r="K1308" s="78"/>
      <c r="L1308" s="78"/>
      <c r="M1308" s="16"/>
      <c r="N1308" s="78"/>
      <c r="O1308" s="78"/>
      <c r="P1308" s="78"/>
      <c r="Q1308" s="78"/>
      <c r="R1308" s="54"/>
    </row>
    <row r="1309" spans="2:18" x14ac:dyDescent="0.2">
      <c r="B1309" s="53"/>
      <c r="C1309" s="78"/>
      <c r="D1309" s="78"/>
      <c r="E1309" s="78"/>
      <c r="F1309" s="78"/>
      <c r="G1309" s="78"/>
      <c r="H1309" s="79"/>
      <c r="I1309" s="78"/>
      <c r="J1309" s="78"/>
      <c r="K1309" s="78"/>
      <c r="L1309" s="78"/>
      <c r="M1309" s="16"/>
      <c r="N1309" s="78"/>
      <c r="O1309" s="78"/>
      <c r="P1309" s="78"/>
      <c r="Q1309" s="78"/>
      <c r="R1309" s="54"/>
    </row>
    <row r="1310" spans="2:18" x14ac:dyDescent="0.2">
      <c r="B1310" s="53"/>
      <c r="C1310" s="78"/>
      <c r="D1310" s="78"/>
      <c r="E1310" s="78"/>
      <c r="F1310" s="78"/>
      <c r="G1310" s="78"/>
      <c r="H1310" s="79"/>
      <c r="I1310" s="78"/>
      <c r="J1310" s="78"/>
      <c r="K1310" s="78"/>
      <c r="L1310" s="78"/>
      <c r="M1310" s="16"/>
      <c r="N1310" s="78"/>
      <c r="O1310" s="78"/>
      <c r="P1310" s="78"/>
      <c r="Q1310" s="78"/>
      <c r="R1310" s="54"/>
    </row>
    <row r="1311" spans="2:18" x14ac:dyDescent="0.2">
      <c r="B1311" s="53"/>
      <c r="C1311" s="78"/>
      <c r="D1311" s="78"/>
      <c r="E1311" s="78"/>
      <c r="F1311" s="78"/>
      <c r="G1311" s="78"/>
      <c r="H1311" s="79"/>
      <c r="I1311" s="78"/>
      <c r="J1311" s="78"/>
      <c r="K1311" s="78"/>
      <c r="L1311" s="78"/>
      <c r="M1311" s="16"/>
      <c r="N1311" s="78"/>
      <c r="O1311" s="78"/>
      <c r="P1311" s="78"/>
      <c r="Q1311" s="78"/>
      <c r="R1311" s="54"/>
    </row>
    <row r="1312" spans="2:18" x14ac:dyDescent="0.2">
      <c r="B1312" s="53"/>
      <c r="C1312" s="78"/>
      <c r="D1312" s="78"/>
      <c r="E1312" s="78"/>
      <c r="F1312" s="78"/>
      <c r="G1312" s="78"/>
      <c r="H1312" s="79"/>
      <c r="I1312" s="78"/>
      <c r="J1312" s="78"/>
      <c r="K1312" s="78"/>
      <c r="L1312" s="78"/>
      <c r="M1312" s="16"/>
      <c r="N1312" s="78"/>
      <c r="O1312" s="78"/>
      <c r="P1312" s="78"/>
      <c r="Q1312" s="78"/>
      <c r="R1312" s="54"/>
    </row>
    <row r="1313" spans="2:18" x14ac:dyDescent="0.2">
      <c r="B1313" s="53"/>
      <c r="C1313" s="78"/>
      <c r="D1313" s="78"/>
      <c r="E1313" s="78"/>
      <c r="F1313" s="78"/>
      <c r="G1313" s="78"/>
      <c r="H1313" s="79"/>
      <c r="I1313" s="78"/>
      <c r="J1313" s="78"/>
      <c r="K1313" s="78"/>
      <c r="L1313" s="78"/>
      <c r="M1313" s="16"/>
      <c r="N1313" s="78"/>
      <c r="O1313" s="78"/>
      <c r="P1313" s="78"/>
      <c r="Q1313" s="78"/>
      <c r="R1313" s="54"/>
    </row>
    <row r="1314" spans="2:18" x14ac:dyDescent="0.2">
      <c r="B1314" s="53"/>
      <c r="C1314" s="78"/>
      <c r="D1314" s="78"/>
      <c r="E1314" s="78"/>
      <c r="F1314" s="78"/>
      <c r="G1314" s="78"/>
      <c r="H1314" s="79"/>
      <c r="I1314" s="78"/>
      <c r="J1314" s="78"/>
      <c r="K1314" s="78"/>
      <c r="L1314" s="78"/>
      <c r="M1314" s="16"/>
      <c r="N1314" s="78"/>
      <c r="O1314" s="78"/>
      <c r="P1314" s="78"/>
      <c r="Q1314" s="78"/>
      <c r="R1314" s="54"/>
    </row>
    <row r="1315" spans="2:18" x14ac:dyDescent="0.2">
      <c r="B1315" s="53"/>
      <c r="C1315" s="78"/>
      <c r="D1315" s="78"/>
      <c r="E1315" s="78"/>
      <c r="F1315" s="78"/>
      <c r="G1315" s="78"/>
      <c r="H1315" s="79"/>
      <c r="I1315" s="78"/>
      <c r="J1315" s="78"/>
      <c r="K1315" s="78"/>
      <c r="L1315" s="78"/>
      <c r="M1315" s="16"/>
      <c r="N1315" s="78"/>
      <c r="O1315" s="78"/>
      <c r="P1315" s="78"/>
      <c r="Q1315" s="78"/>
      <c r="R1315" s="54"/>
    </row>
    <row r="1316" spans="2:18" x14ac:dyDescent="0.2">
      <c r="B1316" s="53"/>
      <c r="C1316" s="78"/>
      <c r="D1316" s="78"/>
      <c r="E1316" s="78"/>
      <c r="F1316" s="78"/>
      <c r="G1316" s="78"/>
      <c r="H1316" s="79"/>
      <c r="I1316" s="78"/>
      <c r="J1316" s="78"/>
      <c r="K1316" s="78"/>
      <c r="L1316" s="78"/>
      <c r="M1316" s="16"/>
      <c r="N1316" s="78"/>
      <c r="O1316" s="78"/>
      <c r="P1316" s="78"/>
      <c r="Q1316" s="78"/>
      <c r="R1316" s="54"/>
    </row>
    <row r="1317" spans="2:18" x14ac:dyDescent="0.2">
      <c r="B1317" s="53"/>
      <c r="C1317" s="78"/>
      <c r="D1317" s="78"/>
      <c r="E1317" s="78"/>
      <c r="F1317" s="78"/>
      <c r="G1317" s="78"/>
      <c r="H1317" s="79"/>
      <c r="I1317" s="78"/>
      <c r="J1317" s="78"/>
      <c r="K1317" s="78"/>
      <c r="L1317" s="78"/>
      <c r="M1317" s="16"/>
      <c r="N1317" s="78"/>
      <c r="O1317" s="78"/>
      <c r="P1317" s="78"/>
      <c r="Q1317" s="78"/>
      <c r="R1317" s="54"/>
    </row>
    <row r="1318" spans="2:18" x14ac:dyDescent="0.2">
      <c r="B1318" s="53"/>
      <c r="C1318" s="78"/>
      <c r="D1318" s="78"/>
      <c r="E1318" s="78"/>
      <c r="F1318" s="78"/>
      <c r="G1318" s="78"/>
      <c r="H1318" s="79"/>
      <c r="I1318" s="78"/>
      <c r="J1318" s="78"/>
      <c r="K1318" s="78"/>
      <c r="L1318" s="78"/>
      <c r="M1318" s="16"/>
      <c r="N1318" s="78"/>
      <c r="O1318" s="78"/>
      <c r="P1318" s="78"/>
      <c r="Q1318" s="78"/>
      <c r="R1318" s="54"/>
    </row>
    <row r="1319" spans="2:18" x14ac:dyDescent="0.2">
      <c r="B1319" s="53"/>
      <c r="C1319" s="78"/>
      <c r="D1319" s="78"/>
      <c r="E1319" s="78"/>
      <c r="F1319" s="78"/>
      <c r="G1319" s="78"/>
      <c r="H1319" s="79"/>
      <c r="I1319" s="78"/>
      <c r="J1319" s="78"/>
      <c r="K1319" s="78"/>
      <c r="L1319" s="78"/>
      <c r="M1319" s="16"/>
      <c r="N1319" s="78"/>
      <c r="O1319" s="78"/>
      <c r="P1319" s="78"/>
      <c r="Q1319" s="78"/>
      <c r="R1319" s="54"/>
    </row>
    <row r="1320" spans="2:18" x14ac:dyDescent="0.2">
      <c r="B1320" s="53"/>
      <c r="C1320" s="78"/>
      <c r="D1320" s="78"/>
      <c r="E1320" s="78"/>
      <c r="F1320" s="78"/>
      <c r="G1320" s="78"/>
      <c r="H1320" s="79"/>
      <c r="I1320" s="78"/>
      <c r="J1320" s="78"/>
      <c r="K1320" s="78"/>
      <c r="L1320" s="78"/>
      <c r="M1320" s="16"/>
      <c r="N1320" s="78"/>
      <c r="O1320" s="78"/>
      <c r="P1320" s="78"/>
      <c r="Q1320" s="78"/>
      <c r="R1320" s="54"/>
    </row>
    <row r="1321" spans="2:18" x14ac:dyDescent="0.2">
      <c r="B1321" s="53"/>
      <c r="C1321" s="78"/>
      <c r="D1321" s="78"/>
      <c r="E1321" s="78"/>
      <c r="F1321" s="78"/>
      <c r="G1321" s="78"/>
      <c r="H1321" s="79"/>
      <c r="I1321" s="78"/>
      <c r="J1321" s="78"/>
      <c r="K1321" s="78"/>
      <c r="L1321" s="78"/>
      <c r="M1321" s="16"/>
      <c r="N1321" s="78"/>
      <c r="O1321" s="78"/>
      <c r="P1321" s="78"/>
      <c r="Q1321" s="78"/>
      <c r="R1321" s="54"/>
    </row>
    <row r="1322" spans="2:18" x14ac:dyDescent="0.2">
      <c r="B1322" s="53"/>
      <c r="C1322" s="78"/>
      <c r="D1322" s="78"/>
      <c r="E1322" s="78"/>
      <c r="F1322" s="78"/>
      <c r="G1322" s="78"/>
      <c r="H1322" s="79"/>
      <c r="I1322" s="78"/>
      <c r="J1322" s="78"/>
      <c r="K1322" s="78"/>
      <c r="L1322" s="78"/>
      <c r="M1322" s="16"/>
      <c r="N1322" s="78"/>
      <c r="O1322" s="78"/>
      <c r="P1322" s="78"/>
      <c r="Q1322" s="78"/>
      <c r="R1322" s="54"/>
    </row>
    <row r="1323" spans="2:18" x14ac:dyDescent="0.2">
      <c r="B1323" s="53"/>
      <c r="C1323" s="78"/>
      <c r="D1323" s="78"/>
      <c r="E1323" s="78"/>
      <c r="F1323" s="78"/>
      <c r="G1323" s="78"/>
      <c r="H1323" s="79"/>
      <c r="I1323" s="78"/>
      <c r="J1323" s="78"/>
      <c r="K1323" s="78"/>
      <c r="L1323" s="78"/>
      <c r="M1323" s="16"/>
      <c r="N1323" s="78"/>
      <c r="O1323" s="78"/>
      <c r="P1323" s="78"/>
      <c r="Q1323" s="78"/>
      <c r="R1323" s="54"/>
    </row>
    <row r="1324" spans="2:18" x14ac:dyDescent="0.2">
      <c r="B1324" s="53"/>
      <c r="C1324" s="78"/>
      <c r="D1324" s="78"/>
      <c r="E1324" s="78"/>
      <c r="F1324" s="78"/>
      <c r="G1324" s="78"/>
      <c r="H1324" s="79"/>
      <c r="I1324" s="78"/>
      <c r="J1324" s="78"/>
      <c r="K1324" s="78"/>
      <c r="L1324" s="78"/>
      <c r="M1324" s="16"/>
      <c r="N1324" s="78"/>
      <c r="O1324" s="78"/>
      <c r="P1324" s="78"/>
      <c r="Q1324" s="78"/>
      <c r="R1324" s="54"/>
    </row>
    <row r="1325" spans="2:18" x14ac:dyDescent="0.2">
      <c r="B1325" s="53"/>
      <c r="C1325" s="78"/>
      <c r="D1325" s="78"/>
      <c r="E1325" s="78"/>
      <c r="F1325" s="78"/>
      <c r="G1325" s="78"/>
      <c r="H1325" s="79"/>
      <c r="I1325" s="78"/>
      <c r="J1325" s="78"/>
      <c r="K1325" s="78"/>
      <c r="L1325" s="78"/>
      <c r="M1325" s="16"/>
      <c r="N1325" s="78"/>
      <c r="O1325" s="78"/>
      <c r="P1325" s="78"/>
      <c r="Q1325" s="78"/>
      <c r="R1325" s="54"/>
    </row>
    <row r="1326" spans="2:18" x14ac:dyDescent="0.2">
      <c r="B1326" s="53"/>
      <c r="C1326" s="78"/>
      <c r="D1326" s="78"/>
      <c r="E1326" s="78"/>
      <c r="F1326" s="78"/>
      <c r="G1326" s="78"/>
      <c r="H1326" s="79"/>
      <c r="I1326" s="78"/>
      <c r="J1326" s="78"/>
      <c r="K1326" s="78"/>
      <c r="L1326" s="78"/>
      <c r="M1326" s="16"/>
      <c r="N1326" s="78"/>
      <c r="O1326" s="78"/>
      <c r="P1326" s="78"/>
      <c r="Q1326" s="78"/>
      <c r="R1326" s="54"/>
    </row>
    <row r="1327" spans="2:18" x14ac:dyDescent="0.2">
      <c r="B1327" s="53"/>
      <c r="C1327" s="78"/>
      <c r="D1327" s="78"/>
      <c r="E1327" s="78"/>
      <c r="F1327" s="78"/>
      <c r="G1327" s="78"/>
      <c r="H1327" s="79"/>
      <c r="I1327" s="78"/>
      <c r="J1327" s="78"/>
      <c r="K1327" s="78"/>
      <c r="L1327" s="78"/>
      <c r="M1327" s="16"/>
      <c r="N1327" s="78"/>
      <c r="O1327" s="78"/>
      <c r="P1327" s="78"/>
      <c r="Q1327" s="78"/>
      <c r="R1327" s="54"/>
    </row>
    <row r="1328" spans="2:18" x14ac:dyDescent="0.2">
      <c r="B1328" s="53"/>
      <c r="C1328" s="78"/>
      <c r="D1328" s="78"/>
      <c r="E1328" s="78"/>
      <c r="F1328" s="78"/>
      <c r="G1328" s="78"/>
      <c r="H1328" s="79"/>
      <c r="I1328" s="78"/>
      <c r="J1328" s="78"/>
      <c r="K1328" s="78"/>
      <c r="L1328" s="78"/>
      <c r="M1328" s="16"/>
      <c r="N1328" s="78"/>
      <c r="O1328" s="78"/>
      <c r="P1328" s="78"/>
      <c r="Q1328" s="78"/>
      <c r="R1328" s="54"/>
    </row>
    <row r="1329" spans="2:18" x14ac:dyDescent="0.2">
      <c r="B1329" s="53"/>
      <c r="C1329" s="78"/>
      <c r="D1329" s="78"/>
      <c r="E1329" s="78"/>
      <c r="F1329" s="78"/>
      <c r="G1329" s="78"/>
      <c r="H1329" s="79"/>
      <c r="I1329" s="78"/>
      <c r="J1329" s="78"/>
      <c r="K1329" s="78"/>
      <c r="L1329" s="78"/>
      <c r="M1329" s="16"/>
      <c r="N1329" s="78"/>
      <c r="O1329" s="78"/>
      <c r="P1329" s="78"/>
      <c r="Q1329" s="78"/>
      <c r="R1329" s="54"/>
    </row>
    <row r="1330" spans="2:18" x14ac:dyDescent="0.2">
      <c r="B1330" s="53"/>
      <c r="C1330" s="78"/>
      <c r="D1330" s="78"/>
      <c r="E1330" s="78"/>
      <c r="F1330" s="78"/>
      <c r="G1330" s="78"/>
      <c r="H1330" s="79"/>
      <c r="I1330" s="78"/>
      <c r="J1330" s="78"/>
      <c r="K1330" s="78"/>
      <c r="L1330" s="78"/>
      <c r="M1330" s="16"/>
      <c r="N1330" s="78"/>
      <c r="O1330" s="78"/>
      <c r="P1330" s="78"/>
      <c r="Q1330" s="78"/>
      <c r="R1330" s="54"/>
    </row>
    <row r="1331" spans="2:18" x14ac:dyDescent="0.2">
      <c r="B1331" s="53"/>
      <c r="C1331" s="78"/>
      <c r="D1331" s="78"/>
      <c r="E1331" s="78"/>
      <c r="F1331" s="78"/>
      <c r="G1331" s="78"/>
      <c r="H1331" s="79"/>
      <c r="I1331" s="78"/>
      <c r="J1331" s="78"/>
      <c r="K1331" s="78"/>
      <c r="L1331" s="78"/>
      <c r="M1331" s="16"/>
      <c r="N1331" s="78"/>
      <c r="O1331" s="78"/>
      <c r="P1331" s="78"/>
      <c r="Q1331" s="78"/>
      <c r="R1331" s="54"/>
    </row>
    <row r="1332" spans="2:18" x14ac:dyDescent="0.2">
      <c r="B1332" s="53"/>
      <c r="C1332" s="78"/>
      <c r="D1332" s="78"/>
      <c r="E1332" s="78"/>
      <c r="F1332" s="78"/>
      <c r="G1332" s="78"/>
      <c r="H1332" s="79"/>
      <c r="I1332" s="78"/>
      <c r="J1332" s="78"/>
      <c r="K1332" s="78"/>
      <c r="L1332" s="78"/>
      <c r="M1332" s="16"/>
      <c r="N1332" s="78"/>
      <c r="O1332" s="78"/>
      <c r="P1332" s="78"/>
      <c r="Q1332" s="78"/>
      <c r="R1332" s="54"/>
    </row>
    <row r="1333" spans="2:18" x14ac:dyDescent="0.2">
      <c r="B1333" s="53"/>
      <c r="C1333" s="78"/>
      <c r="D1333" s="78"/>
      <c r="E1333" s="78"/>
      <c r="F1333" s="78"/>
      <c r="G1333" s="78"/>
      <c r="H1333" s="79"/>
      <c r="I1333" s="78"/>
      <c r="J1333" s="78"/>
      <c r="K1333" s="78"/>
      <c r="L1333" s="78"/>
      <c r="M1333" s="16"/>
      <c r="N1333" s="78"/>
      <c r="O1333" s="78"/>
      <c r="P1333" s="78"/>
      <c r="Q1333" s="78"/>
      <c r="R1333" s="54"/>
    </row>
    <row r="1334" spans="2:18" x14ac:dyDescent="0.2">
      <c r="B1334" s="53"/>
      <c r="C1334" s="78"/>
      <c r="D1334" s="78"/>
      <c r="E1334" s="78"/>
      <c r="F1334" s="78"/>
      <c r="G1334" s="78"/>
      <c r="H1334" s="79"/>
      <c r="I1334" s="78"/>
      <c r="J1334" s="78"/>
      <c r="K1334" s="78"/>
      <c r="L1334" s="78"/>
      <c r="M1334" s="16"/>
      <c r="N1334" s="78"/>
      <c r="O1334" s="78"/>
      <c r="P1334" s="78"/>
      <c r="Q1334" s="78"/>
      <c r="R1334" s="54"/>
    </row>
    <row r="1335" spans="2:18" x14ac:dyDescent="0.2">
      <c r="B1335" s="53"/>
      <c r="C1335" s="78"/>
      <c r="D1335" s="78"/>
      <c r="E1335" s="78"/>
      <c r="F1335" s="78"/>
      <c r="G1335" s="78"/>
      <c r="H1335" s="79"/>
      <c r="I1335" s="78"/>
      <c r="J1335" s="78"/>
      <c r="K1335" s="78"/>
      <c r="L1335" s="78"/>
      <c r="M1335" s="16"/>
      <c r="N1335" s="78"/>
      <c r="O1335" s="78"/>
      <c r="P1335" s="78"/>
      <c r="Q1335" s="78"/>
      <c r="R1335" s="54"/>
    </row>
    <row r="1336" spans="2:18" x14ac:dyDescent="0.2">
      <c r="B1336" s="53"/>
      <c r="C1336" s="78"/>
      <c r="D1336" s="78"/>
      <c r="E1336" s="78"/>
      <c r="F1336" s="78"/>
      <c r="G1336" s="78"/>
      <c r="H1336" s="79"/>
      <c r="I1336" s="78"/>
      <c r="J1336" s="78"/>
      <c r="K1336" s="78"/>
      <c r="L1336" s="78"/>
      <c r="M1336" s="16"/>
      <c r="N1336" s="78"/>
      <c r="O1336" s="78"/>
      <c r="P1336" s="78"/>
      <c r="Q1336" s="78"/>
      <c r="R1336" s="54"/>
    </row>
    <row r="1337" spans="2:18" x14ac:dyDescent="0.2">
      <c r="B1337" s="53"/>
      <c r="C1337" s="78"/>
      <c r="D1337" s="78"/>
      <c r="E1337" s="78"/>
      <c r="F1337" s="78"/>
      <c r="G1337" s="78"/>
      <c r="H1337" s="79"/>
      <c r="I1337" s="78"/>
      <c r="J1337" s="78"/>
      <c r="K1337" s="78"/>
      <c r="L1337" s="78"/>
      <c r="M1337" s="16"/>
      <c r="N1337" s="78"/>
      <c r="O1337" s="78"/>
      <c r="P1337" s="78"/>
      <c r="Q1337" s="78"/>
      <c r="R1337" s="54"/>
    </row>
    <row r="1338" spans="2:18" x14ac:dyDescent="0.2">
      <c r="B1338" s="53"/>
      <c r="C1338" s="78"/>
      <c r="D1338" s="78"/>
      <c r="E1338" s="78"/>
      <c r="F1338" s="78"/>
      <c r="G1338" s="78"/>
      <c r="H1338" s="79"/>
      <c r="I1338" s="78"/>
      <c r="J1338" s="78"/>
      <c r="K1338" s="78"/>
      <c r="L1338" s="78"/>
      <c r="M1338" s="16"/>
      <c r="N1338" s="78"/>
      <c r="O1338" s="78"/>
      <c r="P1338" s="78"/>
      <c r="Q1338" s="78"/>
      <c r="R1338" s="54"/>
    </row>
    <row r="1339" spans="2:18" x14ac:dyDescent="0.2">
      <c r="B1339" s="53"/>
      <c r="C1339" s="78"/>
      <c r="D1339" s="78"/>
      <c r="E1339" s="78"/>
      <c r="F1339" s="78"/>
      <c r="G1339" s="78"/>
      <c r="H1339" s="79"/>
      <c r="I1339" s="78"/>
      <c r="J1339" s="78"/>
      <c r="K1339" s="78"/>
      <c r="L1339" s="78"/>
      <c r="M1339" s="16"/>
      <c r="N1339" s="78"/>
      <c r="O1339" s="78"/>
      <c r="P1339" s="78"/>
      <c r="Q1339" s="78"/>
      <c r="R1339" s="54"/>
    </row>
    <row r="1340" spans="2:18" x14ac:dyDescent="0.2">
      <c r="B1340" s="53"/>
      <c r="C1340" s="78"/>
      <c r="D1340" s="78"/>
      <c r="E1340" s="78"/>
      <c r="F1340" s="78"/>
      <c r="G1340" s="78"/>
      <c r="H1340" s="79"/>
      <c r="I1340" s="78"/>
      <c r="J1340" s="78"/>
      <c r="K1340" s="78"/>
      <c r="L1340" s="78"/>
      <c r="M1340" s="16"/>
      <c r="N1340" s="78"/>
      <c r="O1340" s="78"/>
      <c r="P1340" s="78"/>
      <c r="Q1340" s="78"/>
      <c r="R1340" s="54"/>
    </row>
    <row r="1341" spans="2:18" x14ac:dyDescent="0.2">
      <c r="B1341" s="53"/>
      <c r="C1341" s="78"/>
      <c r="D1341" s="78"/>
      <c r="E1341" s="78"/>
      <c r="F1341" s="78"/>
      <c r="G1341" s="78"/>
      <c r="H1341" s="79"/>
      <c r="I1341" s="78"/>
      <c r="J1341" s="78"/>
      <c r="K1341" s="78"/>
      <c r="L1341" s="78"/>
      <c r="M1341" s="16"/>
      <c r="N1341" s="78"/>
      <c r="O1341" s="78"/>
      <c r="P1341" s="78"/>
      <c r="Q1341" s="78"/>
      <c r="R1341" s="54"/>
    </row>
    <row r="1342" spans="2:18" x14ac:dyDescent="0.2">
      <c r="B1342" s="53"/>
      <c r="C1342" s="78"/>
      <c r="D1342" s="78"/>
      <c r="E1342" s="78"/>
      <c r="F1342" s="78"/>
      <c r="G1342" s="78"/>
      <c r="H1342" s="79"/>
      <c r="I1342" s="78"/>
      <c r="J1342" s="78"/>
      <c r="K1342" s="78"/>
      <c r="L1342" s="78"/>
      <c r="M1342" s="16"/>
      <c r="N1342" s="78"/>
      <c r="O1342" s="78"/>
      <c r="P1342" s="78"/>
      <c r="Q1342" s="78"/>
      <c r="R1342" s="54"/>
    </row>
    <row r="1343" spans="2:18" x14ac:dyDescent="0.2">
      <c r="B1343" s="53"/>
      <c r="C1343" s="78"/>
      <c r="D1343" s="78"/>
      <c r="E1343" s="78"/>
      <c r="F1343" s="78"/>
      <c r="G1343" s="78"/>
      <c r="H1343" s="79"/>
      <c r="I1343" s="78"/>
      <c r="J1343" s="78"/>
      <c r="K1343" s="78"/>
      <c r="L1343" s="78"/>
      <c r="M1343" s="16"/>
      <c r="N1343" s="78"/>
      <c r="O1343" s="78"/>
      <c r="P1343" s="78"/>
      <c r="Q1343" s="78"/>
      <c r="R1343" s="54"/>
    </row>
    <row r="1344" spans="2:18" x14ac:dyDescent="0.2">
      <c r="B1344" s="53"/>
      <c r="C1344" s="78"/>
      <c r="D1344" s="78"/>
      <c r="E1344" s="78"/>
      <c r="F1344" s="78"/>
      <c r="G1344" s="78"/>
      <c r="H1344" s="79"/>
      <c r="I1344" s="78"/>
      <c r="J1344" s="78"/>
      <c r="K1344" s="78"/>
      <c r="L1344" s="78"/>
      <c r="M1344" s="16"/>
      <c r="N1344" s="78"/>
      <c r="O1344" s="78"/>
      <c r="P1344" s="78"/>
      <c r="Q1344" s="78"/>
      <c r="R1344" s="54"/>
    </row>
    <row r="1345" spans="2:18" x14ac:dyDescent="0.2">
      <c r="B1345" s="53"/>
      <c r="C1345" s="78"/>
      <c r="D1345" s="78"/>
      <c r="E1345" s="78"/>
      <c r="F1345" s="78"/>
      <c r="G1345" s="78"/>
      <c r="H1345" s="79"/>
      <c r="I1345" s="78"/>
      <c r="J1345" s="78"/>
      <c r="K1345" s="78"/>
      <c r="L1345" s="78"/>
      <c r="M1345" s="16"/>
      <c r="N1345" s="78"/>
      <c r="O1345" s="78"/>
      <c r="P1345" s="78"/>
      <c r="Q1345" s="78"/>
      <c r="R1345" s="54"/>
    </row>
    <row r="1346" spans="2:18" x14ac:dyDescent="0.2">
      <c r="B1346" s="53"/>
      <c r="C1346" s="78"/>
      <c r="D1346" s="78"/>
      <c r="E1346" s="78"/>
      <c r="F1346" s="78"/>
      <c r="G1346" s="78"/>
      <c r="H1346" s="79"/>
      <c r="I1346" s="78"/>
      <c r="J1346" s="78"/>
      <c r="K1346" s="78"/>
      <c r="L1346" s="78"/>
      <c r="M1346" s="16"/>
      <c r="N1346" s="78"/>
      <c r="O1346" s="78"/>
      <c r="P1346" s="78"/>
      <c r="Q1346" s="78"/>
      <c r="R1346" s="54"/>
    </row>
    <row r="1347" spans="2:18" x14ac:dyDescent="0.2">
      <c r="B1347" s="53"/>
      <c r="C1347" s="78"/>
      <c r="D1347" s="78"/>
      <c r="E1347" s="78"/>
      <c r="F1347" s="78"/>
      <c r="G1347" s="78"/>
      <c r="H1347" s="79"/>
      <c r="I1347" s="78"/>
      <c r="J1347" s="78"/>
      <c r="K1347" s="78"/>
      <c r="L1347" s="78"/>
      <c r="M1347" s="16"/>
      <c r="N1347" s="78"/>
      <c r="O1347" s="78"/>
      <c r="P1347" s="78"/>
      <c r="Q1347" s="78"/>
      <c r="R1347" s="54"/>
    </row>
    <row r="1348" spans="2:18" x14ac:dyDescent="0.2">
      <c r="B1348" s="53"/>
      <c r="C1348" s="78"/>
      <c r="D1348" s="78"/>
      <c r="E1348" s="78"/>
      <c r="F1348" s="78"/>
      <c r="G1348" s="78"/>
      <c r="H1348" s="79"/>
      <c r="I1348" s="78"/>
      <c r="J1348" s="78"/>
      <c r="K1348" s="78"/>
      <c r="L1348" s="78"/>
      <c r="M1348" s="16"/>
      <c r="N1348" s="78"/>
      <c r="O1348" s="78"/>
      <c r="P1348" s="78"/>
      <c r="Q1348" s="78"/>
      <c r="R1348" s="54"/>
    </row>
    <row r="1349" spans="2:18" x14ac:dyDescent="0.2">
      <c r="B1349" s="53"/>
      <c r="C1349" s="78"/>
      <c r="D1349" s="78"/>
      <c r="E1349" s="78"/>
      <c r="F1349" s="78"/>
      <c r="G1349" s="78"/>
      <c r="H1349" s="79"/>
      <c r="I1349" s="78"/>
      <c r="J1349" s="78"/>
      <c r="K1349" s="78"/>
      <c r="L1349" s="78"/>
      <c r="M1349" s="16"/>
      <c r="N1349" s="78"/>
      <c r="O1349" s="78"/>
      <c r="P1349" s="78"/>
      <c r="Q1349" s="78"/>
      <c r="R1349" s="54"/>
    </row>
    <row r="1350" spans="2:18" x14ac:dyDescent="0.2">
      <c r="B1350" s="53"/>
      <c r="C1350" s="78"/>
      <c r="D1350" s="78"/>
      <c r="E1350" s="78"/>
      <c r="F1350" s="78"/>
      <c r="G1350" s="78"/>
      <c r="H1350" s="79"/>
      <c r="I1350" s="78"/>
      <c r="J1350" s="78"/>
      <c r="K1350" s="78"/>
      <c r="L1350" s="78"/>
      <c r="M1350" s="16"/>
      <c r="N1350" s="78"/>
      <c r="O1350" s="78"/>
      <c r="P1350" s="78"/>
      <c r="Q1350" s="78"/>
      <c r="R1350" s="54"/>
    </row>
    <row r="1351" spans="2:18" x14ac:dyDescent="0.2">
      <c r="B1351" s="53"/>
      <c r="C1351" s="78"/>
      <c r="D1351" s="78"/>
      <c r="E1351" s="78"/>
      <c r="F1351" s="78"/>
      <c r="G1351" s="78"/>
      <c r="H1351" s="79"/>
      <c r="I1351" s="78"/>
      <c r="J1351" s="78"/>
      <c r="K1351" s="78"/>
      <c r="L1351" s="78"/>
      <c r="M1351" s="16"/>
      <c r="N1351" s="78"/>
      <c r="O1351" s="78"/>
      <c r="P1351" s="78"/>
      <c r="Q1351" s="78"/>
      <c r="R1351" s="54"/>
    </row>
    <row r="1352" spans="2:18" x14ac:dyDescent="0.2">
      <c r="B1352" s="53"/>
      <c r="C1352" s="78"/>
      <c r="D1352" s="78"/>
      <c r="E1352" s="78"/>
      <c r="F1352" s="78"/>
      <c r="G1352" s="78"/>
      <c r="H1352" s="79"/>
      <c r="I1352" s="78"/>
      <c r="J1352" s="78"/>
      <c r="K1352" s="78"/>
      <c r="L1352" s="78"/>
      <c r="M1352" s="16"/>
      <c r="N1352" s="78"/>
      <c r="O1352" s="78"/>
      <c r="P1352" s="78"/>
      <c r="Q1352" s="78"/>
      <c r="R1352" s="54"/>
    </row>
    <row r="1353" spans="2:18" x14ac:dyDescent="0.2">
      <c r="B1353" s="53"/>
      <c r="C1353" s="78"/>
      <c r="D1353" s="78"/>
      <c r="E1353" s="78"/>
      <c r="F1353" s="78"/>
      <c r="G1353" s="78"/>
      <c r="H1353" s="79"/>
      <c r="I1353" s="78"/>
      <c r="J1353" s="78"/>
      <c r="K1353" s="78"/>
      <c r="L1353" s="78"/>
      <c r="M1353" s="16"/>
      <c r="N1353" s="78"/>
      <c r="O1353" s="78"/>
      <c r="P1353" s="78"/>
      <c r="Q1353" s="78"/>
      <c r="R1353" s="54"/>
    </row>
    <row r="1354" spans="2:18" x14ac:dyDescent="0.2">
      <c r="B1354" s="53"/>
      <c r="C1354" s="78"/>
      <c r="D1354" s="78"/>
      <c r="E1354" s="78"/>
      <c r="F1354" s="78"/>
      <c r="G1354" s="78"/>
      <c r="H1354" s="79"/>
      <c r="I1354" s="78"/>
      <c r="J1354" s="78"/>
      <c r="K1354" s="78"/>
      <c r="L1354" s="78"/>
      <c r="M1354" s="16"/>
      <c r="N1354" s="78"/>
      <c r="O1354" s="78"/>
      <c r="P1354" s="78"/>
      <c r="Q1354" s="78"/>
      <c r="R1354" s="54"/>
    </row>
    <row r="1355" spans="2:18" x14ac:dyDescent="0.2">
      <c r="B1355" s="53"/>
      <c r="C1355" s="78"/>
      <c r="D1355" s="78"/>
      <c r="E1355" s="78"/>
      <c r="F1355" s="78"/>
      <c r="G1355" s="78"/>
      <c r="H1355" s="79"/>
      <c r="I1355" s="78"/>
      <c r="J1355" s="78"/>
      <c r="K1355" s="78"/>
      <c r="L1355" s="78"/>
      <c r="M1355" s="16"/>
      <c r="N1355" s="78"/>
      <c r="O1355" s="78"/>
      <c r="P1355" s="78"/>
      <c r="Q1355" s="78"/>
      <c r="R1355" s="54"/>
    </row>
    <row r="1356" spans="2:18" x14ac:dyDescent="0.2">
      <c r="B1356" s="53"/>
      <c r="C1356" s="78"/>
      <c r="D1356" s="78"/>
      <c r="E1356" s="78"/>
      <c r="F1356" s="78"/>
      <c r="G1356" s="78"/>
      <c r="H1356" s="79"/>
      <c r="I1356" s="78"/>
      <c r="J1356" s="78"/>
      <c r="K1356" s="78"/>
      <c r="L1356" s="78"/>
      <c r="M1356" s="16"/>
      <c r="N1356" s="78"/>
      <c r="O1356" s="78"/>
      <c r="P1356" s="78"/>
      <c r="Q1356" s="78"/>
      <c r="R1356" s="54"/>
    </row>
    <row r="1357" spans="2:18" x14ac:dyDescent="0.2">
      <c r="B1357" s="53"/>
      <c r="C1357" s="78"/>
      <c r="D1357" s="78"/>
      <c r="E1357" s="78"/>
      <c r="F1357" s="78"/>
      <c r="G1357" s="78"/>
      <c r="H1357" s="79"/>
      <c r="I1357" s="78"/>
      <c r="J1357" s="78"/>
      <c r="K1357" s="78"/>
      <c r="L1357" s="78"/>
      <c r="M1357" s="16"/>
      <c r="N1357" s="78"/>
      <c r="O1357" s="78"/>
      <c r="P1357" s="78"/>
      <c r="Q1357" s="78"/>
      <c r="R1357" s="54"/>
    </row>
    <row r="1358" spans="2:18" x14ac:dyDescent="0.2">
      <c r="B1358" s="53"/>
      <c r="C1358" s="78"/>
      <c r="D1358" s="78"/>
      <c r="E1358" s="78"/>
      <c r="F1358" s="78"/>
      <c r="G1358" s="78"/>
      <c r="H1358" s="79"/>
      <c r="I1358" s="78"/>
      <c r="J1358" s="78"/>
      <c r="K1358" s="78"/>
      <c r="L1358" s="78"/>
      <c r="M1358" s="16"/>
      <c r="N1358" s="78"/>
      <c r="O1358" s="78"/>
      <c r="P1358" s="78"/>
      <c r="Q1358" s="78"/>
      <c r="R1358" s="54"/>
    </row>
    <row r="1359" spans="2:18" x14ac:dyDescent="0.2">
      <c r="B1359" s="53"/>
      <c r="C1359" s="78"/>
      <c r="D1359" s="78"/>
      <c r="E1359" s="78"/>
      <c r="F1359" s="78"/>
      <c r="G1359" s="78"/>
      <c r="H1359" s="79"/>
      <c r="I1359" s="78"/>
      <c r="J1359" s="78"/>
      <c r="K1359" s="78"/>
      <c r="L1359" s="78"/>
      <c r="M1359" s="16"/>
      <c r="N1359" s="78"/>
      <c r="O1359" s="78"/>
      <c r="P1359" s="78"/>
      <c r="Q1359" s="78"/>
      <c r="R1359" s="54"/>
    </row>
    <row r="1360" spans="2:18" x14ac:dyDescent="0.2">
      <c r="B1360" s="53"/>
      <c r="C1360" s="78"/>
      <c r="D1360" s="78"/>
      <c r="E1360" s="78"/>
      <c r="F1360" s="78"/>
      <c r="G1360" s="78"/>
      <c r="H1360" s="79"/>
      <c r="I1360" s="78"/>
      <c r="J1360" s="78"/>
      <c r="K1360" s="78"/>
      <c r="L1360" s="78"/>
      <c r="M1360" s="16"/>
      <c r="N1360" s="78"/>
      <c r="O1360" s="78"/>
      <c r="P1360" s="78"/>
      <c r="Q1360" s="78"/>
      <c r="R1360" s="54"/>
    </row>
    <row r="1361" spans="2:18" x14ac:dyDescent="0.2">
      <c r="B1361" s="53"/>
      <c r="C1361" s="78"/>
      <c r="D1361" s="78"/>
      <c r="E1361" s="78"/>
      <c r="F1361" s="78"/>
      <c r="G1361" s="78"/>
      <c r="H1361" s="79"/>
      <c r="I1361" s="78"/>
      <c r="J1361" s="78"/>
      <c r="K1361" s="78"/>
      <c r="L1361" s="78"/>
      <c r="M1361" s="16"/>
      <c r="N1361" s="78"/>
      <c r="O1361" s="78"/>
      <c r="P1361" s="78"/>
      <c r="Q1361" s="78"/>
      <c r="R1361" s="54"/>
    </row>
    <row r="1362" spans="2:18" x14ac:dyDescent="0.2">
      <c r="B1362" s="53"/>
      <c r="C1362" s="78"/>
      <c r="D1362" s="78"/>
      <c r="E1362" s="78"/>
      <c r="F1362" s="78"/>
      <c r="G1362" s="78"/>
      <c r="H1362" s="79"/>
      <c r="I1362" s="78"/>
      <c r="J1362" s="78"/>
      <c r="K1362" s="78"/>
      <c r="L1362" s="78"/>
      <c r="M1362" s="16"/>
      <c r="N1362" s="78"/>
      <c r="O1362" s="78"/>
      <c r="P1362" s="78"/>
      <c r="Q1362" s="78"/>
      <c r="R1362" s="54"/>
    </row>
    <row r="1363" spans="2:18" x14ac:dyDescent="0.2">
      <c r="B1363" s="53"/>
      <c r="C1363" s="78"/>
      <c r="D1363" s="78"/>
      <c r="E1363" s="78"/>
      <c r="F1363" s="78"/>
      <c r="G1363" s="78"/>
      <c r="H1363" s="79"/>
      <c r="I1363" s="78"/>
      <c r="J1363" s="78"/>
      <c r="K1363" s="78"/>
      <c r="L1363" s="78"/>
      <c r="M1363" s="16"/>
      <c r="N1363" s="78"/>
      <c r="O1363" s="78"/>
      <c r="P1363" s="78"/>
      <c r="Q1363" s="78"/>
      <c r="R1363" s="54"/>
    </row>
    <row r="1364" spans="2:18" x14ac:dyDescent="0.2">
      <c r="B1364" s="53"/>
      <c r="C1364" s="78"/>
      <c r="D1364" s="78"/>
      <c r="E1364" s="78"/>
      <c r="F1364" s="78"/>
      <c r="G1364" s="78"/>
      <c r="H1364" s="79"/>
      <c r="I1364" s="78"/>
      <c r="J1364" s="78"/>
      <c r="K1364" s="78"/>
      <c r="L1364" s="78"/>
      <c r="M1364" s="16"/>
      <c r="N1364" s="78"/>
      <c r="O1364" s="78"/>
      <c r="P1364" s="78"/>
      <c r="Q1364" s="78"/>
      <c r="R1364" s="54"/>
    </row>
    <row r="1365" spans="2:18" x14ac:dyDescent="0.2">
      <c r="B1365" s="53"/>
      <c r="C1365" s="78"/>
      <c r="D1365" s="78"/>
      <c r="E1365" s="78"/>
      <c r="F1365" s="78"/>
      <c r="G1365" s="78"/>
      <c r="H1365" s="79"/>
      <c r="I1365" s="78"/>
      <c r="J1365" s="78"/>
      <c r="K1365" s="78"/>
      <c r="L1365" s="78"/>
      <c r="M1365" s="16"/>
      <c r="N1365" s="78"/>
      <c r="O1365" s="78"/>
      <c r="P1365" s="78"/>
      <c r="Q1365" s="78"/>
      <c r="R1365" s="54"/>
    </row>
    <row r="1366" spans="2:18" x14ac:dyDescent="0.2">
      <c r="B1366" s="53"/>
      <c r="C1366" s="78"/>
      <c r="D1366" s="78"/>
      <c r="E1366" s="78"/>
      <c r="F1366" s="78"/>
      <c r="G1366" s="78"/>
      <c r="H1366" s="79"/>
      <c r="I1366" s="78"/>
      <c r="J1366" s="78"/>
      <c r="K1366" s="78"/>
      <c r="L1366" s="78"/>
      <c r="M1366" s="16"/>
      <c r="N1366" s="78"/>
      <c r="O1366" s="78"/>
      <c r="P1366" s="78"/>
      <c r="Q1366" s="78"/>
      <c r="R1366" s="54"/>
    </row>
    <row r="1367" spans="2:18" x14ac:dyDescent="0.2">
      <c r="B1367" s="53"/>
      <c r="C1367" s="78"/>
      <c r="D1367" s="78"/>
      <c r="E1367" s="78"/>
      <c r="F1367" s="78"/>
      <c r="G1367" s="78"/>
      <c r="H1367" s="79"/>
      <c r="I1367" s="78"/>
      <c r="J1367" s="78"/>
      <c r="K1367" s="78"/>
      <c r="L1367" s="78"/>
      <c r="M1367" s="16"/>
      <c r="N1367" s="78"/>
      <c r="O1367" s="78"/>
      <c r="P1367" s="78"/>
      <c r="Q1367" s="78"/>
      <c r="R1367" s="54"/>
    </row>
    <row r="1368" spans="2:18" x14ac:dyDescent="0.2">
      <c r="B1368" s="53"/>
      <c r="C1368" s="78"/>
      <c r="D1368" s="78"/>
      <c r="E1368" s="78"/>
      <c r="F1368" s="78"/>
      <c r="G1368" s="78"/>
      <c r="H1368" s="79"/>
      <c r="I1368" s="78"/>
      <c r="J1368" s="78"/>
      <c r="K1368" s="78"/>
      <c r="L1368" s="78"/>
      <c r="M1368" s="16"/>
      <c r="N1368" s="78"/>
      <c r="O1368" s="78"/>
      <c r="P1368" s="78"/>
      <c r="Q1368" s="78"/>
      <c r="R1368" s="54"/>
    </row>
    <row r="1369" spans="2:18" x14ac:dyDescent="0.2">
      <c r="B1369" s="53"/>
      <c r="C1369" s="78"/>
      <c r="D1369" s="78"/>
      <c r="E1369" s="78"/>
      <c r="F1369" s="78"/>
      <c r="G1369" s="78"/>
      <c r="H1369" s="79"/>
      <c r="I1369" s="78"/>
      <c r="J1369" s="78"/>
      <c r="K1369" s="78"/>
      <c r="L1369" s="78"/>
      <c r="M1369" s="16"/>
      <c r="N1369" s="78"/>
      <c r="O1369" s="78"/>
      <c r="P1369" s="78"/>
      <c r="Q1369" s="78"/>
      <c r="R1369" s="54"/>
    </row>
    <row r="1370" spans="2:18" x14ac:dyDescent="0.2">
      <c r="B1370" s="53"/>
      <c r="C1370" s="78"/>
      <c r="D1370" s="78"/>
      <c r="E1370" s="78"/>
      <c r="F1370" s="78"/>
      <c r="G1370" s="78"/>
      <c r="H1370" s="79"/>
      <c r="I1370" s="78"/>
      <c r="J1370" s="78"/>
      <c r="K1370" s="78"/>
      <c r="L1370" s="78"/>
      <c r="M1370" s="16"/>
      <c r="N1370" s="78"/>
      <c r="O1370" s="78"/>
      <c r="P1370" s="78"/>
      <c r="Q1370" s="78"/>
      <c r="R1370" s="54"/>
    </row>
    <row r="1371" spans="2:18" x14ac:dyDescent="0.2">
      <c r="B1371" s="53"/>
      <c r="C1371" s="78"/>
      <c r="D1371" s="78"/>
      <c r="E1371" s="78"/>
      <c r="F1371" s="78"/>
      <c r="G1371" s="78"/>
      <c r="H1371" s="79"/>
      <c r="I1371" s="78"/>
      <c r="J1371" s="78"/>
      <c r="K1371" s="78"/>
      <c r="L1371" s="78"/>
      <c r="M1371" s="16"/>
      <c r="N1371" s="78"/>
      <c r="O1371" s="78"/>
      <c r="P1371" s="78"/>
      <c r="Q1371" s="78"/>
      <c r="R1371" s="54"/>
    </row>
    <row r="1372" spans="2:18" x14ac:dyDescent="0.2">
      <c r="B1372" s="53"/>
      <c r="C1372" s="78"/>
      <c r="D1372" s="78"/>
      <c r="E1372" s="78"/>
      <c r="F1372" s="78"/>
      <c r="G1372" s="78"/>
      <c r="H1372" s="79"/>
      <c r="I1372" s="78"/>
      <c r="J1372" s="78"/>
      <c r="K1372" s="78"/>
      <c r="L1372" s="78"/>
      <c r="M1372" s="16"/>
      <c r="N1372" s="78"/>
      <c r="O1372" s="78"/>
      <c r="P1372" s="78"/>
      <c r="Q1372" s="78"/>
      <c r="R1372" s="54"/>
    </row>
    <row r="1373" spans="2:18" x14ac:dyDescent="0.2">
      <c r="B1373" s="53"/>
      <c r="C1373" s="78"/>
      <c r="D1373" s="78"/>
      <c r="E1373" s="78"/>
      <c r="F1373" s="78"/>
      <c r="G1373" s="78"/>
      <c r="H1373" s="79"/>
      <c r="I1373" s="78"/>
      <c r="J1373" s="78"/>
      <c r="K1373" s="78"/>
      <c r="L1373" s="78"/>
      <c r="M1373" s="16"/>
      <c r="N1373" s="78"/>
      <c r="O1373" s="78"/>
      <c r="P1373" s="78"/>
      <c r="Q1373" s="78"/>
      <c r="R1373" s="54"/>
    </row>
    <row r="1374" spans="2:18" x14ac:dyDescent="0.2">
      <c r="B1374" s="53"/>
      <c r="C1374" s="78"/>
      <c r="D1374" s="78"/>
      <c r="E1374" s="78"/>
      <c r="F1374" s="78"/>
      <c r="G1374" s="78"/>
      <c r="H1374" s="79"/>
      <c r="I1374" s="78"/>
      <c r="J1374" s="78"/>
      <c r="K1374" s="78"/>
      <c r="L1374" s="78"/>
      <c r="M1374" s="16"/>
      <c r="N1374" s="78"/>
      <c r="O1374" s="78"/>
      <c r="P1374" s="78"/>
      <c r="Q1374" s="78"/>
      <c r="R1374" s="54"/>
    </row>
    <row r="1375" spans="2:18" x14ac:dyDescent="0.2">
      <c r="B1375" s="53"/>
      <c r="C1375" s="78"/>
      <c r="D1375" s="78"/>
      <c r="E1375" s="78"/>
      <c r="F1375" s="78"/>
      <c r="G1375" s="78"/>
      <c r="H1375" s="79"/>
      <c r="I1375" s="78"/>
      <c r="J1375" s="78"/>
      <c r="K1375" s="78"/>
      <c r="L1375" s="78"/>
      <c r="M1375" s="16"/>
      <c r="N1375" s="78"/>
      <c r="O1375" s="78"/>
      <c r="P1375" s="78"/>
      <c r="Q1375" s="78"/>
      <c r="R1375" s="54"/>
    </row>
    <row r="1376" spans="2:18" x14ac:dyDescent="0.2">
      <c r="B1376" s="53"/>
      <c r="C1376" s="78"/>
      <c r="D1376" s="78"/>
      <c r="E1376" s="78"/>
      <c r="F1376" s="78"/>
      <c r="G1376" s="78"/>
      <c r="H1376" s="79"/>
      <c r="I1376" s="78"/>
      <c r="J1376" s="78"/>
      <c r="K1376" s="78"/>
      <c r="L1376" s="78"/>
      <c r="M1376" s="16"/>
      <c r="N1376" s="78"/>
      <c r="O1376" s="78"/>
      <c r="P1376" s="78"/>
      <c r="Q1376" s="78"/>
      <c r="R1376" s="54"/>
    </row>
    <row r="1377" spans="2:18" x14ac:dyDescent="0.2">
      <c r="B1377" s="53"/>
      <c r="C1377" s="78"/>
      <c r="D1377" s="78"/>
      <c r="E1377" s="78"/>
      <c r="F1377" s="78"/>
      <c r="G1377" s="78"/>
      <c r="H1377" s="79"/>
      <c r="I1377" s="78"/>
      <c r="J1377" s="78"/>
      <c r="K1377" s="78"/>
      <c r="L1377" s="78"/>
      <c r="M1377" s="16"/>
      <c r="N1377" s="78"/>
      <c r="O1377" s="78"/>
      <c r="P1377" s="78"/>
      <c r="Q1377" s="78"/>
      <c r="R1377" s="54"/>
    </row>
    <row r="1378" spans="2:18" x14ac:dyDescent="0.2">
      <c r="B1378" s="53"/>
      <c r="C1378" s="78"/>
      <c r="D1378" s="78"/>
      <c r="E1378" s="78"/>
      <c r="F1378" s="78"/>
      <c r="G1378" s="78"/>
      <c r="H1378" s="79"/>
      <c r="I1378" s="78"/>
      <c r="J1378" s="78"/>
      <c r="K1378" s="78"/>
      <c r="L1378" s="78"/>
      <c r="M1378" s="16"/>
      <c r="N1378" s="78"/>
      <c r="O1378" s="78"/>
      <c r="P1378" s="78"/>
      <c r="Q1378" s="78"/>
      <c r="R1378" s="54"/>
    </row>
    <row r="1379" spans="2:18" x14ac:dyDescent="0.2">
      <c r="B1379" s="53"/>
      <c r="C1379" s="78"/>
      <c r="D1379" s="78"/>
      <c r="E1379" s="78"/>
      <c r="F1379" s="78"/>
      <c r="G1379" s="78"/>
      <c r="H1379" s="79"/>
      <c r="I1379" s="78"/>
      <c r="J1379" s="78"/>
      <c r="K1379" s="78"/>
      <c r="L1379" s="78"/>
      <c r="M1379" s="16"/>
      <c r="N1379" s="78"/>
      <c r="O1379" s="78"/>
      <c r="P1379" s="78"/>
      <c r="Q1379" s="78"/>
      <c r="R1379" s="54"/>
    </row>
    <row r="1380" spans="2:18" x14ac:dyDescent="0.2">
      <c r="B1380" s="53"/>
      <c r="C1380" s="78"/>
      <c r="D1380" s="78"/>
      <c r="E1380" s="78"/>
      <c r="F1380" s="78"/>
      <c r="G1380" s="78"/>
      <c r="H1380" s="79"/>
      <c r="I1380" s="78"/>
      <c r="J1380" s="78"/>
      <c r="K1380" s="78"/>
      <c r="L1380" s="78"/>
      <c r="M1380" s="16"/>
      <c r="N1380" s="78"/>
      <c r="O1380" s="78"/>
      <c r="P1380" s="78"/>
      <c r="Q1380" s="78"/>
      <c r="R1380" s="54"/>
    </row>
    <row r="1381" spans="2:18" x14ac:dyDescent="0.2">
      <c r="B1381" s="53"/>
      <c r="C1381" s="78"/>
      <c r="D1381" s="78"/>
      <c r="E1381" s="78"/>
      <c r="F1381" s="78"/>
      <c r="G1381" s="78"/>
      <c r="H1381" s="79"/>
      <c r="I1381" s="78"/>
      <c r="J1381" s="78"/>
      <c r="K1381" s="78"/>
      <c r="L1381" s="78"/>
      <c r="M1381" s="16"/>
      <c r="N1381" s="78"/>
      <c r="O1381" s="78"/>
      <c r="P1381" s="78"/>
      <c r="Q1381" s="78"/>
      <c r="R1381" s="54"/>
    </row>
    <row r="1382" spans="2:18" x14ac:dyDescent="0.2">
      <c r="B1382" s="53"/>
      <c r="C1382" s="78"/>
      <c r="D1382" s="78"/>
      <c r="E1382" s="78"/>
      <c r="F1382" s="78"/>
      <c r="G1382" s="78"/>
      <c r="H1382" s="79"/>
      <c r="I1382" s="78"/>
      <c r="J1382" s="78"/>
      <c r="K1382" s="78"/>
      <c r="L1382" s="78"/>
      <c r="M1382" s="16"/>
      <c r="N1382" s="78"/>
      <c r="O1382" s="78"/>
      <c r="P1382" s="78"/>
      <c r="Q1382" s="78"/>
      <c r="R1382" s="54"/>
    </row>
    <row r="1383" spans="2:18" x14ac:dyDescent="0.2">
      <c r="B1383" s="53"/>
      <c r="C1383" s="78"/>
      <c r="D1383" s="78"/>
      <c r="E1383" s="78"/>
      <c r="F1383" s="78"/>
      <c r="G1383" s="78"/>
      <c r="H1383" s="79"/>
      <c r="I1383" s="78"/>
      <c r="J1383" s="78"/>
      <c r="K1383" s="78"/>
      <c r="L1383" s="78"/>
      <c r="M1383" s="16"/>
      <c r="N1383" s="78"/>
      <c r="O1383" s="78"/>
      <c r="P1383" s="78"/>
      <c r="Q1383" s="78"/>
      <c r="R1383" s="54"/>
    </row>
    <row r="1384" spans="2:18" x14ac:dyDescent="0.2">
      <c r="B1384" s="53"/>
      <c r="C1384" s="78"/>
      <c r="D1384" s="78"/>
      <c r="E1384" s="78"/>
      <c r="F1384" s="78"/>
      <c r="G1384" s="78"/>
      <c r="H1384" s="79"/>
      <c r="I1384" s="78"/>
      <c r="J1384" s="78"/>
      <c r="K1384" s="78"/>
      <c r="L1384" s="78"/>
      <c r="M1384" s="16"/>
      <c r="N1384" s="78"/>
      <c r="O1384" s="78"/>
      <c r="P1384" s="78"/>
      <c r="Q1384" s="78"/>
      <c r="R1384" s="54"/>
    </row>
    <row r="1385" spans="2:18" x14ac:dyDescent="0.2">
      <c r="B1385" s="53"/>
      <c r="C1385" s="78"/>
      <c r="D1385" s="78"/>
      <c r="E1385" s="78"/>
      <c r="F1385" s="78"/>
      <c r="G1385" s="78"/>
      <c r="H1385" s="79"/>
      <c r="I1385" s="78"/>
      <c r="J1385" s="78"/>
      <c r="K1385" s="78"/>
      <c r="L1385" s="78"/>
      <c r="M1385" s="16"/>
      <c r="N1385" s="78"/>
      <c r="O1385" s="78"/>
      <c r="P1385" s="78"/>
      <c r="Q1385" s="78"/>
      <c r="R1385" s="54"/>
    </row>
    <row r="1386" spans="2:18" x14ac:dyDescent="0.2">
      <c r="B1386" s="53"/>
      <c r="C1386" s="78"/>
      <c r="D1386" s="78"/>
      <c r="E1386" s="78"/>
      <c r="F1386" s="78"/>
      <c r="G1386" s="78"/>
      <c r="H1386" s="79"/>
      <c r="I1386" s="78"/>
      <c r="J1386" s="78"/>
      <c r="K1386" s="78"/>
      <c r="L1386" s="78"/>
      <c r="M1386" s="16"/>
      <c r="N1386" s="78"/>
      <c r="O1386" s="78"/>
      <c r="P1386" s="78"/>
      <c r="Q1386" s="78"/>
      <c r="R1386" s="54"/>
    </row>
    <row r="1387" spans="2:18" x14ac:dyDescent="0.2">
      <c r="B1387" s="53"/>
      <c r="C1387" s="78"/>
      <c r="D1387" s="78"/>
      <c r="E1387" s="78"/>
      <c r="F1387" s="78"/>
      <c r="G1387" s="78"/>
      <c r="H1387" s="79"/>
      <c r="I1387" s="78"/>
      <c r="J1387" s="78"/>
      <c r="K1387" s="78"/>
      <c r="L1387" s="78"/>
      <c r="M1387" s="16"/>
      <c r="N1387" s="78"/>
      <c r="O1387" s="78"/>
      <c r="P1387" s="78"/>
      <c r="Q1387" s="78"/>
      <c r="R1387" s="54"/>
    </row>
    <row r="1388" spans="2:18" x14ac:dyDescent="0.2">
      <c r="B1388" s="53"/>
      <c r="C1388" s="78"/>
      <c r="D1388" s="78"/>
      <c r="E1388" s="78"/>
      <c r="F1388" s="78"/>
      <c r="G1388" s="78"/>
      <c r="H1388" s="79"/>
      <c r="I1388" s="78"/>
      <c r="J1388" s="78"/>
      <c r="K1388" s="78"/>
      <c r="L1388" s="78"/>
      <c r="M1388" s="16"/>
      <c r="N1388" s="78"/>
      <c r="O1388" s="78"/>
      <c r="P1388" s="78"/>
      <c r="Q1388" s="78"/>
      <c r="R1388" s="54"/>
    </row>
    <row r="1389" spans="2:18" x14ac:dyDescent="0.2">
      <c r="B1389" s="53"/>
      <c r="C1389" s="78"/>
      <c r="D1389" s="78"/>
      <c r="E1389" s="78"/>
      <c r="F1389" s="78"/>
      <c r="G1389" s="78"/>
      <c r="H1389" s="79"/>
      <c r="I1389" s="78"/>
      <c r="J1389" s="78"/>
      <c r="K1389" s="78"/>
      <c r="L1389" s="78"/>
      <c r="M1389" s="16"/>
      <c r="N1389" s="78"/>
      <c r="O1389" s="78"/>
      <c r="P1389" s="78"/>
      <c r="Q1389" s="78"/>
      <c r="R1389" s="54"/>
    </row>
    <row r="1390" spans="2:18" x14ac:dyDescent="0.2">
      <c r="B1390" s="53"/>
      <c r="C1390" s="78"/>
      <c r="D1390" s="78"/>
      <c r="E1390" s="78"/>
      <c r="F1390" s="78"/>
      <c r="G1390" s="78"/>
      <c r="H1390" s="79"/>
      <c r="I1390" s="78"/>
      <c r="J1390" s="78"/>
      <c r="K1390" s="78"/>
      <c r="L1390" s="78"/>
      <c r="M1390" s="16"/>
      <c r="N1390" s="78"/>
      <c r="O1390" s="78"/>
      <c r="P1390" s="78"/>
      <c r="Q1390" s="78"/>
      <c r="R1390" s="54"/>
    </row>
    <row r="1391" spans="2:18" x14ac:dyDescent="0.2">
      <c r="B1391" s="53"/>
      <c r="C1391" s="78"/>
      <c r="D1391" s="78"/>
      <c r="E1391" s="78"/>
      <c r="F1391" s="78"/>
      <c r="G1391" s="78"/>
      <c r="H1391" s="79"/>
      <c r="I1391" s="78"/>
      <c r="J1391" s="78"/>
      <c r="K1391" s="78"/>
      <c r="L1391" s="78"/>
      <c r="M1391" s="16"/>
      <c r="N1391" s="78"/>
      <c r="O1391" s="78"/>
      <c r="P1391" s="78"/>
      <c r="Q1391" s="78"/>
      <c r="R1391" s="54"/>
    </row>
    <row r="1392" spans="2:18" x14ac:dyDescent="0.2">
      <c r="B1392" s="53"/>
      <c r="C1392" s="78"/>
      <c r="D1392" s="78"/>
      <c r="E1392" s="78"/>
      <c r="F1392" s="78"/>
      <c r="G1392" s="78"/>
      <c r="H1392" s="79"/>
      <c r="I1392" s="78"/>
      <c r="J1392" s="78"/>
      <c r="K1392" s="78"/>
      <c r="L1392" s="78"/>
      <c r="M1392" s="16"/>
      <c r="N1392" s="78"/>
      <c r="O1392" s="78"/>
      <c r="P1392" s="78"/>
      <c r="Q1392" s="78"/>
      <c r="R1392" s="54"/>
    </row>
    <row r="1393" spans="2:18" x14ac:dyDescent="0.2">
      <c r="B1393" s="53"/>
      <c r="C1393" s="78"/>
      <c r="D1393" s="78"/>
      <c r="E1393" s="78"/>
      <c r="F1393" s="78"/>
      <c r="G1393" s="78"/>
      <c r="H1393" s="79"/>
      <c r="I1393" s="78"/>
      <c r="J1393" s="78"/>
      <c r="K1393" s="78"/>
      <c r="L1393" s="78"/>
      <c r="M1393" s="16"/>
      <c r="N1393" s="78"/>
      <c r="O1393" s="78"/>
      <c r="P1393" s="78"/>
      <c r="Q1393" s="78"/>
      <c r="R1393" s="54"/>
    </row>
    <row r="1394" spans="2:18" x14ac:dyDescent="0.2">
      <c r="B1394" s="53"/>
      <c r="C1394" s="78"/>
      <c r="D1394" s="78"/>
      <c r="E1394" s="78"/>
      <c r="F1394" s="78"/>
      <c r="G1394" s="78"/>
      <c r="H1394" s="79"/>
      <c r="I1394" s="78"/>
      <c r="J1394" s="78"/>
      <c r="K1394" s="78"/>
      <c r="L1394" s="78"/>
      <c r="M1394" s="16"/>
      <c r="N1394" s="78"/>
      <c r="O1394" s="78"/>
      <c r="P1394" s="78"/>
      <c r="Q1394" s="78"/>
      <c r="R1394" s="54"/>
    </row>
    <row r="1395" spans="2:18" x14ac:dyDescent="0.2">
      <c r="B1395" s="53"/>
      <c r="C1395" s="78"/>
      <c r="D1395" s="78"/>
      <c r="E1395" s="78"/>
      <c r="F1395" s="78"/>
      <c r="G1395" s="78"/>
      <c r="H1395" s="79"/>
      <c r="I1395" s="78"/>
      <c r="J1395" s="78"/>
      <c r="K1395" s="78"/>
      <c r="L1395" s="78"/>
      <c r="M1395" s="16"/>
      <c r="N1395" s="78"/>
      <c r="O1395" s="78"/>
      <c r="P1395" s="78"/>
      <c r="Q1395" s="78"/>
      <c r="R1395" s="54"/>
    </row>
    <row r="1396" spans="2:18" x14ac:dyDescent="0.2">
      <c r="B1396" s="53"/>
      <c r="C1396" s="78"/>
      <c r="D1396" s="78"/>
      <c r="E1396" s="78"/>
      <c r="F1396" s="78"/>
      <c r="G1396" s="78"/>
      <c r="H1396" s="79"/>
      <c r="I1396" s="78"/>
      <c r="J1396" s="78"/>
      <c r="K1396" s="78"/>
      <c r="L1396" s="78"/>
      <c r="M1396" s="16"/>
      <c r="N1396" s="78"/>
      <c r="O1396" s="78"/>
      <c r="P1396" s="78"/>
      <c r="Q1396" s="78"/>
      <c r="R1396" s="54"/>
    </row>
    <row r="1397" spans="2:18" x14ac:dyDescent="0.2">
      <c r="B1397" s="53"/>
      <c r="C1397" s="78"/>
      <c r="D1397" s="78"/>
      <c r="E1397" s="78"/>
      <c r="F1397" s="78"/>
      <c r="G1397" s="78"/>
      <c r="H1397" s="79"/>
      <c r="I1397" s="78"/>
      <c r="J1397" s="78"/>
      <c r="K1397" s="78"/>
      <c r="L1397" s="78"/>
      <c r="M1397" s="16"/>
      <c r="N1397" s="78"/>
      <c r="O1397" s="78"/>
      <c r="P1397" s="78"/>
      <c r="Q1397" s="78"/>
      <c r="R1397" s="54"/>
    </row>
    <row r="1398" spans="2:18" x14ac:dyDescent="0.2">
      <c r="B1398" s="53"/>
      <c r="C1398" s="78"/>
      <c r="D1398" s="78"/>
      <c r="E1398" s="78"/>
      <c r="F1398" s="78"/>
      <c r="G1398" s="78"/>
      <c r="H1398" s="79"/>
      <c r="I1398" s="78"/>
      <c r="J1398" s="78"/>
      <c r="K1398" s="78"/>
      <c r="L1398" s="78"/>
      <c r="M1398" s="16"/>
      <c r="N1398" s="78"/>
      <c r="O1398" s="78"/>
      <c r="P1398" s="78"/>
      <c r="Q1398" s="78"/>
      <c r="R1398" s="54"/>
    </row>
    <row r="1399" spans="2:18" x14ac:dyDescent="0.2">
      <c r="B1399" s="53"/>
      <c r="C1399" s="78"/>
      <c r="D1399" s="78"/>
      <c r="E1399" s="78"/>
      <c r="F1399" s="78"/>
      <c r="G1399" s="78"/>
      <c r="H1399" s="79"/>
      <c r="I1399" s="78"/>
      <c r="J1399" s="78"/>
      <c r="K1399" s="78"/>
      <c r="L1399" s="78"/>
      <c r="M1399" s="16"/>
      <c r="N1399" s="78"/>
      <c r="O1399" s="78"/>
      <c r="P1399" s="78"/>
      <c r="Q1399" s="78"/>
      <c r="R1399" s="54"/>
    </row>
    <row r="1400" spans="2:18" x14ac:dyDescent="0.2">
      <c r="B1400" s="53"/>
      <c r="C1400" s="78"/>
      <c r="D1400" s="78"/>
      <c r="E1400" s="78"/>
      <c r="F1400" s="78"/>
      <c r="G1400" s="78"/>
      <c r="H1400" s="79"/>
      <c r="I1400" s="78"/>
      <c r="J1400" s="78"/>
      <c r="K1400" s="78"/>
      <c r="L1400" s="78"/>
      <c r="M1400" s="16"/>
      <c r="N1400" s="78"/>
      <c r="O1400" s="78"/>
      <c r="P1400" s="78"/>
      <c r="Q1400" s="78"/>
      <c r="R1400" s="54"/>
    </row>
    <row r="1401" spans="2:18" x14ac:dyDescent="0.2">
      <c r="B1401" s="53"/>
      <c r="C1401" s="78"/>
      <c r="D1401" s="78"/>
      <c r="E1401" s="78"/>
      <c r="F1401" s="78"/>
      <c r="G1401" s="78"/>
      <c r="H1401" s="79"/>
      <c r="I1401" s="78"/>
      <c r="J1401" s="78"/>
      <c r="K1401" s="78"/>
      <c r="L1401" s="78"/>
      <c r="M1401" s="16"/>
      <c r="N1401" s="78"/>
      <c r="O1401" s="78"/>
      <c r="P1401" s="78"/>
      <c r="Q1401" s="78"/>
      <c r="R1401" s="54"/>
    </row>
    <row r="1402" spans="2:18" x14ac:dyDescent="0.2">
      <c r="B1402" s="53"/>
      <c r="C1402" s="78"/>
      <c r="D1402" s="78"/>
      <c r="E1402" s="78"/>
      <c r="F1402" s="78"/>
      <c r="G1402" s="78"/>
      <c r="H1402" s="79"/>
      <c r="I1402" s="78"/>
      <c r="J1402" s="78"/>
      <c r="K1402" s="78"/>
      <c r="L1402" s="78"/>
      <c r="M1402" s="16"/>
      <c r="N1402" s="78"/>
      <c r="O1402" s="78"/>
      <c r="P1402" s="78"/>
      <c r="Q1402" s="78"/>
      <c r="R1402" s="54"/>
    </row>
    <row r="1403" spans="2:18" x14ac:dyDescent="0.2">
      <c r="B1403" s="53"/>
      <c r="C1403" s="78"/>
      <c r="D1403" s="78"/>
      <c r="E1403" s="78"/>
      <c r="F1403" s="78"/>
      <c r="G1403" s="78"/>
      <c r="H1403" s="79"/>
      <c r="I1403" s="78"/>
      <c r="J1403" s="78"/>
      <c r="K1403" s="78"/>
      <c r="L1403" s="78"/>
      <c r="M1403" s="16"/>
      <c r="N1403" s="78"/>
      <c r="O1403" s="78"/>
      <c r="P1403" s="78"/>
      <c r="Q1403" s="78"/>
      <c r="R1403" s="54"/>
    </row>
    <row r="1404" spans="2:18" x14ac:dyDescent="0.2">
      <c r="B1404" s="53"/>
      <c r="C1404" s="78"/>
      <c r="D1404" s="78"/>
      <c r="E1404" s="78"/>
      <c r="F1404" s="78"/>
      <c r="G1404" s="78"/>
      <c r="H1404" s="79"/>
      <c r="I1404" s="78"/>
      <c r="J1404" s="78"/>
      <c r="K1404" s="78"/>
      <c r="L1404" s="78"/>
      <c r="M1404" s="16"/>
      <c r="N1404" s="78"/>
      <c r="O1404" s="78"/>
      <c r="P1404" s="78"/>
      <c r="Q1404" s="78"/>
      <c r="R1404" s="54"/>
    </row>
    <row r="1405" spans="2:18" x14ac:dyDescent="0.2">
      <c r="B1405" s="53"/>
      <c r="C1405" s="78"/>
      <c r="D1405" s="78"/>
      <c r="E1405" s="78"/>
      <c r="F1405" s="78"/>
      <c r="G1405" s="78"/>
      <c r="H1405" s="79"/>
      <c r="I1405" s="78"/>
      <c r="J1405" s="78"/>
      <c r="K1405" s="78"/>
      <c r="L1405" s="78"/>
      <c r="M1405" s="16"/>
      <c r="N1405" s="78"/>
      <c r="O1405" s="78"/>
      <c r="P1405" s="78"/>
      <c r="Q1405" s="78"/>
      <c r="R1405" s="54"/>
    </row>
    <row r="1406" spans="2:18" x14ac:dyDescent="0.2">
      <c r="B1406" s="53"/>
      <c r="C1406" s="78"/>
      <c r="D1406" s="78"/>
      <c r="E1406" s="78"/>
      <c r="F1406" s="78"/>
      <c r="G1406" s="78"/>
      <c r="H1406" s="79"/>
      <c r="I1406" s="78"/>
      <c r="J1406" s="78"/>
      <c r="K1406" s="78"/>
      <c r="L1406" s="78"/>
      <c r="M1406" s="16"/>
      <c r="N1406" s="78"/>
      <c r="O1406" s="78"/>
      <c r="P1406" s="78"/>
      <c r="Q1406" s="78"/>
      <c r="R1406" s="54"/>
    </row>
    <row r="1407" spans="2:18" x14ac:dyDescent="0.2">
      <c r="B1407" s="53"/>
      <c r="C1407" s="78"/>
      <c r="D1407" s="78"/>
      <c r="E1407" s="78"/>
      <c r="F1407" s="78"/>
      <c r="G1407" s="78"/>
      <c r="H1407" s="79"/>
      <c r="I1407" s="78"/>
      <c r="J1407" s="78"/>
      <c r="K1407" s="78"/>
      <c r="L1407" s="78"/>
      <c r="M1407" s="16"/>
      <c r="N1407" s="78"/>
      <c r="O1407" s="78"/>
      <c r="P1407" s="78"/>
      <c r="Q1407" s="78"/>
      <c r="R1407" s="54"/>
    </row>
    <row r="1408" spans="2:18" x14ac:dyDescent="0.2">
      <c r="B1408" s="53"/>
      <c r="C1408" s="78"/>
      <c r="D1408" s="78"/>
      <c r="E1408" s="78"/>
      <c r="F1408" s="78"/>
      <c r="G1408" s="78"/>
      <c r="H1408" s="79"/>
      <c r="I1408" s="78"/>
      <c r="J1408" s="78"/>
      <c r="K1408" s="78"/>
      <c r="L1408" s="78"/>
      <c r="M1408" s="16"/>
      <c r="N1408" s="78"/>
      <c r="O1408" s="78"/>
      <c r="P1408" s="78"/>
      <c r="Q1408" s="78"/>
      <c r="R1408" s="54"/>
    </row>
    <row r="1409" spans="2:18" x14ac:dyDescent="0.2">
      <c r="B1409" s="53"/>
      <c r="C1409" s="78"/>
      <c r="D1409" s="78"/>
      <c r="E1409" s="78"/>
      <c r="F1409" s="78"/>
      <c r="G1409" s="78"/>
      <c r="H1409" s="79"/>
      <c r="I1409" s="78"/>
      <c r="J1409" s="78"/>
      <c r="K1409" s="78"/>
      <c r="L1409" s="78"/>
      <c r="M1409" s="16"/>
      <c r="N1409" s="78"/>
      <c r="O1409" s="78"/>
      <c r="P1409" s="78"/>
      <c r="Q1409" s="78"/>
      <c r="R1409" s="54"/>
    </row>
    <row r="1410" spans="2:18" x14ac:dyDescent="0.2">
      <c r="B1410" s="53"/>
      <c r="C1410" s="78"/>
      <c r="D1410" s="78"/>
      <c r="E1410" s="78"/>
      <c r="F1410" s="78"/>
      <c r="G1410" s="78"/>
      <c r="H1410" s="79"/>
      <c r="I1410" s="78"/>
      <c r="J1410" s="78"/>
      <c r="K1410" s="78"/>
      <c r="L1410" s="78"/>
      <c r="M1410" s="16"/>
      <c r="N1410" s="78"/>
      <c r="O1410" s="78"/>
      <c r="P1410" s="78"/>
      <c r="Q1410" s="78"/>
      <c r="R1410" s="54"/>
    </row>
    <row r="1411" spans="2:18" x14ac:dyDescent="0.2">
      <c r="B1411" s="53"/>
      <c r="C1411" s="78"/>
      <c r="D1411" s="78"/>
      <c r="E1411" s="78"/>
      <c r="F1411" s="78"/>
      <c r="G1411" s="78"/>
      <c r="H1411" s="79"/>
      <c r="I1411" s="78"/>
      <c r="J1411" s="78"/>
      <c r="K1411" s="78"/>
      <c r="L1411" s="78"/>
      <c r="M1411" s="16"/>
      <c r="N1411" s="78"/>
      <c r="O1411" s="78"/>
      <c r="P1411" s="78"/>
      <c r="Q1411" s="78"/>
      <c r="R1411" s="54"/>
    </row>
    <row r="1412" spans="2:18" x14ac:dyDescent="0.2">
      <c r="B1412" s="53"/>
      <c r="C1412" s="78"/>
      <c r="D1412" s="78"/>
      <c r="E1412" s="78"/>
      <c r="F1412" s="78"/>
      <c r="G1412" s="78"/>
      <c r="H1412" s="79"/>
      <c r="I1412" s="78"/>
      <c r="J1412" s="78"/>
      <c r="K1412" s="78"/>
      <c r="L1412" s="78"/>
      <c r="M1412" s="16"/>
      <c r="N1412" s="78"/>
      <c r="O1412" s="78"/>
      <c r="P1412" s="78"/>
      <c r="Q1412" s="78"/>
      <c r="R1412" s="54"/>
    </row>
    <row r="1413" spans="2:18" x14ac:dyDescent="0.2">
      <c r="B1413" s="53"/>
      <c r="C1413" s="78"/>
      <c r="D1413" s="78"/>
      <c r="E1413" s="78"/>
      <c r="F1413" s="78"/>
      <c r="G1413" s="78"/>
      <c r="H1413" s="79"/>
      <c r="I1413" s="78"/>
      <c r="J1413" s="78"/>
      <c r="K1413" s="78"/>
      <c r="L1413" s="78"/>
      <c r="M1413" s="16"/>
      <c r="N1413" s="78"/>
      <c r="O1413" s="78"/>
      <c r="P1413" s="78"/>
      <c r="Q1413" s="78"/>
      <c r="R1413" s="54"/>
    </row>
    <row r="1414" spans="2:18" x14ac:dyDescent="0.2">
      <c r="B1414" s="53"/>
      <c r="C1414" s="78"/>
      <c r="D1414" s="78"/>
      <c r="E1414" s="78"/>
      <c r="F1414" s="78"/>
      <c r="G1414" s="78"/>
      <c r="H1414" s="79"/>
      <c r="I1414" s="78"/>
      <c r="J1414" s="78"/>
      <c r="K1414" s="78"/>
      <c r="L1414" s="78"/>
      <c r="M1414" s="16"/>
      <c r="N1414" s="78"/>
      <c r="O1414" s="78"/>
      <c r="P1414" s="78"/>
      <c r="Q1414" s="78"/>
      <c r="R1414" s="54"/>
    </row>
    <row r="1415" spans="2:18" x14ac:dyDescent="0.2">
      <c r="B1415" s="53"/>
      <c r="C1415" s="78"/>
      <c r="D1415" s="78"/>
      <c r="E1415" s="78"/>
      <c r="F1415" s="78"/>
      <c r="G1415" s="78"/>
      <c r="H1415" s="79"/>
      <c r="I1415" s="78"/>
      <c r="J1415" s="78"/>
      <c r="K1415" s="78"/>
      <c r="L1415" s="78"/>
      <c r="M1415" s="16"/>
      <c r="N1415" s="78"/>
      <c r="O1415" s="78"/>
      <c r="P1415" s="78"/>
      <c r="Q1415" s="78"/>
      <c r="R1415" s="54"/>
    </row>
    <row r="1416" spans="2:18" x14ac:dyDescent="0.2">
      <c r="B1416" s="53"/>
      <c r="C1416" s="78"/>
      <c r="D1416" s="78"/>
      <c r="E1416" s="78"/>
      <c r="F1416" s="78"/>
      <c r="G1416" s="78"/>
      <c r="H1416" s="79"/>
      <c r="I1416" s="78"/>
      <c r="J1416" s="78"/>
      <c r="K1416" s="78"/>
      <c r="L1416" s="78"/>
      <c r="M1416" s="16"/>
      <c r="N1416" s="78"/>
      <c r="O1416" s="78"/>
      <c r="P1416" s="78"/>
      <c r="Q1416" s="78"/>
      <c r="R1416" s="54"/>
    </row>
    <row r="1417" spans="2:18" x14ac:dyDescent="0.2">
      <c r="B1417" s="53"/>
      <c r="C1417" s="78"/>
      <c r="D1417" s="78"/>
      <c r="E1417" s="78"/>
      <c r="F1417" s="78"/>
      <c r="G1417" s="78"/>
      <c r="H1417" s="79"/>
      <c r="I1417" s="78"/>
      <c r="J1417" s="78"/>
      <c r="K1417" s="78"/>
      <c r="L1417" s="78"/>
      <c r="M1417" s="16"/>
      <c r="N1417" s="78"/>
      <c r="O1417" s="78"/>
      <c r="P1417" s="78"/>
      <c r="Q1417" s="78"/>
      <c r="R1417" s="54"/>
    </row>
    <row r="1418" spans="2:18" x14ac:dyDescent="0.2">
      <c r="B1418" s="53"/>
      <c r="C1418" s="78"/>
      <c r="D1418" s="78"/>
      <c r="E1418" s="78"/>
      <c r="F1418" s="78"/>
      <c r="G1418" s="78"/>
      <c r="H1418" s="79"/>
      <c r="I1418" s="78"/>
      <c r="J1418" s="78"/>
      <c r="K1418" s="78"/>
      <c r="L1418" s="78"/>
      <c r="M1418" s="16"/>
      <c r="N1418" s="78"/>
      <c r="O1418" s="78"/>
      <c r="P1418" s="78"/>
      <c r="Q1418" s="78"/>
      <c r="R1418" s="54"/>
    </row>
    <row r="1419" spans="2:18" x14ac:dyDescent="0.2">
      <c r="B1419" s="53"/>
      <c r="C1419" s="78"/>
      <c r="D1419" s="78"/>
      <c r="E1419" s="78"/>
      <c r="F1419" s="78"/>
      <c r="G1419" s="78"/>
      <c r="H1419" s="79"/>
      <c r="I1419" s="78"/>
      <c r="J1419" s="78"/>
      <c r="K1419" s="78"/>
      <c r="L1419" s="78"/>
      <c r="M1419" s="16"/>
      <c r="N1419" s="78"/>
      <c r="O1419" s="78"/>
      <c r="P1419" s="78"/>
      <c r="Q1419" s="78"/>
      <c r="R1419" s="54"/>
    </row>
    <row r="1420" spans="2:18" x14ac:dyDescent="0.2">
      <c r="B1420" s="53"/>
      <c r="C1420" s="78"/>
      <c r="D1420" s="78"/>
      <c r="E1420" s="78"/>
      <c r="F1420" s="78"/>
      <c r="G1420" s="78"/>
      <c r="H1420" s="79"/>
      <c r="I1420" s="78"/>
      <c r="J1420" s="78"/>
      <c r="K1420" s="78"/>
      <c r="L1420" s="78"/>
      <c r="M1420" s="16"/>
      <c r="N1420" s="78"/>
      <c r="O1420" s="78"/>
      <c r="P1420" s="78"/>
      <c r="Q1420" s="78"/>
      <c r="R1420" s="54"/>
    </row>
    <row r="1421" spans="2:18" x14ac:dyDescent="0.2">
      <c r="B1421" s="53"/>
      <c r="C1421" s="78"/>
      <c r="D1421" s="78"/>
      <c r="E1421" s="78"/>
      <c r="F1421" s="78"/>
      <c r="G1421" s="78"/>
      <c r="H1421" s="79"/>
      <c r="I1421" s="78"/>
      <c r="J1421" s="78"/>
      <c r="K1421" s="78"/>
      <c r="L1421" s="78"/>
      <c r="M1421" s="16"/>
      <c r="N1421" s="78"/>
      <c r="O1421" s="78"/>
      <c r="P1421" s="78"/>
      <c r="Q1421" s="78"/>
      <c r="R1421" s="54"/>
    </row>
    <row r="1422" spans="2:18" x14ac:dyDescent="0.2">
      <c r="B1422" s="53"/>
      <c r="C1422" s="78"/>
      <c r="D1422" s="78"/>
      <c r="E1422" s="78"/>
      <c r="F1422" s="78"/>
      <c r="G1422" s="78"/>
      <c r="H1422" s="79"/>
      <c r="I1422" s="78"/>
      <c r="J1422" s="78"/>
      <c r="K1422" s="78"/>
      <c r="L1422" s="78"/>
      <c r="M1422" s="16"/>
      <c r="N1422" s="78"/>
      <c r="O1422" s="78"/>
      <c r="P1422" s="78"/>
      <c r="Q1422" s="78"/>
      <c r="R1422" s="54"/>
    </row>
    <row r="1423" spans="2:18" x14ac:dyDescent="0.2">
      <c r="B1423" s="53"/>
      <c r="C1423" s="78"/>
      <c r="D1423" s="78"/>
      <c r="E1423" s="78"/>
      <c r="F1423" s="78"/>
      <c r="G1423" s="78"/>
      <c r="H1423" s="79"/>
      <c r="I1423" s="78"/>
      <c r="J1423" s="78"/>
      <c r="K1423" s="78"/>
      <c r="L1423" s="78"/>
      <c r="M1423" s="16"/>
      <c r="N1423" s="78"/>
      <c r="O1423" s="78"/>
      <c r="P1423" s="78"/>
      <c r="Q1423" s="78"/>
      <c r="R1423" s="54"/>
    </row>
    <row r="1424" spans="2:18" x14ac:dyDescent="0.2">
      <c r="B1424" s="53"/>
      <c r="C1424" s="78"/>
      <c r="D1424" s="78"/>
      <c r="E1424" s="78"/>
      <c r="F1424" s="78"/>
      <c r="G1424" s="78"/>
      <c r="H1424" s="79"/>
      <c r="I1424" s="78"/>
      <c r="J1424" s="78"/>
      <c r="K1424" s="78"/>
      <c r="L1424" s="78"/>
      <c r="M1424" s="16"/>
      <c r="N1424" s="78"/>
      <c r="O1424" s="78"/>
      <c r="P1424" s="78"/>
      <c r="Q1424" s="78"/>
      <c r="R1424" s="54"/>
    </row>
    <row r="1425" spans="2:18" x14ac:dyDescent="0.2">
      <c r="B1425" s="53"/>
      <c r="C1425" s="78"/>
      <c r="D1425" s="78"/>
      <c r="E1425" s="78"/>
      <c r="F1425" s="78"/>
      <c r="G1425" s="78"/>
      <c r="H1425" s="79"/>
      <c r="I1425" s="78"/>
      <c r="J1425" s="78"/>
      <c r="K1425" s="78"/>
      <c r="L1425" s="78"/>
      <c r="M1425" s="16"/>
      <c r="N1425" s="78"/>
      <c r="O1425" s="78"/>
      <c r="P1425" s="78"/>
      <c r="Q1425" s="78"/>
      <c r="R1425" s="54"/>
    </row>
    <row r="1426" spans="2:18" x14ac:dyDescent="0.2">
      <c r="B1426" s="53"/>
      <c r="C1426" s="78"/>
      <c r="D1426" s="78"/>
      <c r="E1426" s="78"/>
      <c r="F1426" s="78"/>
      <c r="G1426" s="78"/>
      <c r="H1426" s="79"/>
      <c r="I1426" s="78"/>
      <c r="J1426" s="78"/>
      <c r="K1426" s="78"/>
      <c r="L1426" s="78"/>
      <c r="M1426" s="16"/>
      <c r="N1426" s="78"/>
      <c r="O1426" s="78"/>
      <c r="P1426" s="78"/>
      <c r="Q1426" s="78"/>
      <c r="R1426" s="54"/>
    </row>
    <row r="1427" spans="2:18" x14ac:dyDescent="0.2">
      <c r="B1427" s="53"/>
      <c r="C1427" s="78"/>
      <c r="D1427" s="78"/>
      <c r="E1427" s="78"/>
      <c r="F1427" s="78"/>
      <c r="G1427" s="78"/>
      <c r="H1427" s="79"/>
      <c r="I1427" s="78"/>
      <c r="J1427" s="78"/>
      <c r="K1427" s="78"/>
      <c r="L1427" s="78"/>
      <c r="M1427" s="16"/>
      <c r="N1427" s="78"/>
      <c r="O1427" s="78"/>
      <c r="P1427" s="78"/>
      <c r="Q1427" s="78"/>
      <c r="R1427" s="54"/>
    </row>
    <row r="1428" spans="2:18" x14ac:dyDescent="0.2">
      <c r="B1428" s="53"/>
      <c r="C1428" s="78"/>
      <c r="D1428" s="78"/>
      <c r="E1428" s="78"/>
      <c r="F1428" s="78"/>
      <c r="G1428" s="78"/>
      <c r="H1428" s="79"/>
      <c r="I1428" s="78"/>
      <c r="J1428" s="78"/>
      <c r="K1428" s="78"/>
      <c r="L1428" s="78"/>
      <c r="M1428" s="16"/>
      <c r="N1428" s="78"/>
      <c r="O1428" s="78"/>
      <c r="P1428" s="78"/>
      <c r="Q1428" s="78"/>
      <c r="R1428" s="54"/>
    </row>
    <row r="1429" spans="2:18" x14ac:dyDescent="0.2">
      <c r="B1429" s="53"/>
      <c r="C1429" s="78"/>
      <c r="D1429" s="78"/>
      <c r="E1429" s="78"/>
      <c r="F1429" s="78"/>
      <c r="G1429" s="78"/>
      <c r="H1429" s="79"/>
      <c r="I1429" s="78"/>
      <c r="J1429" s="78"/>
      <c r="K1429" s="78"/>
      <c r="L1429" s="78"/>
      <c r="M1429" s="16"/>
      <c r="N1429" s="78"/>
      <c r="O1429" s="78"/>
      <c r="P1429" s="78"/>
      <c r="Q1429" s="78"/>
      <c r="R1429" s="54"/>
    </row>
    <row r="1430" spans="2:18" x14ac:dyDescent="0.2">
      <c r="B1430" s="53"/>
      <c r="C1430" s="78"/>
      <c r="D1430" s="78"/>
      <c r="E1430" s="78"/>
      <c r="F1430" s="78"/>
      <c r="G1430" s="78"/>
      <c r="H1430" s="79"/>
      <c r="I1430" s="78"/>
      <c r="J1430" s="78"/>
      <c r="K1430" s="78"/>
      <c r="L1430" s="78"/>
      <c r="M1430" s="16"/>
      <c r="N1430" s="78"/>
      <c r="O1430" s="78"/>
      <c r="P1430" s="78"/>
      <c r="Q1430" s="78"/>
      <c r="R1430" s="54"/>
    </row>
    <row r="1431" spans="2:18" x14ac:dyDescent="0.2">
      <c r="B1431" s="53"/>
      <c r="C1431" s="78"/>
      <c r="D1431" s="78"/>
      <c r="E1431" s="78"/>
      <c r="F1431" s="78"/>
      <c r="G1431" s="78"/>
      <c r="H1431" s="79"/>
      <c r="I1431" s="78"/>
      <c r="J1431" s="78"/>
      <c r="K1431" s="78"/>
      <c r="L1431" s="78"/>
      <c r="M1431" s="16"/>
      <c r="N1431" s="78"/>
      <c r="O1431" s="78"/>
      <c r="P1431" s="78"/>
      <c r="Q1431" s="78"/>
      <c r="R1431" s="54"/>
    </row>
    <row r="1432" spans="2:18" x14ac:dyDescent="0.2">
      <c r="B1432" s="53"/>
      <c r="C1432" s="78"/>
      <c r="D1432" s="78"/>
      <c r="E1432" s="78"/>
      <c r="F1432" s="78"/>
      <c r="G1432" s="78"/>
      <c r="H1432" s="79"/>
      <c r="I1432" s="78"/>
      <c r="J1432" s="78"/>
      <c r="K1432" s="78"/>
      <c r="L1432" s="78"/>
      <c r="M1432" s="16"/>
      <c r="N1432" s="78"/>
      <c r="O1432" s="78"/>
      <c r="P1432" s="78"/>
      <c r="Q1432" s="78"/>
      <c r="R1432" s="54"/>
    </row>
    <row r="1433" spans="2:18" x14ac:dyDescent="0.2">
      <c r="B1433" s="53"/>
      <c r="C1433" s="78"/>
      <c r="D1433" s="78"/>
      <c r="E1433" s="78"/>
      <c r="F1433" s="78"/>
      <c r="G1433" s="78"/>
      <c r="H1433" s="79"/>
      <c r="I1433" s="78"/>
      <c r="J1433" s="78"/>
      <c r="K1433" s="78"/>
      <c r="L1433" s="78"/>
      <c r="M1433" s="16"/>
      <c r="N1433" s="78"/>
      <c r="O1433" s="78"/>
      <c r="P1433" s="78"/>
      <c r="Q1433" s="78"/>
      <c r="R1433" s="54"/>
    </row>
    <row r="1434" spans="2:18" x14ac:dyDescent="0.2">
      <c r="B1434" s="53"/>
      <c r="C1434" s="78"/>
      <c r="D1434" s="78"/>
      <c r="E1434" s="78"/>
      <c r="F1434" s="78"/>
      <c r="G1434" s="78"/>
      <c r="H1434" s="79"/>
      <c r="I1434" s="78"/>
      <c r="J1434" s="78"/>
      <c r="K1434" s="78"/>
      <c r="L1434" s="78"/>
      <c r="M1434" s="16"/>
      <c r="N1434" s="78"/>
      <c r="O1434" s="78"/>
      <c r="P1434" s="78"/>
      <c r="Q1434" s="78"/>
      <c r="R1434" s="54"/>
    </row>
    <row r="1435" spans="2:18" x14ac:dyDescent="0.2">
      <c r="B1435" s="53"/>
      <c r="C1435" s="78"/>
      <c r="D1435" s="78"/>
      <c r="E1435" s="78"/>
      <c r="F1435" s="78"/>
      <c r="G1435" s="78"/>
      <c r="H1435" s="79"/>
      <c r="I1435" s="78"/>
      <c r="J1435" s="78"/>
      <c r="K1435" s="78"/>
      <c r="L1435" s="78"/>
      <c r="M1435" s="16"/>
      <c r="N1435" s="78"/>
      <c r="O1435" s="78"/>
      <c r="P1435" s="78"/>
      <c r="Q1435" s="78"/>
      <c r="R1435" s="54"/>
    </row>
    <row r="1436" spans="2:18" x14ac:dyDescent="0.2">
      <c r="B1436" s="53"/>
      <c r="C1436" s="78"/>
      <c r="D1436" s="78"/>
      <c r="E1436" s="78"/>
      <c r="F1436" s="78"/>
      <c r="G1436" s="78"/>
      <c r="H1436" s="79"/>
      <c r="I1436" s="78"/>
      <c r="J1436" s="78"/>
      <c r="K1436" s="78"/>
      <c r="L1436" s="78"/>
      <c r="M1436" s="16"/>
      <c r="N1436" s="78"/>
      <c r="O1436" s="78"/>
      <c r="P1436" s="78"/>
      <c r="Q1436" s="78"/>
      <c r="R1436" s="54"/>
    </row>
    <row r="1437" spans="2:18" x14ac:dyDescent="0.2">
      <c r="B1437" s="53"/>
      <c r="C1437" s="78"/>
      <c r="D1437" s="78"/>
      <c r="E1437" s="78"/>
      <c r="F1437" s="78"/>
      <c r="G1437" s="78"/>
      <c r="H1437" s="79"/>
      <c r="I1437" s="78"/>
      <c r="J1437" s="78"/>
      <c r="K1437" s="78"/>
      <c r="L1437" s="78"/>
      <c r="M1437" s="16"/>
      <c r="N1437" s="78"/>
      <c r="O1437" s="78"/>
      <c r="P1437" s="78"/>
      <c r="Q1437" s="78"/>
      <c r="R1437" s="54"/>
    </row>
    <row r="1438" spans="2:18" x14ac:dyDescent="0.2">
      <c r="B1438" s="53"/>
      <c r="C1438" s="78"/>
      <c r="D1438" s="78"/>
      <c r="E1438" s="78"/>
      <c r="F1438" s="78"/>
      <c r="G1438" s="78"/>
      <c r="H1438" s="79"/>
      <c r="I1438" s="78"/>
      <c r="J1438" s="78"/>
      <c r="K1438" s="78"/>
      <c r="L1438" s="78"/>
      <c r="M1438" s="16"/>
      <c r="N1438" s="78"/>
      <c r="O1438" s="78"/>
      <c r="P1438" s="78"/>
      <c r="Q1438" s="78"/>
      <c r="R1438" s="54"/>
    </row>
    <row r="1439" spans="2:18" x14ac:dyDescent="0.2">
      <c r="B1439" s="53"/>
      <c r="C1439" s="78"/>
      <c r="D1439" s="78"/>
      <c r="E1439" s="78"/>
      <c r="F1439" s="78"/>
      <c r="G1439" s="78"/>
      <c r="H1439" s="79"/>
      <c r="I1439" s="78"/>
      <c r="J1439" s="78"/>
      <c r="K1439" s="78"/>
      <c r="L1439" s="78"/>
      <c r="M1439" s="16"/>
      <c r="N1439" s="78"/>
      <c r="O1439" s="78"/>
      <c r="P1439" s="78"/>
      <c r="Q1439" s="78"/>
      <c r="R1439" s="54"/>
    </row>
    <row r="1440" spans="2:18" x14ac:dyDescent="0.2">
      <c r="B1440" s="53"/>
      <c r="C1440" s="78"/>
      <c r="D1440" s="78"/>
      <c r="E1440" s="78"/>
      <c r="F1440" s="78"/>
      <c r="G1440" s="78"/>
      <c r="H1440" s="79"/>
      <c r="I1440" s="78"/>
      <c r="J1440" s="78"/>
      <c r="K1440" s="78"/>
      <c r="L1440" s="78"/>
      <c r="M1440" s="16"/>
      <c r="N1440" s="78"/>
      <c r="O1440" s="78"/>
      <c r="P1440" s="78"/>
      <c r="Q1440" s="78"/>
      <c r="R1440" s="54"/>
    </row>
    <row r="1441" spans="2:18" x14ac:dyDescent="0.2">
      <c r="B1441" s="53"/>
      <c r="C1441" s="78"/>
      <c r="D1441" s="78"/>
      <c r="E1441" s="78"/>
      <c r="F1441" s="78"/>
      <c r="G1441" s="78"/>
      <c r="H1441" s="79"/>
      <c r="I1441" s="78"/>
      <c r="J1441" s="78"/>
      <c r="K1441" s="78"/>
      <c r="L1441" s="78"/>
      <c r="M1441" s="16"/>
      <c r="N1441" s="78"/>
      <c r="O1441" s="78"/>
      <c r="P1441" s="78"/>
      <c r="Q1441" s="78"/>
      <c r="R1441" s="54"/>
    </row>
    <row r="1442" spans="2:18" x14ac:dyDescent="0.2">
      <c r="B1442" s="53"/>
      <c r="C1442" s="78"/>
      <c r="D1442" s="78"/>
      <c r="E1442" s="78"/>
      <c r="F1442" s="78"/>
      <c r="G1442" s="78"/>
      <c r="H1442" s="79"/>
      <c r="I1442" s="78"/>
      <c r="J1442" s="78"/>
      <c r="K1442" s="78"/>
      <c r="L1442" s="78"/>
      <c r="M1442" s="16"/>
      <c r="N1442" s="78"/>
      <c r="O1442" s="78"/>
      <c r="P1442" s="78"/>
      <c r="Q1442" s="78"/>
      <c r="R1442" s="54"/>
    </row>
    <row r="1443" spans="2:18" x14ac:dyDescent="0.2">
      <c r="B1443" s="53"/>
      <c r="C1443" s="78"/>
      <c r="D1443" s="78"/>
      <c r="E1443" s="78"/>
      <c r="F1443" s="78"/>
      <c r="G1443" s="78"/>
      <c r="H1443" s="79"/>
      <c r="I1443" s="78"/>
      <c r="J1443" s="78"/>
      <c r="K1443" s="78"/>
      <c r="L1443" s="78"/>
      <c r="M1443" s="16"/>
      <c r="N1443" s="78"/>
      <c r="O1443" s="78"/>
      <c r="P1443" s="78"/>
      <c r="Q1443" s="78"/>
      <c r="R1443" s="54"/>
    </row>
    <row r="1444" spans="2:18" x14ac:dyDescent="0.2">
      <c r="B1444" s="53"/>
      <c r="C1444" s="78"/>
      <c r="D1444" s="78"/>
      <c r="E1444" s="78"/>
      <c r="F1444" s="78"/>
      <c r="G1444" s="78"/>
      <c r="H1444" s="79"/>
      <c r="I1444" s="78"/>
      <c r="J1444" s="78"/>
      <c r="K1444" s="78"/>
      <c r="L1444" s="78"/>
      <c r="M1444" s="16"/>
      <c r="N1444" s="78"/>
      <c r="O1444" s="78"/>
      <c r="P1444" s="78"/>
      <c r="Q1444" s="78"/>
      <c r="R1444" s="54"/>
    </row>
    <row r="1445" spans="2:18" x14ac:dyDescent="0.2">
      <c r="B1445" s="53"/>
      <c r="C1445" s="78"/>
      <c r="D1445" s="78"/>
      <c r="E1445" s="78"/>
      <c r="F1445" s="78"/>
      <c r="G1445" s="78"/>
      <c r="H1445" s="79"/>
      <c r="I1445" s="78"/>
      <c r="J1445" s="78"/>
      <c r="K1445" s="78"/>
      <c r="L1445" s="78"/>
      <c r="M1445" s="16"/>
      <c r="N1445" s="78"/>
      <c r="O1445" s="78"/>
      <c r="P1445" s="78"/>
      <c r="Q1445" s="78"/>
      <c r="R1445" s="54"/>
    </row>
    <row r="1446" spans="2:18" x14ac:dyDescent="0.2">
      <c r="B1446" s="53"/>
      <c r="C1446" s="78"/>
      <c r="D1446" s="78"/>
      <c r="E1446" s="78"/>
      <c r="F1446" s="78"/>
      <c r="G1446" s="78"/>
      <c r="H1446" s="79"/>
      <c r="I1446" s="78"/>
      <c r="J1446" s="78"/>
      <c r="K1446" s="78"/>
      <c r="L1446" s="78"/>
      <c r="M1446" s="16"/>
      <c r="N1446" s="78"/>
      <c r="O1446" s="78"/>
      <c r="P1446" s="78"/>
      <c r="Q1446" s="78"/>
      <c r="R1446" s="54"/>
    </row>
    <row r="1447" spans="2:18" x14ac:dyDescent="0.2">
      <c r="B1447" s="53"/>
      <c r="C1447" s="78"/>
      <c r="D1447" s="78"/>
      <c r="E1447" s="78"/>
      <c r="F1447" s="78"/>
      <c r="G1447" s="78"/>
      <c r="H1447" s="79"/>
      <c r="I1447" s="78"/>
      <c r="J1447" s="78"/>
      <c r="K1447" s="78"/>
      <c r="L1447" s="78"/>
      <c r="M1447" s="16"/>
      <c r="N1447" s="78"/>
      <c r="O1447" s="78"/>
      <c r="P1447" s="78"/>
      <c r="Q1447" s="78"/>
      <c r="R1447" s="54"/>
    </row>
    <row r="1448" spans="2:18" x14ac:dyDescent="0.2">
      <c r="B1448" s="53"/>
      <c r="C1448" s="78"/>
      <c r="D1448" s="78"/>
      <c r="E1448" s="78"/>
      <c r="F1448" s="78"/>
      <c r="G1448" s="78"/>
      <c r="H1448" s="79"/>
      <c r="I1448" s="78"/>
      <c r="J1448" s="78"/>
      <c r="K1448" s="78"/>
      <c r="L1448" s="78"/>
      <c r="M1448" s="16"/>
      <c r="N1448" s="78"/>
      <c r="O1448" s="78"/>
      <c r="P1448" s="78"/>
      <c r="Q1448" s="78"/>
      <c r="R1448" s="54"/>
    </row>
    <row r="1449" spans="2:18" x14ac:dyDescent="0.2">
      <c r="B1449" s="53"/>
      <c r="C1449" s="78"/>
      <c r="D1449" s="78"/>
      <c r="E1449" s="78"/>
      <c r="F1449" s="78"/>
      <c r="G1449" s="78"/>
      <c r="H1449" s="79"/>
      <c r="I1449" s="78"/>
      <c r="J1449" s="78"/>
      <c r="K1449" s="78"/>
      <c r="L1449" s="78"/>
      <c r="M1449" s="16"/>
      <c r="N1449" s="78"/>
      <c r="O1449" s="78"/>
      <c r="P1449" s="78"/>
      <c r="Q1449" s="78"/>
      <c r="R1449" s="54"/>
    </row>
    <row r="1450" spans="2:18" x14ac:dyDescent="0.2">
      <c r="B1450" s="53"/>
      <c r="C1450" s="78"/>
      <c r="D1450" s="78"/>
      <c r="E1450" s="78"/>
      <c r="F1450" s="78"/>
      <c r="G1450" s="78"/>
      <c r="H1450" s="79"/>
      <c r="I1450" s="78"/>
      <c r="J1450" s="78"/>
      <c r="K1450" s="78"/>
      <c r="L1450" s="78"/>
      <c r="M1450" s="16"/>
      <c r="N1450" s="78"/>
      <c r="O1450" s="78"/>
      <c r="P1450" s="78"/>
      <c r="Q1450" s="78"/>
      <c r="R1450" s="54"/>
    </row>
    <row r="1451" spans="2:18" x14ac:dyDescent="0.2">
      <c r="B1451" s="53"/>
      <c r="C1451" s="78"/>
      <c r="D1451" s="78"/>
      <c r="E1451" s="78"/>
      <c r="F1451" s="78"/>
      <c r="G1451" s="78"/>
      <c r="H1451" s="79"/>
      <c r="I1451" s="78"/>
      <c r="J1451" s="78"/>
      <c r="K1451" s="78"/>
      <c r="L1451" s="78"/>
      <c r="M1451" s="16"/>
      <c r="N1451" s="78"/>
      <c r="O1451" s="78"/>
      <c r="P1451" s="78"/>
      <c r="Q1451" s="78"/>
      <c r="R1451" s="54"/>
    </row>
    <row r="1452" spans="2:18" x14ac:dyDescent="0.2">
      <c r="B1452" s="53"/>
      <c r="C1452" s="78"/>
      <c r="D1452" s="78"/>
      <c r="E1452" s="78"/>
      <c r="F1452" s="78"/>
      <c r="G1452" s="78"/>
      <c r="H1452" s="79"/>
      <c r="I1452" s="78"/>
      <c r="J1452" s="78"/>
      <c r="K1452" s="78"/>
      <c r="L1452" s="78"/>
      <c r="M1452" s="16"/>
      <c r="N1452" s="78"/>
      <c r="O1452" s="78"/>
      <c r="P1452" s="78"/>
      <c r="Q1452" s="78"/>
      <c r="R1452" s="54"/>
    </row>
    <row r="1453" spans="2:18" x14ac:dyDescent="0.2">
      <c r="B1453" s="53"/>
      <c r="C1453" s="78"/>
      <c r="D1453" s="78"/>
      <c r="E1453" s="78"/>
      <c r="F1453" s="78"/>
      <c r="G1453" s="78"/>
      <c r="H1453" s="79"/>
      <c r="I1453" s="78"/>
      <c r="J1453" s="78"/>
      <c r="K1453" s="78"/>
      <c r="L1453" s="78"/>
      <c r="M1453" s="16"/>
      <c r="N1453" s="78"/>
      <c r="O1453" s="78"/>
      <c r="P1453" s="78"/>
      <c r="Q1453" s="78"/>
      <c r="R1453" s="54"/>
    </row>
    <row r="1454" spans="2:18" x14ac:dyDescent="0.2">
      <c r="B1454" s="53"/>
      <c r="C1454" s="78"/>
      <c r="D1454" s="78"/>
      <c r="E1454" s="78"/>
      <c r="F1454" s="78"/>
      <c r="G1454" s="78"/>
      <c r="H1454" s="79"/>
      <c r="I1454" s="78"/>
      <c r="J1454" s="78"/>
      <c r="K1454" s="78"/>
      <c r="L1454" s="78"/>
      <c r="M1454" s="16"/>
      <c r="N1454" s="78"/>
      <c r="O1454" s="78"/>
      <c r="P1454" s="78"/>
      <c r="Q1454" s="78"/>
      <c r="R1454" s="54"/>
    </row>
    <row r="1455" spans="2:18" x14ac:dyDescent="0.2">
      <c r="B1455" s="53"/>
      <c r="C1455" s="78"/>
      <c r="D1455" s="78"/>
      <c r="E1455" s="78"/>
      <c r="F1455" s="78"/>
      <c r="G1455" s="78"/>
      <c r="H1455" s="79"/>
      <c r="I1455" s="78"/>
      <c r="J1455" s="78"/>
      <c r="K1455" s="78"/>
      <c r="L1455" s="78"/>
      <c r="M1455" s="16"/>
      <c r="N1455" s="78"/>
      <c r="O1455" s="78"/>
      <c r="P1455" s="78"/>
      <c r="Q1455" s="78"/>
      <c r="R1455" s="54"/>
    </row>
    <row r="1456" spans="2:18" x14ac:dyDescent="0.2">
      <c r="B1456" s="53"/>
      <c r="C1456" s="78"/>
      <c r="D1456" s="78"/>
      <c r="E1456" s="78"/>
      <c r="F1456" s="78"/>
      <c r="G1456" s="78"/>
      <c r="H1456" s="79"/>
      <c r="I1456" s="78"/>
      <c r="J1456" s="78"/>
      <c r="K1456" s="78"/>
      <c r="L1456" s="78"/>
      <c r="M1456" s="16"/>
      <c r="N1456" s="78"/>
      <c r="O1456" s="78"/>
      <c r="P1456" s="78"/>
      <c r="Q1456" s="78"/>
      <c r="R1456" s="54"/>
    </row>
    <row r="1457" spans="2:18" x14ac:dyDescent="0.2">
      <c r="B1457" s="53"/>
      <c r="C1457" s="78"/>
      <c r="D1457" s="78"/>
      <c r="E1457" s="78"/>
      <c r="F1457" s="78"/>
      <c r="G1457" s="78"/>
      <c r="H1457" s="79"/>
      <c r="I1457" s="78"/>
      <c r="J1457" s="78"/>
      <c r="K1457" s="78"/>
      <c r="L1457" s="78"/>
      <c r="M1457" s="16"/>
      <c r="N1457" s="78"/>
      <c r="O1457" s="78"/>
      <c r="P1457" s="78"/>
      <c r="Q1457" s="78"/>
      <c r="R1457" s="54"/>
    </row>
    <row r="1458" spans="2:18" x14ac:dyDescent="0.2">
      <c r="B1458" s="53"/>
      <c r="C1458" s="78"/>
      <c r="D1458" s="78"/>
      <c r="E1458" s="78"/>
      <c r="F1458" s="78"/>
      <c r="G1458" s="78"/>
      <c r="H1458" s="79"/>
      <c r="I1458" s="78"/>
      <c r="J1458" s="78"/>
      <c r="K1458" s="78"/>
      <c r="L1458" s="78"/>
      <c r="M1458" s="16"/>
      <c r="N1458" s="78"/>
      <c r="O1458" s="78"/>
      <c r="P1458" s="78"/>
      <c r="Q1458" s="78"/>
      <c r="R1458" s="54"/>
    </row>
    <row r="1459" spans="2:18" x14ac:dyDescent="0.2">
      <c r="B1459" s="53"/>
      <c r="C1459" s="78"/>
      <c r="D1459" s="78"/>
      <c r="E1459" s="78"/>
      <c r="F1459" s="78"/>
      <c r="G1459" s="78"/>
      <c r="H1459" s="79"/>
      <c r="I1459" s="78"/>
      <c r="J1459" s="78"/>
      <c r="K1459" s="78"/>
      <c r="L1459" s="78"/>
      <c r="M1459" s="16"/>
      <c r="N1459" s="78"/>
      <c r="O1459" s="78"/>
      <c r="P1459" s="78"/>
      <c r="Q1459" s="78"/>
      <c r="R1459" s="54"/>
    </row>
    <row r="1460" spans="2:18" x14ac:dyDescent="0.2">
      <c r="B1460" s="53"/>
      <c r="C1460" s="78"/>
      <c r="D1460" s="78"/>
      <c r="E1460" s="78"/>
      <c r="F1460" s="78"/>
      <c r="G1460" s="78"/>
      <c r="H1460" s="79"/>
      <c r="I1460" s="78"/>
      <c r="J1460" s="78"/>
      <c r="K1460" s="78"/>
      <c r="L1460" s="78"/>
      <c r="M1460" s="16"/>
      <c r="N1460" s="78"/>
      <c r="O1460" s="78"/>
      <c r="P1460" s="78"/>
      <c r="Q1460" s="78"/>
      <c r="R1460" s="54"/>
    </row>
    <row r="1461" spans="2:18" x14ac:dyDescent="0.2">
      <c r="B1461" s="53"/>
      <c r="C1461" s="78"/>
      <c r="D1461" s="78"/>
      <c r="E1461" s="78"/>
      <c r="F1461" s="78"/>
      <c r="G1461" s="78"/>
      <c r="H1461" s="79"/>
      <c r="I1461" s="78"/>
      <c r="J1461" s="78"/>
      <c r="K1461" s="78"/>
      <c r="L1461" s="78"/>
      <c r="M1461" s="16"/>
      <c r="N1461" s="78"/>
      <c r="O1461" s="78"/>
      <c r="P1461" s="78"/>
      <c r="Q1461" s="78"/>
      <c r="R1461" s="54"/>
    </row>
    <row r="1462" spans="2:18" x14ac:dyDescent="0.2">
      <c r="B1462" s="53"/>
      <c r="C1462" s="78"/>
      <c r="D1462" s="78"/>
      <c r="E1462" s="78"/>
      <c r="F1462" s="78"/>
      <c r="G1462" s="78"/>
      <c r="H1462" s="79"/>
      <c r="I1462" s="78"/>
      <c r="J1462" s="78"/>
      <c r="K1462" s="78"/>
      <c r="L1462" s="78"/>
      <c r="M1462" s="16"/>
      <c r="N1462" s="78"/>
      <c r="O1462" s="78"/>
      <c r="P1462" s="78"/>
      <c r="Q1462" s="78"/>
      <c r="R1462" s="54"/>
    </row>
    <row r="1463" spans="2:18" x14ac:dyDescent="0.2">
      <c r="B1463" s="53"/>
      <c r="C1463" s="78"/>
      <c r="D1463" s="78"/>
      <c r="E1463" s="78"/>
      <c r="F1463" s="78"/>
      <c r="G1463" s="78"/>
      <c r="H1463" s="79"/>
      <c r="I1463" s="78"/>
      <c r="J1463" s="78"/>
      <c r="K1463" s="78"/>
      <c r="L1463" s="78"/>
      <c r="M1463" s="16"/>
      <c r="N1463" s="78"/>
      <c r="O1463" s="78"/>
      <c r="P1463" s="78"/>
      <c r="Q1463" s="78"/>
      <c r="R1463" s="54"/>
    </row>
    <row r="1464" spans="2:18" x14ac:dyDescent="0.2">
      <c r="B1464" s="53"/>
      <c r="C1464" s="78"/>
      <c r="D1464" s="78"/>
      <c r="E1464" s="78"/>
      <c r="F1464" s="78"/>
      <c r="G1464" s="78"/>
      <c r="H1464" s="79"/>
      <c r="I1464" s="78"/>
      <c r="J1464" s="78"/>
      <c r="K1464" s="78"/>
      <c r="L1464" s="78"/>
      <c r="M1464" s="16"/>
      <c r="N1464" s="78"/>
      <c r="O1464" s="78"/>
      <c r="P1464" s="78"/>
      <c r="Q1464" s="78"/>
      <c r="R1464" s="54"/>
    </row>
    <row r="1465" spans="2:18" x14ac:dyDescent="0.2">
      <c r="B1465" s="53"/>
      <c r="C1465" s="78"/>
      <c r="D1465" s="78"/>
      <c r="E1465" s="78"/>
      <c r="F1465" s="78"/>
      <c r="G1465" s="78"/>
      <c r="H1465" s="79"/>
      <c r="I1465" s="78"/>
      <c r="J1465" s="78"/>
      <c r="K1465" s="78"/>
      <c r="L1465" s="78"/>
      <c r="M1465" s="16"/>
      <c r="N1465" s="78"/>
      <c r="O1465" s="78"/>
      <c r="P1465" s="78"/>
      <c r="Q1465" s="78"/>
      <c r="R1465" s="54"/>
    </row>
    <row r="1466" spans="2:18" x14ac:dyDescent="0.2">
      <c r="B1466" s="53"/>
      <c r="C1466" s="78"/>
      <c r="D1466" s="78"/>
      <c r="E1466" s="78"/>
      <c r="F1466" s="78"/>
      <c r="G1466" s="78"/>
      <c r="H1466" s="79"/>
      <c r="I1466" s="78"/>
      <c r="J1466" s="78"/>
      <c r="K1466" s="78"/>
      <c r="L1466" s="78"/>
      <c r="M1466" s="16"/>
      <c r="N1466" s="78"/>
      <c r="O1466" s="78"/>
      <c r="P1466" s="78"/>
      <c r="Q1466" s="78"/>
      <c r="R1466" s="54"/>
    </row>
    <row r="1467" spans="2:18" x14ac:dyDescent="0.2">
      <c r="B1467" s="53"/>
      <c r="C1467" s="78"/>
      <c r="D1467" s="78"/>
      <c r="E1467" s="78"/>
      <c r="F1467" s="78"/>
      <c r="G1467" s="78"/>
      <c r="H1467" s="79"/>
      <c r="I1467" s="78"/>
      <c r="J1467" s="78"/>
      <c r="K1467" s="78"/>
      <c r="L1467" s="78"/>
      <c r="M1467" s="16"/>
      <c r="N1467" s="78"/>
      <c r="O1467" s="78"/>
      <c r="P1467" s="78"/>
      <c r="Q1467" s="78"/>
      <c r="R1467" s="54"/>
    </row>
    <row r="1468" spans="2:18" x14ac:dyDescent="0.2">
      <c r="B1468" s="53"/>
      <c r="C1468" s="78"/>
      <c r="D1468" s="78"/>
      <c r="E1468" s="78"/>
      <c r="F1468" s="78"/>
      <c r="G1468" s="78"/>
      <c r="H1468" s="79"/>
      <c r="I1468" s="78"/>
      <c r="J1468" s="78"/>
      <c r="K1468" s="78"/>
      <c r="L1468" s="78"/>
      <c r="M1468" s="16"/>
      <c r="N1468" s="78"/>
      <c r="O1468" s="78"/>
      <c r="P1468" s="78"/>
      <c r="Q1468" s="78"/>
      <c r="R1468" s="54"/>
    </row>
    <row r="1469" spans="2:18" x14ac:dyDescent="0.2">
      <c r="B1469" s="53"/>
      <c r="C1469" s="78"/>
      <c r="D1469" s="78"/>
      <c r="E1469" s="78"/>
      <c r="F1469" s="78"/>
      <c r="G1469" s="78"/>
      <c r="H1469" s="79"/>
      <c r="I1469" s="78"/>
      <c r="J1469" s="78"/>
      <c r="K1469" s="78"/>
      <c r="L1469" s="78"/>
      <c r="M1469" s="16"/>
      <c r="N1469" s="78"/>
      <c r="O1469" s="78"/>
      <c r="P1469" s="78"/>
      <c r="Q1469" s="78"/>
      <c r="R1469" s="54"/>
    </row>
    <row r="1470" spans="2:18" x14ac:dyDescent="0.2">
      <c r="B1470" s="53"/>
      <c r="C1470" s="78"/>
      <c r="D1470" s="78"/>
      <c r="E1470" s="78"/>
      <c r="F1470" s="78"/>
      <c r="G1470" s="78"/>
      <c r="H1470" s="79"/>
      <c r="I1470" s="78"/>
      <c r="J1470" s="78"/>
      <c r="K1470" s="78"/>
      <c r="L1470" s="78"/>
      <c r="M1470" s="16"/>
      <c r="N1470" s="78"/>
      <c r="O1470" s="78"/>
      <c r="P1470" s="78"/>
      <c r="Q1470" s="78"/>
      <c r="R1470" s="54"/>
    </row>
    <row r="1471" spans="2:18" x14ac:dyDescent="0.2">
      <c r="B1471" s="53"/>
      <c r="C1471" s="78"/>
      <c r="D1471" s="78"/>
      <c r="E1471" s="78"/>
      <c r="F1471" s="78"/>
      <c r="G1471" s="78"/>
      <c r="H1471" s="79"/>
      <c r="I1471" s="78"/>
      <c r="J1471" s="78"/>
      <c r="K1471" s="78"/>
      <c r="L1471" s="78"/>
      <c r="M1471" s="16"/>
      <c r="N1471" s="78"/>
      <c r="O1471" s="78"/>
      <c r="P1471" s="78"/>
      <c r="Q1471" s="78"/>
      <c r="R1471" s="54"/>
    </row>
    <row r="1472" spans="2:18" x14ac:dyDescent="0.2">
      <c r="B1472" s="53"/>
      <c r="C1472" s="78"/>
      <c r="D1472" s="78"/>
      <c r="E1472" s="78"/>
      <c r="F1472" s="78"/>
      <c r="G1472" s="78"/>
      <c r="H1472" s="79"/>
      <c r="I1472" s="78"/>
      <c r="J1472" s="78"/>
      <c r="K1472" s="78"/>
      <c r="L1472" s="78"/>
      <c r="M1472" s="16"/>
      <c r="N1472" s="78"/>
      <c r="O1472" s="78"/>
      <c r="P1472" s="78"/>
      <c r="Q1472" s="78"/>
      <c r="R1472" s="54"/>
    </row>
    <row r="1473" spans="2:18" x14ac:dyDescent="0.2">
      <c r="B1473" s="53"/>
      <c r="C1473" s="78"/>
      <c r="D1473" s="78"/>
      <c r="E1473" s="78"/>
      <c r="F1473" s="78"/>
      <c r="G1473" s="78"/>
      <c r="H1473" s="79"/>
      <c r="I1473" s="78"/>
      <c r="J1473" s="78"/>
      <c r="K1473" s="78"/>
      <c r="L1473" s="78"/>
      <c r="M1473" s="16"/>
      <c r="N1473" s="78"/>
      <c r="O1473" s="78"/>
      <c r="P1473" s="78"/>
      <c r="Q1473" s="78"/>
      <c r="R1473" s="54"/>
    </row>
    <row r="1474" spans="2:18" x14ac:dyDescent="0.2">
      <c r="B1474" s="53"/>
      <c r="C1474" s="78"/>
      <c r="D1474" s="78"/>
      <c r="E1474" s="78"/>
      <c r="F1474" s="78"/>
      <c r="G1474" s="78"/>
      <c r="H1474" s="79"/>
      <c r="I1474" s="78"/>
      <c r="J1474" s="78"/>
      <c r="K1474" s="78"/>
      <c r="L1474" s="78"/>
      <c r="M1474" s="16"/>
      <c r="N1474" s="78"/>
      <c r="O1474" s="78"/>
      <c r="P1474" s="78"/>
      <c r="Q1474" s="78"/>
      <c r="R1474" s="54"/>
    </row>
    <row r="1475" spans="2:18" x14ac:dyDescent="0.2">
      <c r="B1475" s="53"/>
      <c r="C1475" s="78"/>
      <c r="D1475" s="78"/>
      <c r="E1475" s="78"/>
      <c r="F1475" s="78"/>
      <c r="G1475" s="78"/>
      <c r="H1475" s="79"/>
      <c r="I1475" s="78"/>
      <c r="J1475" s="78"/>
      <c r="K1475" s="78"/>
      <c r="L1475" s="78"/>
      <c r="M1475" s="16"/>
      <c r="N1475" s="78"/>
      <c r="O1475" s="78"/>
      <c r="P1475" s="78"/>
      <c r="Q1475" s="78"/>
      <c r="R1475" s="54"/>
    </row>
    <row r="1476" spans="2:18" x14ac:dyDescent="0.2">
      <c r="B1476" s="53"/>
      <c r="C1476" s="78"/>
      <c r="D1476" s="78"/>
      <c r="E1476" s="78"/>
      <c r="F1476" s="78"/>
      <c r="G1476" s="78"/>
      <c r="H1476" s="79"/>
      <c r="I1476" s="78"/>
      <c r="J1476" s="78"/>
      <c r="K1476" s="78"/>
      <c r="L1476" s="78"/>
      <c r="M1476" s="16"/>
      <c r="N1476" s="78"/>
      <c r="O1476" s="78"/>
      <c r="P1476" s="78"/>
      <c r="Q1476" s="78"/>
      <c r="R1476" s="54"/>
    </row>
    <row r="1477" spans="2:18" x14ac:dyDescent="0.2">
      <c r="B1477" s="53"/>
      <c r="C1477" s="78"/>
      <c r="D1477" s="78"/>
      <c r="E1477" s="78"/>
      <c r="F1477" s="78"/>
      <c r="G1477" s="78"/>
      <c r="H1477" s="79"/>
      <c r="I1477" s="78"/>
      <c r="J1477" s="78"/>
      <c r="K1477" s="78"/>
      <c r="L1477" s="78"/>
      <c r="M1477" s="16"/>
      <c r="N1477" s="78"/>
      <c r="O1477" s="78"/>
      <c r="P1477" s="78"/>
      <c r="Q1477" s="78"/>
      <c r="R1477" s="54"/>
    </row>
    <row r="1478" spans="2:18" x14ac:dyDescent="0.2">
      <c r="B1478" s="53"/>
      <c r="C1478" s="78"/>
      <c r="D1478" s="78"/>
      <c r="E1478" s="78"/>
      <c r="F1478" s="78"/>
      <c r="G1478" s="78"/>
      <c r="H1478" s="79"/>
      <c r="I1478" s="78"/>
      <c r="J1478" s="78"/>
      <c r="K1478" s="78"/>
      <c r="L1478" s="78"/>
      <c r="M1478" s="16"/>
      <c r="N1478" s="78"/>
      <c r="O1478" s="78"/>
      <c r="P1478" s="78"/>
      <c r="Q1478" s="78"/>
      <c r="R1478" s="54"/>
    </row>
    <row r="1479" spans="2:18" x14ac:dyDescent="0.2">
      <c r="B1479" s="53"/>
      <c r="C1479" s="78"/>
      <c r="D1479" s="78"/>
      <c r="E1479" s="78"/>
      <c r="F1479" s="78"/>
      <c r="G1479" s="78"/>
      <c r="H1479" s="79"/>
      <c r="I1479" s="78"/>
      <c r="J1479" s="78"/>
      <c r="K1479" s="78"/>
      <c r="L1479" s="78"/>
      <c r="M1479" s="16"/>
      <c r="N1479" s="78"/>
      <c r="O1479" s="78"/>
      <c r="P1479" s="78"/>
      <c r="Q1479" s="78"/>
      <c r="R1479" s="54"/>
    </row>
    <row r="1480" spans="2:18" x14ac:dyDescent="0.2">
      <c r="B1480" s="53"/>
      <c r="C1480" s="78"/>
      <c r="D1480" s="78"/>
      <c r="E1480" s="78"/>
      <c r="F1480" s="78"/>
      <c r="G1480" s="78"/>
      <c r="H1480" s="79"/>
      <c r="I1480" s="78"/>
      <c r="J1480" s="78"/>
      <c r="K1480" s="78"/>
      <c r="L1480" s="78"/>
      <c r="M1480" s="16"/>
      <c r="N1480" s="78"/>
      <c r="O1480" s="78"/>
      <c r="P1480" s="78"/>
      <c r="Q1480" s="78"/>
      <c r="R1480" s="54"/>
    </row>
    <row r="1481" spans="2:18" x14ac:dyDescent="0.2">
      <c r="B1481" s="53"/>
      <c r="C1481" s="78"/>
      <c r="D1481" s="78"/>
      <c r="E1481" s="78"/>
      <c r="F1481" s="78"/>
      <c r="G1481" s="78"/>
      <c r="H1481" s="79"/>
      <c r="I1481" s="78"/>
      <c r="J1481" s="78"/>
      <c r="K1481" s="78"/>
      <c r="L1481" s="78"/>
      <c r="M1481" s="16"/>
      <c r="N1481" s="78"/>
      <c r="O1481" s="78"/>
      <c r="P1481" s="78"/>
      <c r="Q1481" s="78"/>
      <c r="R1481" s="54"/>
    </row>
    <row r="1482" spans="2:18" x14ac:dyDescent="0.2">
      <c r="B1482" s="53"/>
      <c r="C1482" s="78"/>
      <c r="D1482" s="78"/>
      <c r="E1482" s="78"/>
      <c r="F1482" s="78"/>
      <c r="G1482" s="78"/>
      <c r="H1482" s="79"/>
      <c r="I1482" s="78"/>
      <c r="J1482" s="78"/>
      <c r="K1482" s="78"/>
      <c r="L1482" s="78"/>
      <c r="M1482" s="16"/>
      <c r="N1482" s="78"/>
      <c r="O1482" s="78"/>
      <c r="P1482" s="78"/>
      <c r="Q1482" s="78"/>
      <c r="R1482" s="54"/>
    </row>
    <row r="1483" spans="2:18" x14ac:dyDescent="0.2">
      <c r="B1483" s="53"/>
      <c r="C1483" s="78"/>
      <c r="D1483" s="78"/>
      <c r="E1483" s="78"/>
      <c r="F1483" s="78"/>
      <c r="G1483" s="78"/>
      <c r="H1483" s="79"/>
      <c r="I1483" s="78"/>
      <c r="J1483" s="78"/>
      <c r="K1483" s="78"/>
      <c r="L1483" s="78"/>
      <c r="M1483" s="16"/>
      <c r="N1483" s="78"/>
      <c r="O1483" s="78"/>
      <c r="P1483" s="78"/>
      <c r="Q1483" s="78"/>
      <c r="R1483" s="54"/>
    </row>
    <row r="1484" spans="2:18" x14ac:dyDescent="0.2">
      <c r="B1484" s="53"/>
      <c r="C1484" s="78"/>
      <c r="D1484" s="78"/>
      <c r="E1484" s="78"/>
      <c r="F1484" s="78"/>
      <c r="G1484" s="78"/>
      <c r="H1484" s="79"/>
      <c r="I1484" s="78"/>
      <c r="J1484" s="78"/>
      <c r="K1484" s="78"/>
      <c r="L1484" s="78"/>
      <c r="M1484" s="16"/>
      <c r="N1484" s="78"/>
      <c r="O1484" s="78"/>
      <c r="P1484" s="78"/>
      <c r="Q1484" s="78"/>
      <c r="R1484" s="54"/>
    </row>
    <row r="1485" spans="2:18" x14ac:dyDescent="0.2">
      <c r="B1485" s="53"/>
      <c r="C1485" s="78"/>
      <c r="D1485" s="78"/>
      <c r="E1485" s="78"/>
      <c r="F1485" s="78"/>
      <c r="G1485" s="78"/>
      <c r="H1485" s="79"/>
      <c r="I1485" s="78"/>
      <c r="J1485" s="78"/>
      <c r="K1485" s="78"/>
      <c r="L1485" s="78"/>
      <c r="M1485" s="16"/>
      <c r="N1485" s="78"/>
      <c r="O1485" s="78"/>
      <c r="P1485" s="78"/>
      <c r="Q1485" s="78"/>
      <c r="R1485" s="54"/>
    </row>
    <row r="1486" spans="2:18" x14ac:dyDescent="0.2">
      <c r="B1486" s="53"/>
      <c r="C1486" s="78"/>
      <c r="D1486" s="78"/>
      <c r="E1486" s="78"/>
      <c r="F1486" s="78"/>
      <c r="G1486" s="78"/>
      <c r="H1486" s="79"/>
      <c r="I1486" s="78"/>
      <c r="J1486" s="78"/>
      <c r="K1486" s="78"/>
      <c r="L1486" s="78"/>
      <c r="M1486" s="16"/>
      <c r="N1486" s="78"/>
      <c r="O1486" s="78"/>
      <c r="P1486" s="78"/>
      <c r="Q1486" s="78"/>
      <c r="R1486" s="54"/>
    </row>
    <row r="1487" spans="2:18" x14ac:dyDescent="0.2">
      <c r="B1487" s="53"/>
      <c r="C1487" s="78"/>
      <c r="D1487" s="78"/>
      <c r="E1487" s="78"/>
      <c r="F1487" s="78"/>
      <c r="G1487" s="78"/>
      <c r="H1487" s="79"/>
      <c r="I1487" s="78"/>
      <c r="J1487" s="78"/>
      <c r="K1487" s="78"/>
      <c r="L1487" s="78"/>
      <c r="M1487" s="16"/>
      <c r="N1487" s="78"/>
      <c r="O1487" s="78"/>
      <c r="P1487" s="78"/>
      <c r="Q1487" s="78"/>
      <c r="R1487" s="54"/>
    </row>
    <row r="1488" spans="2:18" x14ac:dyDescent="0.2">
      <c r="B1488" s="53"/>
      <c r="C1488" s="78"/>
      <c r="D1488" s="78"/>
      <c r="E1488" s="78"/>
      <c r="F1488" s="78"/>
      <c r="G1488" s="78"/>
      <c r="H1488" s="79"/>
      <c r="I1488" s="78"/>
      <c r="J1488" s="78"/>
      <c r="K1488" s="78"/>
      <c r="L1488" s="78"/>
      <c r="M1488" s="16"/>
      <c r="N1488" s="78"/>
      <c r="O1488" s="78"/>
      <c r="P1488" s="78"/>
      <c r="Q1488" s="78"/>
      <c r="R1488" s="54"/>
    </row>
    <row r="1489" spans="2:18" x14ac:dyDescent="0.2">
      <c r="B1489" s="53"/>
      <c r="C1489" s="78"/>
      <c r="D1489" s="78"/>
      <c r="E1489" s="78"/>
      <c r="F1489" s="78"/>
      <c r="G1489" s="78"/>
      <c r="H1489" s="79"/>
      <c r="I1489" s="78"/>
      <c r="J1489" s="78"/>
      <c r="K1489" s="78"/>
      <c r="L1489" s="78"/>
      <c r="M1489" s="16"/>
      <c r="N1489" s="78"/>
      <c r="O1489" s="78"/>
      <c r="P1489" s="78"/>
      <c r="Q1489" s="78"/>
      <c r="R1489" s="54"/>
    </row>
    <row r="1490" spans="2:18" x14ac:dyDescent="0.2">
      <c r="B1490" s="53"/>
      <c r="C1490" s="78"/>
      <c r="D1490" s="78"/>
      <c r="E1490" s="78"/>
      <c r="F1490" s="78"/>
      <c r="G1490" s="78"/>
      <c r="H1490" s="79"/>
      <c r="I1490" s="78"/>
      <c r="J1490" s="78"/>
      <c r="K1490" s="78"/>
      <c r="L1490" s="78"/>
      <c r="M1490" s="16"/>
      <c r="N1490" s="78"/>
      <c r="O1490" s="78"/>
      <c r="P1490" s="78"/>
      <c r="Q1490" s="78"/>
      <c r="R1490" s="54"/>
    </row>
    <row r="1491" spans="2:18" x14ac:dyDescent="0.2">
      <c r="B1491" s="53"/>
      <c r="C1491" s="78"/>
      <c r="D1491" s="78"/>
      <c r="E1491" s="78"/>
      <c r="F1491" s="78"/>
      <c r="G1491" s="78"/>
      <c r="H1491" s="79"/>
      <c r="I1491" s="78"/>
      <c r="J1491" s="78"/>
      <c r="K1491" s="78"/>
      <c r="L1491" s="78"/>
      <c r="M1491" s="16"/>
      <c r="N1491" s="78"/>
      <c r="O1491" s="78"/>
      <c r="P1491" s="78"/>
      <c r="Q1491" s="78"/>
      <c r="R1491" s="54"/>
    </row>
    <row r="1492" spans="2:18" x14ac:dyDescent="0.2">
      <c r="B1492" s="53"/>
      <c r="C1492" s="78"/>
      <c r="D1492" s="78"/>
      <c r="E1492" s="78"/>
      <c r="F1492" s="78"/>
      <c r="G1492" s="78"/>
      <c r="H1492" s="79"/>
      <c r="I1492" s="78"/>
      <c r="J1492" s="78"/>
      <c r="K1492" s="78"/>
      <c r="L1492" s="78"/>
      <c r="M1492" s="16"/>
      <c r="N1492" s="78"/>
      <c r="O1492" s="78"/>
      <c r="P1492" s="78"/>
      <c r="Q1492" s="78"/>
      <c r="R1492" s="54"/>
    </row>
    <row r="1493" spans="2:18" x14ac:dyDescent="0.2">
      <c r="B1493" s="53"/>
      <c r="C1493" s="78"/>
      <c r="D1493" s="78"/>
      <c r="E1493" s="78"/>
      <c r="F1493" s="78"/>
      <c r="G1493" s="78"/>
      <c r="H1493" s="79"/>
      <c r="I1493" s="78"/>
      <c r="J1493" s="78"/>
      <c r="K1493" s="78"/>
      <c r="L1493" s="78"/>
      <c r="M1493" s="16"/>
      <c r="N1493" s="78"/>
      <c r="O1493" s="78"/>
      <c r="P1493" s="78"/>
      <c r="Q1493" s="78"/>
      <c r="R1493" s="54"/>
    </row>
    <row r="1494" spans="2:18" x14ac:dyDescent="0.2">
      <c r="B1494" s="53"/>
      <c r="C1494" s="78"/>
      <c r="D1494" s="78"/>
      <c r="E1494" s="78"/>
      <c r="F1494" s="78"/>
      <c r="G1494" s="78"/>
      <c r="H1494" s="79"/>
      <c r="I1494" s="78"/>
      <c r="J1494" s="78"/>
      <c r="K1494" s="78"/>
      <c r="L1494" s="78"/>
      <c r="M1494" s="16"/>
      <c r="N1494" s="78"/>
      <c r="O1494" s="78"/>
      <c r="P1494" s="78"/>
      <c r="Q1494" s="78"/>
      <c r="R1494" s="54"/>
    </row>
    <row r="1495" spans="2:18" x14ac:dyDescent="0.2">
      <c r="B1495" s="53"/>
      <c r="C1495" s="78"/>
      <c r="D1495" s="78"/>
      <c r="E1495" s="78"/>
      <c r="F1495" s="78"/>
      <c r="G1495" s="78"/>
      <c r="H1495" s="79"/>
      <c r="I1495" s="78"/>
      <c r="J1495" s="78"/>
      <c r="K1495" s="78"/>
      <c r="L1495" s="78"/>
      <c r="M1495" s="16"/>
      <c r="N1495" s="78"/>
      <c r="O1495" s="78"/>
      <c r="P1495" s="78"/>
      <c r="Q1495" s="78"/>
      <c r="R1495" s="54"/>
    </row>
    <row r="1496" spans="2:18" x14ac:dyDescent="0.2">
      <c r="B1496" s="53"/>
      <c r="C1496" s="78"/>
      <c r="D1496" s="78"/>
      <c r="E1496" s="78"/>
      <c r="F1496" s="78"/>
      <c r="G1496" s="78"/>
      <c r="H1496" s="79"/>
      <c r="I1496" s="78"/>
      <c r="J1496" s="78"/>
      <c r="K1496" s="78"/>
      <c r="L1496" s="78"/>
      <c r="M1496" s="16"/>
      <c r="N1496" s="78"/>
      <c r="O1496" s="78"/>
      <c r="P1496" s="78"/>
      <c r="Q1496" s="78"/>
      <c r="R1496" s="54"/>
    </row>
    <row r="1497" spans="2:18" x14ac:dyDescent="0.2">
      <c r="B1497" s="53"/>
      <c r="C1497" s="78"/>
      <c r="D1497" s="78"/>
      <c r="E1497" s="78"/>
      <c r="F1497" s="78"/>
      <c r="G1497" s="78"/>
      <c r="H1497" s="79"/>
      <c r="I1497" s="78"/>
      <c r="J1497" s="78"/>
      <c r="K1497" s="78"/>
      <c r="L1497" s="78"/>
      <c r="M1497" s="16"/>
      <c r="N1497" s="78"/>
      <c r="O1497" s="78"/>
      <c r="P1497" s="78"/>
      <c r="Q1497" s="78"/>
      <c r="R1497" s="54"/>
    </row>
    <row r="1498" spans="2:18" x14ac:dyDescent="0.2">
      <c r="B1498" s="53"/>
      <c r="C1498" s="78"/>
      <c r="D1498" s="78"/>
      <c r="E1498" s="78"/>
      <c r="F1498" s="78"/>
      <c r="G1498" s="78"/>
      <c r="H1498" s="79"/>
      <c r="I1498" s="78"/>
      <c r="J1498" s="78"/>
      <c r="K1498" s="78"/>
      <c r="L1498" s="78"/>
      <c r="M1498" s="16"/>
      <c r="N1498" s="78"/>
      <c r="O1498" s="78"/>
      <c r="P1498" s="78"/>
      <c r="Q1498" s="78"/>
      <c r="R1498" s="54"/>
    </row>
    <row r="1499" spans="2:18" x14ac:dyDescent="0.2">
      <c r="B1499" s="53"/>
      <c r="C1499" s="78"/>
      <c r="D1499" s="78"/>
      <c r="E1499" s="78"/>
      <c r="F1499" s="78"/>
      <c r="G1499" s="78"/>
      <c r="H1499" s="79"/>
      <c r="I1499" s="78"/>
      <c r="J1499" s="78"/>
      <c r="K1499" s="78"/>
      <c r="L1499" s="78"/>
      <c r="M1499" s="16"/>
      <c r="N1499" s="78"/>
      <c r="O1499" s="78"/>
      <c r="P1499" s="78"/>
      <c r="Q1499" s="78"/>
      <c r="R1499" s="54"/>
    </row>
    <row r="1500" spans="2:18" x14ac:dyDescent="0.2">
      <c r="B1500" s="53"/>
      <c r="C1500" s="78"/>
      <c r="D1500" s="78"/>
      <c r="E1500" s="78"/>
      <c r="F1500" s="78"/>
      <c r="G1500" s="78"/>
      <c r="H1500" s="79"/>
      <c r="I1500" s="78"/>
      <c r="J1500" s="78"/>
      <c r="K1500" s="78"/>
      <c r="L1500" s="78"/>
      <c r="M1500" s="16"/>
      <c r="N1500" s="78"/>
      <c r="O1500" s="78"/>
      <c r="P1500" s="78"/>
      <c r="Q1500" s="78"/>
      <c r="R1500" s="54"/>
    </row>
    <row r="1501" spans="2:18" x14ac:dyDescent="0.2">
      <c r="B1501" s="53"/>
      <c r="C1501" s="78"/>
      <c r="D1501" s="78"/>
      <c r="E1501" s="78"/>
      <c r="F1501" s="78"/>
      <c r="G1501" s="78"/>
      <c r="H1501" s="79"/>
      <c r="I1501" s="78"/>
      <c r="J1501" s="78"/>
      <c r="K1501" s="78"/>
      <c r="L1501" s="78"/>
      <c r="M1501" s="16"/>
      <c r="N1501" s="78"/>
      <c r="O1501" s="78"/>
      <c r="P1501" s="78"/>
      <c r="Q1501" s="78"/>
      <c r="R1501" s="54"/>
    </row>
    <row r="1502" spans="2:18" x14ac:dyDescent="0.2">
      <c r="B1502" s="53"/>
      <c r="C1502" s="78"/>
      <c r="D1502" s="78"/>
      <c r="E1502" s="78"/>
      <c r="F1502" s="78"/>
      <c r="G1502" s="78"/>
      <c r="H1502" s="79"/>
      <c r="I1502" s="78"/>
      <c r="J1502" s="78"/>
      <c r="K1502" s="78"/>
      <c r="L1502" s="78"/>
      <c r="M1502" s="16"/>
      <c r="N1502" s="78"/>
      <c r="O1502" s="78"/>
      <c r="P1502" s="78"/>
      <c r="Q1502" s="78"/>
      <c r="R1502" s="54"/>
    </row>
    <row r="1503" spans="2:18" x14ac:dyDescent="0.2">
      <c r="B1503" s="53"/>
      <c r="C1503" s="78"/>
      <c r="D1503" s="78"/>
      <c r="E1503" s="78"/>
      <c r="F1503" s="78"/>
      <c r="G1503" s="78"/>
      <c r="H1503" s="79"/>
      <c r="I1503" s="78"/>
      <c r="J1503" s="78"/>
      <c r="K1503" s="78"/>
      <c r="L1503" s="78"/>
      <c r="M1503" s="16"/>
      <c r="N1503" s="78"/>
      <c r="O1503" s="78"/>
      <c r="P1503" s="78"/>
      <c r="Q1503" s="78"/>
      <c r="R1503" s="54"/>
    </row>
    <row r="1504" spans="2:18" x14ac:dyDescent="0.2">
      <c r="B1504" s="53"/>
      <c r="C1504" s="78"/>
      <c r="D1504" s="78"/>
      <c r="E1504" s="78"/>
      <c r="F1504" s="78"/>
      <c r="G1504" s="78"/>
      <c r="H1504" s="79"/>
      <c r="I1504" s="78"/>
      <c r="J1504" s="78"/>
      <c r="K1504" s="78"/>
      <c r="L1504" s="78"/>
      <c r="M1504" s="16"/>
      <c r="N1504" s="78"/>
      <c r="O1504" s="78"/>
      <c r="P1504" s="78"/>
      <c r="Q1504" s="78"/>
      <c r="R1504" s="54"/>
    </row>
    <row r="1505" spans="2:18" x14ac:dyDescent="0.2">
      <c r="B1505" s="53"/>
      <c r="C1505" s="78"/>
      <c r="D1505" s="78"/>
      <c r="E1505" s="78"/>
      <c r="F1505" s="78"/>
      <c r="G1505" s="78"/>
      <c r="H1505" s="79"/>
      <c r="I1505" s="78"/>
      <c r="J1505" s="78"/>
      <c r="K1505" s="78"/>
      <c r="L1505" s="78"/>
      <c r="M1505" s="16"/>
      <c r="N1505" s="78"/>
      <c r="O1505" s="78"/>
      <c r="P1505" s="78"/>
      <c r="Q1505" s="78"/>
      <c r="R1505" s="54"/>
    </row>
    <row r="1506" spans="2:18" x14ac:dyDescent="0.2">
      <c r="B1506" s="53"/>
      <c r="C1506" s="78"/>
      <c r="D1506" s="78"/>
      <c r="E1506" s="78"/>
      <c r="F1506" s="78"/>
      <c r="G1506" s="78"/>
      <c r="H1506" s="79"/>
      <c r="I1506" s="78"/>
      <c r="J1506" s="78"/>
      <c r="K1506" s="78"/>
      <c r="L1506" s="78"/>
      <c r="M1506" s="16"/>
      <c r="N1506" s="78"/>
      <c r="O1506" s="78"/>
      <c r="P1506" s="78"/>
      <c r="Q1506" s="78"/>
      <c r="R1506" s="54"/>
    </row>
    <row r="1507" spans="2:18" x14ac:dyDescent="0.2">
      <c r="B1507" s="53"/>
      <c r="C1507" s="78"/>
      <c r="D1507" s="78"/>
      <c r="E1507" s="78"/>
      <c r="F1507" s="78"/>
      <c r="G1507" s="78"/>
      <c r="H1507" s="79"/>
      <c r="I1507" s="78"/>
      <c r="J1507" s="78"/>
      <c r="K1507" s="78"/>
      <c r="L1507" s="78"/>
      <c r="M1507" s="16"/>
      <c r="N1507" s="78"/>
      <c r="O1507" s="78"/>
      <c r="P1507" s="78"/>
      <c r="Q1507" s="78"/>
      <c r="R1507" s="54"/>
    </row>
    <row r="1508" spans="2:18" x14ac:dyDescent="0.2">
      <c r="B1508" s="53"/>
      <c r="C1508" s="78"/>
      <c r="D1508" s="78"/>
      <c r="E1508" s="78"/>
      <c r="F1508" s="78"/>
      <c r="G1508" s="78"/>
      <c r="H1508" s="79"/>
      <c r="I1508" s="78"/>
      <c r="J1508" s="78"/>
      <c r="K1508" s="78"/>
      <c r="L1508" s="78"/>
      <c r="M1508" s="16"/>
      <c r="N1508" s="78"/>
      <c r="O1508" s="78"/>
      <c r="P1508" s="78"/>
      <c r="Q1508" s="78"/>
      <c r="R1508" s="54"/>
    </row>
    <row r="1509" spans="2:18" x14ac:dyDescent="0.2">
      <c r="B1509" s="53"/>
      <c r="C1509" s="78"/>
      <c r="D1509" s="78"/>
      <c r="E1509" s="78"/>
      <c r="F1509" s="78"/>
      <c r="G1509" s="78"/>
      <c r="H1509" s="79"/>
      <c r="I1509" s="78"/>
      <c r="J1509" s="78"/>
      <c r="K1509" s="78"/>
      <c r="L1509" s="78"/>
      <c r="M1509" s="16"/>
      <c r="N1509" s="78"/>
      <c r="O1509" s="78"/>
      <c r="P1509" s="78"/>
      <c r="Q1509" s="78"/>
      <c r="R1509" s="54"/>
    </row>
    <row r="1510" spans="2:18" x14ac:dyDescent="0.2">
      <c r="B1510" s="53"/>
      <c r="C1510" s="78"/>
      <c r="D1510" s="78"/>
      <c r="E1510" s="78"/>
      <c r="F1510" s="78"/>
      <c r="G1510" s="78"/>
      <c r="H1510" s="79"/>
      <c r="I1510" s="78"/>
      <c r="J1510" s="78"/>
      <c r="K1510" s="78"/>
      <c r="L1510" s="78"/>
      <c r="M1510" s="16"/>
      <c r="N1510" s="78"/>
      <c r="O1510" s="78"/>
      <c r="P1510" s="78"/>
      <c r="Q1510" s="78"/>
      <c r="R1510" s="54"/>
    </row>
    <row r="1511" spans="2:18" x14ac:dyDescent="0.2">
      <c r="B1511" s="53"/>
      <c r="C1511" s="78"/>
      <c r="D1511" s="78"/>
      <c r="E1511" s="78"/>
      <c r="F1511" s="78"/>
      <c r="G1511" s="78"/>
      <c r="H1511" s="79"/>
      <c r="I1511" s="78"/>
      <c r="J1511" s="78"/>
      <c r="K1511" s="78"/>
      <c r="L1511" s="78"/>
      <c r="M1511" s="16"/>
      <c r="N1511" s="78"/>
      <c r="O1511" s="78"/>
      <c r="P1511" s="78"/>
      <c r="Q1511" s="78"/>
      <c r="R1511" s="54"/>
    </row>
    <row r="1512" spans="2:18" x14ac:dyDescent="0.2">
      <c r="B1512" s="53"/>
      <c r="C1512" s="78"/>
      <c r="D1512" s="78"/>
      <c r="E1512" s="78"/>
      <c r="F1512" s="78"/>
      <c r="G1512" s="78"/>
      <c r="H1512" s="79"/>
      <c r="I1512" s="78"/>
      <c r="J1512" s="78"/>
      <c r="K1512" s="78"/>
      <c r="L1512" s="78"/>
      <c r="M1512" s="16"/>
      <c r="N1512" s="78"/>
      <c r="O1512" s="78"/>
      <c r="P1512" s="78"/>
      <c r="Q1512" s="78"/>
      <c r="R1512" s="54"/>
    </row>
    <row r="1513" spans="2:18" x14ac:dyDescent="0.2">
      <c r="B1513" s="53"/>
      <c r="C1513" s="78"/>
      <c r="D1513" s="78"/>
      <c r="E1513" s="78"/>
      <c r="F1513" s="78"/>
      <c r="G1513" s="78"/>
      <c r="H1513" s="79"/>
      <c r="I1513" s="78"/>
      <c r="J1513" s="78"/>
      <c r="K1513" s="78"/>
      <c r="L1513" s="78"/>
      <c r="M1513" s="16"/>
      <c r="N1513" s="78"/>
      <c r="O1513" s="78"/>
      <c r="P1513" s="78"/>
      <c r="Q1513" s="78"/>
      <c r="R1513" s="54"/>
    </row>
    <row r="1514" spans="2:18" x14ac:dyDescent="0.2">
      <c r="B1514" s="55"/>
      <c r="C1514" s="18"/>
      <c r="D1514" s="18"/>
      <c r="E1514" s="18"/>
      <c r="F1514" s="18"/>
      <c r="G1514" s="18"/>
      <c r="H1514" s="18"/>
      <c r="I1514" s="18"/>
      <c r="J1514" s="18"/>
      <c r="K1514" s="18"/>
      <c r="L1514" s="18"/>
      <c r="M1514" s="18"/>
      <c r="N1514" s="18"/>
      <c r="O1514" s="18"/>
      <c r="P1514" s="18"/>
      <c r="Q1514" s="18"/>
      <c r="R1514" s="56"/>
    </row>
  </sheetData>
  <sortState ref="C10:Q298">
    <sortCondition ref="C10"/>
    <sortCondition ref="E10"/>
    <sortCondition ref="F10"/>
  </sortState>
  <mergeCells count="3">
    <mergeCell ref="I8:L8"/>
    <mergeCell ref="N8:Q8"/>
    <mergeCell ref="C8:G8"/>
  </mergeCells>
  <phoneticPr fontId="31" type="noConversion"/>
  <conditionalFormatting sqref="C10:G1513 I302:L1513 N302:Q1513">
    <cfRule type="expression" dxfId="6" priority="15">
      <formula>ISEVEN($C10)</formula>
    </cfRule>
    <cfRule type="expression" dxfId="5" priority="16">
      <formula>ISODD($C10)</formula>
    </cfRule>
  </conditionalFormatting>
  <conditionalFormatting sqref="I10:L301">
    <cfRule type="expression" dxfId="4" priority="13">
      <formula>ISEVEN($C10)</formula>
    </cfRule>
    <cfRule type="expression" dxfId="3" priority="14">
      <formula>ISODD($C10)</formula>
    </cfRule>
  </conditionalFormatting>
  <conditionalFormatting sqref="N10:Q301">
    <cfRule type="expression" dxfId="2" priority="9">
      <formula>ISEVEN($C10)</formula>
    </cfRule>
    <cfRule type="expression" dxfId="1" priority="10">
      <formula>ISODD($C10)</formula>
    </cfRule>
  </conditionalFormatting>
  <conditionalFormatting sqref="C10:D1513">
    <cfRule type="expression" dxfId="0" priority="8">
      <formula>COUNTIF($C$10:C10,C10)=1</formula>
    </cfRule>
  </conditionalFormatting>
  <pageMargins left="0.7" right="0.7" top="0.75" bottom="0.75" header="0.3" footer="0.3"/>
  <pageSetup paperSize="158" orientation="portrait" horizontalDpi="360" verticalDpi="360"/>
  <ignoredErrors>
    <ignoredError sqref="C8" emptyCellReference="1"/>
  </ignoredErrors>
  <drawing r:id="rId1"/>
  <legacyDrawing r:id="rId2"/>
  <mc:AlternateContent xmlns:mc="http://schemas.openxmlformats.org/markup-compatibility/2006">
    <mc:Choice Requires="x14">
      <controls>
        <mc:AlternateContent xmlns:mc="http://schemas.openxmlformats.org/markup-compatibility/2006">
          <mc:Choice Requires="x14">
            <control shapeId="8198" r:id="rId3" name="Button 6">
              <controlPr defaultSize="0" print="0" autoFill="0" autoPict="0" macro="[0]!Sheet7.Assign_Instances_Click">
                <anchor moveWithCells="1" sizeWithCells="1">
                  <from>
                    <xdr:col>16</xdr:col>
                    <xdr:colOff>25400</xdr:colOff>
                    <xdr:row>2</xdr:row>
                    <xdr:rowOff>63500</xdr:rowOff>
                  </from>
                  <to>
                    <xdr:col>16</xdr:col>
                    <xdr:colOff>520700</xdr:colOff>
                    <xdr:row>3</xdr:row>
                    <xdr:rowOff>139700</xdr:rowOff>
                  </to>
                </anchor>
              </controlPr>
            </control>
          </mc:Choice>
          <mc:Fallback/>
        </mc:AlternateContent>
        <mc:AlternateContent xmlns:mc="http://schemas.openxmlformats.org/markup-compatibility/2006">
          <mc:Choice Requires="x14">
            <control shapeId="8202" r:id="rId4" name="Button 10">
              <controlPr defaultSize="0" print="0" autoFill="0" autoPict="0" macro="[0]!Sheet7.Clear_Data_Click">
                <anchor moveWithCells="1" sizeWithCells="1">
                  <from>
                    <xdr:col>8</xdr:col>
                    <xdr:colOff>1485900</xdr:colOff>
                    <xdr:row>2</xdr:row>
                    <xdr:rowOff>88900</xdr:rowOff>
                  </from>
                  <to>
                    <xdr:col>8</xdr:col>
                    <xdr:colOff>2209800</xdr:colOff>
                    <xdr:row>3</xdr:row>
                    <xdr:rowOff>114300</xdr:rowOff>
                  </to>
                </anchor>
              </controlPr>
            </control>
          </mc:Choice>
          <mc:Fallback/>
        </mc:AlternateContent>
        <mc:AlternateContent xmlns:mc="http://schemas.openxmlformats.org/markup-compatibility/2006">
          <mc:Choice Requires="x14">
            <control shapeId="8204" r:id="rId5" name="Button 12">
              <controlPr defaultSize="0" print="0" autoFill="0" autoPict="0" macro="[0]!Sheet7.Import_Data_Click">
                <anchor moveWithCells="1" sizeWithCells="1">
                  <from>
                    <xdr:col>13</xdr:col>
                    <xdr:colOff>863600</xdr:colOff>
                    <xdr:row>2</xdr:row>
                    <xdr:rowOff>63500</xdr:rowOff>
                  </from>
                  <to>
                    <xdr:col>13</xdr:col>
                    <xdr:colOff>1447800</xdr:colOff>
                    <xdr:row>3</xdr:row>
                    <xdr:rowOff>114300</xdr:rowOff>
                  </to>
                </anchor>
              </controlPr>
            </control>
          </mc:Choice>
          <mc:Fallback/>
        </mc:AlternateContent>
        <mc:AlternateContent xmlns:mc="http://schemas.openxmlformats.org/markup-compatibility/2006">
          <mc:Choice Requires="x14">
            <control shapeId="8208" r:id="rId6" name="Button 16">
              <controlPr defaultSize="0" print="0" autoFill="0" autoPict="0" macro="[0]!Sheet7.Sort_Data_Click">
                <anchor moveWithCells="1" sizeWithCells="1">
                  <from>
                    <xdr:col>19</xdr:col>
                    <xdr:colOff>114300</xdr:colOff>
                    <xdr:row>8</xdr:row>
                    <xdr:rowOff>139700</xdr:rowOff>
                  </from>
                  <to>
                    <xdr:col>20</xdr:col>
                    <xdr:colOff>38100</xdr:colOff>
                    <xdr:row>10</xdr:row>
                    <xdr:rowOff>63500</xdr:rowOff>
                  </to>
                </anchor>
              </controlPr>
            </control>
          </mc:Choice>
          <mc:Fallback/>
        </mc:AlternateContent>
      </controls>
    </mc:Choice>
    <mc:Fallback/>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Inputs!$A$2:$A$5</xm:f>
          </x14:formula1>
          <xm:sqref>F3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6" tint="0.39997558519241921"/>
  </sheetPr>
  <dimension ref="B1:O232"/>
  <sheetViews>
    <sheetView showGridLines="0" zoomScale="125" zoomScaleNormal="125" zoomScalePageLayoutView="125" workbookViewId="0">
      <selection activeCell="E62" sqref="E62"/>
    </sheetView>
  </sheetViews>
  <sheetFormatPr baseColWidth="10" defaultColWidth="8.83203125" defaultRowHeight="12" x14ac:dyDescent="0.2"/>
  <cols>
    <col min="1" max="1" width="0.83203125" style="144" customWidth="1"/>
    <col min="2" max="2" width="27.5" style="144" customWidth="1"/>
    <col min="3" max="3" width="10" style="144" customWidth="1"/>
    <col min="4" max="4" width="11" style="144" customWidth="1"/>
    <col min="5" max="5" width="16.83203125" style="144" bestFit="1" customWidth="1"/>
    <col min="6" max="6" width="10.83203125" style="144" bestFit="1" customWidth="1"/>
    <col min="7" max="7" width="4.33203125" style="144" customWidth="1"/>
    <col min="8" max="8" width="6.5" style="144" bestFit="1" customWidth="1"/>
    <col min="9" max="9" width="6" style="144" customWidth="1"/>
    <col min="10" max="10" width="1.33203125" style="145" customWidth="1"/>
    <col min="11" max="11" width="1" style="144" customWidth="1"/>
    <col min="12" max="12" width="1.83203125" style="144" customWidth="1"/>
    <col min="13" max="13" width="2" style="144" customWidth="1"/>
    <col min="14" max="14" width="98.83203125" style="144" bestFit="1" customWidth="1"/>
    <col min="15" max="15" width="1.1640625" style="144" customWidth="1"/>
    <col min="16" max="16384" width="8.83203125" style="144"/>
  </cols>
  <sheetData>
    <row r="1" spans="2:15" ht="6" customHeight="1" x14ac:dyDescent="0.2"/>
    <row r="2" spans="2:15" ht="7" customHeight="1" x14ac:dyDescent="0.2">
      <c r="B2" s="156"/>
      <c r="C2" s="156"/>
      <c r="D2" s="156"/>
      <c r="E2" s="156"/>
      <c r="F2" s="156"/>
      <c r="G2" s="150"/>
      <c r="H2" s="150"/>
      <c r="I2" s="150"/>
      <c r="J2" s="150"/>
      <c r="M2" s="146"/>
      <c r="N2" s="147"/>
      <c r="O2" s="148"/>
    </row>
    <row r="3" spans="2:15" ht="7" customHeight="1" x14ac:dyDescent="0.2">
      <c r="B3" s="290" t="s">
        <v>317</v>
      </c>
      <c r="C3" s="156"/>
      <c r="D3" s="156"/>
      <c r="E3" s="156"/>
      <c r="F3" s="156"/>
      <c r="G3" s="377" t="s">
        <v>318</v>
      </c>
      <c r="H3" s="377"/>
      <c r="I3" s="150"/>
      <c r="J3" s="150"/>
      <c r="M3" s="149"/>
      <c r="N3" s="152"/>
      <c r="O3" s="151"/>
    </row>
    <row r="4" spans="2:15" x14ac:dyDescent="0.2">
      <c r="B4" s="156" t="s">
        <v>370</v>
      </c>
      <c r="C4" s="150" t="s">
        <v>313</v>
      </c>
      <c r="D4" s="150" t="s">
        <v>452</v>
      </c>
      <c r="E4" s="150" t="s">
        <v>422</v>
      </c>
      <c r="F4" s="150" t="s">
        <v>423</v>
      </c>
      <c r="G4" s="291" t="s">
        <v>371</v>
      </c>
      <c r="H4" s="150" t="s">
        <v>313</v>
      </c>
      <c r="I4" s="150" t="s">
        <v>79</v>
      </c>
      <c r="J4" s="150"/>
      <c r="M4" s="149"/>
      <c r="N4" s="292" t="s">
        <v>385</v>
      </c>
      <c r="O4" s="151"/>
    </row>
    <row r="5" spans="2:15" x14ac:dyDescent="0.15">
      <c r="B5" s="254" t="str">
        <f>'All-Servers'!C12</f>
        <v>dev.c3.2xlarge</v>
      </c>
      <c r="C5" s="227">
        <f>'All-Servers'!K12</f>
        <v>3</v>
      </c>
      <c r="D5" s="227">
        <f>$C5*'All-Servers'!H12</f>
        <v>1.26</v>
      </c>
      <c r="E5" s="227">
        <f>$C5*'All-Servers'!I12</f>
        <v>0.75</v>
      </c>
      <c r="F5" s="227">
        <f>$C5*'All-Servers'!J12</f>
        <v>0.60000000000000009</v>
      </c>
      <c r="G5" s="170">
        <f>'All-Servers'!G12</f>
        <v>0</v>
      </c>
      <c r="H5" s="147">
        <f>'All-Servers'!K12</f>
        <v>3</v>
      </c>
      <c r="I5" s="148">
        <f>(G5*H5)</f>
        <v>0</v>
      </c>
      <c r="J5" s="150"/>
      <c r="M5" s="149"/>
      <c r="N5" s="153" t="str">
        <f ca="1">SUBSTITUTE(LEFT(CELL("filename"),FIND("]",CELL("filename"))-1),"[","")</f>
        <v>/Users/jasgrimm/Documents/tech-content/calculator.v7.jtg.12.1.2015.xlsm</v>
      </c>
      <c r="O5" s="151"/>
    </row>
    <row r="6" spans="2:15" x14ac:dyDescent="0.15">
      <c r="B6" s="250" t="str">
        <f>'All-Servers'!C13</f>
        <v>dev.c4.4xlarge</v>
      </c>
      <c r="C6" s="226">
        <f>'All-Servers'!K13</f>
        <v>8</v>
      </c>
      <c r="D6" s="226">
        <f>$C6*'All-Servers'!H13</f>
        <v>7.056</v>
      </c>
      <c r="E6" s="226">
        <f>$C6*'All-Servers'!I13</f>
        <v>4.4287999999999998</v>
      </c>
      <c r="F6" s="226">
        <f>$C6*'All-Servers'!J13</f>
        <v>2.7496</v>
      </c>
      <c r="G6" s="156">
        <f>'All-Servers'!G13</f>
        <v>160</v>
      </c>
      <c r="H6" s="150">
        <f>'All-Servers'!K13</f>
        <v>8</v>
      </c>
      <c r="I6" s="151">
        <f t="shared" ref="I6:I42" si="0">(G6*H6)</f>
        <v>1280</v>
      </c>
      <c r="J6" s="150"/>
      <c r="M6" s="149"/>
      <c r="N6" s="157"/>
      <c r="O6" s="151"/>
    </row>
    <row r="7" spans="2:15" x14ac:dyDescent="0.2">
      <c r="B7" s="250" t="str">
        <f>'All-Servers'!C14</f>
        <v>dev.c4.xlarge</v>
      </c>
      <c r="C7" s="226">
        <f>'All-Servers'!K14</f>
        <v>1</v>
      </c>
      <c r="D7" s="226">
        <f>$C7*'All-Servers'!H14</f>
        <v>0.22</v>
      </c>
      <c r="E7" s="226">
        <f>$C7*'All-Servers'!I14</f>
        <v>0.1384</v>
      </c>
      <c r="F7" s="226">
        <f>$C7*'All-Servers'!J14</f>
        <v>8.5900000000000004E-2</v>
      </c>
      <c r="G7" s="156">
        <f>'All-Servers'!G14</f>
        <v>160</v>
      </c>
      <c r="H7" s="150">
        <f>'All-Servers'!K14</f>
        <v>1</v>
      </c>
      <c r="I7" s="151">
        <f t="shared" si="0"/>
        <v>160</v>
      </c>
      <c r="J7" s="150"/>
      <c r="M7" s="149"/>
      <c r="N7" s="292" t="s">
        <v>384</v>
      </c>
      <c r="O7" s="293"/>
    </row>
    <row r="8" spans="2:15" x14ac:dyDescent="0.15">
      <c r="B8" s="250" t="str">
        <f>'All-Servers'!C15</f>
        <v>dev.c4.large</v>
      </c>
      <c r="C8" s="226">
        <f>'All-Servers'!K15</f>
        <v>12</v>
      </c>
      <c r="D8" s="226">
        <f>$C8*'All-Servers'!H15</f>
        <v>1.32</v>
      </c>
      <c r="E8" s="226">
        <f>$C8*'All-Servers'!I15</f>
        <v>0.83040000000000003</v>
      </c>
      <c r="F8" s="226">
        <f>$C8*'All-Servers'!J15</f>
        <v>0.51600000000000001</v>
      </c>
      <c r="G8" s="156">
        <f>'All-Servers'!G15</f>
        <v>160</v>
      </c>
      <c r="H8" s="150">
        <f>'All-Servers'!K15</f>
        <v>12</v>
      </c>
      <c r="I8" s="151">
        <f t="shared" si="0"/>
        <v>1920</v>
      </c>
      <c r="J8" s="150"/>
      <c r="M8" s="149"/>
      <c r="N8" s="153" t="str">
        <f ca="1">SUBSTITUTE(LEFT(CELL("filename"),FIND("]",CELL("filename"))-6),"[","") &amp; ".pdf"</f>
        <v>/Users/jasgrimm/Documents/tech-content/calculator.v7.jtg.12.1.2015.pdf</v>
      </c>
      <c r="O8" s="151"/>
    </row>
    <row r="9" spans="2:15" x14ac:dyDescent="0.15">
      <c r="B9" s="250" t="str">
        <f>'All-Servers'!C16</f>
        <v>dev.m3.medium</v>
      </c>
      <c r="C9" s="226">
        <f>'All-Servers'!K16</f>
        <v>3</v>
      </c>
      <c r="D9" s="226">
        <f>$C9*'All-Servers'!H16</f>
        <v>0.20100000000000001</v>
      </c>
      <c r="E9" s="226">
        <f>$C9*'All-Servers'!I16</f>
        <v>0.12090000000000001</v>
      </c>
      <c r="F9" s="226">
        <f>$C9*'All-Servers'!J16</f>
        <v>7.8300000000000008E-2</v>
      </c>
      <c r="G9" s="156">
        <f>'All-Servers'!G16</f>
        <v>0</v>
      </c>
      <c r="H9" s="150">
        <f>'All-Servers'!K16</f>
        <v>3</v>
      </c>
      <c r="I9" s="151">
        <f t="shared" si="0"/>
        <v>0</v>
      </c>
      <c r="J9" s="150"/>
      <c r="M9" s="149"/>
      <c r="N9" s="161"/>
      <c r="O9" s="151"/>
    </row>
    <row r="10" spans="2:15" x14ac:dyDescent="0.2">
      <c r="B10" s="250" t="str">
        <f>'All-Servers'!C17</f>
        <v>dev.m4.large</v>
      </c>
      <c r="C10" s="226">
        <f>'All-Servers'!K17</f>
        <v>1</v>
      </c>
      <c r="D10" s="226">
        <f>$C10*'All-Servers'!H17</f>
        <v>0.126</v>
      </c>
      <c r="E10" s="226">
        <f>$C10*'All-Servers'!I17</f>
        <v>7.2499999999999995E-2</v>
      </c>
      <c r="F10" s="226">
        <f>$C10*'All-Servers'!J17</f>
        <v>4.7E-2</v>
      </c>
      <c r="G10" s="156">
        <f>'All-Servers'!G17</f>
        <v>80</v>
      </c>
      <c r="H10" s="150">
        <f>'All-Servers'!K17</f>
        <v>1</v>
      </c>
      <c r="I10" s="151">
        <f t="shared" si="0"/>
        <v>80</v>
      </c>
      <c r="J10" s="150"/>
      <c r="M10" s="149"/>
      <c r="N10" s="292" t="s">
        <v>387</v>
      </c>
      <c r="O10" s="151"/>
    </row>
    <row r="11" spans="2:15" x14ac:dyDescent="0.15">
      <c r="B11" s="250" t="str">
        <f>'All-Servers'!C18</f>
        <v>dev.t2.micro</v>
      </c>
      <c r="C11" s="226">
        <f>'All-Servers'!K18</f>
        <v>4</v>
      </c>
      <c r="D11" s="226">
        <f>$C11*'All-Servers'!H18</f>
        <v>5.1999999999999998E-2</v>
      </c>
      <c r="E11" s="226">
        <f>$C11*'All-Servers'!I18</f>
        <v>3.44E-2</v>
      </c>
      <c r="F11" s="226">
        <f>$C11*'All-Servers'!J18</f>
        <v>2.2800000000000001E-2</v>
      </c>
      <c r="G11" s="156">
        <f>'All-Servers'!G18</f>
        <v>20</v>
      </c>
      <c r="H11" s="150">
        <f>'All-Servers'!K18</f>
        <v>4</v>
      </c>
      <c r="I11" s="151">
        <f t="shared" si="0"/>
        <v>80</v>
      </c>
      <c r="J11" s="150"/>
      <c r="M11" s="149"/>
      <c r="N11" s="153" t="str">
        <f ca="1">TRIM(RIGHT(SUBSTITUTE(N5,"/",REPT(" ",100)),99))</f>
        <v>calculator.v7.jtg.12.1.2015.xlsm</v>
      </c>
      <c r="O11" s="151"/>
    </row>
    <row r="12" spans="2:15" x14ac:dyDescent="0.15">
      <c r="B12" s="250">
        <f>'All-Servers'!C19</f>
        <v>0</v>
      </c>
      <c r="C12" s="226">
        <f>'All-Servers'!K19</f>
        <v>0</v>
      </c>
      <c r="D12" s="226">
        <f>$C12*'All-Servers'!H19</f>
        <v>0</v>
      </c>
      <c r="E12" s="226">
        <f>$C12*'All-Servers'!I19</f>
        <v>0</v>
      </c>
      <c r="F12" s="226">
        <f>$C12*'All-Servers'!J19</f>
        <v>0</v>
      </c>
      <c r="G12" s="156">
        <f>'All-Servers'!G19</f>
        <v>0</v>
      </c>
      <c r="H12" s="150">
        <f>'All-Servers'!K19</f>
        <v>0</v>
      </c>
      <c r="I12" s="151">
        <f t="shared" si="0"/>
        <v>0</v>
      </c>
      <c r="J12" s="150"/>
      <c r="M12" s="149"/>
      <c r="N12" s="161"/>
      <c r="O12" s="151"/>
    </row>
    <row r="13" spans="2:15" x14ac:dyDescent="0.2">
      <c r="B13" s="250" t="str">
        <f>'All-Servers'!C20</f>
        <v>prod.m4.2xlarge</v>
      </c>
      <c r="C13" s="226">
        <f>'All-Servers'!K20</f>
        <v>9</v>
      </c>
      <c r="D13" s="226">
        <f>$C13*'All-Servers'!H20</f>
        <v>4.5359999999999996</v>
      </c>
      <c r="E13" s="226">
        <f>$C13*'All-Servers'!I20</f>
        <v>2.6109</v>
      </c>
      <c r="F13" s="226">
        <f>$C13*'All-Servers'!J20</f>
        <v>1.6928999999999998</v>
      </c>
      <c r="G13" s="156">
        <f>'All-Servers'!G20</f>
        <v>80</v>
      </c>
      <c r="H13" s="150">
        <f>'All-Servers'!K20</f>
        <v>9</v>
      </c>
      <c r="I13" s="151">
        <f t="shared" si="0"/>
        <v>720</v>
      </c>
      <c r="J13" s="150"/>
      <c r="M13" s="149"/>
      <c r="N13" s="292" t="s">
        <v>386</v>
      </c>
      <c r="O13" s="151"/>
    </row>
    <row r="14" spans="2:15" x14ac:dyDescent="0.15">
      <c r="B14" s="250" t="str">
        <f>'All-Servers'!C21</f>
        <v>prod.c3.2xlarge</v>
      </c>
      <c r="C14" s="226">
        <f>'All-Servers'!K21</f>
        <v>14</v>
      </c>
      <c r="D14" s="226">
        <f>$C14*'All-Servers'!H21</f>
        <v>5.88</v>
      </c>
      <c r="E14" s="226">
        <f>$C14*'All-Servers'!I21</f>
        <v>3.5</v>
      </c>
      <c r="F14" s="226">
        <f>$C14*'All-Servers'!J21</f>
        <v>2.8000000000000003</v>
      </c>
      <c r="G14" s="156">
        <f>'All-Servers'!G21</f>
        <v>0</v>
      </c>
      <c r="H14" s="150">
        <f>'All-Servers'!K21</f>
        <v>14</v>
      </c>
      <c r="I14" s="151">
        <f t="shared" si="0"/>
        <v>0</v>
      </c>
      <c r="J14" s="150"/>
      <c r="M14" s="149"/>
      <c r="N14" s="153" t="str">
        <f ca="1">TRIM(RIGHT(SUBSTITUTE(N8,"/",REPT(" ",100)),99))</f>
        <v>calculator.v7.jtg.12.1.2015.pdf</v>
      </c>
      <c r="O14" s="151"/>
    </row>
    <row r="15" spans="2:15" x14ac:dyDescent="0.15">
      <c r="B15" s="250" t="str">
        <f>'All-Servers'!C22</f>
        <v>prod.c4.large</v>
      </c>
      <c r="C15" s="226">
        <f>'All-Servers'!K22</f>
        <v>38</v>
      </c>
      <c r="D15" s="226">
        <f>$C15*'All-Servers'!H22</f>
        <v>4.18</v>
      </c>
      <c r="E15" s="226">
        <f>$C15*'All-Servers'!I22</f>
        <v>2.6295999999999999</v>
      </c>
      <c r="F15" s="226">
        <f>$C15*'All-Servers'!J22</f>
        <v>1.6339999999999999</v>
      </c>
      <c r="G15" s="156">
        <f>'All-Servers'!G22</f>
        <v>160</v>
      </c>
      <c r="H15" s="150">
        <f>'All-Servers'!K22</f>
        <v>38</v>
      </c>
      <c r="I15" s="151">
        <f t="shared" si="0"/>
        <v>6080</v>
      </c>
      <c r="J15" s="150"/>
      <c r="M15" s="149"/>
      <c r="N15" s="161"/>
      <c r="O15" s="151"/>
    </row>
    <row r="16" spans="2:15" x14ac:dyDescent="0.2">
      <c r="B16" s="250" t="str">
        <f>'All-Servers'!C23</f>
        <v>prod.m3.medium</v>
      </c>
      <c r="C16" s="226">
        <f>'All-Servers'!K23</f>
        <v>3</v>
      </c>
      <c r="D16" s="226">
        <f>$C16*'All-Servers'!H23</f>
        <v>0.20100000000000001</v>
      </c>
      <c r="E16" s="226">
        <f>$C16*'All-Servers'!I23</f>
        <v>0.12090000000000001</v>
      </c>
      <c r="F16" s="226">
        <f>$C16*'All-Servers'!J23</f>
        <v>7.8300000000000008E-2</v>
      </c>
      <c r="G16" s="156">
        <f>'All-Servers'!G23</f>
        <v>0</v>
      </c>
      <c r="H16" s="150">
        <f>'All-Servers'!K23</f>
        <v>3</v>
      </c>
      <c r="I16" s="151">
        <f t="shared" si="0"/>
        <v>0</v>
      </c>
      <c r="J16" s="150"/>
      <c r="M16" s="149"/>
      <c r="N16" s="292" t="s">
        <v>382</v>
      </c>
      <c r="O16" s="151"/>
    </row>
    <row r="17" spans="2:15" x14ac:dyDescent="0.15">
      <c r="B17" s="250" t="str">
        <f>'All-Servers'!C24</f>
        <v>prod.t2.micro</v>
      </c>
      <c r="C17" s="226">
        <f>'All-Servers'!K24</f>
        <v>3</v>
      </c>
      <c r="D17" s="226">
        <f>$C17*'All-Servers'!H24</f>
        <v>3.9E-2</v>
      </c>
      <c r="E17" s="226">
        <f>$C17*'All-Servers'!I24</f>
        <v>2.58E-2</v>
      </c>
      <c r="F17" s="226">
        <f>$C17*'All-Servers'!J24</f>
        <v>1.7100000000000001E-2</v>
      </c>
      <c r="G17" s="156">
        <f>'All-Servers'!G24</f>
        <v>20</v>
      </c>
      <c r="H17" s="150">
        <f>'All-Servers'!K24</f>
        <v>3</v>
      </c>
      <c r="I17" s="151">
        <f t="shared" si="0"/>
        <v>60</v>
      </c>
      <c r="J17" s="150"/>
      <c r="M17" s="149"/>
      <c r="N17" s="162" t="str">
        <f>"jasgrimm@cisco.com"</f>
        <v>jasgrimm@cisco.com</v>
      </c>
      <c r="O17" s="151"/>
    </row>
    <row r="18" spans="2:15" x14ac:dyDescent="0.15">
      <c r="B18" s="250">
        <f>'All-Servers'!C25</f>
        <v>0</v>
      </c>
      <c r="C18" s="226">
        <f>'All-Servers'!K25</f>
        <v>0</v>
      </c>
      <c r="D18" s="226">
        <f>$C18*'All-Servers'!H25</f>
        <v>0</v>
      </c>
      <c r="E18" s="226">
        <f>$C18*'All-Servers'!I25</f>
        <v>0</v>
      </c>
      <c r="F18" s="226">
        <f>$C18*'All-Servers'!J25</f>
        <v>0</v>
      </c>
      <c r="G18" s="156">
        <f>'All-Servers'!G25</f>
        <v>0</v>
      </c>
      <c r="H18" s="150">
        <f>'All-Servers'!K25</f>
        <v>0</v>
      </c>
      <c r="I18" s="151">
        <f t="shared" si="0"/>
        <v>0</v>
      </c>
      <c r="J18" s="150"/>
      <c r="M18" s="149"/>
      <c r="N18" s="163"/>
      <c r="O18" s="151"/>
    </row>
    <row r="19" spans="2:15" x14ac:dyDescent="0.2">
      <c r="B19" s="250" t="str">
        <f>'All-Servers'!C26</f>
        <v>temp.c4.large</v>
      </c>
      <c r="C19" s="226">
        <f>'All-Servers'!K26</f>
        <v>84</v>
      </c>
      <c r="D19" s="226">
        <f>$C19*'All-Servers'!H26</f>
        <v>9.24</v>
      </c>
      <c r="E19" s="226">
        <f>$C19*'All-Servers'!I26</f>
        <v>5.8128000000000002</v>
      </c>
      <c r="F19" s="226">
        <f>$C19*'All-Servers'!J26</f>
        <v>3.6119999999999997</v>
      </c>
      <c r="G19" s="156">
        <f>'All-Servers'!G26</f>
        <v>160</v>
      </c>
      <c r="H19" s="150">
        <f>'All-Servers'!K26</f>
        <v>84</v>
      </c>
      <c r="I19" s="151">
        <f t="shared" si="0"/>
        <v>13440</v>
      </c>
      <c r="J19" s="150"/>
      <c r="M19" s="149"/>
      <c r="N19" s="292" t="s">
        <v>383</v>
      </c>
      <c r="O19" s="151"/>
    </row>
    <row r="20" spans="2:15" x14ac:dyDescent="0.15">
      <c r="B20" s="250">
        <f>'All-Servers'!C27</f>
        <v>0</v>
      </c>
      <c r="C20" s="226">
        <f>'All-Servers'!K27</f>
        <v>0</v>
      </c>
      <c r="D20" s="226">
        <f>$C20*'All-Servers'!H27</f>
        <v>0</v>
      </c>
      <c r="E20" s="226">
        <f>$C20*'All-Servers'!I27</f>
        <v>0</v>
      </c>
      <c r="F20" s="226">
        <f>$C20*'All-Servers'!J27</f>
        <v>0</v>
      </c>
      <c r="G20" s="156">
        <f>'All-Servers'!G27</f>
        <v>0</v>
      </c>
      <c r="H20" s="150">
        <f>'All-Servers'!K27</f>
        <v>0</v>
      </c>
      <c r="I20" s="151">
        <f t="shared" si="0"/>
        <v>0</v>
      </c>
      <c r="J20" s="150"/>
      <c r="M20" s="149"/>
      <c r="N20" s="162" t="s">
        <v>464</v>
      </c>
      <c r="O20" s="151"/>
    </row>
    <row r="21" spans="2:15" x14ac:dyDescent="0.15">
      <c r="B21" s="250">
        <f>'All-Servers'!C28</f>
        <v>0</v>
      </c>
      <c r="C21" s="226">
        <f>'All-Servers'!K28</f>
        <v>0</v>
      </c>
      <c r="D21" s="226">
        <f>$C21*'All-Servers'!H28</f>
        <v>0</v>
      </c>
      <c r="E21" s="226">
        <f>$C21*'All-Servers'!I28</f>
        <v>0</v>
      </c>
      <c r="F21" s="226">
        <f>$C21*'All-Servers'!J28</f>
        <v>0</v>
      </c>
      <c r="G21" s="156">
        <f>'All-Servers'!G28</f>
        <v>0</v>
      </c>
      <c r="H21" s="150">
        <f>'All-Servers'!K28</f>
        <v>0</v>
      </c>
      <c r="I21" s="151">
        <f t="shared" si="0"/>
        <v>0</v>
      </c>
      <c r="J21" s="150"/>
      <c r="M21" s="149"/>
      <c r="N21" s="163"/>
      <c r="O21" s="151"/>
    </row>
    <row r="22" spans="2:15" x14ac:dyDescent="0.15">
      <c r="B22" s="250">
        <f>'All-Servers'!C29</f>
        <v>0</v>
      </c>
      <c r="C22" s="226">
        <f>'All-Servers'!K29</f>
        <v>0</v>
      </c>
      <c r="D22" s="226">
        <f>$C22*'All-Servers'!H29</f>
        <v>0</v>
      </c>
      <c r="E22" s="226">
        <f>$C22*'All-Servers'!I29</f>
        <v>0</v>
      </c>
      <c r="F22" s="226">
        <f>$C22*'All-Servers'!J29</f>
        <v>0</v>
      </c>
      <c r="G22" s="156">
        <f>'All-Servers'!G29</f>
        <v>0</v>
      </c>
      <c r="H22" s="150">
        <f>'All-Servers'!K29</f>
        <v>0</v>
      </c>
      <c r="I22" s="151">
        <f t="shared" si="0"/>
        <v>0</v>
      </c>
      <c r="J22" s="150"/>
      <c r="M22" s="149"/>
      <c r="N22" s="163"/>
      <c r="O22" s="151"/>
    </row>
    <row r="23" spans="2:15" x14ac:dyDescent="0.15">
      <c r="B23" s="250">
        <f>'All-Servers'!C30</f>
        <v>0</v>
      </c>
      <c r="C23" s="226">
        <f>'All-Servers'!K30</f>
        <v>0</v>
      </c>
      <c r="D23" s="226">
        <f>$C23*'All-Servers'!H30</f>
        <v>0</v>
      </c>
      <c r="E23" s="226">
        <f>$C23*'All-Servers'!I30</f>
        <v>0</v>
      </c>
      <c r="F23" s="226">
        <f>$C23*'All-Servers'!J30</f>
        <v>0</v>
      </c>
      <c r="G23" s="156">
        <f>'All-Servers'!G30</f>
        <v>0</v>
      </c>
      <c r="H23" s="150">
        <f>'All-Servers'!K30</f>
        <v>0</v>
      </c>
      <c r="I23" s="151">
        <f t="shared" si="0"/>
        <v>0</v>
      </c>
      <c r="J23" s="150"/>
      <c r="M23" s="149"/>
      <c r="N23" s="163"/>
      <c r="O23" s="151"/>
    </row>
    <row r="24" spans="2:15" x14ac:dyDescent="0.2">
      <c r="B24" s="250">
        <f>'All-Servers'!C31</f>
        <v>0</v>
      </c>
      <c r="C24" s="226">
        <f>'All-Servers'!K31</f>
        <v>0</v>
      </c>
      <c r="D24" s="226">
        <f>$C24*'All-Servers'!H31</f>
        <v>0</v>
      </c>
      <c r="E24" s="226">
        <f>$C24*'All-Servers'!I31</f>
        <v>0</v>
      </c>
      <c r="F24" s="226">
        <f>$C24*'All-Servers'!J31</f>
        <v>0</v>
      </c>
      <c r="G24" s="156">
        <f>'All-Servers'!G31</f>
        <v>0</v>
      </c>
      <c r="H24" s="150">
        <f>'All-Servers'!K31</f>
        <v>0</v>
      </c>
      <c r="I24" s="151">
        <f t="shared" si="0"/>
        <v>0</v>
      </c>
      <c r="J24" s="150"/>
      <c r="M24" s="164"/>
      <c r="N24" s="165"/>
      <c r="O24" s="166"/>
    </row>
    <row r="25" spans="2:15" x14ac:dyDescent="0.2">
      <c r="B25" s="250">
        <f>'All-Servers'!C32</f>
        <v>0</v>
      </c>
      <c r="C25" s="226">
        <f>'All-Servers'!K32</f>
        <v>0</v>
      </c>
      <c r="D25" s="226">
        <f>$C25*'All-Servers'!H32</f>
        <v>0</v>
      </c>
      <c r="E25" s="226">
        <f>$C25*'All-Servers'!I32</f>
        <v>0</v>
      </c>
      <c r="F25" s="226">
        <f>$C25*'All-Servers'!J32</f>
        <v>0</v>
      </c>
      <c r="G25" s="156">
        <f>'All-Servers'!G32</f>
        <v>0</v>
      </c>
      <c r="H25" s="150">
        <f>'All-Servers'!K32</f>
        <v>0</v>
      </c>
      <c r="I25" s="151">
        <f t="shared" si="0"/>
        <v>0</v>
      </c>
      <c r="J25" s="150"/>
    </row>
    <row r="26" spans="2:15" x14ac:dyDescent="0.2">
      <c r="B26" s="250">
        <f>'All-Servers'!C33</f>
        <v>0</v>
      </c>
      <c r="C26" s="226">
        <f>'All-Servers'!K33</f>
        <v>0</v>
      </c>
      <c r="D26" s="226">
        <f>$C26*'All-Servers'!H33</f>
        <v>0</v>
      </c>
      <c r="E26" s="226">
        <f>$C26*'All-Servers'!I33</f>
        <v>0</v>
      </c>
      <c r="F26" s="226">
        <f>$C26*'All-Servers'!J33</f>
        <v>0</v>
      </c>
      <c r="G26" s="156">
        <f>'All-Servers'!G33</f>
        <v>0</v>
      </c>
      <c r="H26" s="150">
        <f>'All-Servers'!K33</f>
        <v>0</v>
      </c>
      <c r="I26" s="151">
        <f t="shared" si="0"/>
        <v>0</v>
      </c>
      <c r="J26" s="150"/>
    </row>
    <row r="27" spans="2:15" x14ac:dyDescent="0.2">
      <c r="B27" s="250">
        <f>'All-Servers'!C34</f>
        <v>0</v>
      </c>
      <c r="C27" s="226">
        <f>'All-Servers'!K34</f>
        <v>0</v>
      </c>
      <c r="D27" s="226">
        <f>$C27*'All-Servers'!H34</f>
        <v>0</v>
      </c>
      <c r="E27" s="226">
        <f>$C27*'All-Servers'!I34</f>
        <v>0</v>
      </c>
      <c r="F27" s="226">
        <f>$C27*'All-Servers'!J34</f>
        <v>0</v>
      </c>
      <c r="G27" s="156">
        <f>'All-Servers'!G34</f>
        <v>0</v>
      </c>
      <c r="H27" s="150">
        <f>'All-Servers'!K34</f>
        <v>0</v>
      </c>
      <c r="I27" s="151">
        <f t="shared" si="0"/>
        <v>0</v>
      </c>
      <c r="J27" s="150"/>
      <c r="M27" s="144" t="s">
        <v>388</v>
      </c>
    </row>
    <row r="28" spans="2:15" x14ac:dyDescent="0.2">
      <c r="B28" s="250">
        <f>'All-Servers'!C35</f>
        <v>0</v>
      </c>
      <c r="C28" s="226">
        <f>'All-Servers'!K35</f>
        <v>0</v>
      </c>
      <c r="D28" s="226">
        <f>$C28*'All-Servers'!H35</f>
        <v>0</v>
      </c>
      <c r="E28" s="226">
        <f>$C28*'All-Servers'!I35</f>
        <v>0</v>
      </c>
      <c r="F28" s="226">
        <f>$C28*'All-Servers'!J35</f>
        <v>0</v>
      </c>
      <c r="G28" s="156">
        <f>'All-Servers'!G35</f>
        <v>0</v>
      </c>
      <c r="H28" s="150">
        <f>'All-Servers'!K35</f>
        <v>0</v>
      </c>
      <c r="I28" s="151">
        <f t="shared" si="0"/>
        <v>0</v>
      </c>
      <c r="J28" s="150"/>
    </row>
    <row r="29" spans="2:15" x14ac:dyDescent="0.2">
      <c r="B29" s="250">
        <f>'All-Servers'!C36</f>
        <v>0</v>
      </c>
      <c r="C29" s="226">
        <f>'All-Servers'!K36</f>
        <v>0</v>
      </c>
      <c r="D29" s="226">
        <f>$C29*'All-Servers'!H36</f>
        <v>0</v>
      </c>
      <c r="E29" s="226">
        <f>$C29*'All-Servers'!I36</f>
        <v>0</v>
      </c>
      <c r="F29" s="226">
        <f>$C29*'All-Servers'!J36</f>
        <v>0</v>
      </c>
      <c r="G29" s="156">
        <f>'All-Servers'!G36</f>
        <v>0</v>
      </c>
      <c r="H29" s="150">
        <f>'All-Servers'!K36</f>
        <v>0</v>
      </c>
      <c r="I29" s="151">
        <f t="shared" si="0"/>
        <v>0</v>
      </c>
      <c r="J29" s="150"/>
    </row>
    <row r="30" spans="2:15" x14ac:dyDescent="0.2">
      <c r="B30" s="250">
        <f>'All-Servers'!C37</f>
        <v>0</v>
      </c>
      <c r="C30" s="226">
        <f>'All-Servers'!K37</f>
        <v>0</v>
      </c>
      <c r="D30" s="226">
        <f>$C30*'All-Servers'!H37</f>
        <v>0</v>
      </c>
      <c r="E30" s="226">
        <f>$C30*'All-Servers'!I37</f>
        <v>0</v>
      </c>
      <c r="F30" s="226">
        <f>$C30*'All-Servers'!J37</f>
        <v>0</v>
      </c>
      <c r="G30" s="156">
        <f>'All-Servers'!G37</f>
        <v>0</v>
      </c>
      <c r="H30" s="150">
        <f>'All-Servers'!K37</f>
        <v>0</v>
      </c>
      <c r="I30" s="151">
        <f t="shared" si="0"/>
        <v>0</v>
      </c>
      <c r="J30" s="150"/>
    </row>
    <row r="31" spans="2:15" x14ac:dyDescent="0.2">
      <c r="B31" s="250">
        <f>'All-Servers'!C38</f>
        <v>0</v>
      </c>
      <c r="C31" s="226">
        <f>'All-Servers'!K38</f>
        <v>0</v>
      </c>
      <c r="D31" s="226">
        <f>$C31*'All-Servers'!H38</f>
        <v>0</v>
      </c>
      <c r="E31" s="226">
        <f>$C31*'All-Servers'!I38</f>
        <v>0</v>
      </c>
      <c r="F31" s="226">
        <f>$C31*'All-Servers'!J38</f>
        <v>0</v>
      </c>
      <c r="G31" s="156">
        <f>'All-Servers'!G38</f>
        <v>0</v>
      </c>
      <c r="H31" s="150">
        <f>'All-Servers'!K38</f>
        <v>0</v>
      </c>
      <c r="I31" s="151">
        <f t="shared" si="0"/>
        <v>0</v>
      </c>
      <c r="J31" s="150"/>
    </row>
    <row r="32" spans="2:15" x14ac:dyDescent="0.2">
      <c r="B32" s="250">
        <f>'All-Servers'!C39</f>
        <v>0</v>
      </c>
      <c r="C32" s="226">
        <f>'All-Servers'!K39</f>
        <v>0</v>
      </c>
      <c r="D32" s="226">
        <f>$C32*'All-Servers'!H39</f>
        <v>0</v>
      </c>
      <c r="E32" s="226">
        <f>$C32*'All-Servers'!I39</f>
        <v>0</v>
      </c>
      <c r="F32" s="226">
        <f>$C32*'All-Servers'!J39</f>
        <v>0</v>
      </c>
      <c r="G32" s="156">
        <f>'All-Servers'!G39</f>
        <v>0</v>
      </c>
      <c r="H32" s="150">
        <f>'All-Servers'!K39</f>
        <v>0</v>
      </c>
      <c r="I32" s="151">
        <f t="shared" si="0"/>
        <v>0</v>
      </c>
      <c r="J32" s="150"/>
    </row>
    <row r="33" spans="2:10" x14ac:dyDescent="0.2">
      <c r="B33" s="250">
        <f>'All-Servers'!C40</f>
        <v>0</v>
      </c>
      <c r="C33" s="226">
        <f>'All-Servers'!K40</f>
        <v>0</v>
      </c>
      <c r="D33" s="226">
        <f>$C33*'All-Servers'!H40</f>
        <v>0</v>
      </c>
      <c r="E33" s="226">
        <f>$C33*'All-Servers'!I40</f>
        <v>0</v>
      </c>
      <c r="F33" s="226">
        <f>$C33*'All-Servers'!J40</f>
        <v>0</v>
      </c>
      <c r="G33" s="156">
        <f>'All-Servers'!G40</f>
        <v>0</v>
      </c>
      <c r="H33" s="150">
        <f>'All-Servers'!K40</f>
        <v>0</v>
      </c>
      <c r="I33" s="151">
        <f t="shared" si="0"/>
        <v>0</v>
      </c>
      <c r="J33" s="150"/>
    </row>
    <row r="34" spans="2:10" x14ac:dyDescent="0.2">
      <c r="B34" s="250">
        <f>'All-Servers'!C41</f>
        <v>0</v>
      </c>
      <c r="C34" s="226">
        <f>'All-Servers'!K41</f>
        <v>0</v>
      </c>
      <c r="D34" s="226">
        <f>$C34*'All-Servers'!H41</f>
        <v>0</v>
      </c>
      <c r="E34" s="226">
        <f>$C34*'All-Servers'!I41</f>
        <v>0</v>
      </c>
      <c r="F34" s="226">
        <f>$C34*'All-Servers'!J41</f>
        <v>0</v>
      </c>
      <c r="G34" s="156">
        <f>'All-Servers'!G41</f>
        <v>0</v>
      </c>
      <c r="H34" s="150">
        <f>'All-Servers'!K41</f>
        <v>0</v>
      </c>
      <c r="I34" s="151">
        <f t="shared" si="0"/>
        <v>0</v>
      </c>
      <c r="J34" s="150"/>
    </row>
    <row r="35" spans="2:10" x14ac:dyDescent="0.2">
      <c r="B35" s="250">
        <f>'All-Servers'!C42</f>
        <v>0</v>
      </c>
      <c r="C35" s="226">
        <f>'All-Servers'!K42</f>
        <v>0</v>
      </c>
      <c r="D35" s="226">
        <f>$C35*'All-Servers'!H42</f>
        <v>0</v>
      </c>
      <c r="E35" s="226">
        <f>$C35*'All-Servers'!I42</f>
        <v>0</v>
      </c>
      <c r="F35" s="226">
        <f>$C35*'All-Servers'!J42</f>
        <v>0</v>
      </c>
      <c r="G35" s="156">
        <f>'All-Servers'!G42</f>
        <v>0</v>
      </c>
      <c r="H35" s="150">
        <f>'All-Servers'!K42</f>
        <v>0</v>
      </c>
      <c r="I35" s="151">
        <f t="shared" si="0"/>
        <v>0</v>
      </c>
      <c r="J35" s="150"/>
    </row>
    <row r="36" spans="2:10" x14ac:dyDescent="0.2">
      <c r="B36" s="250">
        <f>'All-Servers'!C43</f>
        <v>0</v>
      </c>
      <c r="C36" s="226">
        <f>'All-Servers'!K43</f>
        <v>0</v>
      </c>
      <c r="D36" s="226">
        <f>$C36*'All-Servers'!H43</f>
        <v>0</v>
      </c>
      <c r="E36" s="226">
        <f>$C36*'All-Servers'!I43</f>
        <v>0</v>
      </c>
      <c r="F36" s="226">
        <f>$C36*'All-Servers'!J43</f>
        <v>0</v>
      </c>
      <c r="G36" s="156">
        <f>'All-Servers'!G43</f>
        <v>0</v>
      </c>
      <c r="H36" s="150">
        <f>'All-Servers'!K43</f>
        <v>0</v>
      </c>
      <c r="I36" s="151">
        <f t="shared" si="0"/>
        <v>0</v>
      </c>
      <c r="J36" s="150"/>
    </row>
    <row r="37" spans="2:10" x14ac:dyDescent="0.2">
      <c r="B37" s="250">
        <f>'All-Servers'!C44</f>
        <v>0</v>
      </c>
      <c r="C37" s="226">
        <f>'All-Servers'!K44</f>
        <v>0</v>
      </c>
      <c r="D37" s="226">
        <f>$C37*'All-Servers'!H44</f>
        <v>0</v>
      </c>
      <c r="E37" s="226">
        <f>$C37*'All-Servers'!I44</f>
        <v>0</v>
      </c>
      <c r="F37" s="226">
        <f>$C37*'All-Servers'!J44</f>
        <v>0</v>
      </c>
      <c r="G37" s="156">
        <f>'All-Servers'!G44</f>
        <v>0</v>
      </c>
      <c r="H37" s="150">
        <f>'All-Servers'!K44</f>
        <v>0</v>
      </c>
      <c r="I37" s="151">
        <f t="shared" si="0"/>
        <v>0</v>
      </c>
      <c r="J37" s="150"/>
    </row>
    <row r="38" spans="2:10" x14ac:dyDescent="0.2">
      <c r="B38" s="250">
        <f>'All-Servers'!C45</f>
        <v>0</v>
      </c>
      <c r="C38" s="226">
        <f>'All-Servers'!K45</f>
        <v>0</v>
      </c>
      <c r="D38" s="226">
        <f>$C38*'All-Servers'!H45</f>
        <v>0</v>
      </c>
      <c r="E38" s="226">
        <f>$C38*'All-Servers'!I45</f>
        <v>0</v>
      </c>
      <c r="F38" s="226">
        <f>$C38*'All-Servers'!J45</f>
        <v>0</v>
      </c>
      <c r="G38" s="156">
        <f>'All-Servers'!G45</f>
        <v>0</v>
      </c>
      <c r="H38" s="150">
        <f>'All-Servers'!K45</f>
        <v>0</v>
      </c>
      <c r="I38" s="151">
        <f t="shared" si="0"/>
        <v>0</v>
      </c>
      <c r="J38" s="150"/>
    </row>
    <row r="39" spans="2:10" x14ac:dyDescent="0.2">
      <c r="B39" s="250">
        <f>'All-Servers'!C46</f>
        <v>0</v>
      </c>
      <c r="C39" s="226">
        <f>'All-Servers'!K46</f>
        <v>0</v>
      </c>
      <c r="D39" s="226">
        <f>$C39*'All-Servers'!H46</f>
        <v>0</v>
      </c>
      <c r="E39" s="226">
        <f>$C39*'All-Servers'!I46</f>
        <v>0</v>
      </c>
      <c r="F39" s="226">
        <f>$C39*'All-Servers'!J46</f>
        <v>0</v>
      </c>
      <c r="G39" s="156">
        <f>'All-Servers'!G46</f>
        <v>0</v>
      </c>
      <c r="H39" s="150">
        <f>'All-Servers'!K46</f>
        <v>0</v>
      </c>
      <c r="I39" s="151">
        <f t="shared" si="0"/>
        <v>0</v>
      </c>
      <c r="J39" s="150"/>
    </row>
    <row r="40" spans="2:10" x14ac:dyDescent="0.2">
      <c r="B40" s="250">
        <f>'All-Servers'!C47</f>
        <v>0</v>
      </c>
      <c r="C40" s="226">
        <f>'All-Servers'!K47</f>
        <v>0</v>
      </c>
      <c r="D40" s="226">
        <f>$C40*'All-Servers'!H47</f>
        <v>0</v>
      </c>
      <c r="E40" s="226">
        <f>$C40*'All-Servers'!I47</f>
        <v>0</v>
      </c>
      <c r="F40" s="226">
        <f>$C40*'All-Servers'!J47</f>
        <v>0</v>
      </c>
      <c r="G40" s="156">
        <f>'All-Servers'!G47</f>
        <v>0</v>
      </c>
      <c r="H40" s="150">
        <f>'All-Servers'!K47</f>
        <v>0</v>
      </c>
      <c r="I40" s="151">
        <f t="shared" si="0"/>
        <v>0</v>
      </c>
      <c r="J40" s="150"/>
    </row>
    <row r="41" spans="2:10" x14ac:dyDescent="0.2">
      <c r="B41" s="250">
        <f>'All-Servers'!C48</f>
        <v>0</v>
      </c>
      <c r="C41" s="226">
        <f>'All-Servers'!K48</f>
        <v>0</v>
      </c>
      <c r="D41" s="226">
        <f>$C41*'All-Servers'!H48</f>
        <v>0</v>
      </c>
      <c r="E41" s="226">
        <f>$C41*'All-Servers'!I48</f>
        <v>0</v>
      </c>
      <c r="F41" s="226">
        <f>$C41*'All-Servers'!J48</f>
        <v>0</v>
      </c>
      <c r="G41" s="156">
        <f>'All-Servers'!G48</f>
        <v>0</v>
      </c>
      <c r="H41" s="150">
        <f>'All-Servers'!K48</f>
        <v>0</v>
      </c>
      <c r="I41" s="151">
        <f t="shared" si="0"/>
        <v>0</v>
      </c>
      <c r="J41" s="150"/>
    </row>
    <row r="42" spans="2:10" x14ac:dyDescent="0.2">
      <c r="B42" s="253">
        <f>'All-Servers'!C49</f>
        <v>0</v>
      </c>
      <c r="C42" s="228">
        <f>'All-Servers'!K49</f>
        <v>0</v>
      </c>
      <c r="D42" s="228">
        <f>$C42*'All-Servers'!H49</f>
        <v>0</v>
      </c>
      <c r="E42" s="228">
        <f>$C42*'All-Servers'!I49</f>
        <v>0</v>
      </c>
      <c r="F42" s="228">
        <f>$C42*'All-Servers'!J49</f>
        <v>0</v>
      </c>
      <c r="G42" s="169">
        <f>'All-Servers'!G49</f>
        <v>0</v>
      </c>
      <c r="H42" s="165">
        <f>'All-Servers'!K49</f>
        <v>0</v>
      </c>
      <c r="I42" s="166">
        <f t="shared" si="0"/>
        <v>0</v>
      </c>
      <c r="J42" s="150"/>
    </row>
    <row r="43" spans="2:10" x14ac:dyDescent="0.2">
      <c r="B43" s="294" t="s">
        <v>79</v>
      </c>
      <c r="C43" s="295">
        <f>SUM(C5:C42)</f>
        <v>183</v>
      </c>
      <c r="D43" s="173">
        <f>SUM(D5:D42)</f>
        <v>34.311</v>
      </c>
      <c r="E43" s="173">
        <f>SUM(E5:E42)</f>
        <v>21.075400000000002</v>
      </c>
      <c r="F43" s="173">
        <f>SUM(F5:F42)</f>
        <v>13.9339</v>
      </c>
      <c r="G43" s="294" t="s">
        <v>79</v>
      </c>
      <c r="H43" s="295">
        <f>SUM(H5:H42)</f>
        <v>183</v>
      </c>
      <c r="I43" s="295">
        <f>SUM(I5:I42)</f>
        <v>23820</v>
      </c>
      <c r="J43" s="150"/>
    </row>
    <row r="44" spans="2:10" x14ac:dyDescent="0.2">
      <c r="B44" s="294"/>
      <c r="C44" s="295"/>
      <c r="D44" s="173"/>
      <c r="E44" s="173"/>
      <c r="F44" s="173"/>
      <c r="G44" s="156"/>
      <c r="H44" s="294"/>
      <c r="I44" s="295"/>
      <c r="J44" s="295"/>
    </row>
    <row r="45" spans="2:10" ht="8" customHeight="1" x14ac:dyDescent="0.2">
      <c r="B45" s="290" t="s">
        <v>319</v>
      </c>
      <c r="C45" s="156"/>
      <c r="D45" s="150"/>
      <c r="E45" s="156"/>
      <c r="F45" s="150"/>
      <c r="G45" s="150"/>
      <c r="H45" s="150"/>
      <c r="I45" s="150"/>
      <c r="J45" s="150"/>
    </row>
    <row r="46" spans="2:10" x14ac:dyDescent="0.2">
      <c r="B46" s="156" t="s">
        <v>332</v>
      </c>
      <c r="C46" s="150" t="s">
        <v>313</v>
      </c>
      <c r="D46" s="150"/>
      <c r="E46" s="156"/>
      <c r="F46" s="150"/>
      <c r="G46" s="150"/>
      <c r="H46" s="150"/>
      <c r="I46" s="150"/>
      <c r="J46" s="150"/>
    </row>
    <row r="47" spans="2:10" x14ac:dyDescent="0.2">
      <c r="B47" s="224" t="s">
        <v>26</v>
      </c>
      <c r="C47" s="225">
        <f>'All-Servers'!P18</f>
        <v>183</v>
      </c>
      <c r="D47" s="150"/>
      <c r="E47" s="156"/>
      <c r="F47" s="150"/>
      <c r="G47" s="150"/>
      <c r="H47" s="150"/>
      <c r="I47" s="150"/>
      <c r="J47" s="150"/>
    </row>
    <row r="48" spans="2:10" x14ac:dyDescent="0.2">
      <c r="B48" s="250" t="s">
        <v>18</v>
      </c>
      <c r="C48" s="160">
        <f>'All-Servers'!P12</f>
        <v>623</v>
      </c>
      <c r="D48" s="150"/>
      <c r="E48" s="156"/>
      <c r="F48" s="150"/>
      <c r="G48" s="150"/>
      <c r="H48" s="150"/>
      <c r="I48" s="150"/>
      <c r="J48" s="150"/>
    </row>
    <row r="49" spans="2:10" x14ac:dyDescent="0.2">
      <c r="B49" s="250" t="str">
        <f>"Memory"</f>
        <v>Memory</v>
      </c>
      <c r="C49" s="160">
        <f>'All-Servers'!P13</f>
        <v>1331</v>
      </c>
      <c r="D49" s="150"/>
      <c r="E49" s="156"/>
      <c r="F49" s="150"/>
      <c r="G49" s="150"/>
      <c r="H49" s="150"/>
      <c r="I49" s="150"/>
      <c r="J49" s="150"/>
    </row>
    <row r="50" spans="2:10" x14ac:dyDescent="0.2">
      <c r="B50" s="250" t="str">
        <f>"Base Images"</f>
        <v>Base Images</v>
      </c>
      <c r="C50" s="160">
        <f>'All-Servers'!P14</f>
        <v>2744</v>
      </c>
      <c r="D50" s="150"/>
      <c r="E50" s="156"/>
      <c r="F50" s="150"/>
      <c r="G50" s="150"/>
      <c r="H50" s="150"/>
      <c r="I50" s="150"/>
      <c r="J50" s="150"/>
    </row>
    <row r="51" spans="2:10" x14ac:dyDescent="0.2">
      <c r="B51" s="250" t="str">
        <f>"Volumes"</f>
        <v>Volumes</v>
      </c>
      <c r="C51" s="160">
        <f>'All-Servers'!P15</f>
        <v>23820</v>
      </c>
      <c r="D51" s="150"/>
      <c r="E51" s="156"/>
      <c r="F51" s="150"/>
      <c r="G51" s="150"/>
      <c r="H51" s="150"/>
      <c r="I51" s="150"/>
      <c r="J51" s="150"/>
    </row>
    <row r="52" spans="2:10" x14ac:dyDescent="0.2">
      <c r="B52" s="250" t="str">
        <f>"Total Storage"</f>
        <v>Total Storage</v>
      </c>
      <c r="C52" s="160">
        <f>'All-Servers'!P16</f>
        <v>26564</v>
      </c>
      <c r="D52" s="150"/>
      <c r="E52" s="156"/>
      <c r="F52" s="150"/>
      <c r="G52" s="150"/>
      <c r="H52" s="150"/>
      <c r="I52" s="150"/>
      <c r="J52" s="150"/>
    </row>
    <row r="53" spans="2:10" x14ac:dyDescent="0.2">
      <c r="B53" s="253" t="s">
        <v>309</v>
      </c>
      <c r="C53" s="168">
        <f>'All-Servers'!P17</f>
        <v>2745</v>
      </c>
      <c r="D53" s="150"/>
      <c r="E53" s="156"/>
      <c r="F53" s="150"/>
      <c r="G53" s="150"/>
      <c r="H53" s="150"/>
      <c r="I53" s="150"/>
      <c r="J53" s="150"/>
    </row>
    <row r="54" spans="2:10" x14ac:dyDescent="0.2">
      <c r="B54" s="156"/>
      <c r="C54" s="150"/>
      <c r="D54" s="150"/>
      <c r="E54" s="156"/>
      <c r="F54" s="150"/>
      <c r="G54" s="150"/>
      <c r="H54" s="150"/>
      <c r="I54" s="150"/>
      <c r="J54" s="150"/>
    </row>
    <row r="55" spans="2:10" ht="6" customHeight="1" x14ac:dyDescent="0.2">
      <c r="B55" s="377" t="s">
        <v>308</v>
      </c>
      <c r="C55" s="377"/>
      <c r="D55" s="377"/>
      <c r="E55" s="377"/>
      <c r="F55" s="150"/>
      <c r="G55" s="150"/>
      <c r="H55" s="150"/>
      <c r="I55" s="150"/>
      <c r="J55" s="150"/>
    </row>
    <row r="56" spans="2:10" x14ac:dyDescent="0.2">
      <c r="B56" s="368" t="s">
        <v>314</v>
      </c>
      <c r="C56" s="368"/>
      <c r="D56" s="368"/>
      <c r="E56" s="150" t="s">
        <v>315</v>
      </c>
      <c r="F56" s="150"/>
      <c r="G56" s="150"/>
      <c r="H56" s="150"/>
      <c r="I56" s="150"/>
      <c r="J56" s="150"/>
    </row>
    <row r="57" spans="2:10" x14ac:dyDescent="0.2">
      <c r="B57" s="362" t="s">
        <v>302</v>
      </c>
      <c r="C57" s="363"/>
      <c r="D57" s="364"/>
      <c r="E57" s="171">
        <f>D43</f>
        <v>34.311</v>
      </c>
      <c r="F57" s="150"/>
      <c r="G57" s="150"/>
      <c r="H57" s="150"/>
      <c r="I57" s="150"/>
      <c r="J57" s="150"/>
    </row>
    <row r="58" spans="2:10" x14ac:dyDescent="0.2">
      <c r="B58" s="359" t="s">
        <v>303</v>
      </c>
      <c r="C58" s="360"/>
      <c r="D58" s="361"/>
      <c r="E58" s="172">
        <f>E43</f>
        <v>21.075400000000002</v>
      </c>
      <c r="F58" s="150"/>
      <c r="G58" s="150"/>
      <c r="H58" s="150"/>
      <c r="I58" s="173"/>
      <c r="J58" s="150"/>
    </row>
    <row r="59" spans="2:10" x14ac:dyDescent="0.2">
      <c r="B59" s="359" t="s">
        <v>304</v>
      </c>
      <c r="C59" s="360"/>
      <c r="D59" s="361"/>
      <c r="E59" s="172">
        <f>F43</f>
        <v>13.9339</v>
      </c>
      <c r="F59" s="150"/>
      <c r="G59" s="150"/>
      <c r="H59" s="150"/>
      <c r="I59" s="150"/>
      <c r="J59" s="150"/>
    </row>
    <row r="60" spans="2:10" x14ac:dyDescent="0.2">
      <c r="B60" s="381" t="s">
        <v>419</v>
      </c>
      <c r="C60" s="381"/>
      <c r="D60" s="381"/>
      <c r="E60" s="296">
        <f>(E57*8765.81)/12</f>
        <v>25063.642242500002</v>
      </c>
      <c r="F60" s="150"/>
      <c r="G60" s="150"/>
      <c r="H60" s="150"/>
      <c r="I60" s="150"/>
      <c r="J60" s="150"/>
    </row>
    <row r="61" spans="2:10" x14ac:dyDescent="0.2">
      <c r="B61" s="382" t="s">
        <v>420</v>
      </c>
      <c r="C61" s="382"/>
      <c r="D61" s="382"/>
      <c r="E61" s="173">
        <f>(E58*8765.81)/12</f>
        <v>15395.246006166666</v>
      </c>
      <c r="F61" s="150"/>
      <c r="G61" s="150"/>
      <c r="H61" s="150"/>
      <c r="I61" s="150"/>
      <c r="J61" s="150"/>
    </row>
    <row r="62" spans="2:10" x14ac:dyDescent="0.2">
      <c r="B62" s="382" t="s">
        <v>421</v>
      </c>
      <c r="C62" s="382"/>
      <c r="D62" s="382"/>
      <c r="E62" s="173">
        <f>((E59*8765.81)*3)/36</f>
        <v>10178.493329916666</v>
      </c>
      <c r="F62" s="150"/>
      <c r="G62" s="150"/>
      <c r="H62" s="150"/>
      <c r="I62" s="150"/>
      <c r="J62" s="150"/>
    </row>
    <row r="63" spans="2:10" x14ac:dyDescent="0.2">
      <c r="B63" s="156"/>
      <c r="C63" s="156"/>
      <c r="D63" s="156"/>
      <c r="E63" s="173"/>
      <c r="F63" s="150"/>
      <c r="G63" s="150"/>
      <c r="H63" s="150"/>
      <c r="I63" s="150"/>
      <c r="J63" s="150"/>
    </row>
    <row r="64" spans="2:10" ht="7" customHeight="1" x14ac:dyDescent="0.2">
      <c r="B64" s="368" t="s">
        <v>316</v>
      </c>
      <c r="C64" s="368"/>
      <c r="D64" s="368"/>
      <c r="E64" s="150" t="s">
        <v>315</v>
      </c>
      <c r="F64" s="150"/>
      <c r="G64" s="150"/>
      <c r="H64" s="150"/>
      <c r="I64" s="150"/>
      <c r="J64" s="150"/>
    </row>
    <row r="65" spans="2:13" x14ac:dyDescent="0.2">
      <c r="B65" s="362" t="s">
        <v>432</v>
      </c>
      <c r="C65" s="363"/>
      <c r="D65" s="364"/>
      <c r="E65" s="174">
        <f>I43</f>
        <v>23820</v>
      </c>
      <c r="F65" s="150"/>
      <c r="G65" s="150"/>
      <c r="H65" s="150"/>
      <c r="I65" s="150"/>
      <c r="J65" s="150"/>
    </row>
    <row r="66" spans="2:13" ht="14" x14ac:dyDescent="0.2">
      <c r="B66" s="250" t="s">
        <v>453</v>
      </c>
      <c r="C66" s="251"/>
      <c r="D66" s="252"/>
      <c r="E66" s="297">
        <f>1</f>
        <v>1</v>
      </c>
      <c r="F66" s="150"/>
      <c r="G66" s="150"/>
      <c r="H66" s="150"/>
      <c r="I66" s="150"/>
      <c r="J66" s="150"/>
    </row>
    <row r="67" spans="2:13" ht="14" x14ac:dyDescent="0.2">
      <c r="B67" s="359" t="s">
        <v>305</v>
      </c>
      <c r="C67" s="360"/>
      <c r="D67" s="361"/>
      <c r="E67" s="298">
        <v>0.1</v>
      </c>
      <c r="F67" s="150"/>
      <c r="G67" s="150"/>
      <c r="H67" s="150"/>
      <c r="I67" s="150"/>
      <c r="J67" s="150"/>
    </row>
    <row r="68" spans="2:13" ht="14" x14ac:dyDescent="0.2">
      <c r="B68" s="365" t="s">
        <v>306</v>
      </c>
      <c r="C68" s="366"/>
      <c r="D68" s="367"/>
      <c r="E68" s="298">
        <v>0.05</v>
      </c>
      <c r="F68" s="223"/>
      <c r="G68" s="150"/>
      <c r="H68" s="150"/>
      <c r="I68" s="150"/>
      <c r="J68" s="150"/>
    </row>
    <row r="69" spans="2:13" x14ac:dyDescent="0.2">
      <c r="B69" s="378" t="s">
        <v>307</v>
      </c>
      <c r="C69" s="379"/>
      <c r="D69" s="380"/>
      <c r="E69" s="299">
        <f>(E65*E66*E67)+((1-E66)*E65*E68)</f>
        <v>2382</v>
      </c>
      <c r="F69" s="150"/>
      <c r="G69" s="150"/>
      <c r="H69" s="150"/>
      <c r="I69" s="150"/>
      <c r="J69" s="150"/>
    </row>
    <row r="70" spans="2:13" x14ac:dyDescent="0.2">
      <c r="B70" s="156"/>
      <c r="C70" s="156"/>
      <c r="D70" s="156"/>
      <c r="E70" s="173"/>
      <c r="F70" s="150"/>
      <c r="G70" s="150"/>
      <c r="H70" s="150"/>
      <c r="I70" s="150"/>
      <c r="J70" s="150"/>
      <c r="M70" s="144" t="s">
        <v>320</v>
      </c>
    </row>
    <row r="71" spans="2:13" ht="7" customHeight="1" x14ac:dyDescent="0.2">
      <c r="B71" s="368" t="s">
        <v>372</v>
      </c>
      <c r="C71" s="368"/>
      <c r="D71" s="368"/>
      <c r="E71" s="150"/>
      <c r="F71" s="150"/>
      <c r="G71" s="150"/>
      <c r="H71" s="150"/>
      <c r="I71" s="150"/>
      <c r="J71" s="150"/>
    </row>
    <row r="72" spans="2:13" x14ac:dyDescent="0.2">
      <c r="B72" s="362" t="s">
        <v>425</v>
      </c>
      <c r="C72" s="363"/>
      <c r="D72" s="363"/>
      <c r="E72" s="204">
        <f>SUM(E60,E69)</f>
        <v>27445.642242500002</v>
      </c>
      <c r="F72" s="150"/>
      <c r="G72" s="150"/>
      <c r="H72" s="150"/>
      <c r="I72" s="150"/>
      <c r="J72" s="150"/>
    </row>
    <row r="73" spans="2:13" x14ac:dyDescent="0.2">
      <c r="B73" s="250" t="s">
        <v>426</v>
      </c>
      <c r="C73" s="251"/>
      <c r="D73" s="251"/>
      <c r="E73" s="206">
        <f>SUM(E61,E69)</f>
        <v>17777.246006166664</v>
      </c>
      <c r="F73" s="150"/>
      <c r="G73" s="150"/>
      <c r="H73" s="150"/>
      <c r="I73" s="150"/>
      <c r="J73" s="150"/>
    </row>
    <row r="74" spans="2:13" x14ac:dyDescent="0.2">
      <c r="B74" s="250" t="s">
        <v>427</v>
      </c>
      <c r="C74" s="251"/>
      <c r="D74" s="251"/>
      <c r="E74" s="208">
        <f>SUM(E62,E69)</f>
        <v>12560.493329916666</v>
      </c>
      <c r="F74" s="150"/>
      <c r="G74" s="150"/>
      <c r="H74" s="150"/>
      <c r="I74" s="150"/>
      <c r="J74" s="150"/>
    </row>
    <row r="75" spans="2:13" ht="14" x14ac:dyDescent="0.2">
      <c r="B75" s="359" t="s">
        <v>459</v>
      </c>
      <c r="C75" s="360"/>
      <c r="D75" s="361"/>
      <c r="E75" s="300">
        <v>0.15</v>
      </c>
      <c r="F75" s="150"/>
      <c r="G75" s="150"/>
      <c r="H75" s="150"/>
      <c r="I75" s="150"/>
      <c r="J75" s="150"/>
    </row>
    <row r="76" spans="2:13" x14ac:dyDescent="0.2">
      <c r="B76" s="250" t="s">
        <v>429</v>
      </c>
      <c r="C76" s="251"/>
      <c r="D76" s="252"/>
      <c r="E76" s="171">
        <f>E72*E75</f>
        <v>4116.8463363749997</v>
      </c>
      <c r="F76" s="150"/>
      <c r="G76" s="150"/>
      <c r="H76" s="150"/>
      <c r="I76" s="150"/>
      <c r="J76" s="150"/>
    </row>
    <row r="77" spans="2:13" x14ac:dyDescent="0.2">
      <c r="B77" s="250" t="s">
        <v>430</v>
      </c>
      <c r="C77" s="251"/>
      <c r="D77" s="252"/>
      <c r="E77" s="172">
        <f>E73*E75</f>
        <v>2666.5869009249996</v>
      </c>
      <c r="F77" s="150"/>
      <c r="G77" s="150"/>
      <c r="H77" s="150"/>
      <c r="I77" s="150"/>
      <c r="J77" s="150"/>
    </row>
    <row r="78" spans="2:13" x14ac:dyDescent="0.2">
      <c r="B78" s="359" t="s">
        <v>431</v>
      </c>
      <c r="C78" s="360"/>
      <c r="D78" s="361"/>
      <c r="E78" s="172">
        <f>E74*E75</f>
        <v>1884.0739994874998</v>
      </c>
      <c r="F78" s="150"/>
      <c r="G78" s="150"/>
      <c r="H78" s="150"/>
      <c r="I78" s="150"/>
      <c r="J78" s="150"/>
    </row>
    <row r="79" spans="2:13" x14ac:dyDescent="0.2">
      <c r="B79" s="362" t="s">
        <v>428</v>
      </c>
      <c r="C79" s="363"/>
      <c r="D79" s="364"/>
      <c r="E79" s="301">
        <f>E72+E76</f>
        <v>31562.488578875003</v>
      </c>
      <c r="F79" s="150"/>
      <c r="G79" s="150"/>
      <c r="H79" s="150"/>
      <c r="I79" s="150"/>
      <c r="J79" s="150"/>
    </row>
    <row r="80" spans="2:13" x14ac:dyDescent="0.2">
      <c r="B80" s="359" t="s">
        <v>444</v>
      </c>
      <c r="C80" s="360"/>
      <c r="D80" s="361"/>
      <c r="E80" s="302">
        <f>E73+E77</f>
        <v>20443.832907091662</v>
      </c>
      <c r="F80" s="150"/>
      <c r="G80" s="150"/>
      <c r="H80" s="150"/>
      <c r="I80" s="150"/>
      <c r="J80" s="150"/>
    </row>
    <row r="81" spans="2:10" x14ac:dyDescent="0.2">
      <c r="B81" s="365" t="s">
        <v>445</v>
      </c>
      <c r="C81" s="366"/>
      <c r="D81" s="367"/>
      <c r="E81" s="303">
        <f>E74+E78</f>
        <v>14444.567329404166</v>
      </c>
      <c r="F81" s="150"/>
      <c r="G81" s="150"/>
      <c r="H81" s="150"/>
      <c r="I81" s="150"/>
      <c r="J81" s="150"/>
    </row>
    <row r="82" spans="2:10" x14ac:dyDescent="0.2">
      <c r="B82" s="150"/>
      <c r="C82" s="150"/>
      <c r="D82" s="150"/>
      <c r="E82" s="173"/>
      <c r="F82" s="150"/>
      <c r="G82" s="150"/>
      <c r="H82" s="150"/>
      <c r="I82" s="150"/>
      <c r="J82" s="150"/>
    </row>
    <row r="83" spans="2:10" ht="8" customHeight="1" x14ac:dyDescent="0.2">
      <c r="B83" s="377" t="s">
        <v>301</v>
      </c>
      <c r="C83" s="377"/>
      <c r="D83" s="377"/>
      <c r="E83" s="377"/>
      <c r="F83" s="150"/>
      <c r="G83" s="150"/>
      <c r="H83" s="150"/>
      <c r="I83" s="150"/>
      <c r="J83" s="150"/>
    </row>
    <row r="84" spans="2:10" x14ac:dyDescent="0.2">
      <c r="B84" s="368" t="s">
        <v>297</v>
      </c>
      <c r="C84" s="368"/>
      <c r="D84" s="368"/>
      <c r="E84" s="368"/>
      <c r="F84" s="150"/>
      <c r="G84" s="150"/>
      <c r="H84" s="150"/>
      <c r="I84" s="150"/>
      <c r="J84" s="150"/>
    </row>
    <row r="85" spans="2:10" x14ac:dyDescent="0.2">
      <c r="B85" s="362" t="str">
        <f>"Environment utilization / allocation set to " &amp; ('All-Servers'!$P$4*100) &amp; "%."</f>
        <v>Environment utilization / allocation set to 100%.</v>
      </c>
      <c r="C85" s="363"/>
      <c r="D85" s="363"/>
      <c r="E85" s="364"/>
      <c r="F85" s="150"/>
      <c r="G85" s="150"/>
      <c r="H85" s="150"/>
      <c r="I85" s="150"/>
      <c r="J85" s="150"/>
    </row>
    <row r="86" spans="2:10" x14ac:dyDescent="0.2">
      <c r="B86" s="359" t="str">
        <f>"Month over month growth rate is set to " &amp; ('All-Servers'!$P$5*100-100) &amp; "%."</f>
        <v>Month over month growth rate is set to 0%.</v>
      </c>
      <c r="C86" s="360"/>
      <c r="D86" s="360"/>
      <c r="E86" s="361"/>
      <c r="F86" s="150"/>
      <c r="G86" s="150"/>
      <c r="H86" s="150"/>
      <c r="I86" s="150"/>
      <c r="J86" s="150"/>
    </row>
    <row r="87" spans="2:10" x14ac:dyDescent="0.2">
      <c r="B87" s="365" t="str">
        <f>"Additonal capacity ""padding"" is set to " &amp; ('All-Servers'!$P$6*100) &amp; "%."</f>
        <v>Additonal capacity "padding" is set to 100%.</v>
      </c>
      <c r="C87" s="366"/>
      <c r="D87" s="366"/>
      <c r="E87" s="367"/>
      <c r="F87" s="150"/>
      <c r="G87" s="150"/>
      <c r="H87" s="150"/>
      <c r="I87" s="150"/>
      <c r="J87" s="150"/>
    </row>
    <row r="88" spans="2:10" x14ac:dyDescent="0.2">
      <c r="B88" s="150"/>
      <c r="C88" s="150"/>
      <c r="D88" s="150"/>
      <c r="E88" s="150"/>
      <c r="F88" s="150"/>
      <c r="G88" s="150"/>
      <c r="H88" s="150"/>
      <c r="I88" s="150"/>
      <c r="J88" s="150"/>
    </row>
    <row r="89" spans="2:10" ht="10" customHeight="1" x14ac:dyDescent="0.2">
      <c r="B89" s="290" t="s">
        <v>325</v>
      </c>
      <c r="C89" s="290"/>
      <c r="D89" s="290"/>
      <c r="E89" s="290"/>
      <c r="F89" s="150"/>
      <c r="G89" s="150"/>
      <c r="H89" s="150"/>
      <c r="I89" s="150"/>
      <c r="J89" s="150"/>
    </row>
    <row r="90" spans="2:10" x14ac:dyDescent="0.2">
      <c r="B90" s="368" t="str">
        <f>'All-Servers'!P24 &amp; " x " &amp;'All-Servers'!P23 &amp; " Metapod Controllers"</f>
        <v>3 x UCSC-C220-M4S Metapod Controllers</v>
      </c>
      <c r="C90" s="368"/>
      <c r="D90" s="368"/>
      <c r="E90" s="368"/>
      <c r="F90" s="169"/>
      <c r="G90" s="150"/>
      <c r="H90" s="150"/>
      <c r="I90" s="150"/>
      <c r="J90" s="150"/>
    </row>
    <row r="91" spans="2:10" x14ac:dyDescent="0.2">
      <c r="B91" s="362" t="str">
        <f>'All-Servers'!P28 &amp; " x " &amp;'All-Servers'!P29 &amp; "W "&amp;'All-Servers'!P27 &amp; " core CPUs @ " &amp; 'All-Servers'!P70 &amp; " GHz"</f>
        <v>2 x 90W E5-2640 v3 (8) core CPUs @ 2.6 GHz</v>
      </c>
      <c r="C91" s="363"/>
      <c r="D91" s="363"/>
      <c r="E91" s="363"/>
      <c r="F91" s="364"/>
      <c r="G91" s="150"/>
      <c r="H91" s="150"/>
      <c r="I91" s="150"/>
      <c r="J91" s="150"/>
    </row>
    <row r="92" spans="2:10" x14ac:dyDescent="0.2">
      <c r="B92" s="250" t="str">
        <f>'All-Servers'!P40 &amp; " x " &amp; 'All-Servers'!P42 &amp; " " &amp; 'All-Servers'!P41 &amp; " Drives configured as " &amp; 'All-Servers'!P43 &amp; ", " &amp;'All-Servers'!P53 &amp; " aggregate IO/s, " &amp; ('All-Servers'!P55*1024) &amp; " GB of capacity"</f>
        <v>4 x 480 GB  SATA 6G SSD SFF Ephemeral Drives configured as RAID 10, 13333 aggregate IO/s, 931.84 GB of capacity</v>
      </c>
      <c r="C92" s="251"/>
      <c r="D92" s="251"/>
      <c r="E92" s="251"/>
      <c r="F92" s="252"/>
      <c r="G92" s="150"/>
      <c r="H92" s="150"/>
      <c r="I92" s="150"/>
      <c r="J92" s="150"/>
    </row>
    <row r="93" spans="2:10" x14ac:dyDescent="0.2">
      <c r="B93" s="365" t="str">
        <f>'All-Servers'!P34 &amp; " GB of RAM, " &amp;'All-Servers'!P35 &amp; " DIMMs x " &amp; 'All-Servers'!P36 &amp; " GB each at " &amp; 'All-Servers'!P37 &amp; " MHz"</f>
        <v>256 GB of RAM, 16 DIMMs x 16 GB each at 2133 MHz</v>
      </c>
      <c r="C93" s="366"/>
      <c r="D93" s="366"/>
      <c r="E93" s="366"/>
      <c r="F93" s="367"/>
      <c r="G93" s="150"/>
      <c r="H93" s="150"/>
      <c r="I93" s="150"/>
      <c r="J93" s="150"/>
    </row>
    <row r="94" spans="2:10" x14ac:dyDescent="0.2">
      <c r="B94" s="368" t="str">
        <f>'All-Servers'!P117 &amp; " x Metapod Hypervisors"</f>
        <v>5 x Metapod Hypervisors</v>
      </c>
      <c r="C94" s="368"/>
      <c r="D94" s="368"/>
      <c r="E94" s="368"/>
      <c r="F94" s="169"/>
      <c r="G94" s="150"/>
      <c r="H94" s="150"/>
      <c r="I94" s="150"/>
      <c r="J94" s="150"/>
    </row>
    <row r="95" spans="2:10" x14ac:dyDescent="0.2">
      <c r="B95" s="359" t="str">
        <f>'All-Servers'!P66 &amp; " x " &amp;'All-Servers'!P67 &amp; "W "&amp;'All-Servers'!P65 &amp; " core CPUs @ " &amp; 'All-Servers'!P70 &amp; " GHz w/ " &amp; 'All-Servers'!P71 &amp; " MB Cache and " &amp; 'All-Servers'!P69 &amp; " bus speed"</f>
        <v>2 x 135W E5-2690 v3 (12) core CPUs @ 2.6 GHz w/ 30 MB Cache and 9.6 GT/s bus speed</v>
      </c>
      <c r="C95" s="360"/>
      <c r="D95" s="360"/>
      <c r="E95" s="360"/>
      <c r="F95" s="361"/>
      <c r="G95" s="150"/>
      <c r="H95" s="150"/>
      <c r="I95" s="150"/>
      <c r="J95" s="150"/>
    </row>
    <row r="96" spans="2:10" x14ac:dyDescent="0.2">
      <c r="B96" s="359" t="str">
        <f>'All-Servers'!P80 &amp; " GB of RAM, " &amp;'All-Servers'!P81 &amp; " DIMMs x " &amp; 'All-Servers'!P82 &amp; " GB each at " &amp; 'All-Servers'!P83 &amp; " MHz"</f>
        <v>384 GB of RAM, 24 DIMMs x 16 GB each at 1866 MHz</v>
      </c>
      <c r="C96" s="360"/>
      <c r="D96" s="360"/>
      <c r="E96" s="360"/>
      <c r="F96" s="361"/>
      <c r="G96" s="150"/>
      <c r="H96" s="150"/>
      <c r="I96" s="150"/>
      <c r="J96" s="150"/>
    </row>
    <row r="97" spans="2:10" x14ac:dyDescent="0.2">
      <c r="B97" s="359" t="str">
        <f>'All-Servers'!P87&amp;" storage configured as:"</f>
        <v>Ceph storage configured as:</v>
      </c>
      <c r="C97" s="360"/>
      <c r="D97" s="360"/>
      <c r="E97" s="360"/>
      <c r="F97" s="361"/>
      <c r="G97" s="150"/>
      <c r="H97" s="150"/>
      <c r="I97" s="150"/>
      <c r="J97" s="150"/>
    </row>
    <row r="98" spans="2:10" x14ac:dyDescent="0.2">
      <c r="B98" s="250" t="s">
        <v>373</v>
      </c>
      <c r="C98" s="251"/>
      <c r="D98" s="251"/>
      <c r="E98" s="251"/>
      <c r="F98" s="252"/>
      <c r="G98" s="150"/>
      <c r="H98" s="150"/>
      <c r="I98" s="150"/>
      <c r="J98" s="150"/>
    </row>
    <row r="99" spans="2:10" x14ac:dyDescent="0.2">
      <c r="B99" s="250" t="str">
        <f>IF('All-Servers'!P87="Ceph",ROUNDUP('All-Servers'!P86/4,0) &amp; " x 480 GB SSDs dedicated to Ceph indexing","Not using Ceph, no additional SSDs required")</f>
        <v>2 x 480 GB SSDs dedicated to Ceph indexing</v>
      </c>
      <c r="C99" s="251"/>
      <c r="D99" s="251"/>
      <c r="E99" s="251"/>
      <c r="F99" s="252"/>
      <c r="G99" s="150"/>
      <c r="H99" s="150"/>
      <c r="I99" s="150"/>
      <c r="J99" s="150"/>
    </row>
    <row r="100" spans="2:10" x14ac:dyDescent="0.2">
      <c r="B100" s="365" t="str">
        <f>'All-Servers'!P86&amp;" x "&amp;'All-Servers'!P88&amp;" drives,  "&amp;'All-Servers'!P97&amp;", "&amp;'All-Servers'!P108&amp;" TB usable space, "&amp; 'All-Servers'!P106 &amp; " IO/s per server"</f>
        <v>8 x 4096 GB 7.2K SAS 6G Spindle LFF drives,  JBOD, 10.22 TB usable space, 1060 IO/s per server</v>
      </c>
      <c r="C100" s="366"/>
      <c r="D100" s="366"/>
      <c r="E100" s="366"/>
      <c r="F100" s="367"/>
      <c r="G100" s="150"/>
      <c r="H100" s="150"/>
      <c r="I100" s="150"/>
      <c r="J100" s="150"/>
    </row>
    <row r="101" spans="2:10" x14ac:dyDescent="0.2">
      <c r="B101" s="304"/>
      <c r="C101" s="305"/>
      <c r="D101" s="296"/>
      <c r="E101" s="296"/>
      <c r="F101" s="296"/>
      <c r="G101" s="150"/>
      <c r="H101" s="150"/>
      <c r="I101" s="150"/>
      <c r="J101" s="150"/>
    </row>
    <row r="102" spans="2:10" ht="5" customHeight="1" x14ac:dyDescent="0.2">
      <c r="B102" s="290" t="s">
        <v>299</v>
      </c>
      <c r="C102" s="156"/>
      <c r="D102" s="150"/>
      <c r="E102" s="150"/>
      <c r="F102" s="150"/>
      <c r="G102" s="150"/>
      <c r="H102" s="150"/>
      <c r="I102" s="150"/>
      <c r="J102" s="150"/>
    </row>
    <row r="103" spans="2:10" x14ac:dyDescent="0.2">
      <c r="B103" s="156" t="s">
        <v>298</v>
      </c>
      <c r="C103" s="306" t="s">
        <v>310</v>
      </c>
      <c r="D103" s="306" t="s">
        <v>311</v>
      </c>
      <c r="E103" s="150" t="s">
        <v>484</v>
      </c>
      <c r="F103" s="150" t="s">
        <v>312</v>
      </c>
      <c r="G103" s="150"/>
      <c r="H103" s="150"/>
      <c r="I103" s="150"/>
      <c r="J103" s="150"/>
    </row>
    <row r="104" spans="2:10" x14ac:dyDescent="0.2">
      <c r="B104" s="154" t="s">
        <v>18</v>
      </c>
      <c r="C104" s="242">
        <f>ROUND((SUM(Inputs!$H$2:$H$1502)),0)</f>
        <v>623</v>
      </c>
      <c r="D104" s="242">
        <f>'All-Servers'!$P$122</f>
        <v>720</v>
      </c>
      <c r="E104" s="243">
        <f>D104-C104</f>
        <v>97</v>
      </c>
      <c r="F104" s="307">
        <f>-(1-(D104/C104))</f>
        <v>0.15569823434991981</v>
      </c>
      <c r="G104" s="150"/>
      <c r="H104" s="150"/>
      <c r="I104" s="150"/>
      <c r="J104" s="150"/>
    </row>
    <row r="105" spans="2:10" x14ac:dyDescent="0.2">
      <c r="B105" s="158" t="str">
        <f>"Memory"</f>
        <v>Memory</v>
      </c>
      <c r="C105" s="244">
        <f>ROUNDUP(((SUM(Inputs!$I$2:$I$1502))),0)</f>
        <v>1331</v>
      </c>
      <c r="D105" s="244">
        <f>'All-Servers'!$P$123</f>
        <v>1920</v>
      </c>
      <c r="E105" s="245">
        <f>D105-C105</f>
        <v>589</v>
      </c>
      <c r="F105" s="308">
        <f>-(1-(D105/C105))</f>
        <v>0.44252441773102924</v>
      </c>
      <c r="G105" s="150"/>
      <c r="H105" s="150"/>
      <c r="I105" s="150"/>
      <c r="J105" s="150"/>
    </row>
    <row r="106" spans="2:10" x14ac:dyDescent="0.2">
      <c r="B106" s="158" t="s">
        <v>482</v>
      </c>
      <c r="C106" s="244">
        <f>ROUND((('All-Servers'!$P$101*'All-Servers'!$P$18)),0)</f>
        <v>2745</v>
      </c>
      <c r="D106" s="244">
        <f>'All-Servers'!$P$125</f>
        <v>5300</v>
      </c>
      <c r="E106" s="245">
        <f>D106-C106</f>
        <v>2555</v>
      </c>
      <c r="F106" s="308">
        <f>-(1-(D106/C106))</f>
        <v>0.93078324225865217</v>
      </c>
      <c r="G106" s="150"/>
      <c r="H106" s="150"/>
      <c r="I106" s="150"/>
      <c r="J106" s="150"/>
    </row>
    <row r="107" spans="2:10" x14ac:dyDescent="0.2">
      <c r="B107" s="167" t="s">
        <v>483</v>
      </c>
      <c r="C107" s="246">
        <f>'All-Servers'!P16</f>
        <v>26564</v>
      </c>
      <c r="D107" s="246">
        <f>'All-Servers'!$P$124</f>
        <v>52326.400000000001</v>
      </c>
      <c r="E107" s="247">
        <f>D107-C107</f>
        <v>25762.400000000001</v>
      </c>
      <c r="F107" s="309">
        <f>-(1-(D107/C107))</f>
        <v>0.96982382171359749</v>
      </c>
      <c r="G107" s="150"/>
      <c r="H107" s="150"/>
      <c r="I107" s="150"/>
      <c r="J107" s="150"/>
    </row>
    <row r="108" spans="2:10" x14ac:dyDescent="0.2">
      <c r="B108" s="156"/>
      <c r="C108" s="156"/>
      <c r="D108" s="150"/>
      <c r="E108" s="150"/>
      <c r="F108" s="150"/>
      <c r="G108" s="150"/>
      <c r="H108" s="150"/>
      <c r="I108" s="150"/>
      <c r="J108" s="150"/>
    </row>
    <row r="109" spans="2:10" x14ac:dyDescent="0.2">
      <c r="B109" s="156"/>
      <c r="C109" s="156"/>
      <c r="D109" s="150"/>
      <c r="E109" s="150"/>
      <c r="F109" s="150"/>
      <c r="G109" s="150"/>
      <c r="H109" s="150"/>
      <c r="I109" s="150"/>
      <c r="J109" s="150"/>
    </row>
    <row r="110" spans="2:10" x14ac:dyDescent="0.2">
      <c r="B110" s="156"/>
      <c r="C110" s="156"/>
      <c r="D110" s="150"/>
      <c r="E110" s="150"/>
      <c r="F110" s="150"/>
      <c r="G110" s="150"/>
      <c r="H110" s="150"/>
      <c r="I110" s="150"/>
      <c r="J110" s="150"/>
    </row>
    <row r="111" spans="2:10" x14ac:dyDescent="0.2">
      <c r="B111" s="156"/>
      <c r="C111" s="156"/>
      <c r="D111" s="150"/>
      <c r="E111" s="150"/>
      <c r="F111" s="150"/>
      <c r="G111" s="150"/>
      <c r="H111" s="150"/>
      <c r="I111" s="150"/>
      <c r="J111" s="150"/>
    </row>
    <row r="112" spans="2:10" x14ac:dyDescent="0.2">
      <c r="B112" s="156"/>
      <c r="C112" s="156"/>
      <c r="D112" s="150"/>
      <c r="E112" s="150"/>
      <c r="F112" s="150"/>
      <c r="G112" s="150"/>
      <c r="H112" s="150"/>
      <c r="I112" s="150"/>
      <c r="J112" s="150"/>
    </row>
    <row r="113" spans="2:10" x14ac:dyDescent="0.2">
      <c r="B113" s="156"/>
      <c r="C113" s="156"/>
      <c r="D113" s="150"/>
      <c r="E113" s="150"/>
      <c r="F113" s="150"/>
      <c r="G113" s="150"/>
      <c r="H113" s="150"/>
      <c r="I113" s="150"/>
      <c r="J113" s="150"/>
    </row>
    <row r="114" spans="2:10" x14ac:dyDescent="0.2">
      <c r="B114" s="156"/>
      <c r="C114" s="156"/>
      <c r="D114" s="150"/>
      <c r="E114" s="150"/>
      <c r="F114" s="150"/>
      <c r="G114" s="150"/>
      <c r="H114" s="150"/>
      <c r="I114" s="150"/>
      <c r="J114" s="150"/>
    </row>
    <row r="115" spans="2:10" x14ac:dyDescent="0.2">
      <c r="B115" s="156"/>
      <c r="C115" s="156"/>
      <c r="D115" s="150"/>
      <c r="E115" s="150"/>
      <c r="F115" s="150"/>
      <c r="G115" s="150"/>
      <c r="H115" s="150"/>
      <c r="I115" s="150"/>
      <c r="J115" s="150"/>
    </row>
    <row r="116" spans="2:10" x14ac:dyDescent="0.2">
      <c r="B116" s="156"/>
      <c r="C116" s="156"/>
      <c r="D116" s="150"/>
      <c r="E116" s="150"/>
      <c r="F116" s="150"/>
      <c r="G116" s="150"/>
      <c r="H116" s="150"/>
      <c r="I116" s="150"/>
      <c r="J116" s="150"/>
    </row>
    <row r="117" spans="2:10" x14ac:dyDescent="0.2">
      <c r="B117" s="156"/>
      <c r="C117" s="156"/>
      <c r="D117" s="150"/>
      <c r="E117" s="150"/>
      <c r="F117" s="150"/>
      <c r="G117" s="150"/>
      <c r="H117" s="150"/>
      <c r="I117" s="150"/>
      <c r="J117" s="150"/>
    </row>
    <row r="118" spans="2:10" x14ac:dyDescent="0.2">
      <c r="B118" s="156"/>
      <c r="C118" s="156"/>
      <c r="D118" s="150"/>
      <c r="E118" s="150"/>
      <c r="F118" s="150"/>
      <c r="G118" s="150"/>
      <c r="H118" s="150"/>
      <c r="I118" s="150"/>
      <c r="J118" s="150"/>
    </row>
    <row r="119" spans="2:10" x14ac:dyDescent="0.2">
      <c r="B119" s="156"/>
      <c r="C119" s="156"/>
      <c r="D119" s="150"/>
      <c r="E119" s="150"/>
      <c r="F119" s="150"/>
      <c r="G119" s="150"/>
      <c r="H119" s="150"/>
      <c r="I119" s="150"/>
      <c r="J119" s="150"/>
    </row>
    <row r="120" spans="2:10" x14ac:dyDescent="0.2">
      <c r="B120" s="156"/>
      <c r="C120" s="156"/>
      <c r="D120" s="150"/>
      <c r="E120" s="150"/>
      <c r="F120" s="150"/>
      <c r="G120" s="150"/>
      <c r="H120" s="150"/>
      <c r="I120" s="150"/>
      <c r="J120" s="150"/>
    </row>
    <row r="121" spans="2:10" x14ac:dyDescent="0.2">
      <c r="B121" s="156"/>
      <c r="C121" s="156"/>
      <c r="D121" s="150"/>
      <c r="E121" s="150"/>
      <c r="F121" s="150"/>
      <c r="G121" s="150"/>
      <c r="H121" s="150"/>
      <c r="I121" s="150"/>
      <c r="J121" s="150"/>
    </row>
    <row r="122" spans="2:10" x14ac:dyDescent="0.2">
      <c r="B122" s="156"/>
      <c r="C122" s="156"/>
      <c r="D122" s="150"/>
      <c r="E122" s="150"/>
      <c r="F122" s="150"/>
      <c r="G122" s="150"/>
      <c r="H122" s="150"/>
      <c r="I122" s="150"/>
      <c r="J122" s="150"/>
    </row>
    <row r="123" spans="2:10" x14ac:dyDescent="0.2">
      <c r="B123" s="156"/>
      <c r="C123" s="156"/>
      <c r="D123" s="150"/>
      <c r="E123" s="150"/>
      <c r="F123" s="150"/>
      <c r="G123" s="150"/>
      <c r="H123" s="150"/>
      <c r="I123" s="150"/>
      <c r="J123" s="150"/>
    </row>
    <row r="124" spans="2:10" x14ac:dyDescent="0.2">
      <c r="B124" s="156"/>
      <c r="C124" s="156"/>
      <c r="D124" s="150"/>
      <c r="E124" s="150"/>
      <c r="F124" s="150"/>
      <c r="G124" s="150"/>
      <c r="H124" s="150"/>
      <c r="I124" s="150"/>
      <c r="J124" s="150"/>
    </row>
    <row r="125" spans="2:10" x14ac:dyDescent="0.2">
      <c r="B125" s="156"/>
      <c r="C125" s="156"/>
      <c r="D125" s="150"/>
      <c r="E125" s="150"/>
      <c r="F125" s="150"/>
      <c r="G125" s="150"/>
      <c r="H125" s="150"/>
      <c r="I125" s="150"/>
      <c r="J125" s="150"/>
    </row>
    <row r="126" spans="2:10" x14ac:dyDescent="0.2">
      <c r="B126" s="156"/>
      <c r="C126" s="156"/>
      <c r="D126" s="150"/>
      <c r="E126" s="150"/>
      <c r="F126" s="150"/>
      <c r="G126" s="150"/>
      <c r="H126" s="150"/>
      <c r="I126" s="150"/>
      <c r="J126" s="150"/>
    </row>
    <row r="127" spans="2:10" x14ac:dyDescent="0.2">
      <c r="B127" s="156"/>
      <c r="C127" s="156"/>
      <c r="D127" s="150"/>
      <c r="E127" s="150"/>
      <c r="F127" s="150"/>
      <c r="G127" s="150"/>
      <c r="H127" s="150"/>
      <c r="I127" s="150"/>
      <c r="J127" s="150"/>
    </row>
    <row r="128" spans="2:10" x14ac:dyDescent="0.2">
      <c r="B128" s="156"/>
      <c r="C128" s="156"/>
      <c r="D128" s="150"/>
      <c r="E128" s="150"/>
      <c r="F128" s="150"/>
      <c r="G128" s="150"/>
      <c r="H128" s="150"/>
      <c r="I128" s="150"/>
      <c r="J128" s="150"/>
    </row>
    <row r="129" spans="2:10" x14ac:dyDescent="0.2">
      <c r="B129" s="156"/>
      <c r="C129" s="156"/>
      <c r="D129" s="150"/>
      <c r="E129" s="150"/>
      <c r="F129" s="150"/>
      <c r="G129" s="150"/>
      <c r="H129" s="150"/>
      <c r="I129" s="150"/>
      <c r="J129" s="150"/>
    </row>
    <row r="130" spans="2:10" x14ac:dyDescent="0.2">
      <c r="B130" s="156"/>
      <c r="C130" s="156"/>
      <c r="D130" s="150"/>
      <c r="E130" s="150"/>
      <c r="F130" s="150"/>
      <c r="G130" s="150"/>
      <c r="H130" s="150"/>
      <c r="I130" s="150"/>
      <c r="J130" s="150"/>
    </row>
    <row r="131" spans="2:10" x14ac:dyDescent="0.2">
      <c r="B131" s="156"/>
      <c r="C131" s="156"/>
      <c r="D131" s="150"/>
      <c r="E131" s="150"/>
      <c r="F131" s="150"/>
      <c r="G131" s="150"/>
      <c r="H131" s="150"/>
      <c r="I131" s="150"/>
      <c r="J131" s="150"/>
    </row>
    <row r="132" spans="2:10" x14ac:dyDescent="0.2">
      <c r="B132" s="156"/>
      <c r="C132" s="156"/>
      <c r="D132" s="150"/>
      <c r="E132" s="150"/>
      <c r="F132" s="150"/>
      <c r="G132" s="150"/>
      <c r="H132" s="150"/>
      <c r="I132" s="150"/>
      <c r="J132" s="150"/>
    </row>
    <row r="133" spans="2:10" x14ac:dyDescent="0.2">
      <c r="B133" s="156"/>
      <c r="C133" s="156"/>
      <c r="D133" s="150"/>
      <c r="E133" s="150"/>
      <c r="F133" s="150"/>
      <c r="G133" s="150"/>
      <c r="H133" s="150"/>
      <c r="I133" s="150"/>
      <c r="J133" s="150"/>
    </row>
    <row r="134" spans="2:10" x14ac:dyDescent="0.2">
      <c r="B134" s="156"/>
      <c r="C134" s="156"/>
      <c r="D134" s="150"/>
      <c r="E134" s="150"/>
      <c r="F134" s="150"/>
      <c r="G134" s="150"/>
      <c r="H134" s="150"/>
      <c r="I134" s="150"/>
      <c r="J134" s="150"/>
    </row>
    <row r="135" spans="2:10" x14ac:dyDescent="0.2">
      <c r="B135" s="156"/>
      <c r="C135" s="156"/>
      <c r="D135" s="150"/>
      <c r="E135" s="150"/>
      <c r="F135" s="150"/>
      <c r="G135" s="150"/>
      <c r="H135" s="150"/>
      <c r="I135" s="150"/>
      <c r="J135" s="150"/>
    </row>
    <row r="136" spans="2:10" x14ac:dyDescent="0.2">
      <c r="B136" s="156"/>
      <c r="C136" s="156"/>
      <c r="D136" s="150"/>
      <c r="E136" s="150"/>
      <c r="F136" s="150"/>
      <c r="G136" s="150"/>
      <c r="H136" s="150"/>
      <c r="I136" s="150"/>
      <c r="J136" s="150"/>
    </row>
    <row r="137" spans="2:10" x14ac:dyDescent="0.2">
      <c r="B137" s="156"/>
      <c r="C137" s="156"/>
      <c r="D137" s="150"/>
      <c r="E137" s="150"/>
      <c r="F137" s="150"/>
      <c r="G137" s="150"/>
      <c r="H137" s="150"/>
      <c r="I137" s="150"/>
      <c r="J137" s="150"/>
    </row>
    <row r="138" spans="2:10" x14ac:dyDescent="0.2">
      <c r="B138" s="156"/>
      <c r="C138" s="156"/>
      <c r="D138" s="150"/>
      <c r="E138" s="150"/>
      <c r="F138" s="150"/>
      <c r="G138" s="150"/>
      <c r="H138" s="150"/>
      <c r="I138" s="150"/>
      <c r="J138" s="150"/>
    </row>
    <row r="139" spans="2:10" x14ac:dyDescent="0.2">
      <c r="B139" s="156"/>
      <c r="C139" s="156"/>
      <c r="D139" s="150"/>
      <c r="E139" s="150"/>
      <c r="F139" s="150"/>
      <c r="G139" s="150"/>
      <c r="H139" s="150"/>
      <c r="I139" s="150"/>
      <c r="J139" s="150"/>
    </row>
    <row r="140" spans="2:10" x14ac:dyDescent="0.2">
      <c r="B140" s="156"/>
      <c r="C140" s="156"/>
      <c r="D140" s="150"/>
      <c r="E140" s="150"/>
      <c r="F140" s="150"/>
      <c r="G140" s="150"/>
      <c r="H140" s="150"/>
      <c r="I140" s="150"/>
      <c r="J140" s="150"/>
    </row>
    <row r="141" spans="2:10" x14ac:dyDescent="0.2">
      <c r="B141" s="156"/>
      <c r="C141" s="156"/>
      <c r="D141" s="150"/>
      <c r="E141" s="150"/>
      <c r="F141" s="150"/>
      <c r="G141" s="150"/>
      <c r="H141" s="150"/>
      <c r="I141" s="150"/>
      <c r="J141" s="150"/>
    </row>
    <row r="142" spans="2:10" ht="10" customHeight="1" x14ac:dyDescent="0.2">
      <c r="B142" s="290" t="s">
        <v>340</v>
      </c>
      <c r="C142" s="156"/>
      <c r="D142" s="150"/>
      <c r="E142" s="150"/>
      <c r="F142" s="150"/>
      <c r="G142" s="150"/>
      <c r="H142" s="150"/>
      <c r="I142" s="150"/>
      <c r="J142" s="150"/>
    </row>
    <row r="143" spans="2:10" x14ac:dyDescent="0.2">
      <c r="B143" s="310" t="s">
        <v>349</v>
      </c>
      <c r="C143" s="156"/>
      <c r="D143" s="150"/>
      <c r="E143" s="310" t="s">
        <v>485</v>
      </c>
      <c r="F143" s="310"/>
      <c r="G143" s="310"/>
      <c r="H143" s="150"/>
      <c r="I143" s="150"/>
      <c r="J143" s="150"/>
    </row>
    <row r="144" spans="2:10" ht="14" customHeight="1" x14ac:dyDescent="0.2">
      <c r="B144" s="203" t="s">
        <v>344</v>
      </c>
      <c r="C144" s="204">
        <f>'All-Servers'!P167</f>
        <v>0</v>
      </c>
      <c r="D144" s="150"/>
      <c r="E144" s="154" t="s">
        <v>350</v>
      </c>
      <c r="F144" s="155">
        <v>3</v>
      </c>
      <c r="G144" s="150"/>
      <c r="H144" s="150"/>
      <c r="I144" s="150"/>
      <c r="J144" s="150"/>
    </row>
    <row r="145" spans="2:15" x14ac:dyDescent="0.2">
      <c r="B145" s="205" t="s">
        <v>345</v>
      </c>
      <c r="C145" s="206">
        <f>'All-Servers'!P168</f>
        <v>3200</v>
      </c>
      <c r="D145" s="150"/>
      <c r="E145" s="158" t="s">
        <v>351</v>
      </c>
      <c r="F145" s="159">
        <f>MAX('All-Servers'!P113:P116)</f>
        <v>5</v>
      </c>
      <c r="G145" s="150"/>
      <c r="H145" s="150"/>
      <c r="I145" s="150"/>
      <c r="J145" s="150"/>
    </row>
    <row r="146" spans="2:15" x14ac:dyDescent="0.2">
      <c r="B146" s="207" t="s">
        <v>346</v>
      </c>
      <c r="C146" s="208">
        <f>'All-Servers'!P169</f>
        <v>2650</v>
      </c>
      <c r="D146" s="150"/>
      <c r="E146" s="158" t="s">
        <v>352</v>
      </c>
      <c r="F146" s="159">
        <f>(F145+F144)*2</f>
        <v>16</v>
      </c>
      <c r="G146" s="150"/>
      <c r="H146" s="150"/>
      <c r="I146" s="150"/>
      <c r="J146" s="150"/>
    </row>
    <row r="147" spans="2:15" x14ac:dyDescent="0.2">
      <c r="B147" s="205" t="s">
        <v>348</v>
      </c>
      <c r="C147" s="209">
        <f>SUM(C144:C145)</f>
        <v>3200</v>
      </c>
      <c r="D147" s="150"/>
      <c r="E147" s="158" t="s">
        <v>353</v>
      </c>
      <c r="F147" s="172">
        <f>'All-Servers'!P184</f>
        <v>230</v>
      </c>
      <c r="G147" s="150"/>
      <c r="H147" s="150"/>
      <c r="I147" s="150"/>
      <c r="J147" s="150"/>
    </row>
    <row r="148" spans="2:15" x14ac:dyDescent="0.2">
      <c r="B148" s="207" t="s">
        <v>347</v>
      </c>
      <c r="C148" s="210">
        <f>SUM(C144:C146)</f>
        <v>5850</v>
      </c>
      <c r="D148" s="150"/>
      <c r="E148" s="211" t="s">
        <v>357</v>
      </c>
      <c r="F148" s="311">
        <f>F147*F146</f>
        <v>3680</v>
      </c>
      <c r="G148" s="150"/>
      <c r="H148" s="150"/>
      <c r="I148" s="150"/>
      <c r="J148" s="150"/>
    </row>
    <row r="149" spans="2:15" x14ac:dyDescent="0.2">
      <c r="B149" s="154" t="s">
        <v>374</v>
      </c>
      <c r="C149" s="312">
        <f>C147/36</f>
        <v>88.888888888888886</v>
      </c>
      <c r="D149" s="150"/>
      <c r="E149" s="150"/>
      <c r="F149" s="150"/>
      <c r="G149" s="150"/>
      <c r="H149" s="150"/>
      <c r="I149" s="150"/>
      <c r="J149" s="150"/>
    </row>
    <row r="150" spans="2:15" x14ac:dyDescent="0.2">
      <c r="B150" s="167" t="s">
        <v>375</v>
      </c>
      <c r="C150" s="313">
        <f>C148/36</f>
        <v>162.5</v>
      </c>
      <c r="D150" s="150"/>
      <c r="E150" s="150"/>
      <c r="F150" s="150"/>
      <c r="G150" s="150"/>
      <c r="H150" s="150"/>
      <c r="I150" s="150"/>
      <c r="J150" s="150"/>
    </row>
    <row r="151" spans="2:15" x14ac:dyDescent="0.2">
      <c r="B151" s="314" t="s">
        <v>360</v>
      </c>
      <c r="C151" s="173"/>
      <c r="D151" s="150"/>
      <c r="E151" s="384" t="s">
        <v>358</v>
      </c>
      <c r="F151" s="384"/>
      <c r="G151" s="150"/>
      <c r="H151" s="150"/>
      <c r="I151" s="150"/>
      <c r="J151" s="150"/>
    </row>
    <row r="152" spans="2:15" x14ac:dyDescent="0.2">
      <c r="B152" s="212" t="s">
        <v>361</v>
      </c>
      <c r="C152" s="171">
        <f>'All-Servers'!P203</f>
        <v>18950.439999999999</v>
      </c>
      <c r="D152" s="150"/>
      <c r="E152" s="154" t="s">
        <v>354</v>
      </c>
      <c r="F152" s="155">
        <f>'All-Servers'!P107*Summary!F145</f>
        <v>163840</v>
      </c>
      <c r="G152" s="150"/>
      <c r="H152" s="150"/>
      <c r="I152" s="150"/>
      <c r="J152" s="150"/>
      <c r="M152" s="202"/>
      <c r="N152" s="202"/>
      <c r="O152" s="202"/>
    </row>
    <row r="153" spans="2:15" x14ac:dyDescent="0.2">
      <c r="B153" s="213" t="s">
        <v>362</v>
      </c>
      <c r="C153" s="214">
        <f>C152*F144</f>
        <v>56851.319999999992</v>
      </c>
      <c r="D153" s="150"/>
      <c r="E153" s="158" t="s">
        <v>367</v>
      </c>
      <c r="F153" s="215">
        <f>ROUNDUP(F152/3,2)</f>
        <v>54613.340000000004</v>
      </c>
      <c r="G153" s="150"/>
      <c r="H153" s="150"/>
      <c r="I153" s="150"/>
      <c r="J153" s="150"/>
      <c r="M153" s="202"/>
      <c r="N153" s="202"/>
      <c r="O153" s="202"/>
    </row>
    <row r="154" spans="2:15" x14ac:dyDescent="0.2">
      <c r="B154" s="212" t="s">
        <v>363</v>
      </c>
      <c r="C154" s="171">
        <f>'All-Servers'!P204</f>
        <v>9539.81</v>
      </c>
      <c r="D154" s="150"/>
      <c r="E154" s="158" t="s">
        <v>355</v>
      </c>
      <c r="F154" s="216">
        <f>'All-Servers'!P177</f>
        <v>1.66015625E-2</v>
      </c>
      <c r="G154" s="150"/>
      <c r="H154" s="150"/>
      <c r="I154" s="150"/>
      <c r="J154" s="150"/>
      <c r="M154" s="202"/>
      <c r="N154" s="202"/>
      <c r="O154" s="202"/>
    </row>
    <row r="155" spans="2:15" x14ac:dyDescent="0.2">
      <c r="B155" s="213" t="s">
        <v>364</v>
      </c>
      <c r="C155" s="214">
        <f>C154*F145</f>
        <v>47699.049999999996</v>
      </c>
      <c r="D155" s="150"/>
      <c r="E155" s="211" t="s">
        <v>356</v>
      </c>
      <c r="F155" s="315">
        <f>F152*F154</f>
        <v>2720</v>
      </c>
      <c r="G155" s="150"/>
      <c r="H155" s="150"/>
      <c r="I155" s="150"/>
      <c r="J155" s="150"/>
      <c r="M155" s="202"/>
      <c r="N155" s="202"/>
      <c r="O155" s="202"/>
    </row>
    <row r="156" spans="2:15" x14ac:dyDescent="0.2">
      <c r="B156" s="217" t="s">
        <v>365</v>
      </c>
      <c r="C156" s="218">
        <f>SUM(C152:C155)</f>
        <v>133040.62</v>
      </c>
      <c r="D156" s="150"/>
      <c r="E156" s="156"/>
      <c r="F156" s="150"/>
      <c r="G156" s="150"/>
      <c r="H156" s="150"/>
      <c r="I156" s="150"/>
      <c r="J156" s="150"/>
      <c r="M156" s="202"/>
      <c r="N156" s="202"/>
      <c r="O156" s="202"/>
    </row>
    <row r="157" spans="2:15" x14ac:dyDescent="0.2">
      <c r="B157" s="213" t="s">
        <v>366</v>
      </c>
      <c r="C157" s="316">
        <f>C156/36</f>
        <v>3695.5727777777774</v>
      </c>
      <c r="D157" s="150"/>
      <c r="E157" s="211" t="s">
        <v>359</v>
      </c>
      <c r="F157" s="315">
        <f>SUM(F155,F148)</f>
        <v>6400</v>
      </c>
      <c r="G157" s="150"/>
      <c r="H157" s="150"/>
      <c r="I157" s="150"/>
      <c r="J157" s="150"/>
    </row>
    <row r="158" spans="2:15" x14ac:dyDescent="0.2">
      <c r="B158" s="294"/>
      <c r="C158" s="295"/>
      <c r="D158" s="173"/>
      <c r="E158" s="173"/>
      <c r="F158" s="173"/>
      <c r="G158" s="156"/>
      <c r="H158" s="294"/>
      <c r="I158" s="295"/>
      <c r="J158" s="295"/>
    </row>
    <row r="159" spans="2:15" ht="10" customHeight="1" x14ac:dyDescent="0.2">
      <c r="B159" s="290" t="s">
        <v>376</v>
      </c>
      <c r="C159" s="156"/>
      <c r="D159" s="150"/>
      <c r="E159" s="150"/>
      <c r="F159" s="150"/>
      <c r="G159" s="150"/>
      <c r="H159" s="150"/>
      <c r="I159" s="150"/>
      <c r="J159" s="150"/>
    </row>
    <row r="160" spans="2:15" x14ac:dyDescent="0.2">
      <c r="B160" s="156" t="s">
        <v>341</v>
      </c>
      <c r="C160" s="150" t="s">
        <v>342</v>
      </c>
      <c r="D160" s="150" t="s">
        <v>424</v>
      </c>
      <c r="E160" s="150" t="s">
        <v>422</v>
      </c>
      <c r="F160" s="150" t="s">
        <v>423</v>
      </c>
      <c r="G160" s="150" t="s">
        <v>401</v>
      </c>
      <c r="H160" s="150"/>
      <c r="I160" s="150"/>
      <c r="J160" s="150"/>
    </row>
    <row r="161" spans="2:10" x14ac:dyDescent="0.2">
      <c r="B161" s="154" t="s">
        <v>435</v>
      </c>
      <c r="C161" s="219">
        <v>0</v>
      </c>
      <c r="D161" s="220">
        <f>E79</f>
        <v>31562.488578875003</v>
      </c>
      <c r="E161" s="220">
        <f>E80*12</f>
        <v>245325.99488509994</v>
      </c>
      <c r="F161" s="220">
        <f>E81*36</f>
        <v>520004.42385854997</v>
      </c>
      <c r="G161" s="317">
        <f>1-($F$161/F161)</f>
        <v>0</v>
      </c>
      <c r="H161" s="150"/>
      <c r="I161" s="150"/>
      <c r="J161" s="150"/>
    </row>
    <row r="162" spans="2:10" ht="13" customHeight="1" x14ac:dyDescent="0.2">
      <c r="B162" s="158" t="s">
        <v>442</v>
      </c>
      <c r="C162" s="219">
        <v>0</v>
      </c>
      <c r="D162" s="220">
        <f>'All-Servers'!P222+C157</f>
        <v>22853.906111111108</v>
      </c>
      <c r="E162" s="220">
        <f>D162*12</f>
        <v>274246.87333333329</v>
      </c>
      <c r="F162" s="220">
        <f>E162*3</f>
        <v>822740.61999999988</v>
      </c>
      <c r="G162" s="317">
        <f>1-($F$162/F161)</f>
        <v>-0.58218003972942989</v>
      </c>
      <c r="H162" s="150"/>
      <c r="I162" s="150"/>
      <c r="J162" s="150"/>
    </row>
    <row r="163" spans="2:10" ht="13" customHeight="1" x14ac:dyDescent="0.2">
      <c r="B163" s="158" t="s">
        <v>433</v>
      </c>
      <c r="C163" s="219">
        <f>C147</f>
        <v>3200</v>
      </c>
      <c r="D163" s="220">
        <f>F157+C149</f>
        <v>6488.8888888888887</v>
      </c>
      <c r="E163" s="220">
        <f>D163*12</f>
        <v>77866.666666666657</v>
      </c>
      <c r="F163" s="220">
        <f>E163*3</f>
        <v>233599.99999999997</v>
      </c>
      <c r="G163" s="317">
        <f>1-($F$163/F161)</f>
        <v>0.55077305253167785</v>
      </c>
      <c r="H163" s="150"/>
      <c r="I163" s="150"/>
      <c r="J163" s="150"/>
    </row>
    <row r="164" spans="2:10" x14ac:dyDescent="0.2">
      <c r="B164" s="158" t="s">
        <v>434</v>
      </c>
      <c r="C164" s="219">
        <f>C147</f>
        <v>3200</v>
      </c>
      <c r="D164" s="220">
        <f>F157+C149+C157</f>
        <v>10184.461666666666</v>
      </c>
      <c r="E164" s="220">
        <f>D164*12</f>
        <v>122213.54</v>
      </c>
      <c r="F164" s="220">
        <f>E164*3</f>
        <v>366640.62</v>
      </c>
      <c r="G164" s="317">
        <f>1-($F$164/F161)</f>
        <v>0.29492788296021788</v>
      </c>
      <c r="H164" s="150"/>
      <c r="I164" s="150"/>
      <c r="J164" s="150"/>
    </row>
    <row r="165" spans="2:10" x14ac:dyDescent="0.2">
      <c r="B165" s="167" t="s">
        <v>436</v>
      </c>
      <c r="C165" s="219">
        <f>C147</f>
        <v>3200</v>
      </c>
      <c r="D165" s="220">
        <f>D164+'All-Servers'!P182</f>
        <v>12784.461666666666</v>
      </c>
      <c r="E165" s="220">
        <f>D165*12</f>
        <v>153413.53999999998</v>
      </c>
      <c r="F165" s="220">
        <f>E165*3</f>
        <v>460240.61999999994</v>
      </c>
      <c r="G165" s="317">
        <f>1-($F$165/F161)</f>
        <v>0.11492941428284231</v>
      </c>
      <c r="H165" s="150"/>
      <c r="I165" s="150"/>
      <c r="J165" s="150"/>
    </row>
    <row r="166" spans="2:10" x14ac:dyDescent="0.2">
      <c r="B166" s="156"/>
      <c r="C166" s="173"/>
      <c r="D166" s="173"/>
      <c r="E166" s="173"/>
      <c r="F166" s="173"/>
      <c r="G166" s="173"/>
      <c r="H166" s="150"/>
      <c r="I166" s="150"/>
      <c r="J166" s="150"/>
    </row>
    <row r="167" spans="2:10" x14ac:dyDescent="0.2">
      <c r="B167" s="156"/>
      <c r="C167" s="173"/>
      <c r="D167" s="173"/>
      <c r="E167" s="173"/>
      <c r="F167" s="173"/>
      <c r="G167" s="173"/>
      <c r="H167" s="150"/>
      <c r="I167" s="150"/>
      <c r="J167" s="150"/>
    </row>
    <row r="168" spans="2:10" x14ac:dyDescent="0.2">
      <c r="B168" s="156"/>
      <c r="C168" s="173"/>
      <c r="D168" s="173"/>
      <c r="E168" s="173"/>
      <c r="F168" s="173"/>
      <c r="G168" s="173"/>
      <c r="H168" s="150"/>
      <c r="I168" s="150"/>
      <c r="J168" s="150"/>
    </row>
    <row r="169" spans="2:10" x14ac:dyDescent="0.2">
      <c r="B169" s="156"/>
      <c r="C169" s="173"/>
      <c r="D169" s="173"/>
      <c r="E169" s="173"/>
      <c r="F169" s="173"/>
      <c r="G169" s="173"/>
      <c r="H169" s="150"/>
      <c r="I169" s="150"/>
      <c r="J169" s="150"/>
    </row>
    <row r="170" spans="2:10" x14ac:dyDescent="0.2">
      <c r="B170" s="156"/>
      <c r="C170" s="173"/>
      <c r="D170" s="173"/>
      <c r="E170" s="173"/>
      <c r="F170" s="173"/>
      <c r="G170" s="173"/>
      <c r="H170" s="150"/>
      <c r="I170" s="150"/>
      <c r="J170" s="150"/>
    </row>
    <row r="171" spans="2:10" x14ac:dyDescent="0.2">
      <c r="B171" s="156"/>
      <c r="C171" s="173"/>
      <c r="D171" s="173"/>
      <c r="E171" s="173"/>
      <c r="F171" s="173"/>
      <c r="G171" s="173"/>
      <c r="H171" s="150"/>
      <c r="I171" s="150"/>
      <c r="J171" s="150"/>
    </row>
    <row r="172" spans="2:10" x14ac:dyDescent="0.2">
      <c r="B172" s="156"/>
      <c r="C172" s="173"/>
      <c r="D172" s="173"/>
      <c r="E172" s="173"/>
      <c r="F172" s="173"/>
      <c r="G172" s="173"/>
      <c r="H172" s="150"/>
      <c r="I172" s="150"/>
      <c r="J172" s="150"/>
    </row>
    <row r="173" spans="2:10" x14ac:dyDescent="0.2">
      <c r="B173" s="156"/>
      <c r="C173" s="173"/>
      <c r="D173" s="173"/>
      <c r="E173" s="173"/>
      <c r="F173" s="173"/>
      <c r="G173" s="173"/>
      <c r="H173" s="150"/>
      <c r="I173" s="150"/>
      <c r="J173" s="150"/>
    </row>
    <row r="174" spans="2:10" x14ac:dyDescent="0.2">
      <c r="B174" s="156"/>
      <c r="C174" s="173"/>
      <c r="D174" s="173"/>
      <c r="E174" s="173"/>
      <c r="F174" s="173"/>
      <c r="G174" s="173"/>
      <c r="H174" s="150"/>
      <c r="I174" s="150"/>
      <c r="J174" s="150"/>
    </row>
    <row r="175" spans="2:10" x14ac:dyDescent="0.2">
      <c r="B175" s="156"/>
      <c r="C175" s="173"/>
      <c r="D175" s="173"/>
      <c r="E175" s="173"/>
      <c r="F175" s="173"/>
      <c r="G175" s="173"/>
      <c r="H175" s="150"/>
      <c r="I175" s="150"/>
      <c r="J175" s="150"/>
    </row>
    <row r="176" spans="2:10" x14ac:dyDescent="0.2">
      <c r="B176" s="156"/>
      <c r="C176" s="173"/>
      <c r="D176" s="173"/>
      <c r="E176" s="173"/>
      <c r="F176" s="173"/>
      <c r="G176" s="173"/>
      <c r="H176" s="150"/>
      <c r="I176" s="150"/>
      <c r="J176" s="150"/>
    </row>
    <row r="177" spans="2:10" x14ac:dyDescent="0.2">
      <c r="B177" s="156"/>
      <c r="C177" s="173"/>
      <c r="D177" s="173"/>
      <c r="E177" s="173"/>
      <c r="F177" s="173"/>
      <c r="G177" s="173"/>
      <c r="H177" s="150"/>
      <c r="I177" s="150"/>
      <c r="J177" s="150"/>
    </row>
    <row r="178" spans="2:10" x14ac:dyDescent="0.2">
      <c r="B178" s="156"/>
      <c r="C178" s="173"/>
      <c r="D178" s="173"/>
      <c r="E178" s="173"/>
      <c r="F178" s="173"/>
      <c r="G178" s="173"/>
      <c r="H178" s="150"/>
      <c r="I178" s="150"/>
      <c r="J178" s="150"/>
    </row>
    <row r="179" spans="2:10" x14ac:dyDescent="0.2">
      <c r="B179" s="156"/>
      <c r="C179" s="173"/>
      <c r="D179" s="173"/>
      <c r="E179" s="173"/>
      <c r="F179" s="173"/>
      <c r="G179" s="173"/>
      <c r="H179" s="150"/>
      <c r="I179" s="150"/>
      <c r="J179" s="150"/>
    </row>
    <row r="180" spans="2:10" x14ac:dyDescent="0.2">
      <c r="B180" s="156"/>
      <c r="C180" s="173"/>
      <c r="D180" s="173"/>
      <c r="E180" s="173"/>
      <c r="F180" s="173"/>
      <c r="G180" s="173"/>
      <c r="H180" s="150"/>
      <c r="I180" s="150"/>
      <c r="J180" s="150"/>
    </row>
    <row r="181" spans="2:10" x14ac:dyDescent="0.2">
      <c r="B181" s="156"/>
      <c r="C181" s="173"/>
      <c r="D181" s="173"/>
      <c r="E181" s="173"/>
      <c r="F181" s="173"/>
      <c r="G181" s="173"/>
      <c r="H181" s="150"/>
      <c r="I181" s="150"/>
      <c r="J181" s="150"/>
    </row>
    <row r="182" spans="2:10" x14ac:dyDescent="0.2">
      <c r="B182" s="156"/>
      <c r="C182" s="173"/>
      <c r="D182" s="173"/>
      <c r="E182" s="173"/>
      <c r="F182" s="173"/>
      <c r="G182" s="173"/>
      <c r="H182" s="150"/>
      <c r="I182" s="150"/>
      <c r="J182" s="150"/>
    </row>
    <row r="183" spans="2:10" x14ac:dyDescent="0.2">
      <c r="B183" s="156"/>
      <c r="C183" s="173"/>
      <c r="D183" s="173"/>
      <c r="E183" s="173"/>
      <c r="F183" s="173"/>
      <c r="G183" s="173"/>
      <c r="H183" s="150"/>
      <c r="I183" s="150"/>
      <c r="J183" s="150"/>
    </row>
    <row r="184" spans="2:10" x14ac:dyDescent="0.2">
      <c r="B184" s="156"/>
      <c r="C184" s="173"/>
      <c r="D184" s="173"/>
      <c r="E184" s="173"/>
      <c r="F184" s="173"/>
      <c r="G184" s="173"/>
      <c r="H184" s="150"/>
      <c r="I184" s="150"/>
      <c r="J184" s="150"/>
    </row>
    <row r="185" spans="2:10" x14ac:dyDescent="0.2">
      <c r="B185" s="156"/>
      <c r="C185" s="173"/>
      <c r="D185" s="173"/>
      <c r="E185" s="173"/>
      <c r="F185" s="173"/>
      <c r="G185" s="173"/>
      <c r="H185" s="150"/>
      <c r="I185" s="150"/>
      <c r="J185" s="150"/>
    </row>
    <row r="186" spans="2:10" x14ac:dyDescent="0.2">
      <c r="B186" s="156"/>
      <c r="C186" s="173"/>
      <c r="D186" s="173"/>
      <c r="E186" s="173"/>
      <c r="F186" s="173"/>
      <c r="G186" s="173"/>
      <c r="H186" s="150"/>
      <c r="I186" s="150"/>
      <c r="J186" s="150"/>
    </row>
    <row r="187" spans="2:10" x14ac:dyDescent="0.2">
      <c r="B187" s="156"/>
      <c r="C187" s="173"/>
      <c r="D187" s="173"/>
      <c r="E187" s="173"/>
      <c r="F187" s="173"/>
      <c r="G187" s="173"/>
      <c r="H187" s="150"/>
      <c r="I187" s="150"/>
      <c r="J187" s="150"/>
    </row>
    <row r="188" spans="2:10" x14ac:dyDescent="0.2">
      <c r="B188" s="156"/>
      <c r="C188" s="173"/>
      <c r="D188" s="173"/>
      <c r="E188" s="173"/>
      <c r="F188" s="173"/>
      <c r="G188" s="173"/>
      <c r="H188" s="150"/>
      <c r="I188" s="150"/>
      <c r="J188" s="150"/>
    </row>
    <row r="189" spans="2:10" x14ac:dyDescent="0.2">
      <c r="B189" s="156"/>
      <c r="C189" s="173"/>
      <c r="D189" s="173"/>
      <c r="E189" s="173"/>
      <c r="F189" s="173"/>
      <c r="G189" s="173"/>
      <c r="H189" s="150"/>
      <c r="I189" s="150"/>
      <c r="J189" s="150"/>
    </row>
    <row r="190" spans="2:10" x14ac:dyDescent="0.2">
      <c r="B190" s="156"/>
      <c r="C190" s="173"/>
      <c r="D190" s="173"/>
      <c r="E190" s="173"/>
      <c r="F190" s="173"/>
      <c r="G190" s="173"/>
      <c r="H190" s="150"/>
      <c r="I190" s="150"/>
      <c r="J190" s="150"/>
    </row>
    <row r="191" spans="2:10" x14ac:dyDescent="0.2">
      <c r="B191" s="156"/>
      <c r="C191" s="173"/>
      <c r="D191" s="173"/>
      <c r="E191" s="173"/>
      <c r="F191" s="173"/>
      <c r="G191" s="173"/>
      <c r="H191" s="150"/>
      <c r="I191" s="150"/>
      <c r="J191" s="150"/>
    </row>
    <row r="192" spans="2:10" x14ac:dyDescent="0.2">
      <c r="B192" s="156"/>
      <c r="C192" s="173"/>
      <c r="D192" s="173"/>
      <c r="E192" s="173"/>
      <c r="F192" s="173"/>
      <c r="G192" s="173"/>
      <c r="H192" s="150"/>
      <c r="I192" s="150"/>
      <c r="J192" s="150"/>
    </row>
    <row r="193" spans="2:10" x14ac:dyDescent="0.2">
      <c r="B193" s="156"/>
      <c r="C193" s="173"/>
      <c r="D193" s="173"/>
      <c r="E193" s="173"/>
      <c r="F193" s="173"/>
      <c r="G193" s="173"/>
      <c r="H193" s="150"/>
      <c r="I193" s="150"/>
      <c r="J193" s="150"/>
    </row>
    <row r="194" spans="2:10" x14ac:dyDescent="0.2">
      <c r="B194" s="156"/>
      <c r="C194" s="156"/>
      <c r="D194" s="150"/>
      <c r="E194" s="150"/>
      <c r="F194" s="150"/>
      <c r="G194" s="150"/>
      <c r="H194" s="150"/>
      <c r="I194" s="150"/>
      <c r="J194" s="150"/>
    </row>
    <row r="195" spans="2:10" x14ac:dyDescent="0.2">
      <c r="B195" s="150"/>
      <c r="C195" s="150"/>
      <c r="D195" s="150"/>
      <c r="E195" s="150"/>
      <c r="F195" s="150"/>
      <c r="G195" s="150"/>
      <c r="H195" s="150"/>
      <c r="I195" s="150"/>
      <c r="J195" s="150"/>
    </row>
    <row r="196" spans="2:10" x14ac:dyDescent="0.2">
      <c r="B196" s="294"/>
      <c r="C196" s="295"/>
      <c r="D196" s="173"/>
      <c r="E196" s="173"/>
      <c r="F196" s="173"/>
      <c r="G196" s="156"/>
      <c r="H196" s="294"/>
      <c r="I196" s="295"/>
      <c r="J196" s="295"/>
    </row>
    <row r="197" spans="2:10" x14ac:dyDescent="0.2">
      <c r="B197" s="290" t="s">
        <v>377</v>
      </c>
      <c r="C197" s="295"/>
      <c r="D197" s="173"/>
      <c r="E197" s="173"/>
      <c r="F197" s="173"/>
      <c r="G197" s="156"/>
      <c r="H197" s="294"/>
      <c r="I197" s="295"/>
      <c r="J197" s="295"/>
    </row>
    <row r="198" spans="2:10" x14ac:dyDescent="0.15">
      <c r="B198" s="188" t="str">
        <f>'All-Servers'!O112</f>
        <v>Required Hypervisors</v>
      </c>
      <c r="C198" s="318"/>
      <c r="D198" s="150"/>
      <c r="E198" s="319" t="str">
        <f>'All-Servers'!O136</f>
        <v>Capacity Over Time</v>
      </c>
      <c r="F198" s="175"/>
      <c r="G198" s="175"/>
      <c r="H198" s="150"/>
      <c r="I198" s="150"/>
      <c r="J198" s="150"/>
    </row>
    <row r="199" spans="2:10" x14ac:dyDescent="0.15">
      <c r="B199" s="176" t="str">
        <f>'All-Servers'!O113</f>
        <v>Hypervisors Required by CPU</v>
      </c>
      <c r="C199" s="177">
        <f>'All-Servers'!P113</f>
        <v>5</v>
      </c>
      <c r="D199" s="150"/>
      <c r="E199" s="178" t="str">
        <f>'All-Servers'!O137</f>
        <v>Rate of growth</v>
      </c>
      <c r="F199" s="179">
        <f>'All-Servers'!P137</f>
        <v>1.01</v>
      </c>
      <c r="G199" s="150"/>
      <c r="H199" s="150"/>
      <c r="I199" s="150"/>
      <c r="J199" s="150"/>
    </row>
    <row r="200" spans="2:10" x14ac:dyDescent="0.15">
      <c r="B200" s="180" t="str">
        <f>'All-Servers'!O114</f>
        <v>Hypervisors Required by RAM</v>
      </c>
      <c r="C200" s="181">
        <f>'All-Servers'!P114</f>
        <v>4</v>
      </c>
      <c r="D200" s="150"/>
      <c r="E200" s="182" t="str">
        <f>'All-Servers'!O138</f>
        <v>Month 0</v>
      </c>
      <c r="F200" s="183">
        <f>'All-Servers'!P138</f>
        <v>0.86527777777777781</v>
      </c>
      <c r="G200" s="150"/>
      <c r="H200" s="150"/>
      <c r="I200" s="150"/>
      <c r="J200" s="150"/>
    </row>
    <row r="201" spans="2:10" x14ac:dyDescent="0.15">
      <c r="B201" s="180" t="str">
        <f>'All-Servers'!O115</f>
        <v>Hypervisors Required by Disk Capacity</v>
      </c>
      <c r="C201" s="181">
        <f>'All-Servers'!P115</f>
        <v>3</v>
      </c>
      <c r="D201" s="150"/>
      <c r="E201" s="184" t="str">
        <f>'All-Servers'!O139</f>
        <v>Month 1</v>
      </c>
      <c r="F201" s="185">
        <f>'All-Servers'!P139</f>
        <v>0.87393055555555554</v>
      </c>
      <c r="G201" s="150"/>
      <c r="H201" s="150"/>
      <c r="I201" s="150"/>
      <c r="J201" s="150"/>
    </row>
    <row r="202" spans="2:10" x14ac:dyDescent="0.15">
      <c r="B202" s="186" t="str">
        <f>'All-Servers'!O116</f>
        <v>Hypervisors Required by Instance to Disk IO/s</v>
      </c>
      <c r="C202" s="187">
        <f>'All-Servers'!P116</f>
        <v>3</v>
      </c>
      <c r="D202" s="150"/>
      <c r="E202" s="184" t="str">
        <f>'All-Servers'!O140</f>
        <v>Month 2</v>
      </c>
      <c r="F202" s="185">
        <f>'All-Servers'!P140</f>
        <v>0.88266986111111112</v>
      </c>
      <c r="G202" s="150"/>
      <c r="H202" s="150"/>
      <c r="I202" s="150"/>
      <c r="J202" s="150"/>
    </row>
    <row r="203" spans="2:10" x14ac:dyDescent="0.15">
      <c r="B203" s="188"/>
      <c r="C203" s="189"/>
      <c r="D203" s="150"/>
      <c r="E203" s="184" t="str">
        <f>'All-Servers'!O141</f>
        <v>Month 3</v>
      </c>
      <c r="F203" s="185">
        <f>'All-Servers'!P141</f>
        <v>0.89149655972222219</v>
      </c>
      <c r="G203" s="150"/>
      <c r="H203" s="150"/>
      <c r="I203" s="150"/>
      <c r="J203" s="150"/>
    </row>
    <row r="204" spans="2:10" x14ac:dyDescent="0.15">
      <c r="B204" s="188" t="str">
        <f>'All-Servers'!O118</f>
        <v>Environment Total Capacity</v>
      </c>
      <c r="C204" s="318"/>
      <c r="D204" s="150"/>
      <c r="E204" s="184" t="str">
        <f>'All-Servers'!O142</f>
        <v>Month 4</v>
      </c>
      <c r="F204" s="185">
        <f>'All-Servers'!P142</f>
        <v>0.90041152531944446</v>
      </c>
      <c r="G204" s="150"/>
      <c r="H204" s="150"/>
      <c r="I204" s="150"/>
      <c r="J204" s="150"/>
    </row>
    <row r="205" spans="2:10" x14ac:dyDescent="0.15">
      <c r="B205" s="190" t="str">
        <f>'All-Servers'!O119</f>
        <v>Physical CPU</v>
      </c>
      <c r="C205" s="179">
        <f>'All-Servers'!P119</f>
        <v>10</v>
      </c>
      <c r="D205" s="150"/>
      <c r="E205" s="184" t="str">
        <f>'All-Servers'!O143</f>
        <v>Month 5</v>
      </c>
      <c r="F205" s="185">
        <f>'All-Servers'!P143</f>
        <v>0.90941564057263891</v>
      </c>
      <c r="G205" s="150"/>
      <c r="H205" s="150"/>
      <c r="I205" s="150"/>
      <c r="J205" s="150"/>
    </row>
    <row r="206" spans="2:10" x14ac:dyDescent="0.15">
      <c r="B206" s="191" t="str">
        <f>'All-Servers'!O120</f>
        <v>Total GHz</v>
      </c>
      <c r="C206" s="192">
        <f>'All-Servers'!P120</f>
        <v>312</v>
      </c>
      <c r="D206" s="150"/>
      <c r="E206" s="184" t="str">
        <f>'All-Servers'!O144</f>
        <v>Month 6</v>
      </c>
      <c r="F206" s="185">
        <f>'All-Servers'!P144</f>
        <v>0.91850979697836532</v>
      </c>
      <c r="G206" s="150"/>
      <c r="H206" s="150"/>
      <c r="I206" s="150"/>
      <c r="J206" s="150"/>
    </row>
    <row r="207" spans="2:10" x14ac:dyDescent="0.15">
      <c r="B207" s="191" t="str">
        <f>'All-Servers'!O121</f>
        <v>Physical cores</v>
      </c>
      <c r="C207" s="192">
        <f>'All-Servers'!P121</f>
        <v>240</v>
      </c>
      <c r="D207" s="150"/>
      <c r="E207" s="184" t="str">
        <f>'All-Servers'!O145</f>
        <v>Month 7</v>
      </c>
      <c r="F207" s="185">
        <f>'All-Servers'!P145</f>
        <v>0.92769489494814894</v>
      </c>
      <c r="G207" s="150"/>
      <c r="H207" s="150"/>
      <c r="I207" s="150"/>
      <c r="J207" s="150"/>
    </row>
    <row r="208" spans="2:10" x14ac:dyDescent="0.15">
      <c r="B208" s="191" t="str">
        <f>'All-Servers'!O122</f>
        <v>vCPU</v>
      </c>
      <c r="C208" s="192">
        <f>'All-Servers'!P122</f>
        <v>720</v>
      </c>
      <c r="D208" s="150"/>
      <c r="E208" s="184" t="str">
        <f>'All-Servers'!O146</f>
        <v>Month 8</v>
      </c>
      <c r="F208" s="185">
        <f>'All-Servers'!P146</f>
        <v>0.93697184389763044</v>
      </c>
      <c r="G208" s="150"/>
      <c r="H208" s="150"/>
      <c r="I208" s="150"/>
      <c r="J208" s="150"/>
    </row>
    <row r="209" spans="2:10" x14ac:dyDescent="0.15">
      <c r="B209" s="191" t="str">
        <f>'All-Servers'!O123</f>
        <v>Memory (1920 GB / 1.88 TB)</v>
      </c>
      <c r="C209" s="192">
        <f>'All-Servers'!P123</f>
        <v>1920</v>
      </c>
      <c r="D209" s="150"/>
      <c r="E209" s="184" t="str">
        <f>'All-Servers'!O147</f>
        <v>Month 9</v>
      </c>
      <c r="F209" s="185">
        <f>'All-Servers'!P147</f>
        <v>0.94634156233660671</v>
      </c>
      <c r="G209" s="150"/>
      <c r="H209" s="150"/>
      <c r="I209" s="150"/>
      <c r="J209" s="150"/>
    </row>
    <row r="210" spans="2:10" x14ac:dyDescent="0.15">
      <c r="B210" s="191" t="str">
        <f>'All-Servers'!O124</f>
        <v>Disk Capacity (51.1 TB)</v>
      </c>
      <c r="C210" s="192">
        <f>'All-Servers'!P124</f>
        <v>52326.400000000001</v>
      </c>
      <c r="D210" s="150"/>
      <c r="E210" s="184" t="str">
        <f>'All-Servers'!O148</f>
        <v>Month 10</v>
      </c>
      <c r="F210" s="185">
        <f>'All-Servers'!P148</f>
        <v>0.95580497795997277</v>
      </c>
      <c r="G210" s="150"/>
      <c r="H210" s="150"/>
      <c r="I210" s="150"/>
      <c r="J210" s="150"/>
    </row>
    <row r="211" spans="2:10" x14ac:dyDescent="0.15">
      <c r="B211" s="191" t="str">
        <f>'All-Servers'!O125</f>
        <v>Total IO/s</v>
      </c>
      <c r="C211" s="192">
        <f>'All-Servers'!P125</f>
        <v>5300</v>
      </c>
      <c r="D211" s="150"/>
      <c r="E211" s="184" t="str">
        <f>'All-Servers'!O149</f>
        <v>Month 11</v>
      </c>
      <c r="F211" s="185">
        <f>'All-Servers'!P149</f>
        <v>0.9653630277395725</v>
      </c>
      <c r="G211" s="150"/>
      <c r="H211" s="150"/>
      <c r="I211" s="150"/>
      <c r="J211" s="150"/>
    </row>
    <row r="212" spans="2:10" x14ac:dyDescent="0.15">
      <c r="B212" s="191" t="str">
        <f>'All-Servers'!O126</f>
        <v>IO/s per Node</v>
      </c>
      <c r="C212" s="192">
        <f>'All-Servers'!P126</f>
        <v>1060</v>
      </c>
      <c r="D212" s="150"/>
      <c r="E212" s="184" t="str">
        <f>'All-Servers'!O150</f>
        <v>Month 12</v>
      </c>
      <c r="F212" s="185">
        <f>'All-Servers'!P150</f>
        <v>0.97501665801696824</v>
      </c>
      <c r="G212" s="150"/>
      <c r="H212" s="150"/>
      <c r="I212" s="150"/>
      <c r="J212" s="150"/>
    </row>
    <row r="213" spans="2:10" x14ac:dyDescent="0.15">
      <c r="B213" s="180" t="str">
        <f>'All-Servers'!O127</f>
        <v>IO/s per VM</v>
      </c>
      <c r="C213" s="193">
        <f>'All-Servers'!P127</f>
        <v>28.970000000000002</v>
      </c>
      <c r="D213" s="150"/>
      <c r="E213" s="184" t="str">
        <f>'All-Servers'!O151</f>
        <v>Month 13</v>
      </c>
      <c r="F213" s="185">
        <f>'All-Servers'!P151</f>
        <v>0.98476682459713794</v>
      </c>
      <c r="G213" s="150"/>
      <c r="H213" s="150"/>
      <c r="I213" s="150"/>
      <c r="J213" s="150"/>
    </row>
    <row r="214" spans="2:10" x14ac:dyDescent="0.15">
      <c r="B214" s="186" t="str">
        <f>'All-Servers'!O128</f>
        <v>Consolidation Ratio (37:1)</v>
      </c>
      <c r="C214" s="194">
        <f>'All-Servers'!P128</f>
        <v>37</v>
      </c>
      <c r="D214" s="150"/>
      <c r="E214" s="184" t="str">
        <f>'All-Servers'!O152</f>
        <v>Month 14</v>
      </c>
      <c r="F214" s="185">
        <f>'All-Servers'!P152</f>
        <v>0.99461449284310932</v>
      </c>
      <c r="G214" s="150"/>
      <c r="H214" s="150"/>
      <c r="I214" s="150"/>
      <c r="J214" s="150"/>
    </row>
    <row r="215" spans="2:10" x14ac:dyDescent="0.15">
      <c r="B215" s="188"/>
      <c r="C215" s="195"/>
      <c r="D215" s="150"/>
      <c r="E215" s="184" t="str">
        <f>'All-Servers'!O153</f>
        <v/>
      </c>
      <c r="F215" s="185">
        <f>'All-Servers'!P153</f>
        <v>1.0045606377715404</v>
      </c>
      <c r="G215" s="150"/>
      <c r="H215" s="150"/>
      <c r="I215" s="150"/>
      <c r="J215" s="150"/>
    </row>
    <row r="216" spans="2:10" x14ac:dyDescent="0.15">
      <c r="B216" s="375" t="str">
        <f>'All-Servers'!O130</f>
        <v>Initial Environment Utilization</v>
      </c>
      <c r="C216" s="375"/>
      <c r="D216" s="376"/>
      <c r="E216" s="184" t="str">
        <f>'All-Servers'!O154</f>
        <v/>
      </c>
      <c r="F216" s="185" t="str">
        <f>'All-Servers'!P154</f>
        <v/>
      </c>
      <c r="G216" s="150"/>
      <c r="H216" s="150"/>
      <c r="I216" s="150"/>
      <c r="J216" s="150"/>
    </row>
    <row r="217" spans="2:10" x14ac:dyDescent="0.15">
      <c r="B217" s="190" t="str">
        <f>'All-Servers'!O131</f>
        <v>vCPU Consumption</v>
      </c>
      <c r="C217" s="196">
        <f>'All-Servers'!P131</f>
        <v>0.86527777777777781</v>
      </c>
      <c r="D217" s="150"/>
      <c r="E217" s="184" t="str">
        <f>'All-Servers'!O155</f>
        <v/>
      </c>
      <c r="F217" s="185" t="str">
        <f>'All-Servers'!P155</f>
        <v/>
      </c>
      <c r="G217" s="150"/>
      <c r="H217" s="150"/>
      <c r="I217" s="150"/>
      <c r="J217" s="150"/>
    </row>
    <row r="218" spans="2:10" x14ac:dyDescent="0.15">
      <c r="B218" s="191" t="str">
        <f>'All-Servers'!O132</f>
        <v>Memory Consumption</v>
      </c>
      <c r="C218" s="197">
        <f>'All-Servers'!P132</f>
        <v>0.69322916666666667</v>
      </c>
      <c r="D218" s="150"/>
      <c r="E218" s="184" t="str">
        <f>'All-Servers'!O156</f>
        <v/>
      </c>
      <c r="F218" s="185" t="str">
        <f>'All-Servers'!P156</f>
        <v/>
      </c>
      <c r="G218" s="150"/>
      <c r="H218" s="150"/>
      <c r="I218" s="150"/>
      <c r="J218" s="150"/>
    </row>
    <row r="219" spans="2:10" x14ac:dyDescent="0.15">
      <c r="B219" s="191" t="str">
        <f>'All-Servers'!O133</f>
        <v>Disk Consumption</v>
      </c>
      <c r="C219" s="197">
        <f>'All-Servers'!P133</f>
        <v>0.50765961350293543</v>
      </c>
      <c r="D219" s="150"/>
      <c r="E219" s="184" t="str">
        <f>'All-Servers'!O157</f>
        <v/>
      </c>
      <c r="F219" s="185" t="str">
        <f>'All-Servers'!P157</f>
        <v/>
      </c>
      <c r="G219" s="150"/>
      <c r="H219" s="150"/>
      <c r="I219" s="150"/>
      <c r="J219" s="150"/>
    </row>
    <row r="220" spans="2:10" x14ac:dyDescent="0.15">
      <c r="B220" s="198" t="str">
        <f>'All-Servers'!O134</f>
        <v>IO/s Consumption</v>
      </c>
      <c r="C220" s="199">
        <f>'All-Servers'!P134</f>
        <v>0.51792452830188684</v>
      </c>
      <c r="D220" s="150"/>
      <c r="E220" s="184" t="str">
        <f>'All-Servers'!O158</f>
        <v/>
      </c>
      <c r="F220" s="185" t="str">
        <f>'All-Servers'!P158</f>
        <v/>
      </c>
      <c r="G220" s="150"/>
      <c r="H220" s="150"/>
      <c r="I220" s="150"/>
      <c r="J220" s="150"/>
    </row>
    <row r="221" spans="2:10" x14ac:dyDescent="0.15">
      <c r="B221" s="156"/>
      <c r="C221" s="156"/>
      <c r="D221" s="150"/>
      <c r="E221" s="184" t="str">
        <f>'All-Servers'!O159</f>
        <v/>
      </c>
      <c r="F221" s="185" t="str">
        <f>'All-Servers'!P159</f>
        <v/>
      </c>
      <c r="G221" s="150"/>
      <c r="H221" s="150"/>
      <c r="I221" s="150"/>
      <c r="J221" s="150"/>
    </row>
    <row r="222" spans="2:10" x14ac:dyDescent="0.15">
      <c r="B222" s="156"/>
      <c r="C222" s="156"/>
      <c r="D222" s="150"/>
      <c r="E222" s="184" t="str">
        <f>'All-Servers'!O160</f>
        <v/>
      </c>
      <c r="F222" s="185" t="str">
        <f>'All-Servers'!P160</f>
        <v/>
      </c>
      <c r="G222" s="150"/>
      <c r="H222" s="150"/>
      <c r="I222" s="150"/>
      <c r="J222" s="150"/>
    </row>
    <row r="223" spans="2:10" x14ac:dyDescent="0.15">
      <c r="B223" s="156"/>
      <c r="C223" s="156"/>
      <c r="D223" s="150"/>
      <c r="E223" s="184" t="str">
        <f>'All-Servers'!O161</f>
        <v/>
      </c>
      <c r="F223" s="185" t="str">
        <f>'All-Servers'!P161</f>
        <v/>
      </c>
      <c r="G223" s="150"/>
      <c r="H223" s="150"/>
      <c r="I223" s="150"/>
      <c r="J223" s="150"/>
    </row>
    <row r="224" spans="2:10" x14ac:dyDescent="0.15">
      <c r="B224" s="156"/>
      <c r="C224" s="156"/>
      <c r="D224" s="150"/>
      <c r="E224" s="200" t="str">
        <f>'All-Servers'!O162</f>
        <v/>
      </c>
      <c r="F224" s="201" t="str">
        <f>'All-Servers'!P162</f>
        <v/>
      </c>
      <c r="G224" s="150"/>
      <c r="H224" s="150"/>
      <c r="I224" s="150"/>
      <c r="J224" s="150"/>
    </row>
    <row r="225" spans="2:15" x14ac:dyDescent="0.2">
      <c r="B225" s="290" t="s">
        <v>326</v>
      </c>
      <c r="C225" s="156"/>
      <c r="D225" s="150"/>
      <c r="E225" s="150"/>
      <c r="F225" s="150"/>
      <c r="G225" s="150"/>
      <c r="H225" s="150"/>
      <c r="I225" s="150"/>
      <c r="J225" s="150"/>
    </row>
    <row r="226" spans="2:15" x14ac:dyDescent="0.2">
      <c r="B226" s="310" t="s">
        <v>327</v>
      </c>
      <c r="C226" s="383" t="s">
        <v>328</v>
      </c>
      <c r="D226" s="383"/>
      <c r="E226" s="383"/>
      <c r="F226" s="320" t="s">
        <v>134</v>
      </c>
      <c r="G226" s="320"/>
      <c r="H226" s="320"/>
      <c r="I226" s="320"/>
      <c r="J226" s="320"/>
    </row>
    <row r="227" spans="2:15" s="202" customFormat="1" ht="59" customHeight="1" x14ac:dyDescent="0.2">
      <c r="B227" s="321" t="s">
        <v>334</v>
      </c>
      <c r="C227" s="369" t="s">
        <v>329</v>
      </c>
      <c r="D227" s="370"/>
      <c r="E227" s="371"/>
      <c r="F227" s="369" t="s">
        <v>416</v>
      </c>
      <c r="G227" s="370"/>
      <c r="H227" s="370"/>
      <c r="I227" s="370"/>
      <c r="J227" s="371"/>
      <c r="M227" s="144"/>
      <c r="N227" s="144"/>
      <c r="O227" s="144"/>
    </row>
    <row r="228" spans="2:15" s="202" customFormat="1" ht="60" customHeight="1" x14ac:dyDescent="0.2">
      <c r="B228" s="322" t="s">
        <v>335</v>
      </c>
      <c r="C228" s="372" t="s">
        <v>333</v>
      </c>
      <c r="D228" s="373"/>
      <c r="E228" s="374"/>
      <c r="F228" s="372" t="s">
        <v>417</v>
      </c>
      <c r="G228" s="373"/>
      <c r="H228" s="373"/>
      <c r="I228" s="373"/>
      <c r="J228" s="374"/>
      <c r="M228" s="144"/>
      <c r="N228" s="144"/>
      <c r="O228" s="144"/>
    </row>
    <row r="229" spans="2:15" s="202" customFormat="1" ht="69" customHeight="1" x14ac:dyDescent="0.2">
      <c r="B229" s="321" t="s">
        <v>336</v>
      </c>
      <c r="C229" s="357" t="s">
        <v>418</v>
      </c>
      <c r="D229" s="357"/>
      <c r="E229" s="357"/>
      <c r="F229" s="369" t="s">
        <v>338</v>
      </c>
      <c r="G229" s="370"/>
      <c r="H229" s="370"/>
      <c r="I229" s="370"/>
      <c r="J229" s="371"/>
      <c r="M229" s="144"/>
      <c r="N229" s="144"/>
      <c r="O229" s="144"/>
    </row>
    <row r="230" spans="2:15" s="202" customFormat="1" ht="55" customHeight="1" x14ac:dyDescent="0.2">
      <c r="B230" s="322" t="s">
        <v>337</v>
      </c>
      <c r="C230" s="358" t="s">
        <v>343</v>
      </c>
      <c r="D230" s="358"/>
      <c r="E230" s="358"/>
      <c r="F230" s="372" t="s">
        <v>339</v>
      </c>
      <c r="G230" s="373"/>
      <c r="H230" s="373"/>
      <c r="I230" s="373"/>
      <c r="J230" s="374"/>
      <c r="M230" s="144"/>
      <c r="N230" s="144"/>
      <c r="O230" s="144"/>
    </row>
    <row r="231" spans="2:15" s="202" customFormat="1" ht="45" customHeight="1" x14ac:dyDescent="0.2">
      <c r="B231" s="156"/>
      <c r="C231" s="156"/>
      <c r="D231" s="150"/>
      <c r="E231" s="150"/>
      <c r="F231" s="150"/>
      <c r="G231" s="150"/>
      <c r="H231" s="150"/>
      <c r="I231" s="150"/>
      <c r="J231" s="150"/>
      <c r="M231" s="144"/>
      <c r="N231" s="144"/>
      <c r="O231" s="144"/>
    </row>
    <row r="232" spans="2:15" ht="9" customHeight="1" x14ac:dyDescent="0.2"/>
  </sheetData>
  <mergeCells count="45">
    <mergeCell ref="C228:E228"/>
    <mergeCell ref="C226:E226"/>
    <mergeCell ref="E151:F151"/>
    <mergeCell ref="B75:D75"/>
    <mergeCell ref="B80:D80"/>
    <mergeCell ref="B81:D81"/>
    <mergeCell ref="B90:E90"/>
    <mergeCell ref="B79:D79"/>
    <mergeCell ref="B87:E87"/>
    <mergeCell ref="B83:E83"/>
    <mergeCell ref="B85:E85"/>
    <mergeCell ref="B86:E86"/>
    <mergeCell ref="B84:E84"/>
    <mergeCell ref="G3:H3"/>
    <mergeCell ref="B71:D71"/>
    <mergeCell ref="B72:D72"/>
    <mergeCell ref="B69:D69"/>
    <mergeCell ref="B57:D57"/>
    <mergeCell ref="B67:D67"/>
    <mergeCell ref="B68:D68"/>
    <mergeCell ref="B60:D60"/>
    <mergeCell ref="B59:D59"/>
    <mergeCell ref="B58:D58"/>
    <mergeCell ref="B61:D61"/>
    <mergeCell ref="B62:D62"/>
    <mergeCell ref="B55:E55"/>
    <mergeCell ref="B56:D56"/>
    <mergeCell ref="B64:D64"/>
    <mergeCell ref="B65:D65"/>
    <mergeCell ref="C229:E229"/>
    <mergeCell ref="C230:E230"/>
    <mergeCell ref="B78:D78"/>
    <mergeCell ref="B91:F91"/>
    <mergeCell ref="B93:F93"/>
    <mergeCell ref="B97:F97"/>
    <mergeCell ref="B94:E94"/>
    <mergeCell ref="B95:F95"/>
    <mergeCell ref="F227:J227"/>
    <mergeCell ref="F228:J228"/>
    <mergeCell ref="F229:J229"/>
    <mergeCell ref="F230:J230"/>
    <mergeCell ref="B96:F96"/>
    <mergeCell ref="B100:F100"/>
    <mergeCell ref="B216:D216"/>
    <mergeCell ref="C227:E227"/>
  </mergeCells>
  <phoneticPr fontId="31" type="noConversion"/>
  <conditionalFormatting sqref="F200:F224">
    <cfRule type="colorScale" priority="1">
      <colorScale>
        <cfvo type="min"/>
        <cfvo type="percentile" val="50"/>
        <cfvo type="max"/>
        <color rgb="FF63BE7B"/>
        <color rgb="FFFFEB84"/>
        <color rgb="FFF8696B"/>
      </colorScale>
    </cfRule>
  </conditionalFormatting>
  <pageMargins left="0.25" right="0.25" top="0.75" bottom="0.75" header="0.3" footer="0.3"/>
  <pageSetup fitToHeight="7" orientation="portrait"/>
  <rowBreaks count="4" manualBreakCount="4">
    <brk id="44" max="16383" man="1"/>
    <brk id="101" max="16383" man="1"/>
    <brk id="158" max="16383" man="1"/>
    <brk id="196"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Save_As_PDF_and_Email">
                <anchor moveWithCells="1" sizeWithCells="1">
                  <from>
                    <xdr:col>13</xdr:col>
                    <xdr:colOff>25400</xdr:colOff>
                    <xdr:row>21</xdr:row>
                    <xdr:rowOff>0</xdr:rowOff>
                  </from>
                  <to>
                    <xdr:col>13</xdr:col>
                    <xdr:colOff>1854200</xdr:colOff>
                    <xdr:row>23</xdr:row>
                    <xdr:rowOff>38100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K1502"/>
  <sheetViews>
    <sheetView zoomScale="150" zoomScaleNormal="150" zoomScalePageLayoutView="150" workbookViewId="0">
      <selection activeCell="I2" sqref="I2"/>
    </sheetView>
  </sheetViews>
  <sheetFormatPr baseColWidth="10" defaultColWidth="8.83203125" defaultRowHeight="11" x14ac:dyDescent="0.2"/>
  <cols>
    <col min="1" max="1" width="10.6640625" style="45" bestFit="1" customWidth="1"/>
    <col min="2" max="2" width="8.83203125" style="45"/>
    <col min="3" max="3" width="8" style="45" bestFit="1" customWidth="1"/>
    <col min="4" max="4" width="7" style="45" bestFit="1" customWidth="1"/>
    <col min="5" max="5" width="4.5" style="45" bestFit="1" customWidth="1"/>
    <col min="6" max="6" width="4.33203125" style="45" bestFit="1" customWidth="1"/>
    <col min="7" max="7" width="8" style="45" bestFit="1" customWidth="1"/>
    <col min="8" max="8" width="5.33203125" style="45" bestFit="1" customWidth="1"/>
    <col min="9" max="9" width="7" style="45" bestFit="1" customWidth="1"/>
    <col min="10" max="11" width="6.1640625" style="45" bestFit="1" customWidth="1"/>
    <col min="12" max="16384" width="8.83203125" style="45"/>
  </cols>
  <sheetData>
    <row r="1" spans="1:11" x14ac:dyDescent="0.2">
      <c r="A1" s="45" t="s">
        <v>143</v>
      </c>
      <c r="B1" s="45" t="s">
        <v>140</v>
      </c>
      <c r="C1" s="45" t="s">
        <v>1</v>
      </c>
      <c r="D1" s="45" t="s">
        <v>8</v>
      </c>
      <c r="E1" s="45" t="s">
        <v>9</v>
      </c>
      <c r="F1" s="45" t="s">
        <v>11</v>
      </c>
      <c r="G1" s="45" t="s">
        <v>35</v>
      </c>
      <c r="H1" s="45" t="s">
        <v>21</v>
      </c>
      <c r="I1" s="45" t="s">
        <v>9</v>
      </c>
      <c r="J1" s="45" t="s">
        <v>22</v>
      </c>
      <c r="K1" s="45" t="s">
        <v>0</v>
      </c>
    </row>
    <row r="2" spans="1:11" x14ac:dyDescent="0.2">
      <c r="A2" s="45" t="s">
        <v>368</v>
      </c>
      <c r="B2" s="45" t="s">
        <v>141</v>
      </c>
      <c r="C2" s="45" t="s">
        <v>292</v>
      </c>
      <c r="D2" s="45">
        <v>1</v>
      </c>
      <c r="E2" s="45">
        <v>62</v>
      </c>
      <c r="F2" s="45" t="b">
        <v>1</v>
      </c>
      <c r="G2" s="45">
        <v>1</v>
      </c>
      <c r="H2" s="45">
        <f>PRODUCT('All-Servers'!D12,'All-Servers'!$K12)</f>
        <v>24</v>
      </c>
      <c r="I2" s="45">
        <f>PRODUCT('All-Servers'!E12,'All-Servers'!$K12)</f>
        <v>45</v>
      </c>
      <c r="J2" s="45">
        <f>PRODUCT('All-Servers'!F12,'All-Servers'!$K12)</f>
        <v>480</v>
      </c>
      <c r="K2" s="45">
        <f>PRODUCT('All-Servers'!G12,'All-Servers'!$K12)</f>
        <v>0</v>
      </c>
    </row>
    <row r="3" spans="1:11" x14ac:dyDescent="0.2">
      <c r="A3" s="45" t="s">
        <v>391</v>
      </c>
      <c r="B3" s="45" t="s">
        <v>142</v>
      </c>
      <c r="C3" s="45" t="s">
        <v>2</v>
      </c>
      <c r="D3" s="45">
        <v>2</v>
      </c>
      <c r="E3" s="45">
        <v>126</v>
      </c>
      <c r="F3" s="45" t="b">
        <v>0</v>
      </c>
      <c r="G3" s="45">
        <v>2</v>
      </c>
      <c r="H3" s="45">
        <f>PRODUCT('All-Servers'!D13,'All-Servers'!$K13)</f>
        <v>128</v>
      </c>
      <c r="I3" s="45">
        <f>PRODUCT('All-Servers'!E13,'All-Servers'!$K13)</f>
        <v>240</v>
      </c>
      <c r="J3" s="45">
        <f>PRODUCT('All-Servers'!F13,'All-Servers'!$K13)</f>
        <v>0</v>
      </c>
      <c r="K3" s="45">
        <f>PRODUCT('All-Servers'!G13,'All-Servers'!$K13)</f>
        <v>1280</v>
      </c>
    </row>
    <row r="4" spans="1:11" x14ac:dyDescent="0.2">
      <c r="A4" s="45" t="s">
        <v>390</v>
      </c>
      <c r="C4" s="45" t="s">
        <v>3</v>
      </c>
      <c r="D4" s="45">
        <v>3</v>
      </c>
      <c r="E4" s="45">
        <v>254</v>
      </c>
      <c r="G4" s="45">
        <v>3</v>
      </c>
      <c r="H4" s="45">
        <f>PRODUCT('All-Servers'!D14,'All-Servers'!$K14)</f>
        <v>4</v>
      </c>
      <c r="I4" s="45">
        <f>PRODUCT('All-Servers'!E14,'All-Servers'!$K14)</f>
        <v>7.5</v>
      </c>
      <c r="J4" s="45">
        <f>PRODUCT('All-Servers'!F14,'All-Servers'!$K14)</f>
        <v>0</v>
      </c>
      <c r="K4" s="45">
        <f>PRODUCT('All-Servers'!G14,'All-Servers'!$K14)</f>
        <v>160</v>
      </c>
    </row>
    <row r="5" spans="1:11" x14ac:dyDescent="0.2">
      <c r="A5" s="45" t="s">
        <v>369</v>
      </c>
      <c r="C5" s="45" t="s">
        <v>4</v>
      </c>
      <c r="D5" s="45">
        <v>4</v>
      </c>
      <c r="E5" s="45">
        <v>382</v>
      </c>
      <c r="G5" s="45">
        <v>4</v>
      </c>
      <c r="H5" s="45">
        <f>PRODUCT('All-Servers'!D15,'All-Servers'!$K15)</f>
        <v>24</v>
      </c>
      <c r="I5" s="45">
        <f>PRODUCT('All-Servers'!E15,'All-Servers'!$K15)</f>
        <v>45</v>
      </c>
      <c r="J5" s="45">
        <f>PRODUCT('All-Servers'!F15,'All-Servers'!$K15)</f>
        <v>0</v>
      </c>
      <c r="K5" s="45">
        <f>PRODUCT('All-Servers'!G15,'All-Servers'!$K15)</f>
        <v>1920</v>
      </c>
    </row>
    <row r="6" spans="1:11" x14ac:dyDescent="0.2">
      <c r="D6" s="45">
        <v>5</v>
      </c>
      <c r="E6" s="45">
        <v>510</v>
      </c>
      <c r="H6" s="45">
        <f>PRODUCT('All-Servers'!D16,'All-Servers'!$K16)</f>
        <v>3</v>
      </c>
      <c r="I6" s="45">
        <f>PRODUCT('All-Servers'!E16,'All-Servers'!$K16)</f>
        <v>11.25</v>
      </c>
      <c r="J6" s="45">
        <f>PRODUCT('All-Servers'!F16,'All-Servers'!$K16)</f>
        <v>12</v>
      </c>
      <c r="K6" s="45">
        <f>PRODUCT('All-Servers'!G16,'All-Servers'!$K16)</f>
        <v>0</v>
      </c>
    </row>
    <row r="7" spans="1:11" x14ac:dyDescent="0.2">
      <c r="D7" s="45">
        <v>6</v>
      </c>
      <c r="E7" s="45">
        <v>766</v>
      </c>
      <c r="H7" s="45">
        <f>PRODUCT('All-Servers'!D17,'All-Servers'!$K17)</f>
        <v>2</v>
      </c>
      <c r="I7" s="45">
        <f>PRODUCT('All-Servers'!E17,'All-Servers'!$K17)</f>
        <v>8</v>
      </c>
      <c r="J7" s="45">
        <f>PRODUCT('All-Servers'!F17,'All-Servers'!$K17)</f>
        <v>0</v>
      </c>
      <c r="K7" s="45">
        <f>PRODUCT('All-Servers'!G17,'All-Servers'!$K17)</f>
        <v>80</v>
      </c>
    </row>
    <row r="8" spans="1:11" x14ac:dyDescent="0.2">
      <c r="D8" s="45">
        <v>7</v>
      </c>
      <c r="E8" s="45">
        <v>1022</v>
      </c>
      <c r="H8" s="45">
        <f>PRODUCT('All-Servers'!D18,'All-Servers'!$K18)</f>
        <v>4</v>
      </c>
      <c r="I8" s="45">
        <f>PRODUCT('All-Servers'!E18,'All-Servers'!$K18)</f>
        <v>4</v>
      </c>
      <c r="J8" s="45">
        <f>PRODUCT('All-Servers'!F18,'All-Servers'!$K18)</f>
        <v>0</v>
      </c>
      <c r="K8" s="45">
        <f>PRODUCT('All-Servers'!G18,'All-Servers'!$K18)</f>
        <v>80</v>
      </c>
    </row>
    <row r="9" spans="1:11" x14ac:dyDescent="0.2">
      <c r="D9" s="45">
        <v>8</v>
      </c>
      <c r="H9" s="45">
        <f>PRODUCT('All-Servers'!D19,'All-Servers'!$K19)</f>
        <v>0</v>
      </c>
      <c r="I9" s="45">
        <f>PRODUCT('All-Servers'!E19,'All-Servers'!$K19)</f>
        <v>0</v>
      </c>
      <c r="J9" s="45">
        <f>PRODUCT('All-Servers'!F19,'All-Servers'!$K19)</f>
        <v>0</v>
      </c>
      <c r="K9" s="45">
        <f>PRODUCT('All-Servers'!G19,'All-Servers'!$K19)</f>
        <v>0</v>
      </c>
    </row>
    <row r="10" spans="1:11" x14ac:dyDescent="0.2">
      <c r="D10" s="45">
        <v>9</v>
      </c>
      <c r="H10" s="45">
        <f>PRODUCT('All-Servers'!D20,'All-Servers'!$K20)</f>
        <v>72</v>
      </c>
      <c r="I10" s="45">
        <f>PRODUCT('All-Servers'!E20,'All-Servers'!$K20)</f>
        <v>288</v>
      </c>
      <c r="J10" s="45">
        <f>PRODUCT('All-Servers'!F20,'All-Servers'!$K20)</f>
        <v>0</v>
      </c>
      <c r="K10" s="45">
        <f>PRODUCT('All-Servers'!G20,'All-Servers'!$K20)</f>
        <v>720</v>
      </c>
    </row>
    <row r="11" spans="1:11" x14ac:dyDescent="0.2">
      <c r="D11" s="45">
        <v>10</v>
      </c>
      <c r="H11" s="45">
        <f>PRODUCT('All-Servers'!D21,'All-Servers'!$K21)</f>
        <v>112</v>
      </c>
      <c r="I11" s="45">
        <f>PRODUCT('All-Servers'!E21,'All-Servers'!$K21)</f>
        <v>210</v>
      </c>
      <c r="J11" s="45">
        <f>PRODUCT('All-Servers'!F21,'All-Servers'!$K21)</f>
        <v>2240</v>
      </c>
      <c r="K11" s="45">
        <f>PRODUCT('All-Servers'!G21,'All-Servers'!$K21)</f>
        <v>0</v>
      </c>
    </row>
    <row r="12" spans="1:11" x14ac:dyDescent="0.2">
      <c r="D12" s="45">
        <v>11</v>
      </c>
      <c r="H12" s="45">
        <f>PRODUCT('All-Servers'!D22,'All-Servers'!$K22)</f>
        <v>76</v>
      </c>
      <c r="I12" s="45">
        <f>PRODUCT('All-Servers'!E22,'All-Servers'!$K22)</f>
        <v>142.5</v>
      </c>
      <c r="J12" s="45">
        <f>PRODUCT('All-Servers'!F22,'All-Servers'!$K22)</f>
        <v>0</v>
      </c>
      <c r="K12" s="45">
        <f>PRODUCT('All-Servers'!G22,'All-Servers'!$K22)</f>
        <v>6080</v>
      </c>
    </row>
    <row r="13" spans="1:11" x14ac:dyDescent="0.2">
      <c r="D13" s="45">
        <v>12</v>
      </c>
      <c r="H13" s="45">
        <f>PRODUCT('All-Servers'!D23,'All-Servers'!$K23)</f>
        <v>3</v>
      </c>
      <c r="I13" s="45">
        <f>PRODUCT('All-Servers'!E23,'All-Servers'!$K23)</f>
        <v>11.25</v>
      </c>
      <c r="J13" s="45">
        <f>PRODUCT('All-Servers'!F23,'All-Servers'!$K23)</f>
        <v>12</v>
      </c>
      <c r="K13" s="45">
        <f>PRODUCT('All-Servers'!G23,'All-Servers'!$K23)</f>
        <v>0</v>
      </c>
    </row>
    <row r="14" spans="1:11" x14ac:dyDescent="0.2">
      <c r="D14" s="45">
        <v>13</v>
      </c>
      <c r="H14" s="45">
        <f>PRODUCT('All-Servers'!D24,'All-Servers'!$K24)</f>
        <v>3</v>
      </c>
      <c r="I14" s="45">
        <f>PRODUCT('All-Servers'!E24,'All-Servers'!$K24)</f>
        <v>3</v>
      </c>
      <c r="J14" s="45">
        <f>PRODUCT('All-Servers'!F24,'All-Servers'!$K24)</f>
        <v>0</v>
      </c>
      <c r="K14" s="45">
        <f>PRODUCT('All-Servers'!G24,'All-Servers'!$K24)</f>
        <v>60</v>
      </c>
    </row>
    <row r="15" spans="1:11" x14ac:dyDescent="0.2">
      <c r="D15" s="45">
        <v>14</v>
      </c>
      <c r="H15" s="45">
        <f>PRODUCT('All-Servers'!D25,'All-Servers'!$K25)</f>
        <v>0</v>
      </c>
      <c r="I15" s="45">
        <f>PRODUCT('All-Servers'!E25,'All-Servers'!$K25)</f>
        <v>0</v>
      </c>
      <c r="J15" s="45">
        <f>PRODUCT('All-Servers'!F25,'All-Servers'!$K25)</f>
        <v>0</v>
      </c>
      <c r="K15" s="45">
        <f>PRODUCT('All-Servers'!G25,'All-Servers'!$K25)</f>
        <v>0</v>
      </c>
    </row>
    <row r="16" spans="1:11" x14ac:dyDescent="0.2">
      <c r="D16" s="45">
        <v>15</v>
      </c>
      <c r="H16" s="45">
        <f>PRODUCT('All-Servers'!D26,'All-Servers'!$K26)</f>
        <v>168</v>
      </c>
      <c r="I16" s="45">
        <f>PRODUCT('All-Servers'!E26,'All-Servers'!$K26)</f>
        <v>315</v>
      </c>
      <c r="J16" s="45">
        <f>PRODUCT('All-Servers'!F26,'All-Servers'!$K26)</f>
        <v>0</v>
      </c>
      <c r="K16" s="45">
        <f>PRODUCT('All-Servers'!G26,'All-Servers'!$K26)</f>
        <v>13440</v>
      </c>
    </row>
    <row r="17" spans="4:11" x14ac:dyDescent="0.2">
      <c r="D17" s="45">
        <v>16</v>
      </c>
      <c r="H17" s="45">
        <f>PRODUCT('All-Servers'!D27,'All-Servers'!$K27)</f>
        <v>0</v>
      </c>
      <c r="I17" s="45">
        <f>PRODUCT('All-Servers'!E27,'All-Servers'!$K27)</f>
        <v>0</v>
      </c>
      <c r="J17" s="45">
        <f>PRODUCT('All-Servers'!F27,'All-Servers'!$K27)</f>
        <v>0</v>
      </c>
      <c r="K17" s="45">
        <f>PRODUCT('All-Servers'!G27,'All-Servers'!$K27)</f>
        <v>0</v>
      </c>
    </row>
    <row r="18" spans="4:11" x14ac:dyDescent="0.2">
      <c r="D18" s="45">
        <v>17</v>
      </c>
      <c r="H18" s="45">
        <f>PRODUCT('All-Servers'!D28,'All-Servers'!$K28)</f>
        <v>0</v>
      </c>
      <c r="I18" s="45">
        <f>PRODUCT('All-Servers'!E28,'All-Servers'!$K28)</f>
        <v>0</v>
      </c>
      <c r="J18" s="45">
        <f>PRODUCT('All-Servers'!F28,'All-Servers'!$K28)</f>
        <v>0</v>
      </c>
      <c r="K18" s="45">
        <f>PRODUCT('All-Servers'!G28,'All-Servers'!$K28)</f>
        <v>0</v>
      </c>
    </row>
    <row r="19" spans="4:11" x14ac:dyDescent="0.2">
      <c r="D19" s="45">
        <v>18</v>
      </c>
      <c r="H19" s="45">
        <f>PRODUCT('All-Servers'!D29,'All-Servers'!$K29)</f>
        <v>0</v>
      </c>
      <c r="I19" s="45">
        <f>PRODUCT('All-Servers'!E29,'All-Servers'!$K29)</f>
        <v>0</v>
      </c>
      <c r="J19" s="45">
        <f>PRODUCT('All-Servers'!F29,'All-Servers'!$K29)</f>
        <v>0</v>
      </c>
      <c r="K19" s="45">
        <f>PRODUCT('All-Servers'!G29,'All-Servers'!$K29)</f>
        <v>0</v>
      </c>
    </row>
    <row r="20" spans="4:11" x14ac:dyDescent="0.2">
      <c r="D20" s="45">
        <v>19</v>
      </c>
      <c r="H20" s="45">
        <f>PRODUCT('All-Servers'!D30,'All-Servers'!$K30)</f>
        <v>0</v>
      </c>
      <c r="I20" s="45">
        <f>PRODUCT('All-Servers'!E30,'All-Servers'!$K30)</f>
        <v>0</v>
      </c>
      <c r="J20" s="45">
        <f>PRODUCT('All-Servers'!F30,'All-Servers'!$K30)</f>
        <v>0</v>
      </c>
      <c r="K20" s="45">
        <f>PRODUCT('All-Servers'!G30,'All-Servers'!$K30)</f>
        <v>0</v>
      </c>
    </row>
    <row r="21" spans="4:11" x14ac:dyDescent="0.2">
      <c r="D21" s="45">
        <v>20</v>
      </c>
      <c r="H21" s="45">
        <f>PRODUCT('All-Servers'!D31,'All-Servers'!$K31)</f>
        <v>0</v>
      </c>
      <c r="I21" s="45">
        <f>PRODUCT('All-Servers'!E31,'All-Servers'!$K31)</f>
        <v>0</v>
      </c>
      <c r="J21" s="45">
        <f>PRODUCT('All-Servers'!F31,'All-Servers'!$K31)</f>
        <v>0</v>
      </c>
      <c r="K21" s="45">
        <f>PRODUCT('All-Servers'!G31,'All-Servers'!$K31)</f>
        <v>0</v>
      </c>
    </row>
    <row r="22" spans="4:11" x14ac:dyDescent="0.2">
      <c r="D22" s="45">
        <v>21</v>
      </c>
      <c r="H22" s="45">
        <f>PRODUCT('All-Servers'!D32,'All-Servers'!$K32)</f>
        <v>0</v>
      </c>
      <c r="I22" s="45">
        <f>PRODUCT('All-Servers'!E32,'All-Servers'!$K32)</f>
        <v>0</v>
      </c>
      <c r="J22" s="45">
        <f>PRODUCT('All-Servers'!F32,'All-Servers'!$K32)</f>
        <v>0</v>
      </c>
      <c r="K22" s="45">
        <f>PRODUCT('All-Servers'!G32,'All-Servers'!$K32)</f>
        <v>0</v>
      </c>
    </row>
    <row r="23" spans="4:11" x14ac:dyDescent="0.2">
      <c r="D23" s="45">
        <v>22</v>
      </c>
      <c r="H23" s="45">
        <f>PRODUCT('All-Servers'!D33,'All-Servers'!$K33)</f>
        <v>0</v>
      </c>
      <c r="I23" s="45">
        <f>PRODUCT('All-Servers'!E33,'All-Servers'!$K33)</f>
        <v>0</v>
      </c>
      <c r="J23" s="45">
        <f>PRODUCT('All-Servers'!F33,'All-Servers'!$K33)</f>
        <v>0</v>
      </c>
      <c r="K23" s="45">
        <f>PRODUCT('All-Servers'!G33,'All-Servers'!$K33)</f>
        <v>0</v>
      </c>
    </row>
    <row r="24" spans="4:11" x14ac:dyDescent="0.2">
      <c r="D24" s="45">
        <v>23</v>
      </c>
      <c r="H24" s="45">
        <f>PRODUCT('All-Servers'!D34,'All-Servers'!$K34)</f>
        <v>0</v>
      </c>
      <c r="I24" s="45">
        <f>PRODUCT('All-Servers'!E34,'All-Servers'!$K34)</f>
        <v>0</v>
      </c>
      <c r="J24" s="45">
        <f>PRODUCT('All-Servers'!F34,'All-Servers'!$K34)</f>
        <v>0</v>
      </c>
      <c r="K24" s="45">
        <f>PRODUCT('All-Servers'!G34,'All-Servers'!$K34)</f>
        <v>0</v>
      </c>
    </row>
    <row r="25" spans="4:11" x14ac:dyDescent="0.2">
      <c r="D25" s="45">
        <v>24</v>
      </c>
      <c r="H25" s="45">
        <f>PRODUCT('All-Servers'!D35,'All-Servers'!$K35)</f>
        <v>0</v>
      </c>
      <c r="I25" s="45">
        <f>PRODUCT('All-Servers'!E35,'All-Servers'!$K35)</f>
        <v>0</v>
      </c>
      <c r="J25" s="45">
        <f>PRODUCT('All-Servers'!F35,'All-Servers'!$K35)</f>
        <v>0</v>
      </c>
      <c r="K25" s="45">
        <f>PRODUCT('All-Servers'!G35,'All-Servers'!$K35)</f>
        <v>0</v>
      </c>
    </row>
    <row r="26" spans="4:11" x14ac:dyDescent="0.2">
      <c r="H26" s="45">
        <f>PRODUCT('All-Servers'!D36,'All-Servers'!$K36)</f>
        <v>0</v>
      </c>
      <c r="I26" s="45">
        <f>PRODUCT('All-Servers'!E36,'All-Servers'!$K36)</f>
        <v>0</v>
      </c>
      <c r="J26" s="45">
        <f>PRODUCT('All-Servers'!F36,'All-Servers'!$K36)</f>
        <v>0</v>
      </c>
      <c r="K26" s="45">
        <f>PRODUCT('All-Servers'!G36,'All-Servers'!$K36)</f>
        <v>0</v>
      </c>
    </row>
    <row r="27" spans="4:11" x14ac:dyDescent="0.2">
      <c r="H27" s="45">
        <f>PRODUCT('All-Servers'!D37,'All-Servers'!$K37)</f>
        <v>0</v>
      </c>
      <c r="I27" s="45">
        <f>PRODUCT('All-Servers'!E37,'All-Servers'!$K37)</f>
        <v>0</v>
      </c>
      <c r="J27" s="45">
        <f>PRODUCT('All-Servers'!F37,'All-Servers'!$K37)</f>
        <v>0</v>
      </c>
      <c r="K27" s="45">
        <f>PRODUCT('All-Servers'!G37,'All-Servers'!$K37)</f>
        <v>0</v>
      </c>
    </row>
    <row r="28" spans="4:11" x14ac:dyDescent="0.2">
      <c r="H28" s="45">
        <f>PRODUCT('All-Servers'!D38,'All-Servers'!$K38)</f>
        <v>0</v>
      </c>
      <c r="I28" s="45">
        <f>PRODUCT('All-Servers'!E38,'All-Servers'!$K38)</f>
        <v>0</v>
      </c>
      <c r="J28" s="45">
        <f>PRODUCT('All-Servers'!F38,'All-Servers'!$K38)</f>
        <v>0</v>
      </c>
      <c r="K28" s="45">
        <f>PRODUCT('All-Servers'!G38,'All-Servers'!$K38)</f>
        <v>0</v>
      </c>
    </row>
    <row r="29" spans="4:11" x14ac:dyDescent="0.2">
      <c r="H29" s="45">
        <f>PRODUCT('All-Servers'!D39,'All-Servers'!$K39)</f>
        <v>0</v>
      </c>
      <c r="I29" s="45">
        <f>PRODUCT('All-Servers'!E39,'All-Servers'!$K39)</f>
        <v>0</v>
      </c>
      <c r="J29" s="45">
        <f>PRODUCT('All-Servers'!F39,'All-Servers'!$K39)</f>
        <v>0</v>
      </c>
      <c r="K29" s="45">
        <f>PRODUCT('All-Servers'!G39,'All-Servers'!$K39)</f>
        <v>0</v>
      </c>
    </row>
    <row r="30" spans="4:11" x14ac:dyDescent="0.2">
      <c r="H30" s="45">
        <f>PRODUCT('All-Servers'!D40,'All-Servers'!$K40)</f>
        <v>0</v>
      </c>
      <c r="I30" s="45">
        <f>PRODUCT('All-Servers'!E40,'All-Servers'!$K40)</f>
        <v>0</v>
      </c>
      <c r="J30" s="45">
        <f>PRODUCT('All-Servers'!F40,'All-Servers'!$K40)</f>
        <v>0</v>
      </c>
      <c r="K30" s="45">
        <f>PRODUCT('All-Servers'!G40,'All-Servers'!$K40)</f>
        <v>0</v>
      </c>
    </row>
    <row r="31" spans="4:11" x14ac:dyDescent="0.2">
      <c r="H31" s="45">
        <f>PRODUCT('All-Servers'!D41,'All-Servers'!$K41)</f>
        <v>0</v>
      </c>
      <c r="I31" s="45">
        <f>PRODUCT('All-Servers'!E41,'All-Servers'!$K41)</f>
        <v>0</v>
      </c>
      <c r="J31" s="45">
        <f>PRODUCT('All-Servers'!F41,'All-Servers'!$K41)</f>
        <v>0</v>
      </c>
      <c r="K31" s="45">
        <f>PRODUCT('All-Servers'!G41,'All-Servers'!$K41)</f>
        <v>0</v>
      </c>
    </row>
    <row r="32" spans="4:11" x14ac:dyDescent="0.2">
      <c r="H32" s="45">
        <f>PRODUCT('All-Servers'!D42,'All-Servers'!$K42)</f>
        <v>0</v>
      </c>
      <c r="I32" s="45">
        <f>PRODUCT('All-Servers'!E42,'All-Servers'!$K42)</f>
        <v>0</v>
      </c>
      <c r="J32" s="45">
        <f>PRODUCT('All-Servers'!F42,'All-Servers'!$K42)</f>
        <v>0</v>
      </c>
      <c r="K32" s="45">
        <f>PRODUCT('All-Servers'!G42,'All-Servers'!$K42)</f>
        <v>0</v>
      </c>
    </row>
    <row r="33" spans="8:11" x14ac:dyDescent="0.2">
      <c r="H33" s="45">
        <f>PRODUCT('All-Servers'!D43,'All-Servers'!$K43)</f>
        <v>0</v>
      </c>
      <c r="I33" s="45">
        <f>PRODUCT('All-Servers'!E43,'All-Servers'!$K43)</f>
        <v>0</v>
      </c>
      <c r="J33" s="45">
        <f>PRODUCT('All-Servers'!F43,'All-Servers'!$K43)</f>
        <v>0</v>
      </c>
      <c r="K33" s="45">
        <f>PRODUCT('All-Servers'!G43,'All-Servers'!$K43)</f>
        <v>0</v>
      </c>
    </row>
    <row r="34" spans="8:11" x14ac:dyDescent="0.2">
      <c r="H34" s="45">
        <f>PRODUCT('All-Servers'!D44,'All-Servers'!$K44)</f>
        <v>0</v>
      </c>
      <c r="I34" s="45">
        <f>PRODUCT('All-Servers'!E44,'All-Servers'!$K44)</f>
        <v>0</v>
      </c>
      <c r="J34" s="45">
        <f>PRODUCT('All-Servers'!F44,'All-Servers'!$K44)</f>
        <v>0</v>
      </c>
      <c r="K34" s="45">
        <f>PRODUCT('All-Servers'!G44,'All-Servers'!$K44)</f>
        <v>0</v>
      </c>
    </row>
    <row r="35" spans="8:11" x14ac:dyDescent="0.2">
      <c r="H35" s="45">
        <f>PRODUCT('All-Servers'!D45,'All-Servers'!$K45)</f>
        <v>0</v>
      </c>
      <c r="I35" s="45">
        <f>PRODUCT('All-Servers'!E45,'All-Servers'!$K45)</f>
        <v>0</v>
      </c>
      <c r="J35" s="45">
        <f>PRODUCT('All-Servers'!F45,'All-Servers'!$K45)</f>
        <v>0</v>
      </c>
      <c r="K35" s="45">
        <f>PRODUCT('All-Servers'!G45,'All-Servers'!$K45)</f>
        <v>0</v>
      </c>
    </row>
    <row r="36" spans="8:11" x14ac:dyDescent="0.2">
      <c r="H36" s="45">
        <f>PRODUCT('All-Servers'!D46,'All-Servers'!$K46)</f>
        <v>0</v>
      </c>
      <c r="I36" s="45">
        <f>PRODUCT('All-Servers'!E46,'All-Servers'!$K46)</f>
        <v>0</v>
      </c>
      <c r="J36" s="45">
        <f>PRODUCT('All-Servers'!F46,'All-Servers'!$K46)</f>
        <v>0</v>
      </c>
      <c r="K36" s="45">
        <f>PRODUCT('All-Servers'!G46,'All-Servers'!$K46)</f>
        <v>0</v>
      </c>
    </row>
    <row r="37" spans="8:11" x14ac:dyDescent="0.2">
      <c r="H37" s="45">
        <f>PRODUCT('All-Servers'!D47,'All-Servers'!$K47)</f>
        <v>0</v>
      </c>
      <c r="I37" s="45">
        <f>PRODUCT('All-Servers'!E47,'All-Servers'!$K47)</f>
        <v>0</v>
      </c>
      <c r="J37" s="45">
        <f>PRODUCT('All-Servers'!F47,'All-Servers'!$K47)</f>
        <v>0</v>
      </c>
      <c r="K37" s="45">
        <f>PRODUCT('All-Servers'!G47,'All-Servers'!$K47)</f>
        <v>0</v>
      </c>
    </row>
    <row r="38" spans="8:11" x14ac:dyDescent="0.2">
      <c r="H38" s="45">
        <f>PRODUCT('All-Servers'!D48,'All-Servers'!$K48)</f>
        <v>0</v>
      </c>
      <c r="I38" s="45">
        <f>PRODUCT('All-Servers'!E48,'All-Servers'!$K48)</f>
        <v>0</v>
      </c>
      <c r="J38" s="45">
        <f>PRODUCT('All-Servers'!F48,'All-Servers'!$K48)</f>
        <v>0</v>
      </c>
      <c r="K38" s="45">
        <f>PRODUCT('All-Servers'!G48,'All-Servers'!$K48)</f>
        <v>0</v>
      </c>
    </row>
    <row r="39" spans="8:11" x14ac:dyDescent="0.2">
      <c r="H39" s="45">
        <f>PRODUCT('All-Servers'!D49,'All-Servers'!$K49)</f>
        <v>0</v>
      </c>
      <c r="I39" s="45">
        <f>PRODUCT('All-Servers'!E49,'All-Servers'!$K49)</f>
        <v>0</v>
      </c>
      <c r="J39" s="45">
        <f>PRODUCT('All-Servers'!F49,'All-Servers'!$K49)</f>
        <v>0</v>
      </c>
      <c r="K39" s="45">
        <f>PRODUCT('All-Servers'!G49,'All-Servers'!$K49)</f>
        <v>0</v>
      </c>
    </row>
    <row r="40" spans="8:11" x14ac:dyDescent="0.2">
      <c r="H40" s="45">
        <f>PRODUCT('All-Servers'!D50,'All-Servers'!$K50)</f>
        <v>0</v>
      </c>
      <c r="I40" s="45">
        <f>PRODUCT('All-Servers'!E50,'All-Servers'!$K50)</f>
        <v>0</v>
      </c>
      <c r="J40" s="45">
        <f>PRODUCT('All-Servers'!F50,'All-Servers'!$K50)</f>
        <v>0</v>
      </c>
      <c r="K40" s="45">
        <f>PRODUCT('All-Servers'!G50,'All-Servers'!$K50)</f>
        <v>0</v>
      </c>
    </row>
    <row r="41" spans="8:11" x14ac:dyDescent="0.2">
      <c r="H41" s="45">
        <f>PRODUCT('All-Servers'!D51,'All-Servers'!$K51)</f>
        <v>0</v>
      </c>
      <c r="I41" s="45">
        <f>PRODUCT('All-Servers'!E51,'All-Servers'!$K51)</f>
        <v>0</v>
      </c>
      <c r="J41" s="45">
        <f>PRODUCT('All-Servers'!F51,'All-Servers'!$K51)</f>
        <v>0</v>
      </c>
      <c r="K41" s="45">
        <f>PRODUCT('All-Servers'!G51,'All-Servers'!$K51)</f>
        <v>0</v>
      </c>
    </row>
    <row r="42" spans="8:11" x14ac:dyDescent="0.2">
      <c r="H42" s="45">
        <f>PRODUCT('All-Servers'!D52,'All-Servers'!$K52)</f>
        <v>0</v>
      </c>
      <c r="I42" s="45">
        <f>PRODUCT('All-Servers'!E52,'All-Servers'!$K52)</f>
        <v>0</v>
      </c>
      <c r="J42" s="45">
        <f>PRODUCT('All-Servers'!F52,'All-Servers'!$K52)</f>
        <v>0</v>
      </c>
      <c r="K42" s="45">
        <f>PRODUCT('All-Servers'!G52,'All-Servers'!$K52)</f>
        <v>0</v>
      </c>
    </row>
    <row r="43" spans="8:11" x14ac:dyDescent="0.2">
      <c r="H43" s="45">
        <f>PRODUCT('All-Servers'!D53,'All-Servers'!$K53)</f>
        <v>0</v>
      </c>
      <c r="I43" s="45">
        <f>PRODUCT('All-Servers'!E53,'All-Servers'!$K53)</f>
        <v>0</v>
      </c>
      <c r="J43" s="45">
        <f>PRODUCT('All-Servers'!F53,'All-Servers'!$K53)</f>
        <v>0</v>
      </c>
      <c r="K43" s="45">
        <f>PRODUCT('All-Servers'!G53,'All-Servers'!$K53)</f>
        <v>0</v>
      </c>
    </row>
    <row r="44" spans="8:11" x14ac:dyDescent="0.2">
      <c r="H44" s="45">
        <f>PRODUCT('All-Servers'!D54,'All-Servers'!$K54)</f>
        <v>0</v>
      </c>
      <c r="I44" s="45">
        <f>PRODUCT('All-Servers'!E54,'All-Servers'!$K54)</f>
        <v>0</v>
      </c>
      <c r="J44" s="45">
        <f>PRODUCT('All-Servers'!F54,'All-Servers'!$K54)</f>
        <v>0</v>
      </c>
      <c r="K44" s="45">
        <f>PRODUCT('All-Servers'!G54,'All-Servers'!$K54)</f>
        <v>0</v>
      </c>
    </row>
    <row r="45" spans="8:11" x14ac:dyDescent="0.2">
      <c r="H45" s="45">
        <f>PRODUCT('All-Servers'!D55,'All-Servers'!$K55)</f>
        <v>0</v>
      </c>
      <c r="I45" s="45">
        <f>PRODUCT('All-Servers'!E55,'All-Servers'!$K55)</f>
        <v>0</v>
      </c>
      <c r="J45" s="45">
        <f>PRODUCT('All-Servers'!F55,'All-Servers'!$K55)</f>
        <v>0</v>
      </c>
      <c r="K45" s="45">
        <f>PRODUCT('All-Servers'!G55,'All-Servers'!$K55)</f>
        <v>0</v>
      </c>
    </row>
    <row r="46" spans="8:11" x14ac:dyDescent="0.2">
      <c r="H46" s="45">
        <f>PRODUCT('All-Servers'!D56,'All-Servers'!$K56)</f>
        <v>0</v>
      </c>
      <c r="I46" s="45">
        <f>PRODUCT('All-Servers'!E56,'All-Servers'!$K56)</f>
        <v>0</v>
      </c>
      <c r="J46" s="45">
        <f>PRODUCT('All-Servers'!F56,'All-Servers'!$K56)</f>
        <v>0</v>
      </c>
      <c r="K46" s="45">
        <f>PRODUCT('All-Servers'!G56,'All-Servers'!$K56)</f>
        <v>0</v>
      </c>
    </row>
    <row r="47" spans="8:11" x14ac:dyDescent="0.2">
      <c r="H47" s="45">
        <f>PRODUCT('All-Servers'!D57,'All-Servers'!$K57)</f>
        <v>0</v>
      </c>
      <c r="I47" s="45">
        <f>PRODUCT('All-Servers'!E57,'All-Servers'!$K57)</f>
        <v>0</v>
      </c>
      <c r="J47" s="45">
        <f>PRODUCT('All-Servers'!F57,'All-Servers'!$K57)</f>
        <v>0</v>
      </c>
      <c r="K47" s="45">
        <f>PRODUCT('All-Servers'!G57,'All-Servers'!$K57)</f>
        <v>0</v>
      </c>
    </row>
    <row r="48" spans="8:11" x14ac:dyDescent="0.2">
      <c r="H48" s="45">
        <f>PRODUCT('All-Servers'!D58,'All-Servers'!$K58)</f>
        <v>0</v>
      </c>
      <c r="I48" s="45">
        <f>PRODUCT('All-Servers'!E58,'All-Servers'!$K58)</f>
        <v>0</v>
      </c>
      <c r="J48" s="45">
        <f>PRODUCT('All-Servers'!F58,'All-Servers'!$K58)</f>
        <v>0</v>
      </c>
      <c r="K48" s="45">
        <f>PRODUCT('All-Servers'!G58,'All-Servers'!$K58)</f>
        <v>0</v>
      </c>
    </row>
    <row r="49" spans="8:11" x14ac:dyDescent="0.2">
      <c r="H49" s="45">
        <f>PRODUCT('All-Servers'!D59,'All-Servers'!$K59)</f>
        <v>0</v>
      </c>
      <c r="I49" s="45">
        <f>PRODUCT('All-Servers'!E59,'All-Servers'!$K59)</f>
        <v>0</v>
      </c>
      <c r="J49" s="45">
        <f>PRODUCT('All-Servers'!F59,'All-Servers'!$K59)</f>
        <v>0</v>
      </c>
      <c r="K49" s="45">
        <f>PRODUCT('All-Servers'!G59,'All-Servers'!$K59)</f>
        <v>0</v>
      </c>
    </row>
    <row r="50" spans="8:11" x14ac:dyDescent="0.2">
      <c r="H50" s="45">
        <f>PRODUCT('All-Servers'!D60,'All-Servers'!$K60)</f>
        <v>0</v>
      </c>
      <c r="I50" s="45">
        <f>PRODUCT('All-Servers'!E60,'All-Servers'!$K60)</f>
        <v>0</v>
      </c>
      <c r="J50" s="45">
        <f>PRODUCT('All-Servers'!F60,'All-Servers'!$K60)</f>
        <v>0</v>
      </c>
      <c r="K50" s="45">
        <f>PRODUCT('All-Servers'!G60,'All-Servers'!$K60)</f>
        <v>0</v>
      </c>
    </row>
    <row r="51" spans="8:11" x14ac:dyDescent="0.2">
      <c r="H51" s="45">
        <f>PRODUCT('All-Servers'!D61,'All-Servers'!$K61)</f>
        <v>0</v>
      </c>
      <c r="I51" s="45">
        <f>PRODUCT('All-Servers'!E61,'All-Servers'!$K61)</f>
        <v>0</v>
      </c>
      <c r="J51" s="45">
        <f>PRODUCT('All-Servers'!F61,'All-Servers'!$K61)</f>
        <v>0</v>
      </c>
      <c r="K51" s="45">
        <f>PRODUCT('All-Servers'!G61,'All-Servers'!$K61)</f>
        <v>0</v>
      </c>
    </row>
    <row r="52" spans="8:11" x14ac:dyDescent="0.2">
      <c r="H52" s="45">
        <f>PRODUCT('All-Servers'!D62,'All-Servers'!$K62)</f>
        <v>0</v>
      </c>
      <c r="I52" s="45">
        <f>PRODUCT('All-Servers'!E62,'All-Servers'!$K62)</f>
        <v>0</v>
      </c>
      <c r="J52" s="45">
        <f>PRODUCT('All-Servers'!F62,'All-Servers'!$K62)</f>
        <v>0</v>
      </c>
      <c r="K52" s="45">
        <f>PRODUCT('All-Servers'!G62,'All-Servers'!$K62)</f>
        <v>0</v>
      </c>
    </row>
    <row r="53" spans="8:11" x14ac:dyDescent="0.2">
      <c r="H53" s="45">
        <f>PRODUCT('All-Servers'!D63,'All-Servers'!$K63)</f>
        <v>0</v>
      </c>
      <c r="I53" s="45">
        <f>PRODUCT('All-Servers'!E63,'All-Servers'!$K63)</f>
        <v>0</v>
      </c>
      <c r="J53" s="45">
        <f>PRODUCT('All-Servers'!F63,'All-Servers'!$K63)</f>
        <v>0</v>
      </c>
      <c r="K53" s="45">
        <f>PRODUCT('All-Servers'!G63,'All-Servers'!$K63)</f>
        <v>0</v>
      </c>
    </row>
    <row r="54" spans="8:11" x14ac:dyDescent="0.2">
      <c r="H54" s="45">
        <f>PRODUCT('All-Servers'!D64,'All-Servers'!$K64)</f>
        <v>0</v>
      </c>
      <c r="I54" s="45">
        <f>PRODUCT('All-Servers'!E64,'All-Servers'!$K64)</f>
        <v>0</v>
      </c>
      <c r="J54" s="45">
        <f>PRODUCT('All-Servers'!F64,'All-Servers'!$K64)</f>
        <v>0</v>
      </c>
      <c r="K54" s="45">
        <f>PRODUCT('All-Servers'!G64,'All-Servers'!$K64)</f>
        <v>0</v>
      </c>
    </row>
    <row r="55" spans="8:11" x14ac:dyDescent="0.2">
      <c r="H55" s="45">
        <f>PRODUCT('All-Servers'!D65,'All-Servers'!$K65)</f>
        <v>0</v>
      </c>
      <c r="I55" s="45">
        <f>PRODUCT('All-Servers'!E65,'All-Servers'!$K65)</f>
        <v>0</v>
      </c>
      <c r="J55" s="45">
        <f>PRODUCT('All-Servers'!F65,'All-Servers'!$K65)</f>
        <v>0</v>
      </c>
      <c r="K55" s="45">
        <f>PRODUCT('All-Servers'!G65,'All-Servers'!$K65)</f>
        <v>0</v>
      </c>
    </row>
    <row r="56" spans="8:11" x14ac:dyDescent="0.2">
      <c r="H56" s="45">
        <f>PRODUCT('All-Servers'!D66,'All-Servers'!$K66)</f>
        <v>0</v>
      </c>
      <c r="I56" s="45">
        <f>PRODUCT('All-Servers'!E66,'All-Servers'!$K66)</f>
        <v>0</v>
      </c>
      <c r="J56" s="45">
        <f>PRODUCT('All-Servers'!F66,'All-Servers'!$K66)</f>
        <v>0</v>
      </c>
      <c r="K56" s="45">
        <f>PRODUCT('All-Servers'!G66,'All-Servers'!$K66)</f>
        <v>0</v>
      </c>
    </row>
    <row r="57" spans="8:11" x14ac:dyDescent="0.2">
      <c r="H57" s="45">
        <f>PRODUCT('All-Servers'!D67,'All-Servers'!$K67)</f>
        <v>0</v>
      </c>
      <c r="I57" s="45">
        <f>PRODUCT('All-Servers'!E67,'All-Servers'!$K67)</f>
        <v>0</v>
      </c>
      <c r="J57" s="45">
        <f>PRODUCT('All-Servers'!F67,'All-Servers'!$K67)</f>
        <v>0</v>
      </c>
      <c r="K57" s="45">
        <f>PRODUCT('All-Servers'!G67,'All-Servers'!$K67)</f>
        <v>0</v>
      </c>
    </row>
    <row r="58" spans="8:11" x14ac:dyDescent="0.2">
      <c r="H58" s="45">
        <f>PRODUCT('All-Servers'!D68,'All-Servers'!$K68)</f>
        <v>0</v>
      </c>
      <c r="I58" s="45">
        <f>PRODUCT('All-Servers'!E68,'All-Servers'!$K68)</f>
        <v>0</v>
      </c>
      <c r="J58" s="45">
        <f>PRODUCT('All-Servers'!F68,'All-Servers'!$K68)</f>
        <v>0</v>
      </c>
      <c r="K58" s="45">
        <f>PRODUCT('All-Servers'!G68,'All-Servers'!$K68)</f>
        <v>0</v>
      </c>
    </row>
    <row r="59" spans="8:11" x14ac:dyDescent="0.2">
      <c r="H59" s="45">
        <f>PRODUCT('All-Servers'!D69,'All-Servers'!$K69)</f>
        <v>0</v>
      </c>
      <c r="I59" s="45">
        <f>PRODUCT('All-Servers'!E69,'All-Servers'!$K69)</f>
        <v>0</v>
      </c>
      <c r="J59" s="45">
        <f>PRODUCT('All-Servers'!F69,'All-Servers'!$K69)</f>
        <v>0</v>
      </c>
      <c r="K59" s="45">
        <f>PRODUCT('All-Servers'!G69,'All-Servers'!$K69)</f>
        <v>0</v>
      </c>
    </row>
    <row r="60" spans="8:11" x14ac:dyDescent="0.2">
      <c r="H60" s="45">
        <f>PRODUCT('All-Servers'!D70,'All-Servers'!$K70)</f>
        <v>0</v>
      </c>
      <c r="I60" s="45">
        <f>PRODUCT('All-Servers'!E70,'All-Servers'!$K70)</f>
        <v>0</v>
      </c>
      <c r="J60" s="45">
        <f>PRODUCT('All-Servers'!F70,'All-Servers'!$K70)</f>
        <v>0</v>
      </c>
      <c r="K60" s="45">
        <f>PRODUCT('All-Servers'!G70,'All-Servers'!$K70)</f>
        <v>0</v>
      </c>
    </row>
    <row r="61" spans="8:11" x14ac:dyDescent="0.2">
      <c r="H61" s="45">
        <f>PRODUCT('All-Servers'!D71,'All-Servers'!$K71)</f>
        <v>0</v>
      </c>
      <c r="I61" s="45">
        <f>PRODUCT('All-Servers'!E71,'All-Servers'!$K71)</f>
        <v>0</v>
      </c>
      <c r="J61" s="45">
        <f>PRODUCT('All-Servers'!F71,'All-Servers'!$K71)</f>
        <v>0</v>
      </c>
      <c r="K61" s="45">
        <f>PRODUCT('All-Servers'!G71,'All-Servers'!$K71)</f>
        <v>0</v>
      </c>
    </row>
    <row r="62" spans="8:11" x14ac:dyDescent="0.2">
      <c r="H62" s="45">
        <f>PRODUCT('All-Servers'!D72,'All-Servers'!$K72)</f>
        <v>0</v>
      </c>
      <c r="I62" s="45">
        <f>PRODUCT('All-Servers'!E72,'All-Servers'!$K72)</f>
        <v>0</v>
      </c>
      <c r="J62" s="45">
        <f>PRODUCT('All-Servers'!F72,'All-Servers'!$K72)</f>
        <v>0</v>
      </c>
      <c r="K62" s="45">
        <f>PRODUCT('All-Servers'!G72,'All-Servers'!$K72)</f>
        <v>0</v>
      </c>
    </row>
    <row r="63" spans="8:11" x14ac:dyDescent="0.2">
      <c r="H63" s="45">
        <f>PRODUCT('All-Servers'!D73,'All-Servers'!$K73)</f>
        <v>0</v>
      </c>
      <c r="I63" s="45">
        <f>PRODUCT('All-Servers'!E73,'All-Servers'!$K73)</f>
        <v>0</v>
      </c>
      <c r="J63" s="45">
        <f>PRODUCT('All-Servers'!F73,'All-Servers'!$K73)</f>
        <v>0</v>
      </c>
      <c r="K63" s="45">
        <f>PRODUCT('All-Servers'!G73,'All-Servers'!$K73)</f>
        <v>0</v>
      </c>
    </row>
    <row r="64" spans="8:11" x14ac:dyDescent="0.2">
      <c r="H64" s="45">
        <f>PRODUCT('All-Servers'!D74,'All-Servers'!$K74)</f>
        <v>0</v>
      </c>
      <c r="I64" s="45">
        <f>PRODUCT('All-Servers'!E74,'All-Servers'!$K74)</f>
        <v>0</v>
      </c>
      <c r="J64" s="45">
        <f>PRODUCT('All-Servers'!F74,'All-Servers'!$K74)</f>
        <v>0</v>
      </c>
      <c r="K64" s="45">
        <f>PRODUCT('All-Servers'!G74,'All-Servers'!$K74)</f>
        <v>0</v>
      </c>
    </row>
    <row r="65" spans="8:11" x14ac:dyDescent="0.2">
      <c r="H65" s="45">
        <f>PRODUCT('All-Servers'!D75,'All-Servers'!$K75)</f>
        <v>0</v>
      </c>
      <c r="I65" s="45">
        <f>PRODUCT('All-Servers'!E75,'All-Servers'!$K75)</f>
        <v>0</v>
      </c>
      <c r="J65" s="45">
        <f>PRODUCT('All-Servers'!F75,'All-Servers'!$K75)</f>
        <v>0</v>
      </c>
      <c r="K65" s="45">
        <f>PRODUCT('All-Servers'!G75,'All-Servers'!$K75)</f>
        <v>0</v>
      </c>
    </row>
    <row r="66" spans="8:11" x14ac:dyDescent="0.2">
      <c r="H66" s="45">
        <f>PRODUCT('All-Servers'!D76,'All-Servers'!$K76)</f>
        <v>0</v>
      </c>
      <c r="I66" s="45">
        <f>PRODUCT('All-Servers'!E76,'All-Servers'!$K76)</f>
        <v>0</v>
      </c>
      <c r="J66" s="45">
        <f>PRODUCT('All-Servers'!F76,'All-Servers'!$K76)</f>
        <v>0</v>
      </c>
      <c r="K66" s="45">
        <f>PRODUCT('All-Servers'!G76,'All-Servers'!$K76)</f>
        <v>0</v>
      </c>
    </row>
    <row r="67" spans="8:11" x14ac:dyDescent="0.2">
      <c r="H67" s="45">
        <f>PRODUCT('All-Servers'!D77,'All-Servers'!$K77)</f>
        <v>0</v>
      </c>
      <c r="I67" s="45">
        <f>PRODUCT('All-Servers'!E77,'All-Servers'!$K77)</f>
        <v>0</v>
      </c>
      <c r="J67" s="45">
        <f>PRODUCT('All-Servers'!F77,'All-Servers'!$K77)</f>
        <v>0</v>
      </c>
      <c r="K67" s="45">
        <f>PRODUCT('All-Servers'!G77,'All-Servers'!$K77)</f>
        <v>0</v>
      </c>
    </row>
    <row r="68" spans="8:11" x14ac:dyDescent="0.2">
      <c r="H68" s="45">
        <f>PRODUCT('All-Servers'!D78,'All-Servers'!$K78)</f>
        <v>0</v>
      </c>
      <c r="I68" s="45">
        <f>PRODUCT('All-Servers'!E78,'All-Servers'!$K78)</f>
        <v>0</v>
      </c>
      <c r="J68" s="45">
        <f>PRODUCT('All-Servers'!F78,'All-Servers'!$K78)</f>
        <v>0</v>
      </c>
      <c r="K68" s="45">
        <f>PRODUCT('All-Servers'!G78,'All-Servers'!$K78)</f>
        <v>0</v>
      </c>
    </row>
    <row r="69" spans="8:11" x14ac:dyDescent="0.2">
      <c r="H69" s="45">
        <f>PRODUCT('All-Servers'!D79,'All-Servers'!$K79)</f>
        <v>0</v>
      </c>
      <c r="I69" s="45">
        <f>PRODUCT('All-Servers'!E79,'All-Servers'!$K79)</f>
        <v>0</v>
      </c>
      <c r="J69" s="45">
        <f>PRODUCT('All-Servers'!F79,'All-Servers'!$K79)</f>
        <v>0</v>
      </c>
      <c r="K69" s="45">
        <f>PRODUCT('All-Servers'!G79,'All-Servers'!$K79)</f>
        <v>0</v>
      </c>
    </row>
    <row r="70" spans="8:11" x14ac:dyDescent="0.2">
      <c r="H70" s="45">
        <f>PRODUCT('All-Servers'!D80,'All-Servers'!$K80)</f>
        <v>0</v>
      </c>
      <c r="I70" s="45">
        <f>PRODUCT('All-Servers'!E80,'All-Servers'!$K80)</f>
        <v>0</v>
      </c>
      <c r="J70" s="45">
        <f>PRODUCT('All-Servers'!F80,'All-Servers'!$K80)</f>
        <v>0</v>
      </c>
      <c r="K70" s="45">
        <f>PRODUCT('All-Servers'!G80,'All-Servers'!$K80)</f>
        <v>0</v>
      </c>
    </row>
    <row r="71" spans="8:11" x14ac:dyDescent="0.2">
      <c r="H71" s="45">
        <f>PRODUCT('All-Servers'!D81,'All-Servers'!$K81)</f>
        <v>0</v>
      </c>
      <c r="I71" s="45">
        <f>PRODUCT('All-Servers'!E81,'All-Servers'!$K81)</f>
        <v>0</v>
      </c>
      <c r="J71" s="45">
        <f>PRODUCT('All-Servers'!F81,'All-Servers'!$K81)</f>
        <v>0</v>
      </c>
      <c r="K71" s="45">
        <f>PRODUCT('All-Servers'!G81,'All-Servers'!$K81)</f>
        <v>0</v>
      </c>
    </row>
    <row r="72" spans="8:11" x14ac:dyDescent="0.2">
      <c r="H72" s="45">
        <f>PRODUCT('All-Servers'!D82,'All-Servers'!$K82)</f>
        <v>0</v>
      </c>
      <c r="I72" s="45">
        <f>PRODUCT('All-Servers'!E82,'All-Servers'!$K82)</f>
        <v>0</v>
      </c>
      <c r="J72" s="45">
        <f>PRODUCT('All-Servers'!F82,'All-Servers'!$K82)</f>
        <v>0</v>
      </c>
      <c r="K72" s="45">
        <f>PRODUCT('All-Servers'!G82,'All-Servers'!$K82)</f>
        <v>0</v>
      </c>
    </row>
    <row r="73" spans="8:11" x14ac:dyDescent="0.2">
      <c r="H73" s="45">
        <f>PRODUCT('All-Servers'!D83,'All-Servers'!$K83)</f>
        <v>0</v>
      </c>
      <c r="I73" s="45">
        <f>PRODUCT('All-Servers'!E83,'All-Servers'!$K83)</f>
        <v>0</v>
      </c>
      <c r="J73" s="45">
        <f>PRODUCT('All-Servers'!F83,'All-Servers'!$K83)</f>
        <v>0</v>
      </c>
      <c r="K73" s="45">
        <f>PRODUCT('All-Servers'!G83,'All-Servers'!$K83)</f>
        <v>0</v>
      </c>
    </row>
    <row r="74" spans="8:11" x14ac:dyDescent="0.2">
      <c r="H74" s="45">
        <f>PRODUCT('All-Servers'!D84,'All-Servers'!$K84)</f>
        <v>0</v>
      </c>
      <c r="I74" s="45">
        <f>PRODUCT('All-Servers'!E84,'All-Servers'!$K84)</f>
        <v>0</v>
      </c>
      <c r="J74" s="45">
        <f>PRODUCT('All-Servers'!F84,'All-Servers'!$K84)</f>
        <v>0</v>
      </c>
      <c r="K74" s="45">
        <f>PRODUCT('All-Servers'!G84,'All-Servers'!$K84)</f>
        <v>0</v>
      </c>
    </row>
    <row r="75" spans="8:11" x14ac:dyDescent="0.2">
      <c r="H75" s="45">
        <f>PRODUCT('All-Servers'!D85,'All-Servers'!$K85)</f>
        <v>0</v>
      </c>
      <c r="I75" s="45">
        <f>PRODUCT('All-Servers'!E85,'All-Servers'!$K85)</f>
        <v>0</v>
      </c>
      <c r="J75" s="45">
        <f>PRODUCT('All-Servers'!F85,'All-Servers'!$K85)</f>
        <v>0</v>
      </c>
      <c r="K75" s="45">
        <f>PRODUCT('All-Servers'!G85,'All-Servers'!$K85)</f>
        <v>0</v>
      </c>
    </row>
    <row r="76" spans="8:11" x14ac:dyDescent="0.2">
      <c r="H76" s="45">
        <f>PRODUCT('All-Servers'!D86,'All-Servers'!$K86)</f>
        <v>0</v>
      </c>
      <c r="I76" s="45">
        <f>PRODUCT('All-Servers'!E86,'All-Servers'!$K86)</f>
        <v>0</v>
      </c>
      <c r="J76" s="45">
        <f>PRODUCT('All-Servers'!F86,'All-Servers'!$K86)</f>
        <v>0</v>
      </c>
      <c r="K76" s="45">
        <f>PRODUCT('All-Servers'!G86,'All-Servers'!$K86)</f>
        <v>0</v>
      </c>
    </row>
    <row r="77" spans="8:11" x14ac:dyDescent="0.2">
      <c r="H77" s="45">
        <f>PRODUCT('All-Servers'!D87,'All-Servers'!$K87)</f>
        <v>0</v>
      </c>
      <c r="I77" s="45">
        <f>PRODUCT('All-Servers'!E87,'All-Servers'!$K87)</f>
        <v>0</v>
      </c>
      <c r="J77" s="45">
        <f>PRODUCT('All-Servers'!F87,'All-Servers'!$K87)</f>
        <v>0</v>
      </c>
      <c r="K77" s="45">
        <f>PRODUCT('All-Servers'!G87,'All-Servers'!$K87)</f>
        <v>0</v>
      </c>
    </row>
    <row r="78" spans="8:11" x14ac:dyDescent="0.2">
      <c r="H78" s="45">
        <f>PRODUCT('All-Servers'!D88,'All-Servers'!$K88)</f>
        <v>0</v>
      </c>
      <c r="I78" s="45">
        <f>PRODUCT('All-Servers'!E88,'All-Servers'!$K88)</f>
        <v>0</v>
      </c>
      <c r="J78" s="45">
        <f>PRODUCT('All-Servers'!F88,'All-Servers'!$K88)</f>
        <v>0</v>
      </c>
      <c r="K78" s="45">
        <f>PRODUCT('All-Servers'!G88,'All-Servers'!$K88)</f>
        <v>0</v>
      </c>
    </row>
    <row r="79" spans="8:11" x14ac:dyDescent="0.2">
      <c r="H79" s="45">
        <f>PRODUCT('All-Servers'!D89,'All-Servers'!$K89)</f>
        <v>0</v>
      </c>
      <c r="I79" s="45">
        <f>PRODUCT('All-Servers'!E89,'All-Servers'!$K89)</f>
        <v>0</v>
      </c>
      <c r="J79" s="45">
        <f>PRODUCT('All-Servers'!F89,'All-Servers'!$K89)</f>
        <v>0</v>
      </c>
      <c r="K79" s="45">
        <f>PRODUCT('All-Servers'!G89,'All-Servers'!$K89)</f>
        <v>0</v>
      </c>
    </row>
    <row r="80" spans="8:11" x14ac:dyDescent="0.2">
      <c r="H80" s="45">
        <f>PRODUCT('All-Servers'!D90,'All-Servers'!$K90)</f>
        <v>0</v>
      </c>
      <c r="I80" s="45">
        <f>PRODUCT('All-Servers'!E90,'All-Servers'!$K90)</f>
        <v>0</v>
      </c>
      <c r="J80" s="45">
        <f>PRODUCT('All-Servers'!F90,'All-Servers'!$K90)</f>
        <v>0</v>
      </c>
      <c r="K80" s="45">
        <f>PRODUCT('All-Servers'!G90,'All-Servers'!$K90)</f>
        <v>0</v>
      </c>
    </row>
    <row r="81" spans="8:11" x14ac:dyDescent="0.2">
      <c r="H81" s="45">
        <f>PRODUCT('All-Servers'!D91,'All-Servers'!$K91)</f>
        <v>0</v>
      </c>
      <c r="I81" s="45">
        <f>PRODUCT('All-Servers'!E91,'All-Servers'!$K91)</f>
        <v>0</v>
      </c>
      <c r="J81" s="45">
        <f>PRODUCT('All-Servers'!F91,'All-Servers'!$K91)</f>
        <v>0</v>
      </c>
      <c r="K81" s="45">
        <f>PRODUCT('All-Servers'!G91,'All-Servers'!$K91)</f>
        <v>0</v>
      </c>
    </row>
    <row r="82" spans="8:11" x14ac:dyDescent="0.2">
      <c r="H82" s="45">
        <f>PRODUCT('All-Servers'!D92,'All-Servers'!$K92)</f>
        <v>0</v>
      </c>
      <c r="I82" s="45">
        <f>PRODUCT('All-Servers'!E92,'All-Servers'!$K92)</f>
        <v>0</v>
      </c>
      <c r="J82" s="45">
        <f>PRODUCT('All-Servers'!F92,'All-Servers'!$K92)</f>
        <v>0</v>
      </c>
      <c r="K82" s="45">
        <f>PRODUCT('All-Servers'!G92,'All-Servers'!$K92)</f>
        <v>0</v>
      </c>
    </row>
    <row r="83" spans="8:11" x14ac:dyDescent="0.2">
      <c r="H83" s="45">
        <f>PRODUCT('All-Servers'!D93,'All-Servers'!$K93)</f>
        <v>0</v>
      </c>
      <c r="I83" s="45">
        <f>PRODUCT('All-Servers'!E93,'All-Servers'!$K93)</f>
        <v>0</v>
      </c>
      <c r="J83" s="45">
        <f>PRODUCT('All-Servers'!F93,'All-Servers'!$K93)</f>
        <v>0</v>
      </c>
      <c r="K83" s="45">
        <f>PRODUCT('All-Servers'!G93,'All-Servers'!$K93)</f>
        <v>0</v>
      </c>
    </row>
    <row r="84" spans="8:11" x14ac:dyDescent="0.2">
      <c r="H84" s="45">
        <f>PRODUCT('All-Servers'!D94,'All-Servers'!$K94)</f>
        <v>0</v>
      </c>
      <c r="I84" s="45">
        <f>PRODUCT('All-Servers'!E94,'All-Servers'!$K94)</f>
        <v>0</v>
      </c>
      <c r="J84" s="45">
        <f>PRODUCT('All-Servers'!F94,'All-Servers'!$K94)</f>
        <v>0</v>
      </c>
      <c r="K84" s="45">
        <f>PRODUCT('All-Servers'!G94,'All-Servers'!$K94)</f>
        <v>0</v>
      </c>
    </row>
    <row r="85" spans="8:11" x14ac:dyDescent="0.2">
      <c r="H85" s="45">
        <f>PRODUCT('All-Servers'!D95,'All-Servers'!$K95)</f>
        <v>0</v>
      </c>
      <c r="I85" s="45">
        <f>PRODUCT('All-Servers'!E95,'All-Servers'!$K95)</f>
        <v>0</v>
      </c>
      <c r="J85" s="45">
        <f>PRODUCT('All-Servers'!F95,'All-Servers'!$K95)</f>
        <v>0</v>
      </c>
      <c r="K85" s="45">
        <f>PRODUCT('All-Servers'!G95,'All-Servers'!$K95)</f>
        <v>0</v>
      </c>
    </row>
    <row r="86" spans="8:11" x14ac:dyDescent="0.2">
      <c r="H86" s="45">
        <f>PRODUCT('All-Servers'!D96,'All-Servers'!$K96)</f>
        <v>0</v>
      </c>
      <c r="I86" s="45">
        <f>PRODUCT('All-Servers'!E96,'All-Servers'!$K96)</f>
        <v>0</v>
      </c>
      <c r="J86" s="45">
        <f>PRODUCT('All-Servers'!F96,'All-Servers'!$K96)</f>
        <v>0</v>
      </c>
      <c r="K86" s="45">
        <f>PRODUCT('All-Servers'!G96,'All-Servers'!$K96)</f>
        <v>0</v>
      </c>
    </row>
    <row r="87" spans="8:11" x14ac:dyDescent="0.2">
      <c r="H87" s="45">
        <f>PRODUCT('All-Servers'!D97,'All-Servers'!$K97)</f>
        <v>0</v>
      </c>
      <c r="I87" s="45">
        <f>PRODUCT('All-Servers'!E97,'All-Servers'!$K97)</f>
        <v>0</v>
      </c>
      <c r="J87" s="45">
        <f>PRODUCT('All-Servers'!F97,'All-Servers'!$K97)</f>
        <v>0</v>
      </c>
      <c r="K87" s="45">
        <f>PRODUCT('All-Servers'!G97,'All-Servers'!$K97)</f>
        <v>0</v>
      </c>
    </row>
    <row r="88" spans="8:11" x14ac:dyDescent="0.2">
      <c r="H88" s="45">
        <f>PRODUCT('All-Servers'!D98,'All-Servers'!$K98)</f>
        <v>0</v>
      </c>
      <c r="I88" s="45">
        <f>PRODUCT('All-Servers'!E98,'All-Servers'!$K98)</f>
        <v>0</v>
      </c>
      <c r="J88" s="45">
        <f>PRODUCT('All-Servers'!F98,'All-Servers'!$K98)</f>
        <v>0</v>
      </c>
      <c r="K88" s="45">
        <f>PRODUCT('All-Servers'!G98,'All-Servers'!$K98)</f>
        <v>0</v>
      </c>
    </row>
    <row r="89" spans="8:11" x14ac:dyDescent="0.2">
      <c r="H89" s="45">
        <f>PRODUCT('All-Servers'!D99,'All-Servers'!$K99)</f>
        <v>0</v>
      </c>
      <c r="I89" s="45">
        <f>PRODUCT('All-Servers'!E99,'All-Servers'!$K99)</f>
        <v>0</v>
      </c>
      <c r="J89" s="45">
        <f>PRODUCT('All-Servers'!F99,'All-Servers'!$K99)</f>
        <v>0</v>
      </c>
      <c r="K89" s="45">
        <f>PRODUCT('All-Servers'!G99,'All-Servers'!$K99)</f>
        <v>0</v>
      </c>
    </row>
    <row r="90" spans="8:11" x14ac:dyDescent="0.2">
      <c r="H90" s="45">
        <f>PRODUCT('All-Servers'!D100,'All-Servers'!$K100)</f>
        <v>0</v>
      </c>
      <c r="I90" s="45">
        <f>PRODUCT('All-Servers'!E100,'All-Servers'!$K100)</f>
        <v>0</v>
      </c>
      <c r="J90" s="45">
        <f>PRODUCT('All-Servers'!F100,'All-Servers'!$K100)</f>
        <v>0</v>
      </c>
      <c r="K90" s="45">
        <f>PRODUCT('All-Servers'!G100,'All-Servers'!$K100)</f>
        <v>0</v>
      </c>
    </row>
    <row r="91" spans="8:11" x14ac:dyDescent="0.2">
      <c r="H91" s="45">
        <f>PRODUCT('All-Servers'!D101,'All-Servers'!$K101)</f>
        <v>0</v>
      </c>
      <c r="I91" s="45">
        <f>PRODUCT('All-Servers'!E101,'All-Servers'!$K101)</f>
        <v>0</v>
      </c>
      <c r="J91" s="45">
        <f>PRODUCT('All-Servers'!F101,'All-Servers'!$K101)</f>
        <v>0</v>
      </c>
      <c r="K91" s="45">
        <f>PRODUCT('All-Servers'!G101,'All-Servers'!$K101)</f>
        <v>0</v>
      </c>
    </row>
    <row r="92" spans="8:11" x14ac:dyDescent="0.2">
      <c r="H92" s="45">
        <f>PRODUCT('All-Servers'!D102,'All-Servers'!$K102)</f>
        <v>0</v>
      </c>
      <c r="I92" s="45">
        <f>PRODUCT('All-Servers'!E102,'All-Servers'!$K102)</f>
        <v>0</v>
      </c>
      <c r="J92" s="45">
        <f>PRODUCT('All-Servers'!F102,'All-Servers'!$K102)</f>
        <v>0</v>
      </c>
      <c r="K92" s="45">
        <f>PRODUCT('All-Servers'!G102,'All-Servers'!$K102)</f>
        <v>0</v>
      </c>
    </row>
    <row r="93" spans="8:11" x14ac:dyDescent="0.2">
      <c r="H93" s="45">
        <f>PRODUCT('All-Servers'!D103,'All-Servers'!$K103)</f>
        <v>0</v>
      </c>
      <c r="I93" s="45">
        <f>PRODUCT('All-Servers'!E103,'All-Servers'!$K103)</f>
        <v>0</v>
      </c>
      <c r="J93" s="45">
        <f>PRODUCT('All-Servers'!F103,'All-Servers'!$K103)</f>
        <v>0</v>
      </c>
      <c r="K93" s="45">
        <f>PRODUCT('All-Servers'!G103,'All-Servers'!$K103)</f>
        <v>0</v>
      </c>
    </row>
    <row r="94" spans="8:11" x14ac:dyDescent="0.2">
      <c r="H94" s="45">
        <f>PRODUCT('All-Servers'!D104,'All-Servers'!$K104)</f>
        <v>0</v>
      </c>
      <c r="I94" s="45">
        <f>PRODUCT('All-Servers'!E104,'All-Servers'!$K104)</f>
        <v>0</v>
      </c>
      <c r="J94" s="45">
        <f>PRODUCT('All-Servers'!F104,'All-Servers'!$K104)</f>
        <v>0</v>
      </c>
      <c r="K94" s="45">
        <f>PRODUCT('All-Servers'!G104,'All-Servers'!$K104)</f>
        <v>0</v>
      </c>
    </row>
    <row r="95" spans="8:11" x14ac:dyDescent="0.2">
      <c r="H95" s="45">
        <f>PRODUCT('All-Servers'!D105,'All-Servers'!$K105)</f>
        <v>0</v>
      </c>
      <c r="I95" s="45">
        <f>PRODUCT('All-Servers'!E105,'All-Servers'!$K105)</f>
        <v>0</v>
      </c>
      <c r="J95" s="45">
        <f>PRODUCT('All-Servers'!F105,'All-Servers'!$K105)</f>
        <v>0</v>
      </c>
      <c r="K95" s="45">
        <f>PRODUCT('All-Servers'!G105,'All-Servers'!$K105)</f>
        <v>0</v>
      </c>
    </row>
    <row r="96" spans="8:11" x14ac:dyDescent="0.2">
      <c r="H96" s="45">
        <f>PRODUCT('All-Servers'!D106,'All-Servers'!$K106)</f>
        <v>0</v>
      </c>
      <c r="I96" s="45">
        <f>PRODUCT('All-Servers'!E106,'All-Servers'!$K106)</f>
        <v>0</v>
      </c>
      <c r="J96" s="45">
        <f>PRODUCT('All-Servers'!F106,'All-Servers'!$K106)</f>
        <v>0</v>
      </c>
      <c r="K96" s="45">
        <f>PRODUCT('All-Servers'!G106,'All-Servers'!$K106)</f>
        <v>0</v>
      </c>
    </row>
    <row r="97" spans="8:11" x14ac:dyDescent="0.2">
      <c r="H97" s="45">
        <f>PRODUCT('All-Servers'!D107,'All-Servers'!$K107)</f>
        <v>0</v>
      </c>
      <c r="I97" s="45">
        <f>PRODUCT('All-Servers'!E107,'All-Servers'!$K107)</f>
        <v>0</v>
      </c>
      <c r="J97" s="45">
        <f>PRODUCT('All-Servers'!F107,'All-Servers'!$K107)</f>
        <v>0</v>
      </c>
      <c r="K97" s="45">
        <f>PRODUCT('All-Servers'!G107,'All-Servers'!$K107)</f>
        <v>0</v>
      </c>
    </row>
    <row r="98" spans="8:11" x14ac:dyDescent="0.2">
      <c r="H98" s="45">
        <f>PRODUCT('All-Servers'!D108,'All-Servers'!$K108)</f>
        <v>0</v>
      </c>
      <c r="I98" s="45">
        <f>PRODUCT('All-Servers'!E108,'All-Servers'!$K108)</f>
        <v>0</v>
      </c>
      <c r="J98" s="45">
        <f>PRODUCT('All-Servers'!F108,'All-Servers'!$K108)</f>
        <v>0</v>
      </c>
      <c r="K98" s="45">
        <f>PRODUCT('All-Servers'!G108,'All-Servers'!$K108)</f>
        <v>0</v>
      </c>
    </row>
    <row r="99" spans="8:11" x14ac:dyDescent="0.2">
      <c r="H99" s="45">
        <f>PRODUCT('All-Servers'!D109,'All-Servers'!$K109)</f>
        <v>0</v>
      </c>
      <c r="I99" s="45">
        <f>PRODUCT('All-Servers'!E109,'All-Servers'!$K109)</f>
        <v>0</v>
      </c>
      <c r="J99" s="45">
        <f>PRODUCT('All-Servers'!F109,'All-Servers'!$K109)</f>
        <v>0</v>
      </c>
      <c r="K99" s="45">
        <f>PRODUCT('All-Servers'!G109,'All-Servers'!$K109)</f>
        <v>0</v>
      </c>
    </row>
    <row r="100" spans="8:11" x14ac:dyDescent="0.2">
      <c r="H100" s="45">
        <f>PRODUCT('All-Servers'!D110,'All-Servers'!$K110)</f>
        <v>0</v>
      </c>
      <c r="I100" s="45">
        <f>PRODUCT('All-Servers'!E110,'All-Servers'!$K110)</f>
        <v>0</v>
      </c>
      <c r="J100" s="45">
        <f>PRODUCT('All-Servers'!F110,'All-Servers'!$K110)</f>
        <v>0</v>
      </c>
      <c r="K100" s="45">
        <f>PRODUCT('All-Servers'!G110,'All-Servers'!$K110)</f>
        <v>0</v>
      </c>
    </row>
    <row r="101" spans="8:11" x14ac:dyDescent="0.2">
      <c r="H101" s="45">
        <f>PRODUCT('All-Servers'!D111,'All-Servers'!$K111)</f>
        <v>0</v>
      </c>
      <c r="I101" s="45">
        <f>PRODUCT('All-Servers'!E111,'All-Servers'!$K111)</f>
        <v>0</v>
      </c>
      <c r="J101" s="45">
        <f>PRODUCT('All-Servers'!F111,'All-Servers'!$K111)</f>
        <v>0</v>
      </c>
      <c r="K101" s="45">
        <f>PRODUCT('All-Servers'!G111,'All-Servers'!$K111)</f>
        <v>0</v>
      </c>
    </row>
    <row r="102" spans="8:11" x14ac:dyDescent="0.2">
      <c r="H102" s="45">
        <f>PRODUCT('All-Servers'!D112,'All-Servers'!$K112)</f>
        <v>0</v>
      </c>
      <c r="I102" s="45">
        <f>PRODUCT('All-Servers'!E112,'All-Servers'!$K112)</f>
        <v>0</v>
      </c>
      <c r="J102" s="45">
        <f>PRODUCT('All-Servers'!F112,'All-Servers'!$K112)</f>
        <v>0</v>
      </c>
      <c r="K102" s="45">
        <f>PRODUCT('All-Servers'!G112,'All-Servers'!$K112)</f>
        <v>0</v>
      </c>
    </row>
    <row r="103" spans="8:11" x14ac:dyDescent="0.2">
      <c r="H103" s="45">
        <f>PRODUCT('All-Servers'!D113,'All-Servers'!$K113)</f>
        <v>0</v>
      </c>
      <c r="I103" s="45">
        <f>PRODUCT('All-Servers'!E113,'All-Servers'!$K113)</f>
        <v>0</v>
      </c>
      <c r="J103" s="45">
        <f>PRODUCT('All-Servers'!F113,'All-Servers'!$K113)</f>
        <v>0</v>
      </c>
      <c r="K103" s="45">
        <f>PRODUCT('All-Servers'!G113,'All-Servers'!$K113)</f>
        <v>0</v>
      </c>
    </row>
    <row r="104" spans="8:11" x14ac:dyDescent="0.2">
      <c r="H104" s="45">
        <f>PRODUCT('All-Servers'!D114,'All-Servers'!$K114)</f>
        <v>0</v>
      </c>
      <c r="I104" s="45">
        <f>PRODUCT('All-Servers'!E114,'All-Servers'!$K114)</f>
        <v>0</v>
      </c>
      <c r="J104" s="45">
        <f>PRODUCT('All-Servers'!F114,'All-Servers'!$K114)</f>
        <v>0</v>
      </c>
      <c r="K104" s="45">
        <f>PRODUCT('All-Servers'!G114,'All-Servers'!$K114)</f>
        <v>0</v>
      </c>
    </row>
    <row r="105" spans="8:11" x14ac:dyDescent="0.2">
      <c r="H105" s="45">
        <f>PRODUCT('All-Servers'!D115,'All-Servers'!$K115)</f>
        <v>0</v>
      </c>
      <c r="I105" s="45">
        <f>PRODUCT('All-Servers'!E115,'All-Servers'!$K115)</f>
        <v>0</v>
      </c>
      <c r="J105" s="45">
        <f>PRODUCT('All-Servers'!F115,'All-Servers'!$K115)</f>
        <v>0</v>
      </c>
      <c r="K105" s="45">
        <f>PRODUCT('All-Servers'!G115,'All-Servers'!$K115)</f>
        <v>0</v>
      </c>
    </row>
    <row r="106" spans="8:11" x14ac:dyDescent="0.2">
      <c r="H106" s="45">
        <f>PRODUCT('All-Servers'!D116,'All-Servers'!$K116)</f>
        <v>0</v>
      </c>
      <c r="I106" s="45">
        <f>PRODUCT('All-Servers'!E116,'All-Servers'!$K116)</f>
        <v>0</v>
      </c>
      <c r="J106" s="45">
        <f>PRODUCT('All-Servers'!F116,'All-Servers'!$K116)</f>
        <v>0</v>
      </c>
      <c r="K106" s="45">
        <f>PRODUCT('All-Servers'!G116,'All-Servers'!$K116)</f>
        <v>0</v>
      </c>
    </row>
    <row r="107" spans="8:11" x14ac:dyDescent="0.2">
      <c r="H107" s="45">
        <f>PRODUCT('All-Servers'!D117,'All-Servers'!$K117)</f>
        <v>0</v>
      </c>
      <c r="I107" s="45">
        <f>PRODUCT('All-Servers'!E117,'All-Servers'!$K117)</f>
        <v>0</v>
      </c>
      <c r="J107" s="45">
        <f>PRODUCT('All-Servers'!F117,'All-Servers'!$K117)</f>
        <v>0</v>
      </c>
      <c r="K107" s="45">
        <f>PRODUCT('All-Servers'!G117,'All-Servers'!$K117)</f>
        <v>0</v>
      </c>
    </row>
    <row r="108" spans="8:11" x14ac:dyDescent="0.2">
      <c r="H108" s="45">
        <f>PRODUCT('All-Servers'!D118,'All-Servers'!$K118)</f>
        <v>0</v>
      </c>
      <c r="I108" s="45">
        <f>PRODUCT('All-Servers'!E118,'All-Servers'!$K118)</f>
        <v>0</v>
      </c>
      <c r="J108" s="45">
        <f>PRODUCT('All-Servers'!F118,'All-Servers'!$K118)</f>
        <v>0</v>
      </c>
      <c r="K108" s="45">
        <f>PRODUCT('All-Servers'!G118,'All-Servers'!$K118)</f>
        <v>0</v>
      </c>
    </row>
    <row r="109" spans="8:11" x14ac:dyDescent="0.2">
      <c r="H109" s="45">
        <f>PRODUCT('All-Servers'!D119,'All-Servers'!$K119)</f>
        <v>0</v>
      </c>
      <c r="I109" s="45">
        <f>PRODUCT('All-Servers'!E119,'All-Servers'!$K119)</f>
        <v>0</v>
      </c>
      <c r="J109" s="45">
        <f>PRODUCT('All-Servers'!F119,'All-Servers'!$K119)</f>
        <v>0</v>
      </c>
      <c r="K109" s="45">
        <f>PRODUCT('All-Servers'!G119,'All-Servers'!$K119)</f>
        <v>0</v>
      </c>
    </row>
    <row r="110" spans="8:11" x14ac:dyDescent="0.2">
      <c r="H110" s="45">
        <f>PRODUCT('All-Servers'!D120,'All-Servers'!$K120)</f>
        <v>0</v>
      </c>
      <c r="I110" s="45">
        <f>PRODUCT('All-Servers'!E120,'All-Servers'!$K120)</f>
        <v>0</v>
      </c>
      <c r="J110" s="45">
        <f>PRODUCT('All-Servers'!F120,'All-Servers'!$K120)</f>
        <v>0</v>
      </c>
      <c r="K110" s="45">
        <f>PRODUCT('All-Servers'!G120,'All-Servers'!$K120)</f>
        <v>0</v>
      </c>
    </row>
    <row r="111" spans="8:11" x14ac:dyDescent="0.2">
      <c r="H111" s="45">
        <f>PRODUCT('All-Servers'!D121,'All-Servers'!$K121)</f>
        <v>0</v>
      </c>
      <c r="I111" s="45">
        <f>PRODUCT('All-Servers'!E121,'All-Servers'!$K121)</f>
        <v>0</v>
      </c>
      <c r="J111" s="45">
        <f>PRODUCT('All-Servers'!F121,'All-Servers'!$K121)</f>
        <v>0</v>
      </c>
      <c r="K111" s="45">
        <f>PRODUCT('All-Servers'!G121,'All-Servers'!$K121)</f>
        <v>0</v>
      </c>
    </row>
    <row r="112" spans="8:11" x14ac:dyDescent="0.2">
      <c r="H112" s="45">
        <f>PRODUCT('All-Servers'!D122,'All-Servers'!$K122)</f>
        <v>0</v>
      </c>
      <c r="I112" s="45">
        <f>PRODUCT('All-Servers'!E122,'All-Servers'!$K122)</f>
        <v>0</v>
      </c>
      <c r="J112" s="45">
        <f>PRODUCT('All-Servers'!F122,'All-Servers'!$K122)</f>
        <v>0</v>
      </c>
      <c r="K112" s="45">
        <f>PRODUCT('All-Servers'!G122,'All-Servers'!$K122)</f>
        <v>0</v>
      </c>
    </row>
    <row r="113" spans="8:11" x14ac:dyDescent="0.2">
      <c r="H113" s="45">
        <f>PRODUCT('All-Servers'!D123,'All-Servers'!$K123)</f>
        <v>0</v>
      </c>
      <c r="I113" s="45">
        <f>PRODUCT('All-Servers'!E123,'All-Servers'!$K123)</f>
        <v>0</v>
      </c>
      <c r="J113" s="45">
        <f>PRODUCT('All-Servers'!F123,'All-Servers'!$K123)</f>
        <v>0</v>
      </c>
      <c r="K113" s="45">
        <f>PRODUCT('All-Servers'!G123,'All-Servers'!$K123)</f>
        <v>0</v>
      </c>
    </row>
    <row r="114" spans="8:11" x14ac:dyDescent="0.2">
      <c r="H114" s="45">
        <f>PRODUCT('All-Servers'!D124,'All-Servers'!$K124)</f>
        <v>0</v>
      </c>
      <c r="I114" s="45">
        <f>PRODUCT('All-Servers'!E124,'All-Servers'!$K124)</f>
        <v>0</v>
      </c>
      <c r="J114" s="45">
        <f>PRODUCT('All-Servers'!F124,'All-Servers'!$K124)</f>
        <v>0</v>
      </c>
      <c r="K114" s="45">
        <f>PRODUCT('All-Servers'!G124,'All-Servers'!$K124)</f>
        <v>0</v>
      </c>
    </row>
    <row r="115" spans="8:11" x14ac:dyDescent="0.2">
      <c r="H115" s="45">
        <f>PRODUCT('All-Servers'!D125,'All-Servers'!$K125)</f>
        <v>0</v>
      </c>
      <c r="I115" s="45">
        <f>PRODUCT('All-Servers'!E125,'All-Servers'!$K125)</f>
        <v>0</v>
      </c>
      <c r="J115" s="45">
        <f>PRODUCT('All-Servers'!F125,'All-Servers'!$K125)</f>
        <v>0</v>
      </c>
      <c r="K115" s="45">
        <f>PRODUCT('All-Servers'!G125,'All-Servers'!$K125)</f>
        <v>0</v>
      </c>
    </row>
    <row r="116" spans="8:11" x14ac:dyDescent="0.2">
      <c r="H116" s="45">
        <f>PRODUCT('All-Servers'!D126,'All-Servers'!$K126)</f>
        <v>0</v>
      </c>
      <c r="I116" s="45">
        <f>PRODUCT('All-Servers'!E126,'All-Servers'!$K126)</f>
        <v>0</v>
      </c>
      <c r="J116" s="45">
        <f>PRODUCT('All-Servers'!F126,'All-Servers'!$K126)</f>
        <v>0</v>
      </c>
      <c r="K116" s="45">
        <f>PRODUCT('All-Servers'!G126,'All-Servers'!$K126)</f>
        <v>0</v>
      </c>
    </row>
    <row r="117" spans="8:11" x14ac:dyDescent="0.2">
      <c r="H117" s="45">
        <f>PRODUCT('All-Servers'!D127,'All-Servers'!$K127)</f>
        <v>0</v>
      </c>
      <c r="I117" s="45">
        <f>PRODUCT('All-Servers'!E127,'All-Servers'!$K127)</f>
        <v>0</v>
      </c>
      <c r="J117" s="45">
        <f>PRODUCT('All-Servers'!F127,'All-Servers'!$K127)</f>
        <v>0</v>
      </c>
      <c r="K117" s="45">
        <f>PRODUCT('All-Servers'!G127,'All-Servers'!$K127)</f>
        <v>0</v>
      </c>
    </row>
    <row r="118" spans="8:11" x14ac:dyDescent="0.2">
      <c r="H118" s="45">
        <f>PRODUCT('All-Servers'!D128,'All-Servers'!$K128)</f>
        <v>0</v>
      </c>
      <c r="I118" s="45">
        <f>PRODUCT('All-Servers'!E128,'All-Servers'!$K128)</f>
        <v>0</v>
      </c>
      <c r="J118" s="45">
        <f>PRODUCT('All-Servers'!F128,'All-Servers'!$K128)</f>
        <v>0</v>
      </c>
      <c r="K118" s="45">
        <f>PRODUCT('All-Servers'!G128,'All-Servers'!$K128)</f>
        <v>0</v>
      </c>
    </row>
    <row r="119" spans="8:11" x14ac:dyDescent="0.2">
      <c r="H119" s="45">
        <f>PRODUCT('All-Servers'!D129,'All-Servers'!$K129)</f>
        <v>0</v>
      </c>
      <c r="I119" s="45">
        <f>PRODUCT('All-Servers'!E129,'All-Servers'!$K129)</f>
        <v>0</v>
      </c>
      <c r="J119" s="45">
        <f>PRODUCT('All-Servers'!F129,'All-Servers'!$K129)</f>
        <v>0</v>
      </c>
      <c r="K119" s="45">
        <f>PRODUCT('All-Servers'!G129,'All-Servers'!$K129)</f>
        <v>0</v>
      </c>
    </row>
    <row r="120" spans="8:11" x14ac:dyDescent="0.2">
      <c r="H120" s="45">
        <f>PRODUCT('All-Servers'!D130,'All-Servers'!$K130)</f>
        <v>0</v>
      </c>
      <c r="I120" s="45">
        <f>PRODUCT('All-Servers'!E130,'All-Servers'!$K130)</f>
        <v>0</v>
      </c>
      <c r="J120" s="45">
        <f>PRODUCT('All-Servers'!F130,'All-Servers'!$K130)</f>
        <v>0</v>
      </c>
      <c r="K120" s="45">
        <f>PRODUCT('All-Servers'!G130,'All-Servers'!$K130)</f>
        <v>0</v>
      </c>
    </row>
    <row r="121" spans="8:11" x14ac:dyDescent="0.2">
      <c r="H121" s="45">
        <f>PRODUCT('All-Servers'!D131,'All-Servers'!$K131)</f>
        <v>0</v>
      </c>
      <c r="I121" s="45">
        <f>PRODUCT('All-Servers'!E131,'All-Servers'!$K131)</f>
        <v>0</v>
      </c>
      <c r="J121" s="45">
        <f>PRODUCT('All-Servers'!F131,'All-Servers'!$K131)</f>
        <v>0</v>
      </c>
      <c r="K121" s="45">
        <f>PRODUCT('All-Servers'!G131,'All-Servers'!$K131)</f>
        <v>0</v>
      </c>
    </row>
    <row r="122" spans="8:11" x14ac:dyDescent="0.2">
      <c r="H122" s="45">
        <f>PRODUCT('All-Servers'!D132,'All-Servers'!$K132)</f>
        <v>0</v>
      </c>
      <c r="I122" s="45">
        <f>PRODUCT('All-Servers'!E132,'All-Servers'!$K132)</f>
        <v>0</v>
      </c>
      <c r="J122" s="45">
        <f>PRODUCT('All-Servers'!F132,'All-Servers'!$K132)</f>
        <v>0</v>
      </c>
      <c r="K122" s="45">
        <f>PRODUCT('All-Servers'!G132,'All-Servers'!$K132)</f>
        <v>0</v>
      </c>
    </row>
    <row r="123" spans="8:11" x14ac:dyDescent="0.2">
      <c r="H123" s="45">
        <f>PRODUCT('All-Servers'!D133,'All-Servers'!$K133)</f>
        <v>0</v>
      </c>
      <c r="I123" s="45">
        <f>PRODUCT('All-Servers'!E133,'All-Servers'!$K133)</f>
        <v>0</v>
      </c>
      <c r="J123" s="45">
        <f>PRODUCT('All-Servers'!F133,'All-Servers'!$K133)</f>
        <v>0</v>
      </c>
      <c r="K123" s="45">
        <f>PRODUCT('All-Servers'!G133,'All-Servers'!$K133)</f>
        <v>0</v>
      </c>
    </row>
    <row r="124" spans="8:11" x14ac:dyDescent="0.2">
      <c r="H124" s="45">
        <f>PRODUCT('All-Servers'!D134,'All-Servers'!$K134)</f>
        <v>0</v>
      </c>
      <c r="I124" s="45">
        <f>PRODUCT('All-Servers'!E134,'All-Servers'!$K134)</f>
        <v>0</v>
      </c>
      <c r="J124" s="45">
        <f>PRODUCT('All-Servers'!F134,'All-Servers'!$K134)</f>
        <v>0</v>
      </c>
      <c r="K124" s="45">
        <f>PRODUCT('All-Servers'!G134,'All-Servers'!$K134)</f>
        <v>0</v>
      </c>
    </row>
    <row r="125" spans="8:11" x14ac:dyDescent="0.2">
      <c r="H125" s="45">
        <f>PRODUCT('All-Servers'!D135,'All-Servers'!$K135)</f>
        <v>0</v>
      </c>
      <c r="I125" s="45">
        <f>PRODUCT('All-Servers'!E135,'All-Servers'!$K135)</f>
        <v>0</v>
      </c>
      <c r="J125" s="45">
        <f>PRODUCT('All-Servers'!F135,'All-Servers'!$K135)</f>
        <v>0</v>
      </c>
      <c r="K125" s="45">
        <f>PRODUCT('All-Servers'!G135,'All-Servers'!$K135)</f>
        <v>0</v>
      </c>
    </row>
    <row r="126" spans="8:11" x14ac:dyDescent="0.2">
      <c r="H126" s="45">
        <f>PRODUCT('All-Servers'!D136,'All-Servers'!$K136)</f>
        <v>0</v>
      </c>
      <c r="I126" s="45">
        <f>PRODUCT('All-Servers'!E136,'All-Servers'!$K136)</f>
        <v>0</v>
      </c>
      <c r="J126" s="45">
        <f>PRODUCT('All-Servers'!F136,'All-Servers'!$K136)</f>
        <v>0</v>
      </c>
      <c r="K126" s="45">
        <f>PRODUCT('All-Servers'!G136,'All-Servers'!$K136)</f>
        <v>0</v>
      </c>
    </row>
    <row r="127" spans="8:11" x14ac:dyDescent="0.2">
      <c r="H127" s="45">
        <f>PRODUCT('All-Servers'!D137,'All-Servers'!$K137)</f>
        <v>0</v>
      </c>
      <c r="I127" s="45">
        <f>PRODUCT('All-Servers'!E137,'All-Servers'!$K137)</f>
        <v>0</v>
      </c>
      <c r="J127" s="45">
        <f>PRODUCT('All-Servers'!F137,'All-Servers'!$K137)</f>
        <v>0</v>
      </c>
      <c r="K127" s="45">
        <f>PRODUCT('All-Servers'!G137,'All-Servers'!$K137)</f>
        <v>0</v>
      </c>
    </row>
    <row r="128" spans="8:11" x14ac:dyDescent="0.2">
      <c r="H128" s="45">
        <f>PRODUCT('All-Servers'!D138,'All-Servers'!$K138)</f>
        <v>0</v>
      </c>
      <c r="I128" s="45">
        <f>PRODUCT('All-Servers'!E138,'All-Servers'!$K138)</f>
        <v>0</v>
      </c>
      <c r="J128" s="45">
        <f>PRODUCT('All-Servers'!F138,'All-Servers'!$K138)</f>
        <v>0</v>
      </c>
      <c r="K128" s="45">
        <f>PRODUCT('All-Servers'!G138,'All-Servers'!$K138)</f>
        <v>0</v>
      </c>
    </row>
    <row r="129" spans="8:11" x14ac:dyDescent="0.2">
      <c r="H129" s="45">
        <f>PRODUCT('All-Servers'!D139,'All-Servers'!$K139)</f>
        <v>0</v>
      </c>
      <c r="I129" s="45">
        <f>PRODUCT('All-Servers'!E139,'All-Servers'!$K139)</f>
        <v>0</v>
      </c>
      <c r="J129" s="45">
        <f>PRODUCT('All-Servers'!F139,'All-Servers'!$K139)</f>
        <v>0</v>
      </c>
      <c r="K129" s="45">
        <f>PRODUCT('All-Servers'!G139,'All-Servers'!$K139)</f>
        <v>0</v>
      </c>
    </row>
    <row r="130" spans="8:11" x14ac:dyDescent="0.2">
      <c r="H130" s="45">
        <f>PRODUCT('All-Servers'!D140,'All-Servers'!$K140)</f>
        <v>0</v>
      </c>
      <c r="I130" s="45">
        <f>PRODUCT('All-Servers'!E140,'All-Servers'!$K140)</f>
        <v>0</v>
      </c>
      <c r="J130" s="45">
        <f>PRODUCT('All-Servers'!F140,'All-Servers'!$K140)</f>
        <v>0</v>
      </c>
      <c r="K130" s="45">
        <f>PRODUCT('All-Servers'!G140,'All-Servers'!$K140)</f>
        <v>0</v>
      </c>
    </row>
    <row r="131" spans="8:11" x14ac:dyDescent="0.2">
      <c r="H131" s="45">
        <f>PRODUCT('All-Servers'!D141,'All-Servers'!$K141)</f>
        <v>0</v>
      </c>
      <c r="I131" s="45">
        <f>PRODUCT('All-Servers'!E141,'All-Servers'!$K141)</f>
        <v>0</v>
      </c>
      <c r="J131" s="45">
        <f>PRODUCT('All-Servers'!F141,'All-Servers'!$K141)</f>
        <v>0</v>
      </c>
      <c r="K131" s="45">
        <f>PRODUCT('All-Servers'!G141,'All-Servers'!$K141)</f>
        <v>0</v>
      </c>
    </row>
    <row r="132" spans="8:11" x14ac:dyDescent="0.2">
      <c r="H132" s="45">
        <f>PRODUCT('All-Servers'!D142,'All-Servers'!$K142)</f>
        <v>0</v>
      </c>
      <c r="I132" s="45">
        <f>PRODUCT('All-Servers'!E142,'All-Servers'!$K142)</f>
        <v>0</v>
      </c>
      <c r="J132" s="45">
        <f>PRODUCT('All-Servers'!F142,'All-Servers'!$K142)</f>
        <v>0</v>
      </c>
      <c r="K132" s="45">
        <f>PRODUCT('All-Servers'!G142,'All-Servers'!$K142)</f>
        <v>0</v>
      </c>
    </row>
    <row r="133" spans="8:11" x14ac:dyDescent="0.2">
      <c r="H133" s="45">
        <f>PRODUCT('All-Servers'!D143,'All-Servers'!$K143)</f>
        <v>0</v>
      </c>
      <c r="I133" s="45">
        <f>PRODUCT('All-Servers'!E143,'All-Servers'!$K143)</f>
        <v>0</v>
      </c>
      <c r="J133" s="45">
        <f>PRODUCT('All-Servers'!F143,'All-Servers'!$K143)</f>
        <v>0</v>
      </c>
      <c r="K133" s="45">
        <f>PRODUCT('All-Servers'!G143,'All-Servers'!$K143)</f>
        <v>0</v>
      </c>
    </row>
    <row r="134" spans="8:11" x14ac:dyDescent="0.2">
      <c r="H134" s="45">
        <f>PRODUCT('All-Servers'!D144,'All-Servers'!$K144)</f>
        <v>0</v>
      </c>
      <c r="I134" s="45">
        <f>PRODUCT('All-Servers'!E144,'All-Servers'!$K144)</f>
        <v>0</v>
      </c>
      <c r="J134" s="45">
        <f>PRODUCT('All-Servers'!F144,'All-Servers'!$K144)</f>
        <v>0</v>
      </c>
      <c r="K134" s="45">
        <f>PRODUCT('All-Servers'!G144,'All-Servers'!$K144)</f>
        <v>0</v>
      </c>
    </row>
    <row r="135" spans="8:11" x14ac:dyDescent="0.2">
      <c r="H135" s="45">
        <f>PRODUCT('All-Servers'!D145,'All-Servers'!$K145)</f>
        <v>0</v>
      </c>
      <c r="I135" s="45">
        <f>PRODUCT('All-Servers'!E145,'All-Servers'!$K145)</f>
        <v>0</v>
      </c>
      <c r="J135" s="45">
        <f>PRODUCT('All-Servers'!F145,'All-Servers'!$K145)</f>
        <v>0</v>
      </c>
      <c r="K135" s="45">
        <f>PRODUCT('All-Servers'!G145,'All-Servers'!$K145)</f>
        <v>0</v>
      </c>
    </row>
    <row r="136" spans="8:11" x14ac:dyDescent="0.2">
      <c r="H136" s="45">
        <f>PRODUCT('All-Servers'!D146,'All-Servers'!$K146)</f>
        <v>0</v>
      </c>
      <c r="I136" s="45">
        <f>PRODUCT('All-Servers'!E146,'All-Servers'!$K146)</f>
        <v>0</v>
      </c>
      <c r="J136" s="45">
        <f>PRODUCT('All-Servers'!F146,'All-Servers'!$K146)</f>
        <v>0</v>
      </c>
      <c r="K136" s="45">
        <f>PRODUCT('All-Servers'!G146,'All-Servers'!$K146)</f>
        <v>0</v>
      </c>
    </row>
    <row r="137" spans="8:11" x14ac:dyDescent="0.2">
      <c r="H137" s="45">
        <f>PRODUCT('All-Servers'!D147,'All-Servers'!$K147)</f>
        <v>0</v>
      </c>
      <c r="I137" s="45">
        <f>PRODUCT('All-Servers'!E147,'All-Servers'!$K147)</f>
        <v>0</v>
      </c>
      <c r="J137" s="45">
        <f>PRODUCT('All-Servers'!F147,'All-Servers'!$K147)</f>
        <v>0</v>
      </c>
      <c r="K137" s="45">
        <f>PRODUCT('All-Servers'!G147,'All-Servers'!$K147)</f>
        <v>0</v>
      </c>
    </row>
    <row r="138" spans="8:11" x14ac:dyDescent="0.2">
      <c r="H138" s="45">
        <f>PRODUCT('All-Servers'!D148,'All-Servers'!$K148)</f>
        <v>0</v>
      </c>
      <c r="I138" s="45">
        <f>PRODUCT('All-Servers'!E148,'All-Servers'!$K148)</f>
        <v>0</v>
      </c>
      <c r="J138" s="45">
        <f>PRODUCT('All-Servers'!F148,'All-Servers'!$K148)</f>
        <v>0</v>
      </c>
      <c r="K138" s="45">
        <f>PRODUCT('All-Servers'!G148,'All-Servers'!$K148)</f>
        <v>0</v>
      </c>
    </row>
    <row r="139" spans="8:11" x14ac:dyDescent="0.2">
      <c r="H139" s="45">
        <f>PRODUCT('All-Servers'!D149,'All-Servers'!$K149)</f>
        <v>0</v>
      </c>
      <c r="I139" s="45">
        <f>PRODUCT('All-Servers'!E149,'All-Servers'!$K149)</f>
        <v>0</v>
      </c>
      <c r="J139" s="45">
        <f>PRODUCT('All-Servers'!F149,'All-Servers'!$K149)</f>
        <v>0</v>
      </c>
      <c r="K139" s="45">
        <f>PRODUCT('All-Servers'!G149,'All-Servers'!$K149)</f>
        <v>0</v>
      </c>
    </row>
    <row r="140" spans="8:11" x14ac:dyDescent="0.2">
      <c r="H140" s="45">
        <f>PRODUCT('All-Servers'!D150,'All-Servers'!$K150)</f>
        <v>0</v>
      </c>
      <c r="I140" s="45">
        <f>PRODUCT('All-Servers'!E150,'All-Servers'!$K150)</f>
        <v>0</v>
      </c>
      <c r="J140" s="45">
        <f>PRODUCT('All-Servers'!F150,'All-Servers'!$K150)</f>
        <v>0</v>
      </c>
      <c r="K140" s="45">
        <f>PRODUCT('All-Servers'!G150,'All-Servers'!$K150)</f>
        <v>0</v>
      </c>
    </row>
    <row r="141" spans="8:11" x14ac:dyDescent="0.2">
      <c r="H141" s="45">
        <f>PRODUCT('All-Servers'!D151,'All-Servers'!$K151)</f>
        <v>0</v>
      </c>
      <c r="I141" s="45">
        <f>PRODUCT('All-Servers'!E151,'All-Servers'!$K151)</f>
        <v>0</v>
      </c>
      <c r="J141" s="45">
        <f>PRODUCT('All-Servers'!F151,'All-Servers'!$K151)</f>
        <v>0</v>
      </c>
      <c r="K141" s="45">
        <f>PRODUCT('All-Servers'!G151,'All-Servers'!$K151)</f>
        <v>0</v>
      </c>
    </row>
    <row r="142" spans="8:11" x14ac:dyDescent="0.2">
      <c r="H142" s="45">
        <f>PRODUCT('All-Servers'!D152,'All-Servers'!$K152)</f>
        <v>0</v>
      </c>
      <c r="I142" s="45">
        <f>PRODUCT('All-Servers'!E152,'All-Servers'!$K152)</f>
        <v>0</v>
      </c>
      <c r="J142" s="45">
        <f>PRODUCT('All-Servers'!F152,'All-Servers'!$K152)</f>
        <v>0</v>
      </c>
      <c r="K142" s="45">
        <f>PRODUCT('All-Servers'!G152,'All-Servers'!$K152)</f>
        <v>0</v>
      </c>
    </row>
    <row r="143" spans="8:11" x14ac:dyDescent="0.2">
      <c r="H143" s="45">
        <f>PRODUCT('All-Servers'!D153,'All-Servers'!$K153)</f>
        <v>0</v>
      </c>
      <c r="I143" s="45">
        <f>PRODUCT('All-Servers'!E153,'All-Servers'!$K153)</f>
        <v>0</v>
      </c>
      <c r="J143" s="45">
        <f>PRODUCT('All-Servers'!F153,'All-Servers'!$K153)</f>
        <v>0</v>
      </c>
      <c r="K143" s="45">
        <f>PRODUCT('All-Servers'!G153,'All-Servers'!$K153)</f>
        <v>0</v>
      </c>
    </row>
    <row r="144" spans="8:11" x14ac:dyDescent="0.2">
      <c r="H144" s="45">
        <f>PRODUCT('All-Servers'!D154,'All-Servers'!$K154)</f>
        <v>0</v>
      </c>
      <c r="I144" s="45">
        <f>PRODUCT('All-Servers'!E154,'All-Servers'!$K154)</f>
        <v>0</v>
      </c>
      <c r="J144" s="45">
        <f>PRODUCT('All-Servers'!F154,'All-Servers'!$K154)</f>
        <v>0</v>
      </c>
      <c r="K144" s="45">
        <f>PRODUCT('All-Servers'!G154,'All-Servers'!$K154)</f>
        <v>0</v>
      </c>
    </row>
    <row r="145" spans="8:11" x14ac:dyDescent="0.2">
      <c r="H145" s="45">
        <f>PRODUCT('All-Servers'!D155,'All-Servers'!$K155)</f>
        <v>0</v>
      </c>
      <c r="I145" s="45">
        <f>PRODUCT('All-Servers'!E155,'All-Servers'!$K155)</f>
        <v>0</v>
      </c>
      <c r="J145" s="45">
        <f>PRODUCT('All-Servers'!F155,'All-Servers'!$K155)</f>
        <v>0</v>
      </c>
      <c r="K145" s="45">
        <f>PRODUCT('All-Servers'!G155,'All-Servers'!$K155)</f>
        <v>0</v>
      </c>
    </row>
    <row r="146" spans="8:11" x14ac:dyDescent="0.2">
      <c r="H146" s="45">
        <f>PRODUCT('All-Servers'!D156,'All-Servers'!$K156)</f>
        <v>0</v>
      </c>
      <c r="I146" s="45">
        <f>PRODUCT('All-Servers'!E156,'All-Servers'!$K156)</f>
        <v>0</v>
      </c>
      <c r="J146" s="45">
        <f>PRODUCT('All-Servers'!F156,'All-Servers'!$K156)</f>
        <v>0</v>
      </c>
      <c r="K146" s="45">
        <f>PRODUCT('All-Servers'!G156,'All-Servers'!$K156)</f>
        <v>0</v>
      </c>
    </row>
    <row r="147" spans="8:11" x14ac:dyDescent="0.2">
      <c r="H147" s="45">
        <f>PRODUCT('All-Servers'!D157,'All-Servers'!$K157)</f>
        <v>0</v>
      </c>
      <c r="I147" s="45">
        <f>PRODUCT('All-Servers'!E157,'All-Servers'!$K157)</f>
        <v>0</v>
      </c>
      <c r="J147" s="45">
        <f>PRODUCT('All-Servers'!F157,'All-Servers'!$K157)</f>
        <v>0</v>
      </c>
      <c r="K147" s="45">
        <f>PRODUCT('All-Servers'!G157,'All-Servers'!$K157)</f>
        <v>0</v>
      </c>
    </row>
    <row r="148" spans="8:11" x14ac:dyDescent="0.2">
      <c r="H148" s="45">
        <f>PRODUCT('All-Servers'!D158,'All-Servers'!$K158)</f>
        <v>0</v>
      </c>
      <c r="I148" s="45">
        <f>PRODUCT('All-Servers'!E158,'All-Servers'!$K158)</f>
        <v>0</v>
      </c>
      <c r="J148" s="45">
        <f>PRODUCT('All-Servers'!F158,'All-Servers'!$K158)</f>
        <v>0</v>
      </c>
      <c r="K148" s="45">
        <f>PRODUCT('All-Servers'!G158,'All-Servers'!$K158)</f>
        <v>0</v>
      </c>
    </row>
    <row r="149" spans="8:11" x14ac:dyDescent="0.2">
      <c r="H149" s="45">
        <f>PRODUCT('All-Servers'!D159,'All-Servers'!$K159)</f>
        <v>0</v>
      </c>
      <c r="I149" s="45">
        <f>PRODUCT('All-Servers'!E159,'All-Servers'!$K159)</f>
        <v>0</v>
      </c>
      <c r="J149" s="45">
        <f>PRODUCT('All-Servers'!F159,'All-Servers'!$K159)</f>
        <v>0</v>
      </c>
      <c r="K149" s="45">
        <f>PRODUCT('All-Servers'!G159,'All-Servers'!$K159)</f>
        <v>0</v>
      </c>
    </row>
    <row r="150" spans="8:11" x14ac:dyDescent="0.2">
      <c r="H150" s="45">
        <f>PRODUCT('All-Servers'!D160,'All-Servers'!$K160)</f>
        <v>0</v>
      </c>
      <c r="I150" s="45">
        <f>PRODUCT('All-Servers'!E160,'All-Servers'!$K160)</f>
        <v>0</v>
      </c>
      <c r="J150" s="45">
        <f>PRODUCT('All-Servers'!F160,'All-Servers'!$K160)</f>
        <v>0</v>
      </c>
      <c r="K150" s="45">
        <f>PRODUCT('All-Servers'!G160,'All-Servers'!$K160)</f>
        <v>0</v>
      </c>
    </row>
    <row r="151" spans="8:11" x14ac:dyDescent="0.2">
      <c r="H151" s="45">
        <f>PRODUCT('All-Servers'!D161,'All-Servers'!$K161)</f>
        <v>0</v>
      </c>
      <c r="I151" s="45">
        <f>PRODUCT('All-Servers'!E161,'All-Servers'!$K161)</f>
        <v>0</v>
      </c>
      <c r="J151" s="45">
        <f>PRODUCT('All-Servers'!F161,'All-Servers'!$K161)</f>
        <v>0</v>
      </c>
      <c r="K151" s="45">
        <f>PRODUCT('All-Servers'!G161,'All-Servers'!$K161)</f>
        <v>0</v>
      </c>
    </row>
    <row r="152" spans="8:11" x14ac:dyDescent="0.2">
      <c r="H152" s="45">
        <f>PRODUCT('All-Servers'!D162,'All-Servers'!$K162)</f>
        <v>0</v>
      </c>
      <c r="I152" s="45">
        <f>PRODUCT('All-Servers'!E162,'All-Servers'!$K162)</f>
        <v>0</v>
      </c>
      <c r="J152" s="45">
        <f>PRODUCT('All-Servers'!F162,'All-Servers'!$K162)</f>
        <v>0</v>
      </c>
      <c r="K152" s="45">
        <f>PRODUCT('All-Servers'!G162,'All-Servers'!$K162)</f>
        <v>0</v>
      </c>
    </row>
    <row r="153" spans="8:11" x14ac:dyDescent="0.2">
      <c r="H153" s="45">
        <f>PRODUCT('All-Servers'!D163,'All-Servers'!$K163)</f>
        <v>0</v>
      </c>
      <c r="I153" s="45">
        <f>PRODUCT('All-Servers'!E163,'All-Servers'!$K163)</f>
        <v>0</v>
      </c>
      <c r="J153" s="45">
        <f>PRODUCT('All-Servers'!F163,'All-Servers'!$K163)</f>
        <v>0</v>
      </c>
      <c r="K153" s="45">
        <f>PRODUCT('All-Servers'!G163,'All-Servers'!$K163)</f>
        <v>0</v>
      </c>
    </row>
    <row r="154" spans="8:11" x14ac:dyDescent="0.2">
      <c r="H154" s="45">
        <f>PRODUCT('All-Servers'!D164,'All-Servers'!$K164)</f>
        <v>0</v>
      </c>
      <c r="I154" s="45">
        <f>PRODUCT('All-Servers'!E164,'All-Servers'!$K164)</f>
        <v>0</v>
      </c>
      <c r="J154" s="45">
        <f>PRODUCT('All-Servers'!F164,'All-Servers'!$K164)</f>
        <v>0</v>
      </c>
      <c r="K154" s="45">
        <f>PRODUCT('All-Servers'!G164,'All-Servers'!$K164)</f>
        <v>0</v>
      </c>
    </row>
    <row r="155" spans="8:11" x14ac:dyDescent="0.2">
      <c r="H155" s="45">
        <f>PRODUCT('All-Servers'!D165,'All-Servers'!$K165)</f>
        <v>0</v>
      </c>
      <c r="I155" s="45">
        <f>PRODUCT('All-Servers'!E165,'All-Servers'!$K165)</f>
        <v>0</v>
      </c>
      <c r="J155" s="45">
        <f>PRODUCT('All-Servers'!F165,'All-Servers'!$K165)</f>
        <v>0</v>
      </c>
      <c r="K155" s="45">
        <f>PRODUCT('All-Servers'!G165,'All-Servers'!$K165)</f>
        <v>0</v>
      </c>
    </row>
    <row r="156" spans="8:11" x14ac:dyDescent="0.2">
      <c r="H156" s="45">
        <f>PRODUCT('All-Servers'!D166,'All-Servers'!$K166)</f>
        <v>0</v>
      </c>
      <c r="I156" s="45">
        <f>PRODUCT('All-Servers'!E166,'All-Servers'!$K166)</f>
        <v>0</v>
      </c>
      <c r="J156" s="45">
        <f>PRODUCT('All-Servers'!F166,'All-Servers'!$K166)</f>
        <v>0</v>
      </c>
      <c r="K156" s="45">
        <f>PRODUCT('All-Servers'!G166,'All-Servers'!$K166)</f>
        <v>0</v>
      </c>
    </row>
    <row r="157" spans="8:11" x14ac:dyDescent="0.2">
      <c r="H157" s="45">
        <f>PRODUCT('All-Servers'!D167,'All-Servers'!$K167)</f>
        <v>0</v>
      </c>
      <c r="I157" s="45">
        <f>PRODUCT('All-Servers'!E167,'All-Servers'!$K167)</f>
        <v>0</v>
      </c>
      <c r="J157" s="45">
        <f>PRODUCT('All-Servers'!F167,'All-Servers'!$K167)</f>
        <v>0</v>
      </c>
      <c r="K157" s="45">
        <f>PRODUCT('All-Servers'!G167,'All-Servers'!$K167)</f>
        <v>0</v>
      </c>
    </row>
    <row r="158" spans="8:11" x14ac:dyDescent="0.2">
      <c r="H158" s="45">
        <f>PRODUCT('All-Servers'!D168,'All-Servers'!$K168)</f>
        <v>0</v>
      </c>
      <c r="I158" s="45">
        <f>PRODUCT('All-Servers'!E168,'All-Servers'!$K168)</f>
        <v>0</v>
      </c>
      <c r="J158" s="45">
        <f>PRODUCT('All-Servers'!F168,'All-Servers'!$K168)</f>
        <v>0</v>
      </c>
      <c r="K158" s="45">
        <f>PRODUCT('All-Servers'!G168,'All-Servers'!$K168)</f>
        <v>0</v>
      </c>
    </row>
    <row r="159" spans="8:11" x14ac:dyDescent="0.2">
      <c r="H159" s="45">
        <f>PRODUCT('All-Servers'!D169,'All-Servers'!$K169)</f>
        <v>0</v>
      </c>
      <c r="I159" s="45">
        <f>PRODUCT('All-Servers'!E169,'All-Servers'!$K169)</f>
        <v>0</v>
      </c>
      <c r="J159" s="45">
        <f>PRODUCT('All-Servers'!F169,'All-Servers'!$K169)</f>
        <v>0</v>
      </c>
      <c r="K159" s="45">
        <f>PRODUCT('All-Servers'!G169,'All-Servers'!$K169)</f>
        <v>0</v>
      </c>
    </row>
    <row r="160" spans="8:11" x14ac:dyDescent="0.2">
      <c r="H160" s="45">
        <f>PRODUCT('All-Servers'!D170,'All-Servers'!$K170)</f>
        <v>0</v>
      </c>
      <c r="I160" s="45">
        <f>PRODUCT('All-Servers'!E170,'All-Servers'!$K170)</f>
        <v>0</v>
      </c>
      <c r="J160" s="45">
        <f>PRODUCT('All-Servers'!F170,'All-Servers'!$K170)</f>
        <v>0</v>
      </c>
      <c r="K160" s="45">
        <f>PRODUCT('All-Servers'!G170,'All-Servers'!$K170)</f>
        <v>0</v>
      </c>
    </row>
    <row r="161" spans="8:11" x14ac:dyDescent="0.2">
      <c r="H161" s="45">
        <f>PRODUCT('All-Servers'!D171,'All-Servers'!$K171)</f>
        <v>0</v>
      </c>
      <c r="I161" s="45">
        <f>PRODUCT('All-Servers'!E171,'All-Servers'!$K171)</f>
        <v>0</v>
      </c>
      <c r="J161" s="45">
        <f>PRODUCT('All-Servers'!F171,'All-Servers'!$K171)</f>
        <v>0</v>
      </c>
      <c r="K161" s="45">
        <f>PRODUCT('All-Servers'!G171,'All-Servers'!$K171)</f>
        <v>0</v>
      </c>
    </row>
    <row r="162" spans="8:11" x14ac:dyDescent="0.2">
      <c r="H162" s="45">
        <f>PRODUCT('All-Servers'!D172,'All-Servers'!$K172)</f>
        <v>0</v>
      </c>
      <c r="I162" s="45">
        <f>PRODUCT('All-Servers'!E172,'All-Servers'!$K172)</f>
        <v>0</v>
      </c>
      <c r="J162" s="45">
        <f>PRODUCT('All-Servers'!F172,'All-Servers'!$K172)</f>
        <v>0</v>
      </c>
      <c r="K162" s="45">
        <f>PRODUCT('All-Servers'!G172,'All-Servers'!$K172)</f>
        <v>0</v>
      </c>
    </row>
    <row r="163" spans="8:11" x14ac:dyDescent="0.2">
      <c r="H163" s="45">
        <f>PRODUCT('All-Servers'!D173,'All-Servers'!$K173)</f>
        <v>0</v>
      </c>
      <c r="I163" s="45">
        <f>PRODUCT('All-Servers'!E173,'All-Servers'!$K173)</f>
        <v>0</v>
      </c>
      <c r="J163" s="45">
        <f>PRODUCT('All-Servers'!F173,'All-Servers'!$K173)</f>
        <v>0</v>
      </c>
      <c r="K163" s="45">
        <f>PRODUCT('All-Servers'!G173,'All-Servers'!$K173)</f>
        <v>0</v>
      </c>
    </row>
    <row r="164" spans="8:11" x14ac:dyDescent="0.2">
      <c r="H164" s="45">
        <f>PRODUCT('All-Servers'!D174,'All-Servers'!$K174)</f>
        <v>0</v>
      </c>
      <c r="I164" s="45">
        <f>PRODUCT('All-Servers'!E174,'All-Servers'!$K174)</f>
        <v>0</v>
      </c>
      <c r="J164" s="45">
        <f>PRODUCT('All-Servers'!F174,'All-Servers'!$K174)</f>
        <v>0</v>
      </c>
      <c r="K164" s="45">
        <f>PRODUCT('All-Servers'!G174,'All-Servers'!$K174)</f>
        <v>0</v>
      </c>
    </row>
    <row r="165" spans="8:11" x14ac:dyDescent="0.2">
      <c r="H165" s="45">
        <f>PRODUCT('All-Servers'!D175,'All-Servers'!$K175)</f>
        <v>0</v>
      </c>
      <c r="I165" s="45">
        <f>PRODUCT('All-Servers'!E175,'All-Servers'!$K175)</f>
        <v>0</v>
      </c>
      <c r="J165" s="45">
        <f>PRODUCT('All-Servers'!F175,'All-Servers'!$K175)</f>
        <v>0</v>
      </c>
      <c r="K165" s="45">
        <f>PRODUCT('All-Servers'!G175,'All-Servers'!$K175)</f>
        <v>0</v>
      </c>
    </row>
    <row r="166" spans="8:11" x14ac:dyDescent="0.2">
      <c r="H166" s="45">
        <f>PRODUCT('All-Servers'!D176,'All-Servers'!$K176)</f>
        <v>0</v>
      </c>
      <c r="I166" s="45">
        <f>PRODUCT('All-Servers'!E176,'All-Servers'!$K176)</f>
        <v>0</v>
      </c>
      <c r="J166" s="45">
        <f>PRODUCT('All-Servers'!F176,'All-Servers'!$K176)</f>
        <v>0</v>
      </c>
      <c r="K166" s="45">
        <f>PRODUCT('All-Servers'!G176,'All-Servers'!$K176)</f>
        <v>0</v>
      </c>
    </row>
    <row r="167" spans="8:11" x14ac:dyDescent="0.2">
      <c r="H167" s="45">
        <f>PRODUCT('All-Servers'!D177,'All-Servers'!$K177)</f>
        <v>0</v>
      </c>
      <c r="I167" s="45">
        <f>PRODUCT('All-Servers'!E177,'All-Servers'!$K177)</f>
        <v>0</v>
      </c>
      <c r="J167" s="45">
        <f>PRODUCT('All-Servers'!F177,'All-Servers'!$K177)</f>
        <v>0</v>
      </c>
      <c r="K167" s="45">
        <f>PRODUCT('All-Servers'!G177,'All-Servers'!$K177)</f>
        <v>0</v>
      </c>
    </row>
    <row r="168" spans="8:11" x14ac:dyDescent="0.2">
      <c r="H168" s="45">
        <f>PRODUCT('All-Servers'!D178,'All-Servers'!$K178)</f>
        <v>0</v>
      </c>
      <c r="I168" s="45">
        <f>PRODUCT('All-Servers'!E178,'All-Servers'!$K178)</f>
        <v>0</v>
      </c>
      <c r="J168" s="45">
        <f>PRODUCT('All-Servers'!F178,'All-Servers'!$K178)</f>
        <v>0</v>
      </c>
      <c r="K168" s="45">
        <f>PRODUCT('All-Servers'!G178,'All-Servers'!$K178)</f>
        <v>0</v>
      </c>
    </row>
    <row r="169" spans="8:11" x14ac:dyDescent="0.2">
      <c r="H169" s="45">
        <f>PRODUCT('All-Servers'!D179,'All-Servers'!$K179)</f>
        <v>0</v>
      </c>
      <c r="I169" s="45">
        <f>PRODUCT('All-Servers'!E179,'All-Servers'!$K179)</f>
        <v>0</v>
      </c>
      <c r="J169" s="45">
        <f>PRODUCT('All-Servers'!F179,'All-Servers'!$K179)</f>
        <v>0</v>
      </c>
      <c r="K169" s="45">
        <f>PRODUCT('All-Servers'!G179,'All-Servers'!$K179)</f>
        <v>0</v>
      </c>
    </row>
    <row r="170" spans="8:11" x14ac:dyDescent="0.2">
      <c r="H170" s="45">
        <f>PRODUCT('All-Servers'!D180,'All-Servers'!$K180)</f>
        <v>0</v>
      </c>
      <c r="I170" s="45">
        <f>PRODUCT('All-Servers'!E180,'All-Servers'!$K180)</f>
        <v>0</v>
      </c>
      <c r="J170" s="45">
        <f>PRODUCT('All-Servers'!F180,'All-Servers'!$K180)</f>
        <v>0</v>
      </c>
      <c r="K170" s="45">
        <f>PRODUCT('All-Servers'!G180,'All-Servers'!$K180)</f>
        <v>0</v>
      </c>
    </row>
    <row r="171" spans="8:11" x14ac:dyDescent="0.2">
      <c r="H171" s="45">
        <f>PRODUCT('All-Servers'!D181,'All-Servers'!$K181)</f>
        <v>0</v>
      </c>
      <c r="I171" s="45">
        <f>PRODUCT('All-Servers'!E181,'All-Servers'!$K181)</f>
        <v>0</v>
      </c>
      <c r="J171" s="45">
        <f>PRODUCT('All-Servers'!F181,'All-Servers'!$K181)</f>
        <v>0</v>
      </c>
      <c r="K171" s="45">
        <f>PRODUCT('All-Servers'!G181,'All-Servers'!$K181)</f>
        <v>0</v>
      </c>
    </row>
    <row r="172" spans="8:11" x14ac:dyDescent="0.2">
      <c r="H172" s="45">
        <f>PRODUCT('All-Servers'!D182,'All-Servers'!$K182)</f>
        <v>0</v>
      </c>
      <c r="I172" s="45">
        <f>PRODUCT('All-Servers'!E182,'All-Servers'!$K182)</f>
        <v>0</v>
      </c>
      <c r="J172" s="45">
        <f>PRODUCT('All-Servers'!F182,'All-Servers'!$K182)</f>
        <v>0</v>
      </c>
      <c r="K172" s="45">
        <f>PRODUCT('All-Servers'!G182,'All-Servers'!$K182)</f>
        <v>0</v>
      </c>
    </row>
    <row r="173" spans="8:11" x14ac:dyDescent="0.2">
      <c r="H173" s="45">
        <f>PRODUCT('All-Servers'!D183,'All-Servers'!$K183)</f>
        <v>0</v>
      </c>
      <c r="I173" s="45">
        <f>PRODUCT('All-Servers'!E183,'All-Servers'!$K183)</f>
        <v>0</v>
      </c>
      <c r="J173" s="45">
        <f>PRODUCT('All-Servers'!F183,'All-Servers'!$K183)</f>
        <v>0</v>
      </c>
      <c r="K173" s="45">
        <f>PRODUCT('All-Servers'!G183,'All-Servers'!$K183)</f>
        <v>0</v>
      </c>
    </row>
    <row r="174" spans="8:11" x14ac:dyDescent="0.2">
      <c r="H174" s="45">
        <f>PRODUCT('All-Servers'!D184,'All-Servers'!$K184)</f>
        <v>0</v>
      </c>
      <c r="I174" s="45">
        <f>PRODUCT('All-Servers'!E184,'All-Servers'!$K184)</f>
        <v>0</v>
      </c>
      <c r="J174" s="45">
        <f>PRODUCT('All-Servers'!F184,'All-Servers'!$K184)</f>
        <v>0</v>
      </c>
      <c r="K174" s="45">
        <f>PRODUCT('All-Servers'!G184,'All-Servers'!$K184)</f>
        <v>0</v>
      </c>
    </row>
    <row r="175" spans="8:11" x14ac:dyDescent="0.2">
      <c r="H175" s="45">
        <f>PRODUCT('All-Servers'!D185,'All-Servers'!$K185)</f>
        <v>0</v>
      </c>
      <c r="I175" s="45">
        <f>PRODUCT('All-Servers'!E185,'All-Servers'!$K185)</f>
        <v>0</v>
      </c>
      <c r="J175" s="45">
        <f>PRODUCT('All-Servers'!F185,'All-Servers'!$K185)</f>
        <v>0</v>
      </c>
      <c r="K175" s="45">
        <f>PRODUCT('All-Servers'!G185,'All-Servers'!$K185)</f>
        <v>0</v>
      </c>
    </row>
    <row r="176" spans="8:11" x14ac:dyDescent="0.2">
      <c r="H176" s="45">
        <f>PRODUCT('All-Servers'!D186,'All-Servers'!$K186)</f>
        <v>0</v>
      </c>
      <c r="I176" s="45">
        <f>PRODUCT('All-Servers'!E186,'All-Servers'!$K186)</f>
        <v>0</v>
      </c>
      <c r="J176" s="45">
        <f>PRODUCT('All-Servers'!F186,'All-Servers'!$K186)</f>
        <v>0</v>
      </c>
      <c r="K176" s="45">
        <f>PRODUCT('All-Servers'!G186,'All-Servers'!$K186)</f>
        <v>0</v>
      </c>
    </row>
    <row r="177" spans="8:11" x14ac:dyDescent="0.2">
      <c r="H177" s="45">
        <f>PRODUCT('All-Servers'!D187,'All-Servers'!$K187)</f>
        <v>0</v>
      </c>
      <c r="I177" s="45">
        <f>PRODUCT('All-Servers'!E187,'All-Servers'!$K187)</f>
        <v>0</v>
      </c>
      <c r="J177" s="45">
        <f>PRODUCT('All-Servers'!F187,'All-Servers'!$K187)</f>
        <v>0</v>
      </c>
      <c r="K177" s="45">
        <f>PRODUCT('All-Servers'!G187,'All-Servers'!$K187)</f>
        <v>0</v>
      </c>
    </row>
    <row r="178" spans="8:11" x14ac:dyDescent="0.2">
      <c r="H178" s="45">
        <f>PRODUCT('All-Servers'!D188,'All-Servers'!$K188)</f>
        <v>0</v>
      </c>
      <c r="I178" s="45">
        <f>PRODUCT('All-Servers'!E188,'All-Servers'!$K188)</f>
        <v>0</v>
      </c>
      <c r="J178" s="45">
        <f>PRODUCT('All-Servers'!F188,'All-Servers'!$K188)</f>
        <v>0</v>
      </c>
      <c r="K178" s="45">
        <f>PRODUCT('All-Servers'!G188,'All-Servers'!$K188)</f>
        <v>0</v>
      </c>
    </row>
    <row r="179" spans="8:11" x14ac:dyDescent="0.2">
      <c r="H179" s="45">
        <f>PRODUCT('All-Servers'!D189,'All-Servers'!$K189)</f>
        <v>0</v>
      </c>
      <c r="I179" s="45">
        <f>PRODUCT('All-Servers'!E189,'All-Servers'!$K189)</f>
        <v>0</v>
      </c>
      <c r="J179" s="45">
        <f>PRODUCT('All-Servers'!F189,'All-Servers'!$K189)</f>
        <v>0</v>
      </c>
      <c r="K179" s="45">
        <f>PRODUCT('All-Servers'!G189,'All-Servers'!$K189)</f>
        <v>0</v>
      </c>
    </row>
    <row r="180" spans="8:11" x14ac:dyDescent="0.2">
      <c r="H180" s="45">
        <f>PRODUCT('All-Servers'!D190,'All-Servers'!$K190)</f>
        <v>0</v>
      </c>
      <c r="I180" s="45">
        <f>PRODUCT('All-Servers'!E190,'All-Servers'!$K190)</f>
        <v>0</v>
      </c>
      <c r="J180" s="45">
        <f>PRODUCT('All-Servers'!F190,'All-Servers'!$K190)</f>
        <v>0</v>
      </c>
      <c r="K180" s="45">
        <f>PRODUCT('All-Servers'!G190,'All-Servers'!$K190)</f>
        <v>0</v>
      </c>
    </row>
    <row r="181" spans="8:11" x14ac:dyDescent="0.2">
      <c r="H181" s="45">
        <f>PRODUCT('All-Servers'!D191,'All-Servers'!$K191)</f>
        <v>0</v>
      </c>
      <c r="I181" s="45">
        <f>PRODUCT('All-Servers'!E191,'All-Servers'!$K191)</f>
        <v>0</v>
      </c>
      <c r="J181" s="45">
        <f>PRODUCT('All-Servers'!F191,'All-Servers'!$K191)</f>
        <v>0</v>
      </c>
      <c r="K181" s="45">
        <f>PRODUCT('All-Servers'!G191,'All-Servers'!$K191)</f>
        <v>0</v>
      </c>
    </row>
    <row r="182" spans="8:11" x14ac:dyDescent="0.2">
      <c r="H182" s="45">
        <f>PRODUCT('All-Servers'!D192,'All-Servers'!$K192)</f>
        <v>0</v>
      </c>
      <c r="I182" s="45">
        <f>PRODUCT('All-Servers'!E192,'All-Servers'!$K192)</f>
        <v>0</v>
      </c>
      <c r="J182" s="45">
        <f>PRODUCT('All-Servers'!F192,'All-Servers'!$K192)</f>
        <v>0</v>
      </c>
      <c r="K182" s="45">
        <f>PRODUCT('All-Servers'!G192,'All-Servers'!$K192)</f>
        <v>0</v>
      </c>
    </row>
    <row r="183" spans="8:11" x14ac:dyDescent="0.2">
      <c r="H183" s="45">
        <f>PRODUCT('All-Servers'!D193,'All-Servers'!$K193)</f>
        <v>0</v>
      </c>
      <c r="I183" s="45">
        <f>PRODUCT('All-Servers'!E193,'All-Servers'!$K193)</f>
        <v>0</v>
      </c>
      <c r="J183" s="45">
        <f>PRODUCT('All-Servers'!F193,'All-Servers'!$K193)</f>
        <v>0</v>
      </c>
      <c r="K183" s="45">
        <f>PRODUCT('All-Servers'!G193,'All-Servers'!$K193)</f>
        <v>0</v>
      </c>
    </row>
    <row r="184" spans="8:11" x14ac:dyDescent="0.2">
      <c r="H184" s="45">
        <f>PRODUCT('All-Servers'!D194,'All-Servers'!$K194)</f>
        <v>0</v>
      </c>
      <c r="I184" s="45">
        <f>PRODUCT('All-Servers'!E194,'All-Servers'!$K194)</f>
        <v>0</v>
      </c>
      <c r="J184" s="45">
        <f>PRODUCT('All-Servers'!F194,'All-Servers'!$K194)</f>
        <v>0</v>
      </c>
      <c r="K184" s="45">
        <f>PRODUCT('All-Servers'!G194,'All-Servers'!$K194)</f>
        <v>0</v>
      </c>
    </row>
    <row r="185" spans="8:11" x14ac:dyDescent="0.2">
      <c r="H185" s="45">
        <f>PRODUCT('All-Servers'!D195,'All-Servers'!$K195)</f>
        <v>0</v>
      </c>
      <c r="I185" s="45">
        <f>PRODUCT('All-Servers'!E195,'All-Servers'!$K195)</f>
        <v>0</v>
      </c>
      <c r="J185" s="45">
        <f>PRODUCT('All-Servers'!F195,'All-Servers'!$K195)</f>
        <v>0</v>
      </c>
      <c r="K185" s="45">
        <f>PRODUCT('All-Servers'!G195,'All-Servers'!$K195)</f>
        <v>0</v>
      </c>
    </row>
    <row r="186" spans="8:11" x14ac:dyDescent="0.2">
      <c r="H186" s="45">
        <f>PRODUCT('All-Servers'!D196,'All-Servers'!$K196)</f>
        <v>0</v>
      </c>
      <c r="I186" s="45">
        <f>PRODUCT('All-Servers'!E196,'All-Servers'!$K196)</f>
        <v>0</v>
      </c>
      <c r="J186" s="45">
        <f>PRODUCT('All-Servers'!F196,'All-Servers'!$K196)</f>
        <v>0</v>
      </c>
      <c r="K186" s="45">
        <f>PRODUCT('All-Servers'!G196,'All-Servers'!$K196)</f>
        <v>0</v>
      </c>
    </row>
    <row r="187" spans="8:11" x14ac:dyDescent="0.2">
      <c r="H187" s="45">
        <f>PRODUCT('All-Servers'!D197,'All-Servers'!$K197)</f>
        <v>0</v>
      </c>
      <c r="I187" s="45">
        <f>PRODUCT('All-Servers'!E197,'All-Servers'!$K197)</f>
        <v>0</v>
      </c>
      <c r="J187" s="45">
        <f>PRODUCT('All-Servers'!F197,'All-Servers'!$K197)</f>
        <v>0</v>
      </c>
      <c r="K187" s="45">
        <f>PRODUCT('All-Servers'!G197,'All-Servers'!$K197)</f>
        <v>0</v>
      </c>
    </row>
    <row r="188" spans="8:11" x14ac:dyDescent="0.2">
      <c r="H188" s="45">
        <f>PRODUCT('All-Servers'!D198,'All-Servers'!$K198)</f>
        <v>0</v>
      </c>
      <c r="I188" s="45">
        <f>PRODUCT('All-Servers'!E198,'All-Servers'!$K198)</f>
        <v>0</v>
      </c>
      <c r="J188" s="45">
        <f>PRODUCT('All-Servers'!F198,'All-Servers'!$K198)</f>
        <v>0</v>
      </c>
      <c r="K188" s="45">
        <f>PRODUCT('All-Servers'!G198,'All-Servers'!$K198)</f>
        <v>0</v>
      </c>
    </row>
    <row r="189" spans="8:11" x14ac:dyDescent="0.2">
      <c r="H189" s="45">
        <f>PRODUCT('All-Servers'!D199,'All-Servers'!$K199)</f>
        <v>0</v>
      </c>
      <c r="I189" s="45">
        <f>PRODUCT('All-Servers'!E199,'All-Servers'!$K199)</f>
        <v>0</v>
      </c>
      <c r="J189" s="45">
        <f>PRODUCT('All-Servers'!F199,'All-Servers'!$K199)</f>
        <v>0</v>
      </c>
      <c r="K189" s="45">
        <f>PRODUCT('All-Servers'!G199,'All-Servers'!$K199)</f>
        <v>0</v>
      </c>
    </row>
    <row r="190" spans="8:11" x14ac:dyDescent="0.2">
      <c r="H190" s="45">
        <f>PRODUCT('All-Servers'!D200,'All-Servers'!$K200)</f>
        <v>0</v>
      </c>
      <c r="I190" s="45">
        <f>PRODUCT('All-Servers'!E200,'All-Servers'!$K200)</f>
        <v>0</v>
      </c>
      <c r="J190" s="45">
        <f>PRODUCT('All-Servers'!F200,'All-Servers'!$K200)</f>
        <v>0</v>
      </c>
      <c r="K190" s="45">
        <f>PRODUCT('All-Servers'!G200,'All-Servers'!$K200)</f>
        <v>0</v>
      </c>
    </row>
    <row r="191" spans="8:11" x14ac:dyDescent="0.2">
      <c r="H191" s="45">
        <f>PRODUCT('All-Servers'!D201,'All-Servers'!$K201)</f>
        <v>0</v>
      </c>
      <c r="I191" s="45">
        <f>PRODUCT('All-Servers'!E201,'All-Servers'!$K201)</f>
        <v>0</v>
      </c>
      <c r="J191" s="45">
        <f>PRODUCT('All-Servers'!F201,'All-Servers'!$K201)</f>
        <v>0</v>
      </c>
      <c r="K191" s="45">
        <f>PRODUCT('All-Servers'!G201,'All-Servers'!$K201)</f>
        <v>0</v>
      </c>
    </row>
    <row r="192" spans="8:11" x14ac:dyDescent="0.2">
      <c r="H192" s="45">
        <f>PRODUCT('All-Servers'!D202,'All-Servers'!$K202)</f>
        <v>0</v>
      </c>
      <c r="I192" s="45">
        <f>PRODUCT('All-Servers'!E202,'All-Servers'!$K202)</f>
        <v>0</v>
      </c>
      <c r="J192" s="45">
        <f>PRODUCT('All-Servers'!F202,'All-Servers'!$K202)</f>
        <v>0</v>
      </c>
      <c r="K192" s="45">
        <f>PRODUCT('All-Servers'!G202,'All-Servers'!$K202)</f>
        <v>0</v>
      </c>
    </row>
    <row r="193" spans="8:11" x14ac:dyDescent="0.2">
      <c r="H193" s="45">
        <f>PRODUCT('All-Servers'!D203,'All-Servers'!$K203)</f>
        <v>0</v>
      </c>
      <c r="I193" s="45">
        <f>PRODUCT('All-Servers'!E203,'All-Servers'!$K203)</f>
        <v>0</v>
      </c>
      <c r="J193" s="45">
        <f>PRODUCT('All-Servers'!F203,'All-Servers'!$K203)</f>
        <v>0</v>
      </c>
      <c r="K193" s="45">
        <f>PRODUCT('All-Servers'!G203,'All-Servers'!$K203)</f>
        <v>0</v>
      </c>
    </row>
    <row r="194" spans="8:11" x14ac:dyDescent="0.2">
      <c r="H194" s="45">
        <f>PRODUCT('All-Servers'!D204,'All-Servers'!$K204)</f>
        <v>0</v>
      </c>
      <c r="I194" s="45">
        <f>PRODUCT('All-Servers'!E204,'All-Servers'!$K204)</f>
        <v>0</v>
      </c>
      <c r="J194" s="45">
        <f>PRODUCT('All-Servers'!F204,'All-Servers'!$K204)</f>
        <v>0</v>
      </c>
      <c r="K194" s="45">
        <f>PRODUCT('All-Servers'!G204,'All-Servers'!$K204)</f>
        <v>0</v>
      </c>
    </row>
    <row r="195" spans="8:11" x14ac:dyDescent="0.2">
      <c r="H195" s="45">
        <f>PRODUCT('All-Servers'!D205,'All-Servers'!$K205)</f>
        <v>0</v>
      </c>
      <c r="I195" s="45">
        <f>PRODUCT('All-Servers'!E205,'All-Servers'!$K205)</f>
        <v>0</v>
      </c>
      <c r="J195" s="45">
        <f>PRODUCT('All-Servers'!F205,'All-Servers'!$K205)</f>
        <v>0</v>
      </c>
      <c r="K195" s="45">
        <f>PRODUCT('All-Servers'!G205,'All-Servers'!$K205)</f>
        <v>0</v>
      </c>
    </row>
    <row r="196" spans="8:11" x14ac:dyDescent="0.2">
      <c r="H196" s="45">
        <f>PRODUCT('All-Servers'!D206,'All-Servers'!$K206)</f>
        <v>0</v>
      </c>
      <c r="I196" s="45">
        <f>PRODUCT('All-Servers'!E206,'All-Servers'!$K206)</f>
        <v>0</v>
      </c>
      <c r="J196" s="45">
        <f>PRODUCT('All-Servers'!F206,'All-Servers'!$K206)</f>
        <v>0</v>
      </c>
      <c r="K196" s="45">
        <f>PRODUCT('All-Servers'!G206,'All-Servers'!$K206)</f>
        <v>0</v>
      </c>
    </row>
    <row r="197" spans="8:11" x14ac:dyDescent="0.2">
      <c r="H197" s="45">
        <f>PRODUCT('All-Servers'!D207,'All-Servers'!$K207)</f>
        <v>0</v>
      </c>
      <c r="I197" s="45">
        <f>PRODUCT('All-Servers'!E207,'All-Servers'!$K207)</f>
        <v>0</v>
      </c>
      <c r="J197" s="45">
        <f>PRODUCT('All-Servers'!F207,'All-Servers'!$K207)</f>
        <v>0</v>
      </c>
      <c r="K197" s="45">
        <f>PRODUCT('All-Servers'!G207,'All-Servers'!$K207)</f>
        <v>0</v>
      </c>
    </row>
    <row r="198" spans="8:11" x14ac:dyDescent="0.2">
      <c r="H198" s="45">
        <f>PRODUCT('All-Servers'!D208,'All-Servers'!$K208)</f>
        <v>0</v>
      </c>
      <c r="I198" s="45">
        <f>PRODUCT('All-Servers'!E208,'All-Servers'!$K208)</f>
        <v>0</v>
      </c>
      <c r="J198" s="45">
        <f>PRODUCT('All-Servers'!F208,'All-Servers'!$K208)</f>
        <v>0</v>
      </c>
      <c r="K198" s="45">
        <f>PRODUCT('All-Servers'!G208,'All-Servers'!$K208)</f>
        <v>0</v>
      </c>
    </row>
    <row r="199" spans="8:11" x14ac:dyDescent="0.2">
      <c r="H199" s="45">
        <f>PRODUCT('All-Servers'!D209,'All-Servers'!$K209)</f>
        <v>0</v>
      </c>
      <c r="I199" s="45">
        <f>PRODUCT('All-Servers'!E209,'All-Servers'!$K209)</f>
        <v>0</v>
      </c>
      <c r="J199" s="45">
        <f>PRODUCT('All-Servers'!F209,'All-Servers'!$K209)</f>
        <v>0</v>
      </c>
      <c r="K199" s="45">
        <f>PRODUCT('All-Servers'!G209,'All-Servers'!$K209)</f>
        <v>0</v>
      </c>
    </row>
    <row r="200" spans="8:11" x14ac:dyDescent="0.2">
      <c r="H200" s="45">
        <f>PRODUCT('All-Servers'!D210,'All-Servers'!$K210)</f>
        <v>0</v>
      </c>
      <c r="I200" s="45">
        <f>PRODUCT('All-Servers'!E210,'All-Servers'!$K210)</f>
        <v>0</v>
      </c>
      <c r="J200" s="45">
        <f>PRODUCT('All-Servers'!F210,'All-Servers'!$K210)</f>
        <v>0</v>
      </c>
      <c r="K200" s="45">
        <f>PRODUCT('All-Servers'!G210,'All-Servers'!$K210)</f>
        <v>0</v>
      </c>
    </row>
    <row r="201" spans="8:11" x14ac:dyDescent="0.2">
      <c r="H201" s="45">
        <f>PRODUCT('All-Servers'!D211,'All-Servers'!$K211)</f>
        <v>0</v>
      </c>
      <c r="I201" s="45">
        <f>PRODUCT('All-Servers'!E211,'All-Servers'!$K211)</f>
        <v>0</v>
      </c>
      <c r="J201" s="45">
        <f>PRODUCT('All-Servers'!F211,'All-Servers'!$K211)</f>
        <v>0</v>
      </c>
      <c r="K201" s="45">
        <f>PRODUCT('All-Servers'!G211,'All-Servers'!$K211)</f>
        <v>0</v>
      </c>
    </row>
    <row r="202" spans="8:11" x14ac:dyDescent="0.2">
      <c r="H202" s="45">
        <f>PRODUCT('All-Servers'!D212,'All-Servers'!$K212)</f>
        <v>0</v>
      </c>
      <c r="I202" s="45">
        <f>PRODUCT('All-Servers'!E212,'All-Servers'!$K212)</f>
        <v>0</v>
      </c>
      <c r="J202" s="45">
        <f>PRODUCT('All-Servers'!F212,'All-Servers'!$K212)</f>
        <v>0</v>
      </c>
      <c r="K202" s="45">
        <f>PRODUCT('All-Servers'!G212,'All-Servers'!$K212)</f>
        <v>0</v>
      </c>
    </row>
    <row r="203" spans="8:11" x14ac:dyDescent="0.2">
      <c r="H203" s="45">
        <f>PRODUCT('All-Servers'!D213,'All-Servers'!$K213)</f>
        <v>0</v>
      </c>
      <c r="I203" s="45">
        <f>PRODUCT('All-Servers'!E213,'All-Servers'!$K213)</f>
        <v>0</v>
      </c>
      <c r="J203" s="45">
        <f>PRODUCT('All-Servers'!F213,'All-Servers'!$K213)</f>
        <v>0</v>
      </c>
      <c r="K203" s="45">
        <f>PRODUCT('All-Servers'!G213,'All-Servers'!$K213)</f>
        <v>0</v>
      </c>
    </row>
    <row r="204" spans="8:11" x14ac:dyDescent="0.2">
      <c r="H204" s="45">
        <f>PRODUCT('All-Servers'!D214,'All-Servers'!$K214)</f>
        <v>0</v>
      </c>
      <c r="I204" s="45">
        <f>PRODUCT('All-Servers'!E214,'All-Servers'!$K214)</f>
        <v>0</v>
      </c>
      <c r="J204" s="45">
        <f>PRODUCT('All-Servers'!F214,'All-Servers'!$K214)</f>
        <v>0</v>
      </c>
      <c r="K204" s="45">
        <f>PRODUCT('All-Servers'!G214,'All-Servers'!$K214)</f>
        <v>0</v>
      </c>
    </row>
    <row r="205" spans="8:11" x14ac:dyDescent="0.2">
      <c r="H205" s="45">
        <f>PRODUCT('All-Servers'!D215,'All-Servers'!$K215)</f>
        <v>0</v>
      </c>
      <c r="I205" s="45">
        <f>PRODUCT('All-Servers'!E215,'All-Servers'!$K215)</f>
        <v>0</v>
      </c>
      <c r="J205" s="45">
        <f>PRODUCT('All-Servers'!F215,'All-Servers'!$K215)</f>
        <v>0</v>
      </c>
      <c r="K205" s="45">
        <f>PRODUCT('All-Servers'!G215,'All-Servers'!$K215)</f>
        <v>0</v>
      </c>
    </row>
    <row r="206" spans="8:11" x14ac:dyDescent="0.2">
      <c r="H206" s="45">
        <f>PRODUCT('All-Servers'!D216,'All-Servers'!$K216)</f>
        <v>0</v>
      </c>
      <c r="I206" s="45">
        <f>PRODUCT('All-Servers'!E216,'All-Servers'!$K216)</f>
        <v>0</v>
      </c>
      <c r="J206" s="45">
        <f>PRODUCT('All-Servers'!F216,'All-Servers'!$K216)</f>
        <v>0</v>
      </c>
      <c r="K206" s="45">
        <f>PRODUCT('All-Servers'!G216,'All-Servers'!$K216)</f>
        <v>0</v>
      </c>
    </row>
    <row r="207" spans="8:11" x14ac:dyDescent="0.2">
      <c r="H207" s="45">
        <f>PRODUCT('All-Servers'!D217,'All-Servers'!$K217)</f>
        <v>0</v>
      </c>
      <c r="I207" s="45">
        <f>PRODUCT('All-Servers'!E217,'All-Servers'!$K217)</f>
        <v>0</v>
      </c>
      <c r="J207" s="45">
        <f>PRODUCT('All-Servers'!F217,'All-Servers'!$K217)</f>
        <v>0</v>
      </c>
      <c r="K207" s="45">
        <f>PRODUCT('All-Servers'!G217,'All-Servers'!$K217)</f>
        <v>0</v>
      </c>
    </row>
    <row r="208" spans="8:11" x14ac:dyDescent="0.2">
      <c r="H208" s="45">
        <f>PRODUCT('All-Servers'!D218,'All-Servers'!$K218)</f>
        <v>0</v>
      </c>
      <c r="I208" s="45">
        <f>PRODUCT('All-Servers'!E218,'All-Servers'!$K218)</f>
        <v>0</v>
      </c>
      <c r="J208" s="45">
        <f>PRODUCT('All-Servers'!F218,'All-Servers'!$K218)</f>
        <v>0</v>
      </c>
      <c r="K208" s="45">
        <f>PRODUCT('All-Servers'!G218,'All-Servers'!$K218)</f>
        <v>0</v>
      </c>
    </row>
    <row r="209" spans="8:11" x14ac:dyDescent="0.2">
      <c r="H209" s="45">
        <f>PRODUCT('All-Servers'!D219,'All-Servers'!$K219)</f>
        <v>0</v>
      </c>
      <c r="I209" s="45">
        <f>PRODUCT('All-Servers'!E219,'All-Servers'!$K219)</f>
        <v>0</v>
      </c>
      <c r="J209" s="45">
        <f>PRODUCT('All-Servers'!F219,'All-Servers'!$K219)</f>
        <v>0</v>
      </c>
      <c r="K209" s="45">
        <f>PRODUCT('All-Servers'!G219,'All-Servers'!$K219)</f>
        <v>0</v>
      </c>
    </row>
    <row r="210" spans="8:11" x14ac:dyDescent="0.2">
      <c r="H210" s="45">
        <f>PRODUCT('All-Servers'!D220,'All-Servers'!$K220)</f>
        <v>0</v>
      </c>
      <c r="I210" s="45">
        <f>PRODUCT('All-Servers'!E220,'All-Servers'!$K220)</f>
        <v>0</v>
      </c>
      <c r="J210" s="45">
        <f>PRODUCT('All-Servers'!F220,'All-Servers'!$K220)</f>
        <v>0</v>
      </c>
      <c r="K210" s="45">
        <f>PRODUCT('All-Servers'!G220,'All-Servers'!$K220)</f>
        <v>0</v>
      </c>
    </row>
    <row r="211" spans="8:11" x14ac:dyDescent="0.2">
      <c r="H211" s="45">
        <f>PRODUCT('All-Servers'!D221,'All-Servers'!$K221)</f>
        <v>0</v>
      </c>
      <c r="I211" s="45">
        <f>PRODUCT('All-Servers'!E221,'All-Servers'!$K221)</f>
        <v>0</v>
      </c>
      <c r="J211" s="45">
        <f>PRODUCT('All-Servers'!F221,'All-Servers'!$K221)</f>
        <v>0</v>
      </c>
      <c r="K211" s="45">
        <f>PRODUCT('All-Servers'!G221,'All-Servers'!$K221)</f>
        <v>0</v>
      </c>
    </row>
    <row r="212" spans="8:11" x14ac:dyDescent="0.2">
      <c r="H212" s="45">
        <f>PRODUCT('All-Servers'!D222,'All-Servers'!$K222)</f>
        <v>0</v>
      </c>
      <c r="I212" s="45">
        <f>PRODUCT('All-Servers'!E222,'All-Servers'!$K222)</f>
        <v>0</v>
      </c>
      <c r="J212" s="45">
        <f>PRODUCT('All-Servers'!F222,'All-Servers'!$K222)</f>
        <v>0</v>
      </c>
      <c r="K212" s="45">
        <f>PRODUCT('All-Servers'!G222,'All-Servers'!$K222)</f>
        <v>0</v>
      </c>
    </row>
    <row r="213" spans="8:11" x14ac:dyDescent="0.2">
      <c r="H213" s="45">
        <f>PRODUCT('All-Servers'!D223,'All-Servers'!$K223)</f>
        <v>0</v>
      </c>
      <c r="I213" s="45">
        <f>PRODUCT('All-Servers'!E223,'All-Servers'!$K223)</f>
        <v>0</v>
      </c>
      <c r="J213" s="45">
        <f>PRODUCT('All-Servers'!F223,'All-Servers'!$K223)</f>
        <v>0</v>
      </c>
      <c r="K213" s="45">
        <f>PRODUCT('All-Servers'!G223,'All-Servers'!$K223)</f>
        <v>0</v>
      </c>
    </row>
    <row r="214" spans="8:11" x14ac:dyDescent="0.2">
      <c r="H214" s="45">
        <f>PRODUCT('All-Servers'!D224,'All-Servers'!$K224)</f>
        <v>0</v>
      </c>
      <c r="I214" s="45">
        <f>PRODUCT('All-Servers'!E224,'All-Servers'!$K224)</f>
        <v>0</v>
      </c>
      <c r="J214" s="45">
        <f>PRODUCT('All-Servers'!F224,'All-Servers'!$K224)</f>
        <v>0</v>
      </c>
      <c r="K214" s="45">
        <f>PRODUCT('All-Servers'!G224,'All-Servers'!$K224)</f>
        <v>0</v>
      </c>
    </row>
    <row r="215" spans="8:11" x14ac:dyDescent="0.2">
      <c r="H215" s="45">
        <f>PRODUCT('All-Servers'!D225,'All-Servers'!$K225)</f>
        <v>0</v>
      </c>
      <c r="I215" s="45">
        <f>PRODUCT('All-Servers'!E225,'All-Servers'!$K225)</f>
        <v>0</v>
      </c>
      <c r="J215" s="45">
        <f>PRODUCT('All-Servers'!F225,'All-Servers'!$K225)</f>
        <v>0</v>
      </c>
      <c r="K215" s="45">
        <f>PRODUCT('All-Servers'!G225,'All-Servers'!$K225)</f>
        <v>0</v>
      </c>
    </row>
    <row r="216" spans="8:11" x14ac:dyDescent="0.2">
      <c r="H216" s="45">
        <f>PRODUCT('All-Servers'!D226,'All-Servers'!$K226)</f>
        <v>0</v>
      </c>
      <c r="I216" s="45">
        <f>PRODUCT('All-Servers'!E226,'All-Servers'!$K226)</f>
        <v>0</v>
      </c>
      <c r="J216" s="45">
        <f>PRODUCT('All-Servers'!F226,'All-Servers'!$K226)</f>
        <v>0</v>
      </c>
      <c r="K216" s="45">
        <f>PRODUCT('All-Servers'!G226,'All-Servers'!$K226)</f>
        <v>0</v>
      </c>
    </row>
    <row r="217" spans="8:11" x14ac:dyDescent="0.2">
      <c r="H217" s="45">
        <f>PRODUCT('All-Servers'!D227,'All-Servers'!$K227)</f>
        <v>0</v>
      </c>
      <c r="I217" s="45">
        <f>PRODUCT('All-Servers'!E227,'All-Servers'!$K227)</f>
        <v>0</v>
      </c>
      <c r="J217" s="45">
        <f>PRODUCT('All-Servers'!F227,'All-Servers'!$K227)</f>
        <v>0</v>
      </c>
      <c r="K217" s="45">
        <f>PRODUCT('All-Servers'!G227,'All-Servers'!$K227)</f>
        <v>0</v>
      </c>
    </row>
    <row r="218" spans="8:11" x14ac:dyDescent="0.2">
      <c r="H218" s="45">
        <f>PRODUCT('All-Servers'!D228,'All-Servers'!$K228)</f>
        <v>0</v>
      </c>
      <c r="I218" s="45">
        <f>PRODUCT('All-Servers'!E228,'All-Servers'!$K228)</f>
        <v>0</v>
      </c>
      <c r="J218" s="45">
        <f>PRODUCT('All-Servers'!F228,'All-Servers'!$K228)</f>
        <v>0</v>
      </c>
      <c r="K218" s="45">
        <f>PRODUCT('All-Servers'!G228,'All-Servers'!$K228)</f>
        <v>0</v>
      </c>
    </row>
    <row r="219" spans="8:11" x14ac:dyDescent="0.2">
      <c r="H219" s="45">
        <f>PRODUCT('All-Servers'!D229,'All-Servers'!$K229)</f>
        <v>0</v>
      </c>
      <c r="I219" s="45">
        <f>PRODUCT('All-Servers'!E229,'All-Servers'!$K229)</f>
        <v>0</v>
      </c>
      <c r="J219" s="45">
        <f>PRODUCT('All-Servers'!F229,'All-Servers'!$K229)</f>
        <v>0</v>
      </c>
      <c r="K219" s="45">
        <f>PRODUCT('All-Servers'!G229,'All-Servers'!$K229)</f>
        <v>0</v>
      </c>
    </row>
    <row r="220" spans="8:11" x14ac:dyDescent="0.2">
      <c r="H220" s="45">
        <f>PRODUCT('All-Servers'!D230,'All-Servers'!$K230)</f>
        <v>0</v>
      </c>
      <c r="I220" s="45">
        <f>PRODUCT('All-Servers'!E230,'All-Servers'!$K230)</f>
        <v>0</v>
      </c>
      <c r="J220" s="45">
        <f>PRODUCT('All-Servers'!F230,'All-Servers'!$K230)</f>
        <v>0</v>
      </c>
      <c r="K220" s="45">
        <f>PRODUCT('All-Servers'!G230,'All-Servers'!$K230)</f>
        <v>0</v>
      </c>
    </row>
    <row r="221" spans="8:11" x14ac:dyDescent="0.2">
      <c r="H221" s="45">
        <f>PRODUCT('All-Servers'!D231,'All-Servers'!$K231)</f>
        <v>0</v>
      </c>
      <c r="I221" s="45">
        <f>PRODUCT('All-Servers'!E231,'All-Servers'!$K231)</f>
        <v>0</v>
      </c>
      <c r="J221" s="45">
        <f>PRODUCT('All-Servers'!F231,'All-Servers'!$K231)</f>
        <v>0</v>
      </c>
      <c r="K221" s="45">
        <f>PRODUCT('All-Servers'!G231,'All-Servers'!$K231)</f>
        <v>0</v>
      </c>
    </row>
    <row r="222" spans="8:11" x14ac:dyDescent="0.2">
      <c r="H222" s="45">
        <f>PRODUCT('All-Servers'!D232,'All-Servers'!$K232)</f>
        <v>0</v>
      </c>
      <c r="I222" s="45">
        <f>PRODUCT('All-Servers'!E232,'All-Servers'!$K232)</f>
        <v>0</v>
      </c>
      <c r="J222" s="45">
        <f>PRODUCT('All-Servers'!F232,'All-Servers'!$K232)</f>
        <v>0</v>
      </c>
      <c r="K222" s="45">
        <f>PRODUCT('All-Servers'!G232,'All-Servers'!$K232)</f>
        <v>0</v>
      </c>
    </row>
    <row r="223" spans="8:11" x14ac:dyDescent="0.2">
      <c r="H223" s="45">
        <f>PRODUCT('All-Servers'!D233,'All-Servers'!$K233)</f>
        <v>0</v>
      </c>
      <c r="I223" s="45">
        <f>PRODUCT('All-Servers'!E233,'All-Servers'!$K233)</f>
        <v>0</v>
      </c>
      <c r="J223" s="45">
        <f>PRODUCT('All-Servers'!F233,'All-Servers'!$K233)</f>
        <v>0</v>
      </c>
      <c r="K223" s="45">
        <f>PRODUCT('All-Servers'!G233,'All-Servers'!$K233)</f>
        <v>0</v>
      </c>
    </row>
    <row r="224" spans="8:11" x14ac:dyDescent="0.2">
      <c r="H224" s="45">
        <f>PRODUCT('All-Servers'!D234,'All-Servers'!$K234)</f>
        <v>0</v>
      </c>
      <c r="I224" s="45">
        <f>PRODUCT('All-Servers'!E234,'All-Servers'!$K234)</f>
        <v>0</v>
      </c>
      <c r="J224" s="45">
        <f>PRODUCT('All-Servers'!F234,'All-Servers'!$K234)</f>
        <v>0</v>
      </c>
      <c r="K224" s="45">
        <f>PRODUCT('All-Servers'!G234,'All-Servers'!$K234)</f>
        <v>0</v>
      </c>
    </row>
    <row r="225" spans="8:11" x14ac:dyDescent="0.2">
      <c r="H225" s="45">
        <f>PRODUCT('All-Servers'!D235,'All-Servers'!$K235)</f>
        <v>0</v>
      </c>
      <c r="I225" s="45">
        <f>PRODUCT('All-Servers'!E235,'All-Servers'!$K235)</f>
        <v>0</v>
      </c>
      <c r="J225" s="45">
        <f>PRODUCT('All-Servers'!F235,'All-Servers'!$K235)</f>
        <v>0</v>
      </c>
      <c r="K225" s="45">
        <f>PRODUCT('All-Servers'!G235,'All-Servers'!$K235)</f>
        <v>0</v>
      </c>
    </row>
    <row r="226" spans="8:11" x14ac:dyDescent="0.2">
      <c r="H226" s="45">
        <f>PRODUCT('All-Servers'!D236,'All-Servers'!$K236)</f>
        <v>0</v>
      </c>
      <c r="I226" s="45">
        <f>PRODUCT('All-Servers'!E236,'All-Servers'!$K236)</f>
        <v>0</v>
      </c>
      <c r="J226" s="45">
        <f>PRODUCT('All-Servers'!F236,'All-Servers'!$K236)</f>
        <v>0</v>
      </c>
      <c r="K226" s="45">
        <f>PRODUCT('All-Servers'!G236,'All-Servers'!$K236)</f>
        <v>0</v>
      </c>
    </row>
    <row r="227" spans="8:11" x14ac:dyDescent="0.2">
      <c r="H227" s="45">
        <f>PRODUCT('All-Servers'!D237,'All-Servers'!$K237)</f>
        <v>0</v>
      </c>
      <c r="I227" s="45">
        <f>PRODUCT('All-Servers'!E237,'All-Servers'!$K237)</f>
        <v>0</v>
      </c>
      <c r="J227" s="45">
        <f>PRODUCT('All-Servers'!F237,'All-Servers'!$K237)</f>
        <v>0</v>
      </c>
      <c r="K227" s="45">
        <f>PRODUCT('All-Servers'!G237,'All-Servers'!$K237)</f>
        <v>0</v>
      </c>
    </row>
    <row r="228" spans="8:11" x14ac:dyDescent="0.2">
      <c r="H228" s="45">
        <f>PRODUCT('All-Servers'!D238,'All-Servers'!$K238)</f>
        <v>0</v>
      </c>
      <c r="I228" s="45">
        <f>PRODUCT('All-Servers'!E238,'All-Servers'!$K238)</f>
        <v>0</v>
      </c>
      <c r="J228" s="45">
        <f>PRODUCT('All-Servers'!F238,'All-Servers'!$K238)</f>
        <v>0</v>
      </c>
      <c r="K228" s="45">
        <f>PRODUCT('All-Servers'!G238,'All-Servers'!$K238)</f>
        <v>0</v>
      </c>
    </row>
    <row r="229" spans="8:11" x14ac:dyDescent="0.2">
      <c r="H229" s="45">
        <f>PRODUCT('All-Servers'!D239,'All-Servers'!$K239)</f>
        <v>0</v>
      </c>
      <c r="I229" s="45">
        <f>PRODUCT('All-Servers'!E239,'All-Servers'!$K239)</f>
        <v>0</v>
      </c>
      <c r="J229" s="45">
        <f>PRODUCT('All-Servers'!F239,'All-Servers'!$K239)</f>
        <v>0</v>
      </c>
      <c r="K229" s="45">
        <f>PRODUCT('All-Servers'!G239,'All-Servers'!$K239)</f>
        <v>0</v>
      </c>
    </row>
    <row r="230" spans="8:11" x14ac:dyDescent="0.2">
      <c r="H230" s="45">
        <f>PRODUCT('All-Servers'!D240,'All-Servers'!$K240)</f>
        <v>0</v>
      </c>
      <c r="I230" s="45">
        <f>PRODUCT('All-Servers'!E240,'All-Servers'!$K240)</f>
        <v>0</v>
      </c>
      <c r="J230" s="45">
        <f>PRODUCT('All-Servers'!F240,'All-Servers'!$K240)</f>
        <v>0</v>
      </c>
      <c r="K230" s="45">
        <f>PRODUCT('All-Servers'!G240,'All-Servers'!$K240)</f>
        <v>0</v>
      </c>
    </row>
    <row r="231" spans="8:11" x14ac:dyDescent="0.2">
      <c r="H231" s="45">
        <f>PRODUCT('All-Servers'!D241,'All-Servers'!$K241)</f>
        <v>0</v>
      </c>
      <c r="I231" s="45">
        <f>PRODUCT('All-Servers'!E241,'All-Servers'!$K241)</f>
        <v>0</v>
      </c>
      <c r="J231" s="45">
        <f>PRODUCT('All-Servers'!F241,'All-Servers'!$K241)</f>
        <v>0</v>
      </c>
      <c r="K231" s="45">
        <f>PRODUCT('All-Servers'!G241,'All-Servers'!$K241)</f>
        <v>0</v>
      </c>
    </row>
    <row r="232" spans="8:11" x14ac:dyDescent="0.2">
      <c r="H232" s="45">
        <f>PRODUCT('All-Servers'!D242,'All-Servers'!$K242)</f>
        <v>0</v>
      </c>
      <c r="I232" s="45">
        <f>PRODUCT('All-Servers'!E242,'All-Servers'!$K242)</f>
        <v>0</v>
      </c>
      <c r="J232" s="45">
        <f>PRODUCT('All-Servers'!F242,'All-Servers'!$K242)</f>
        <v>0</v>
      </c>
      <c r="K232" s="45">
        <f>PRODUCT('All-Servers'!G242,'All-Servers'!$K242)</f>
        <v>0</v>
      </c>
    </row>
    <row r="233" spans="8:11" x14ac:dyDescent="0.2">
      <c r="H233" s="45">
        <f>PRODUCT('All-Servers'!D243,'All-Servers'!$K243)</f>
        <v>0</v>
      </c>
      <c r="I233" s="45">
        <f>PRODUCT('All-Servers'!E243,'All-Servers'!$K243)</f>
        <v>0</v>
      </c>
      <c r="J233" s="45">
        <f>PRODUCT('All-Servers'!F243,'All-Servers'!$K243)</f>
        <v>0</v>
      </c>
      <c r="K233" s="45">
        <f>PRODUCT('All-Servers'!G243,'All-Servers'!$K243)</f>
        <v>0</v>
      </c>
    </row>
    <row r="234" spans="8:11" x14ac:dyDescent="0.2">
      <c r="H234" s="45">
        <f>PRODUCT('All-Servers'!D244,'All-Servers'!$K244)</f>
        <v>0</v>
      </c>
      <c r="I234" s="45">
        <f>PRODUCT('All-Servers'!E244,'All-Servers'!$K244)</f>
        <v>0</v>
      </c>
      <c r="J234" s="45">
        <f>PRODUCT('All-Servers'!F244,'All-Servers'!$K244)</f>
        <v>0</v>
      </c>
      <c r="K234" s="45">
        <f>PRODUCT('All-Servers'!G244,'All-Servers'!$K244)</f>
        <v>0</v>
      </c>
    </row>
    <row r="235" spans="8:11" x14ac:dyDescent="0.2">
      <c r="H235" s="45">
        <f>PRODUCT('All-Servers'!D245,'All-Servers'!$K245)</f>
        <v>0</v>
      </c>
      <c r="I235" s="45">
        <f>PRODUCT('All-Servers'!E245,'All-Servers'!$K245)</f>
        <v>0</v>
      </c>
      <c r="J235" s="45">
        <f>PRODUCT('All-Servers'!F245,'All-Servers'!$K245)</f>
        <v>0</v>
      </c>
      <c r="K235" s="45">
        <f>PRODUCT('All-Servers'!G245,'All-Servers'!$K245)</f>
        <v>0</v>
      </c>
    </row>
    <row r="236" spans="8:11" x14ac:dyDescent="0.2">
      <c r="H236" s="45">
        <f>PRODUCT('All-Servers'!D246,'All-Servers'!$K246)</f>
        <v>0</v>
      </c>
      <c r="I236" s="45">
        <f>PRODUCT('All-Servers'!E246,'All-Servers'!$K246)</f>
        <v>0</v>
      </c>
      <c r="J236" s="45">
        <f>PRODUCT('All-Servers'!F246,'All-Servers'!$K246)</f>
        <v>0</v>
      </c>
      <c r="K236" s="45">
        <f>PRODUCT('All-Servers'!G246,'All-Servers'!$K246)</f>
        <v>0</v>
      </c>
    </row>
    <row r="237" spans="8:11" x14ac:dyDescent="0.2">
      <c r="H237" s="45">
        <f>PRODUCT('All-Servers'!D247,'All-Servers'!$K247)</f>
        <v>0</v>
      </c>
      <c r="I237" s="45">
        <f>PRODUCT('All-Servers'!E247,'All-Servers'!$K247)</f>
        <v>0</v>
      </c>
      <c r="J237" s="45">
        <f>PRODUCT('All-Servers'!F247,'All-Servers'!$K247)</f>
        <v>0</v>
      </c>
      <c r="K237" s="45">
        <f>PRODUCT('All-Servers'!G247,'All-Servers'!$K247)</f>
        <v>0</v>
      </c>
    </row>
    <row r="238" spans="8:11" x14ac:dyDescent="0.2">
      <c r="H238" s="45">
        <f>PRODUCT('All-Servers'!D248,'All-Servers'!$K248)</f>
        <v>0</v>
      </c>
      <c r="I238" s="45">
        <f>PRODUCT('All-Servers'!E248,'All-Servers'!$K248)</f>
        <v>0</v>
      </c>
      <c r="J238" s="45">
        <f>PRODUCT('All-Servers'!F248,'All-Servers'!$K248)</f>
        <v>0</v>
      </c>
      <c r="K238" s="45">
        <f>PRODUCT('All-Servers'!G248,'All-Servers'!$K248)</f>
        <v>0</v>
      </c>
    </row>
    <row r="239" spans="8:11" x14ac:dyDescent="0.2">
      <c r="H239" s="45">
        <f>PRODUCT('All-Servers'!D249,'All-Servers'!$K249)</f>
        <v>0</v>
      </c>
      <c r="I239" s="45">
        <f>PRODUCT('All-Servers'!E249,'All-Servers'!$K249)</f>
        <v>0</v>
      </c>
      <c r="J239" s="45">
        <f>PRODUCT('All-Servers'!F249,'All-Servers'!$K249)</f>
        <v>0</v>
      </c>
      <c r="K239" s="45">
        <f>PRODUCT('All-Servers'!G249,'All-Servers'!$K249)</f>
        <v>0</v>
      </c>
    </row>
    <row r="240" spans="8:11" x14ac:dyDescent="0.2">
      <c r="H240" s="45">
        <f>PRODUCT('All-Servers'!D250,'All-Servers'!$K250)</f>
        <v>0</v>
      </c>
      <c r="I240" s="45">
        <f>PRODUCT('All-Servers'!E250,'All-Servers'!$K250)</f>
        <v>0</v>
      </c>
      <c r="J240" s="45">
        <f>PRODUCT('All-Servers'!F250,'All-Servers'!$K250)</f>
        <v>0</v>
      </c>
      <c r="K240" s="45">
        <f>PRODUCT('All-Servers'!G250,'All-Servers'!$K250)</f>
        <v>0</v>
      </c>
    </row>
    <row r="241" spans="8:11" x14ac:dyDescent="0.2">
      <c r="H241" s="45">
        <f>PRODUCT('All-Servers'!D251,'All-Servers'!$K251)</f>
        <v>0</v>
      </c>
      <c r="I241" s="45">
        <f>PRODUCT('All-Servers'!E251,'All-Servers'!$K251)</f>
        <v>0</v>
      </c>
      <c r="J241" s="45">
        <f>PRODUCT('All-Servers'!F251,'All-Servers'!$K251)</f>
        <v>0</v>
      </c>
      <c r="K241" s="45">
        <f>PRODUCT('All-Servers'!G251,'All-Servers'!$K251)</f>
        <v>0</v>
      </c>
    </row>
    <row r="242" spans="8:11" x14ac:dyDescent="0.2">
      <c r="H242" s="45">
        <f>PRODUCT('All-Servers'!D252,'All-Servers'!$K252)</f>
        <v>0</v>
      </c>
      <c r="I242" s="45">
        <f>PRODUCT('All-Servers'!E252,'All-Servers'!$K252)</f>
        <v>0</v>
      </c>
      <c r="J242" s="45">
        <f>PRODUCT('All-Servers'!F252,'All-Servers'!$K252)</f>
        <v>0</v>
      </c>
      <c r="K242" s="45">
        <f>PRODUCT('All-Servers'!G252,'All-Servers'!$K252)</f>
        <v>0</v>
      </c>
    </row>
    <row r="243" spans="8:11" x14ac:dyDescent="0.2">
      <c r="H243" s="45">
        <f>PRODUCT('All-Servers'!D253,'All-Servers'!$K253)</f>
        <v>0</v>
      </c>
      <c r="I243" s="45">
        <f>PRODUCT('All-Servers'!E253,'All-Servers'!$K253)</f>
        <v>0</v>
      </c>
      <c r="J243" s="45">
        <f>PRODUCT('All-Servers'!F253,'All-Servers'!$K253)</f>
        <v>0</v>
      </c>
      <c r="K243" s="45">
        <f>PRODUCT('All-Servers'!G253,'All-Servers'!$K253)</f>
        <v>0</v>
      </c>
    </row>
    <row r="244" spans="8:11" x14ac:dyDescent="0.2">
      <c r="H244" s="45">
        <f>PRODUCT('All-Servers'!D254,'All-Servers'!$K254)</f>
        <v>0</v>
      </c>
      <c r="I244" s="45">
        <f>PRODUCT('All-Servers'!E254,'All-Servers'!$K254)</f>
        <v>0</v>
      </c>
      <c r="J244" s="45">
        <f>PRODUCT('All-Servers'!F254,'All-Servers'!$K254)</f>
        <v>0</v>
      </c>
      <c r="K244" s="45">
        <f>PRODUCT('All-Servers'!G254,'All-Servers'!$K254)</f>
        <v>0</v>
      </c>
    </row>
    <row r="245" spans="8:11" x14ac:dyDescent="0.2">
      <c r="H245" s="45">
        <f>PRODUCT('All-Servers'!D255,'All-Servers'!$K255)</f>
        <v>0</v>
      </c>
      <c r="I245" s="45">
        <f>PRODUCT('All-Servers'!E255,'All-Servers'!$K255)</f>
        <v>0</v>
      </c>
      <c r="J245" s="45">
        <f>PRODUCT('All-Servers'!F255,'All-Servers'!$K255)</f>
        <v>0</v>
      </c>
      <c r="K245" s="45">
        <f>PRODUCT('All-Servers'!G255,'All-Servers'!$K255)</f>
        <v>0</v>
      </c>
    </row>
    <row r="246" spans="8:11" x14ac:dyDescent="0.2">
      <c r="H246" s="45">
        <f>PRODUCT('All-Servers'!D256,'All-Servers'!$K256)</f>
        <v>0</v>
      </c>
      <c r="I246" s="45">
        <f>PRODUCT('All-Servers'!E256,'All-Servers'!$K256)</f>
        <v>0</v>
      </c>
      <c r="J246" s="45">
        <f>PRODUCT('All-Servers'!F256,'All-Servers'!$K256)</f>
        <v>0</v>
      </c>
      <c r="K246" s="45">
        <f>PRODUCT('All-Servers'!G256,'All-Servers'!$K256)</f>
        <v>0</v>
      </c>
    </row>
    <row r="247" spans="8:11" x14ac:dyDescent="0.2">
      <c r="H247" s="45">
        <f>PRODUCT('All-Servers'!D257,'All-Servers'!$K257)</f>
        <v>0</v>
      </c>
      <c r="I247" s="45">
        <f>PRODUCT('All-Servers'!E257,'All-Servers'!$K257)</f>
        <v>0</v>
      </c>
      <c r="J247" s="45">
        <f>PRODUCT('All-Servers'!F257,'All-Servers'!$K257)</f>
        <v>0</v>
      </c>
      <c r="K247" s="45">
        <f>PRODUCT('All-Servers'!G257,'All-Servers'!$K257)</f>
        <v>0</v>
      </c>
    </row>
    <row r="248" spans="8:11" x14ac:dyDescent="0.2">
      <c r="H248" s="45">
        <f>PRODUCT('All-Servers'!D258,'All-Servers'!$K258)</f>
        <v>0</v>
      </c>
      <c r="I248" s="45">
        <f>PRODUCT('All-Servers'!E258,'All-Servers'!$K258)</f>
        <v>0</v>
      </c>
      <c r="J248" s="45">
        <f>PRODUCT('All-Servers'!F258,'All-Servers'!$K258)</f>
        <v>0</v>
      </c>
      <c r="K248" s="45">
        <f>PRODUCT('All-Servers'!G258,'All-Servers'!$K258)</f>
        <v>0</v>
      </c>
    </row>
    <row r="249" spans="8:11" x14ac:dyDescent="0.2">
      <c r="H249" s="45">
        <f>PRODUCT('All-Servers'!D259,'All-Servers'!$K259)</f>
        <v>0</v>
      </c>
      <c r="I249" s="45">
        <f>PRODUCT('All-Servers'!E259,'All-Servers'!$K259)</f>
        <v>0</v>
      </c>
      <c r="J249" s="45">
        <f>PRODUCT('All-Servers'!F259,'All-Servers'!$K259)</f>
        <v>0</v>
      </c>
      <c r="K249" s="45">
        <f>PRODUCT('All-Servers'!G259,'All-Servers'!$K259)</f>
        <v>0</v>
      </c>
    </row>
    <row r="250" spans="8:11" x14ac:dyDescent="0.2">
      <c r="H250" s="45">
        <f>PRODUCT('All-Servers'!D260,'All-Servers'!$K260)</f>
        <v>0</v>
      </c>
      <c r="I250" s="45">
        <f>PRODUCT('All-Servers'!E260,'All-Servers'!$K260)</f>
        <v>0</v>
      </c>
      <c r="J250" s="45">
        <f>PRODUCT('All-Servers'!F260,'All-Servers'!$K260)</f>
        <v>0</v>
      </c>
      <c r="K250" s="45">
        <f>PRODUCT('All-Servers'!G260,'All-Servers'!$K260)</f>
        <v>0</v>
      </c>
    </row>
    <row r="251" spans="8:11" x14ac:dyDescent="0.2">
      <c r="H251" s="45">
        <f>PRODUCT('All-Servers'!D261,'All-Servers'!$K261)</f>
        <v>0</v>
      </c>
      <c r="I251" s="45">
        <f>PRODUCT('All-Servers'!E261,'All-Servers'!$K261)</f>
        <v>0</v>
      </c>
      <c r="J251" s="45">
        <f>PRODUCT('All-Servers'!F261,'All-Servers'!$K261)</f>
        <v>0</v>
      </c>
      <c r="K251" s="45">
        <f>PRODUCT('All-Servers'!G261,'All-Servers'!$K261)</f>
        <v>0</v>
      </c>
    </row>
    <row r="252" spans="8:11" x14ac:dyDescent="0.2">
      <c r="H252" s="45">
        <f>PRODUCT('All-Servers'!D262,'All-Servers'!$K262)</f>
        <v>0</v>
      </c>
      <c r="I252" s="45">
        <f>PRODUCT('All-Servers'!E262,'All-Servers'!$K262)</f>
        <v>0</v>
      </c>
      <c r="J252" s="45">
        <f>PRODUCT('All-Servers'!F262,'All-Servers'!$K262)</f>
        <v>0</v>
      </c>
      <c r="K252" s="45">
        <f>PRODUCT('All-Servers'!G262,'All-Servers'!$K262)</f>
        <v>0</v>
      </c>
    </row>
    <row r="253" spans="8:11" x14ac:dyDescent="0.2">
      <c r="H253" s="45">
        <f>PRODUCT('All-Servers'!D263,'All-Servers'!$K263)</f>
        <v>0</v>
      </c>
      <c r="I253" s="45">
        <f>PRODUCT('All-Servers'!E263,'All-Servers'!$K263)</f>
        <v>0</v>
      </c>
      <c r="J253" s="45">
        <f>PRODUCT('All-Servers'!F263,'All-Servers'!$K263)</f>
        <v>0</v>
      </c>
      <c r="K253" s="45">
        <f>PRODUCT('All-Servers'!G263,'All-Servers'!$K263)</f>
        <v>0</v>
      </c>
    </row>
    <row r="254" spans="8:11" x14ac:dyDescent="0.2">
      <c r="H254" s="45">
        <f>PRODUCT('All-Servers'!D264,'All-Servers'!$K264)</f>
        <v>0</v>
      </c>
      <c r="I254" s="45">
        <f>PRODUCT('All-Servers'!E264,'All-Servers'!$K264)</f>
        <v>0</v>
      </c>
      <c r="J254" s="45">
        <f>PRODUCT('All-Servers'!F264,'All-Servers'!$K264)</f>
        <v>0</v>
      </c>
      <c r="K254" s="45">
        <f>PRODUCT('All-Servers'!G264,'All-Servers'!$K264)</f>
        <v>0</v>
      </c>
    </row>
    <row r="255" spans="8:11" x14ac:dyDescent="0.2">
      <c r="H255" s="45">
        <f>PRODUCT('All-Servers'!D265,'All-Servers'!$K265)</f>
        <v>0</v>
      </c>
      <c r="I255" s="45">
        <f>PRODUCT('All-Servers'!E265,'All-Servers'!$K265)</f>
        <v>0</v>
      </c>
      <c r="J255" s="45">
        <f>PRODUCT('All-Servers'!F265,'All-Servers'!$K265)</f>
        <v>0</v>
      </c>
      <c r="K255" s="45">
        <f>PRODUCT('All-Servers'!G265,'All-Servers'!$K265)</f>
        <v>0</v>
      </c>
    </row>
    <row r="256" spans="8:11" x14ac:dyDescent="0.2">
      <c r="H256" s="45">
        <f>PRODUCT('All-Servers'!D266,'All-Servers'!$K266)</f>
        <v>0</v>
      </c>
      <c r="I256" s="45">
        <f>PRODUCT('All-Servers'!E266,'All-Servers'!$K266)</f>
        <v>0</v>
      </c>
      <c r="J256" s="45">
        <f>PRODUCT('All-Servers'!F266,'All-Servers'!$K266)</f>
        <v>0</v>
      </c>
      <c r="K256" s="45">
        <f>PRODUCT('All-Servers'!G266,'All-Servers'!$K266)</f>
        <v>0</v>
      </c>
    </row>
    <row r="257" spans="8:11" x14ac:dyDescent="0.2">
      <c r="H257" s="45">
        <f>PRODUCT('All-Servers'!D267,'All-Servers'!$K267)</f>
        <v>0</v>
      </c>
      <c r="I257" s="45">
        <f>PRODUCT('All-Servers'!E267,'All-Servers'!$K267)</f>
        <v>0</v>
      </c>
      <c r="J257" s="45">
        <f>PRODUCT('All-Servers'!F267,'All-Servers'!$K267)</f>
        <v>0</v>
      </c>
      <c r="K257" s="45">
        <f>PRODUCT('All-Servers'!G267,'All-Servers'!$K267)</f>
        <v>0</v>
      </c>
    </row>
    <row r="258" spans="8:11" x14ac:dyDescent="0.2">
      <c r="H258" s="45">
        <f>PRODUCT('All-Servers'!D268,'All-Servers'!$K268)</f>
        <v>0</v>
      </c>
      <c r="I258" s="45">
        <f>PRODUCT('All-Servers'!E268,'All-Servers'!$K268)</f>
        <v>0</v>
      </c>
      <c r="J258" s="45">
        <f>PRODUCT('All-Servers'!F268,'All-Servers'!$K268)</f>
        <v>0</v>
      </c>
      <c r="K258" s="45">
        <f>PRODUCT('All-Servers'!G268,'All-Servers'!$K268)</f>
        <v>0</v>
      </c>
    </row>
    <row r="259" spans="8:11" x14ac:dyDescent="0.2">
      <c r="H259" s="45">
        <f>PRODUCT('All-Servers'!D269,'All-Servers'!$K269)</f>
        <v>0</v>
      </c>
      <c r="I259" s="45">
        <f>PRODUCT('All-Servers'!E269,'All-Servers'!$K269)</f>
        <v>0</v>
      </c>
      <c r="J259" s="45">
        <f>PRODUCT('All-Servers'!F269,'All-Servers'!$K269)</f>
        <v>0</v>
      </c>
      <c r="K259" s="45">
        <f>PRODUCT('All-Servers'!G269,'All-Servers'!$K269)</f>
        <v>0</v>
      </c>
    </row>
    <row r="260" spans="8:11" x14ac:dyDescent="0.2">
      <c r="H260" s="45">
        <f>PRODUCT('All-Servers'!D270,'All-Servers'!$K270)</f>
        <v>0</v>
      </c>
      <c r="I260" s="45">
        <f>PRODUCT('All-Servers'!E270,'All-Servers'!$K270)</f>
        <v>0</v>
      </c>
      <c r="J260" s="45">
        <f>PRODUCT('All-Servers'!F270,'All-Servers'!$K270)</f>
        <v>0</v>
      </c>
      <c r="K260" s="45">
        <f>PRODUCT('All-Servers'!G270,'All-Servers'!$K270)</f>
        <v>0</v>
      </c>
    </row>
    <row r="261" spans="8:11" x14ac:dyDescent="0.2">
      <c r="H261" s="45">
        <f>PRODUCT('All-Servers'!D271,'All-Servers'!$K271)</f>
        <v>0</v>
      </c>
      <c r="I261" s="45">
        <f>PRODUCT('All-Servers'!E271,'All-Servers'!$K271)</f>
        <v>0</v>
      </c>
      <c r="J261" s="45">
        <f>PRODUCT('All-Servers'!F271,'All-Servers'!$K271)</f>
        <v>0</v>
      </c>
      <c r="K261" s="45">
        <f>PRODUCT('All-Servers'!G271,'All-Servers'!$K271)</f>
        <v>0</v>
      </c>
    </row>
    <row r="262" spans="8:11" x14ac:dyDescent="0.2">
      <c r="H262" s="45">
        <f>PRODUCT('All-Servers'!D272,'All-Servers'!$K272)</f>
        <v>0</v>
      </c>
      <c r="I262" s="45">
        <f>PRODUCT('All-Servers'!E272,'All-Servers'!$K272)</f>
        <v>0</v>
      </c>
      <c r="J262" s="45">
        <f>PRODUCT('All-Servers'!F272,'All-Servers'!$K272)</f>
        <v>0</v>
      </c>
      <c r="K262" s="45">
        <f>PRODUCT('All-Servers'!G272,'All-Servers'!$K272)</f>
        <v>0</v>
      </c>
    </row>
    <row r="263" spans="8:11" x14ac:dyDescent="0.2">
      <c r="H263" s="45">
        <f>PRODUCT('All-Servers'!D273,'All-Servers'!$K273)</f>
        <v>0</v>
      </c>
      <c r="I263" s="45">
        <f>PRODUCT('All-Servers'!E273,'All-Servers'!$K273)</f>
        <v>0</v>
      </c>
      <c r="J263" s="45">
        <f>PRODUCT('All-Servers'!F273,'All-Servers'!$K273)</f>
        <v>0</v>
      </c>
      <c r="K263" s="45">
        <f>PRODUCT('All-Servers'!G273,'All-Servers'!$K273)</f>
        <v>0</v>
      </c>
    </row>
    <row r="264" spans="8:11" x14ac:dyDescent="0.2">
      <c r="H264" s="45">
        <f>PRODUCT('All-Servers'!D274,'All-Servers'!$K274)</f>
        <v>0</v>
      </c>
      <c r="I264" s="45">
        <f>PRODUCT('All-Servers'!E274,'All-Servers'!$K274)</f>
        <v>0</v>
      </c>
      <c r="J264" s="45">
        <f>PRODUCT('All-Servers'!F274,'All-Servers'!$K274)</f>
        <v>0</v>
      </c>
      <c r="K264" s="45">
        <f>PRODUCT('All-Servers'!G274,'All-Servers'!$K274)</f>
        <v>0</v>
      </c>
    </row>
    <row r="265" spans="8:11" x14ac:dyDescent="0.2">
      <c r="H265" s="45">
        <f>PRODUCT('All-Servers'!D275,'All-Servers'!$K275)</f>
        <v>0</v>
      </c>
      <c r="I265" s="45">
        <f>PRODUCT('All-Servers'!E275,'All-Servers'!$K275)</f>
        <v>0</v>
      </c>
      <c r="J265" s="45">
        <f>PRODUCT('All-Servers'!F275,'All-Servers'!$K275)</f>
        <v>0</v>
      </c>
      <c r="K265" s="45">
        <f>PRODUCT('All-Servers'!G275,'All-Servers'!$K275)</f>
        <v>0</v>
      </c>
    </row>
    <row r="266" spans="8:11" x14ac:dyDescent="0.2">
      <c r="H266" s="45">
        <f>PRODUCT('All-Servers'!D276,'All-Servers'!$K276)</f>
        <v>0</v>
      </c>
      <c r="I266" s="45">
        <f>PRODUCT('All-Servers'!E276,'All-Servers'!$K276)</f>
        <v>0</v>
      </c>
      <c r="J266" s="45">
        <f>PRODUCT('All-Servers'!F276,'All-Servers'!$K276)</f>
        <v>0</v>
      </c>
      <c r="K266" s="45">
        <f>PRODUCT('All-Servers'!G276,'All-Servers'!$K276)</f>
        <v>0</v>
      </c>
    </row>
    <row r="267" spans="8:11" x14ac:dyDescent="0.2">
      <c r="H267" s="45">
        <f>PRODUCT('All-Servers'!D277,'All-Servers'!$K277)</f>
        <v>0</v>
      </c>
      <c r="I267" s="45">
        <f>PRODUCT('All-Servers'!E277,'All-Servers'!$K277)</f>
        <v>0</v>
      </c>
      <c r="J267" s="45">
        <f>PRODUCT('All-Servers'!F277,'All-Servers'!$K277)</f>
        <v>0</v>
      </c>
      <c r="K267" s="45">
        <f>PRODUCT('All-Servers'!G277,'All-Servers'!$K277)</f>
        <v>0</v>
      </c>
    </row>
    <row r="268" spans="8:11" x14ac:dyDescent="0.2">
      <c r="H268" s="45">
        <f>PRODUCT('All-Servers'!D278,'All-Servers'!$K278)</f>
        <v>0</v>
      </c>
      <c r="I268" s="45">
        <f>PRODUCT('All-Servers'!E278,'All-Servers'!$K278)</f>
        <v>0</v>
      </c>
      <c r="J268" s="45">
        <f>PRODUCT('All-Servers'!F278,'All-Servers'!$K278)</f>
        <v>0</v>
      </c>
      <c r="K268" s="45">
        <f>PRODUCT('All-Servers'!G278,'All-Servers'!$K278)</f>
        <v>0</v>
      </c>
    </row>
    <row r="269" spans="8:11" x14ac:dyDescent="0.2">
      <c r="H269" s="45">
        <f>PRODUCT('All-Servers'!D279,'All-Servers'!$K279)</f>
        <v>0</v>
      </c>
      <c r="I269" s="45">
        <f>PRODUCT('All-Servers'!E279,'All-Servers'!$K279)</f>
        <v>0</v>
      </c>
      <c r="J269" s="45">
        <f>PRODUCT('All-Servers'!F279,'All-Servers'!$K279)</f>
        <v>0</v>
      </c>
      <c r="K269" s="45">
        <f>PRODUCT('All-Servers'!G279,'All-Servers'!$K279)</f>
        <v>0</v>
      </c>
    </row>
    <row r="270" spans="8:11" x14ac:dyDescent="0.2">
      <c r="H270" s="45">
        <f>PRODUCT('All-Servers'!D280,'All-Servers'!$K280)</f>
        <v>0</v>
      </c>
      <c r="I270" s="45">
        <f>PRODUCT('All-Servers'!E280,'All-Servers'!$K280)</f>
        <v>0</v>
      </c>
      <c r="J270" s="45">
        <f>PRODUCT('All-Servers'!F280,'All-Servers'!$K280)</f>
        <v>0</v>
      </c>
      <c r="K270" s="45">
        <f>PRODUCT('All-Servers'!G280,'All-Servers'!$K280)</f>
        <v>0</v>
      </c>
    </row>
    <row r="271" spans="8:11" x14ac:dyDescent="0.2">
      <c r="H271" s="45">
        <f>PRODUCT('All-Servers'!D281,'All-Servers'!$K281)</f>
        <v>0</v>
      </c>
      <c r="I271" s="45">
        <f>PRODUCT('All-Servers'!E281,'All-Servers'!$K281)</f>
        <v>0</v>
      </c>
      <c r="J271" s="45">
        <f>PRODUCT('All-Servers'!F281,'All-Servers'!$K281)</f>
        <v>0</v>
      </c>
      <c r="K271" s="45">
        <f>PRODUCT('All-Servers'!G281,'All-Servers'!$K281)</f>
        <v>0</v>
      </c>
    </row>
    <row r="272" spans="8:11" x14ac:dyDescent="0.2">
      <c r="H272" s="45">
        <f>PRODUCT('All-Servers'!D282,'All-Servers'!$K282)</f>
        <v>0</v>
      </c>
      <c r="I272" s="45">
        <f>PRODUCT('All-Servers'!E282,'All-Servers'!$K282)</f>
        <v>0</v>
      </c>
      <c r="J272" s="45">
        <f>PRODUCT('All-Servers'!F282,'All-Servers'!$K282)</f>
        <v>0</v>
      </c>
      <c r="K272" s="45">
        <f>PRODUCT('All-Servers'!G282,'All-Servers'!$K282)</f>
        <v>0</v>
      </c>
    </row>
    <row r="273" spans="8:11" x14ac:dyDescent="0.2">
      <c r="H273" s="45">
        <f>PRODUCT('All-Servers'!D283,'All-Servers'!$K283)</f>
        <v>0</v>
      </c>
      <c r="I273" s="45">
        <f>PRODUCT('All-Servers'!E283,'All-Servers'!$K283)</f>
        <v>0</v>
      </c>
      <c r="J273" s="45">
        <f>PRODUCT('All-Servers'!F283,'All-Servers'!$K283)</f>
        <v>0</v>
      </c>
      <c r="K273" s="45">
        <f>PRODUCT('All-Servers'!G283,'All-Servers'!$K283)</f>
        <v>0</v>
      </c>
    </row>
    <row r="274" spans="8:11" x14ac:dyDescent="0.2">
      <c r="H274" s="45">
        <f>PRODUCT('All-Servers'!D284,'All-Servers'!$K284)</f>
        <v>0</v>
      </c>
      <c r="I274" s="45">
        <f>PRODUCT('All-Servers'!E284,'All-Servers'!$K284)</f>
        <v>0</v>
      </c>
      <c r="J274" s="45">
        <f>PRODUCT('All-Servers'!F284,'All-Servers'!$K284)</f>
        <v>0</v>
      </c>
      <c r="K274" s="45">
        <f>PRODUCT('All-Servers'!G284,'All-Servers'!$K284)</f>
        <v>0</v>
      </c>
    </row>
    <row r="275" spans="8:11" x14ac:dyDescent="0.2">
      <c r="H275" s="45">
        <f>PRODUCT('All-Servers'!D285,'All-Servers'!$K285)</f>
        <v>0</v>
      </c>
      <c r="I275" s="45">
        <f>PRODUCT('All-Servers'!E285,'All-Servers'!$K285)</f>
        <v>0</v>
      </c>
      <c r="J275" s="45">
        <f>PRODUCT('All-Servers'!F285,'All-Servers'!$K285)</f>
        <v>0</v>
      </c>
      <c r="K275" s="45">
        <f>PRODUCT('All-Servers'!G285,'All-Servers'!$K285)</f>
        <v>0</v>
      </c>
    </row>
    <row r="276" spans="8:11" x14ac:dyDescent="0.2">
      <c r="H276" s="45">
        <f>PRODUCT('All-Servers'!D286,'All-Servers'!$K286)</f>
        <v>0</v>
      </c>
      <c r="I276" s="45">
        <f>PRODUCT('All-Servers'!E286,'All-Servers'!$K286)</f>
        <v>0</v>
      </c>
      <c r="J276" s="45">
        <f>PRODUCT('All-Servers'!F286,'All-Servers'!$K286)</f>
        <v>0</v>
      </c>
      <c r="K276" s="45">
        <f>PRODUCT('All-Servers'!G286,'All-Servers'!$K286)</f>
        <v>0</v>
      </c>
    </row>
    <row r="277" spans="8:11" x14ac:dyDescent="0.2">
      <c r="H277" s="45">
        <f>PRODUCT('All-Servers'!D287,'All-Servers'!$K287)</f>
        <v>0</v>
      </c>
      <c r="I277" s="45">
        <f>PRODUCT('All-Servers'!E287,'All-Servers'!$K287)</f>
        <v>0</v>
      </c>
      <c r="J277" s="45">
        <f>PRODUCT('All-Servers'!F287,'All-Servers'!$K287)</f>
        <v>0</v>
      </c>
      <c r="K277" s="45">
        <f>PRODUCT('All-Servers'!G287,'All-Servers'!$K287)</f>
        <v>0</v>
      </c>
    </row>
    <row r="278" spans="8:11" x14ac:dyDescent="0.2">
      <c r="H278" s="45">
        <f>PRODUCT('All-Servers'!D288,'All-Servers'!$K288)</f>
        <v>0</v>
      </c>
      <c r="I278" s="45">
        <f>PRODUCT('All-Servers'!E288,'All-Servers'!$K288)</f>
        <v>0</v>
      </c>
      <c r="J278" s="45">
        <f>PRODUCT('All-Servers'!F288,'All-Servers'!$K288)</f>
        <v>0</v>
      </c>
      <c r="K278" s="45">
        <f>PRODUCT('All-Servers'!G288,'All-Servers'!$K288)</f>
        <v>0</v>
      </c>
    </row>
    <row r="279" spans="8:11" x14ac:dyDescent="0.2">
      <c r="H279" s="45">
        <f>PRODUCT('All-Servers'!D289,'All-Servers'!$K289)</f>
        <v>0</v>
      </c>
      <c r="I279" s="45">
        <f>PRODUCT('All-Servers'!E289,'All-Servers'!$K289)</f>
        <v>0</v>
      </c>
      <c r="J279" s="45">
        <f>PRODUCT('All-Servers'!F289,'All-Servers'!$K289)</f>
        <v>0</v>
      </c>
      <c r="K279" s="45">
        <f>PRODUCT('All-Servers'!G289,'All-Servers'!$K289)</f>
        <v>0</v>
      </c>
    </row>
    <row r="280" spans="8:11" x14ac:dyDescent="0.2">
      <c r="H280" s="45">
        <f>PRODUCT('All-Servers'!D290,'All-Servers'!$K290)</f>
        <v>0</v>
      </c>
      <c r="I280" s="45">
        <f>PRODUCT('All-Servers'!E290,'All-Servers'!$K290)</f>
        <v>0</v>
      </c>
      <c r="J280" s="45">
        <f>PRODUCT('All-Servers'!F290,'All-Servers'!$K290)</f>
        <v>0</v>
      </c>
      <c r="K280" s="45">
        <f>PRODUCT('All-Servers'!G290,'All-Servers'!$K290)</f>
        <v>0</v>
      </c>
    </row>
    <row r="281" spans="8:11" x14ac:dyDescent="0.2">
      <c r="H281" s="45">
        <f>PRODUCT('All-Servers'!D291,'All-Servers'!$K291)</f>
        <v>0</v>
      </c>
      <c r="I281" s="45">
        <f>PRODUCT('All-Servers'!E291,'All-Servers'!$K291)</f>
        <v>0</v>
      </c>
      <c r="J281" s="45">
        <f>PRODUCT('All-Servers'!F291,'All-Servers'!$K291)</f>
        <v>0</v>
      </c>
      <c r="K281" s="45">
        <f>PRODUCT('All-Servers'!G291,'All-Servers'!$K291)</f>
        <v>0</v>
      </c>
    </row>
    <row r="282" spans="8:11" x14ac:dyDescent="0.2">
      <c r="H282" s="45">
        <f>PRODUCT('All-Servers'!D292,'All-Servers'!$K292)</f>
        <v>0</v>
      </c>
      <c r="I282" s="45">
        <f>PRODUCT('All-Servers'!E292,'All-Servers'!$K292)</f>
        <v>0</v>
      </c>
      <c r="J282" s="45">
        <f>PRODUCT('All-Servers'!F292,'All-Servers'!$K292)</f>
        <v>0</v>
      </c>
      <c r="K282" s="45">
        <f>PRODUCT('All-Servers'!G292,'All-Servers'!$K292)</f>
        <v>0</v>
      </c>
    </row>
    <row r="283" spans="8:11" x14ac:dyDescent="0.2">
      <c r="H283" s="45">
        <f>PRODUCT('All-Servers'!D293,'All-Servers'!$K293)</f>
        <v>0</v>
      </c>
      <c r="I283" s="45">
        <f>PRODUCT('All-Servers'!E293,'All-Servers'!$K293)</f>
        <v>0</v>
      </c>
      <c r="J283" s="45">
        <f>PRODUCT('All-Servers'!F293,'All-Servers'!$K293)</f>
        <v>0</v>
      </c>
      <c r="K283" s="45">
        <f>PRODUCT('All-Servers'!G293,'All-Servers'!$K293)</f>
        <v>0</v>
      </c>
    </row>
    <row r="284" spans="8:11" x14ac:dyDescent="0.2">
      <c r="H284" s="45">
        <f>PRODUCT('All-Servers'!D294,'All-Servers'!$K294)</f>
        <v>0</v>
      </c>
      <c r="I284" s="45">
        <f>PRODUCT('All-Servers'!E294,'All-Servers'!$K294)</f>
        <v>0</v>
      </c>
      <c r="J284" s="45">
        <f>PRODUCT('All-Servers'!F294,'All-Servers'!$K294)</f>
        <v>0</v>
      </c>
      <c r="K284" s="45">
        <f>PRODUCT('All-Servers'!G294,'All-Servers'!$K294)</f>
        <v>0</v>
      </c>
    </row>
    <row r="285" spans="8:11" x14ac:dyDescent="0.2">
      <c r="H285" s="45">
        <f>PRODUCT('All-Servers'!D295,'All-Servers'!$K295)</f>
        <v>0</v>
      </c>
      <c r="I285" s="45">
        <f>PRODUCT('All-Servers'!E295,'All-Servers'!$K295)</f>
        <v>0</v>
      </c>
      <c r="J285" s="45">
        <f>PRODUCT('All-Servers'!F295,'All-Servers'!$K295)</f>
        <v>0</v>
      </c>
      <c r="K285" s="45">
        <f>PRODUCT('All-Servers'!G295,'All-Servers'!$K295)</f>
        <v>0</v>
      </c>
    </row>
    <row r="286" spans="8:11" x14ac:dyDescent="0.2">
      <c r="H286" s="45">
        <f>PRODUCT('All-Servers'!D296,'All-Servers'!$K296)</f>
        <v>0</v>
      </c>
      <c r="I286" s="45">
        <f>PRODUCT('All-Servers'!E296,'All-Servers'!$K296)</f>
        <v>0</v>
      </c>
      <c r="J286" s="45">
        <f>PRODUCT('All-Servers'!F296,'All-Servers'!$K296)</f>
        <v>0</v>
      </c>
      <c r="K286" s="45">
        <f>PRODUCT('All-Servers'!G296,'All-Servers'!$K296)</f>
        <v>0</v>
      </c>
    </row>
    <row r="287" spans="8:11" x14ac:dyDescent="0.2">
      <c r="H287" s="45">
        <f>PRODUCT('All-Servers'!D297,'All-Servers'!$K297)</f>
        <v>0</v>
      </c>
      <c r="I287" s="45">
        <f>PRODUCT('All-Servers'!E297,'All-Servers'!$K297)</f>
        <v>0</v>
      </c>
      <c r="J287" s="45">
        <f>PRODUCT('All-Servers'!F297,'All-Servers'!$K297)</f>
        <v>0</v>
      </c>
      <c r="K287" s="45">
        <f>PRODUCT('All-Servers'!G297,'All-Servers'!$K297)</f>
        <v>0</v>
      </c>
    </row>
    <row r="288" spans="8:11" x14ac:dyDescent="0.2">
      <c r="H288" s="45">
        <f>PRODUCT('All-Servers'!D298,'All-Servers'!$K298)</f>
        <v>0</v>
      </c>
      <c r="I288" s="45">
        <f>PRODUCT('All-Servers'!E298,'All-Servers'!$K298)</f>
        <v>0</v>
      </c>
      <c r="J288" s="45">
        <f>PRODUCT('All-Servers'!F298,'All-Servers'!$K298)</f>
        <v>0</v>
      </c>
      <c r="K288" s="45">
        <f>PRODUCT('All-Servers'!G298,'All-Servers'!$K298)</f>
        <v>0</v>
      </c>
    </row>
    <row r="289" spans="8:11" x14ac:dyDescent="0.2">
      <c r="H289" s="45">
        <f>PRODUCT('All-Servers'!D299,'All-Servers'!$K299)</f>
        <v>0</v>
      </c>
      <c r="I289" s="45">
        <f>PRODUCT('All-Servers'!E299,'All-Servers'!$K299)</f>
        <v>0</v>
      </c>
      <c r="J289" s="45">
        <f>PRODUCT('All-Servers'!F299,'All-Servers'!$K299)</f>
        <v>0</v>
      </c>
      <c r="K289" s="45">
        <f>PRODUCT('All-Servers'!G299,'All-Servers'!$K299)</f>
        <v>0</v>
      </c>
    </row>
    <row r="290" spans="8:11" x14ac:dyDescent="0.2">
      <c r="H290" s="45">
        <f>PRODUCT('All-Servers'!D300,'All-Servers'!$K300)</f>
        <v>0</v>
      </c>
      <c r="I290" s="45">
        <f>PRODUCT('All-Servers'!E300,'All-Servers'!$K300)</f>
        <v>0</v>
      </c>
      <c r="J290" s="45">
        <f>PRODUCT('All-Servers'!F300,'All-Servers'!$K300)</f>
        <v>0</v>
      </c>
      <c r="K290" s="45">
        <f>PRODUCT('All-Servers'!G300,'All-Servers'!$K300)</f>
        <v>0</v>
      </c>
    </row>
    <row r="291" spans="8:11" x14ac:dyDescent="0.2">
      <c r="H291" s="45">
        <f>PRODUCT('All-Servers'!D301,'All-Servers'!$K301)</f>
        <v>0</v>
      </c>
      <c r="I291" s="45">
        <f>PRODUCT('All-Servers'!E301,'All-Servers'!$K301)</f>
        <v>0</v>
      </c>
      <c r="J291" s="45">
        <f>PRODUCT('All-Servers'!F301,'All-Servers'!$K301)</f>
        <v>0</v>
      </c>
      <c r="K291" s="45">
        <f>PRODUCT('All-Servers'!G301,'All-Servers'!$K301)</f>
        <v>0</v>
      </c>
    </row>
    <row r="292" spans="8:11" x14ac:dyDescent="0.2">
      <c r="H292" s="45">
        <f>PRODUCT('All-Servers'!D302,'All-Servers'!$K302)</f>
        <v>0</v>
      </c>
      <c r="I292" s="45">
        <f>PRODUCT('All-Servers'!E302,'All-Servers'!$K302)</f>
        <v>0</v>
      </c>
      <c r="J292" s="45">
        <f>PRODUCT('All-Servers'!F302,'All-Servers'!$K302)</f>
        <v>0</v>
      </c>
      <c r="K292" s="45">
        <f>PRODUCT('All-Servers'!G302,'All-Servers'!$K302)</f>
        <v>0</v>
      </c>
    </row>
    <row r="293" spans="8:11" x14ac:dyDescent="0.2">
      <c r="H293" s="45">
        <f>PRODUCT('All-Servers'!D303,'All-Servers'!$K303)</f>
        <v>0</v>
      </c>
      <c r="I293" s="45">
        <f>PRODUCT('All-Servers'!E303,'All-Servers'!$K303)</f>
        <v>0</v>
      </c>
      <c r="J293" s="45">
        <f>PRODUCT('All-Servers'!F303,'All-Servers'!$K303)</f>
        <v>0</v>
      </c>
      <c r="K293" s="45">
        <f>PRODUCT('All-Servers'!G303,'All-Servers'!$K303)</f>
        <v>0</v>
      </c>
    </row>
    <row r="294" spans="8:11" x14ac:dyDescent="0.2">
      <c r="H294" s="45">
        <f>PRODUCT('All-Servers'!D304,'All-Servers'!$K304)</f>
        <v>0</v>
      </c>
      <c r="I294" s="45">
        <f>PRODUCT('All-Servers'!E304,'All-Servers'!$K304)</f>
        <v>0</v>
      </c>
      <c r="J294" s="45">
        <f>PRODUCT('All-Servers'!F304,'All-Servers'!$K304)</f>
        <v>0</v>
      </c>
      <c r="K294" s="45">
        <f>PRODUCT('All-Servers'!G304,'All-Servers'!$K304)</f>
        <v>0</v>
      </c>
    </row>
    <row r="295" spans="8:11" x14ac:dyDescent="0.2">
      <c r="H295" s="45">
        <f>PRODUCT('All-Servers'!D305,'All-Servers'!$K305)</f>
        <v>0</v>
      </c>
      <c r="I295" s="45">
        <f>PRODUCT('All-Servers'!E305,'All-Servers'!$K305)</f>
        <v>0</v>
      </c>
      <c r="J295" s="45">
        <f>PRODUCT('All-Servers'!F305,'All-Servers'!$K305)</f>
        <v>0</v>
      </c>
      <c r="K295" s="45">
        <f>PRODUCT('All-Servers'!G305,'All-Servers'!$K305)</f>
        <v>0</v>
      </c>
    </row>
    <row r="296" spans="8:11" x14ac:dyDescent="0.2">
      <c r="H296" s="45">
        <f>PRODUCT('All-Servers'!D306,'All-Servers'!$K306)</f>
        <v>0</v>
      </c>
      <c r="I296" s="45">
        <f>PRODUCT('All-Servers'!E306,'All-Servers'!$K306)</f>
        <v>0</v>
      </c>
      <c r="J296" s="45">
        <f>PRODUCT('All-Servers'!F306,'All-Servers'!$K306)</f>
        <v>0</v>
      </c>
      <c r="K296" s="45">
        <f>PRODUCT('All-Servers'!G306,'All-Servers'!$K306)</f>
        <v>0</v>
      </c>
    </row>
    <row r="297" spans="8:11" x14ac:dyDescent="0.2">
      <c r="H297" s="45">
        <f>PRODUCT('All-Servers'!D307,'All-Servers'!$K307)</f>
        <v>0</v>
      </c>
      <c r="I297" s="45">
        <f>PRODUCT('All-Servers'!E307,'All-Servers'!$K307)</f>
        <v>0</v>
      </c>
      <c r="J297" s="45">
        <f>PRODUCT('All-Servers'!F307,'All-Servers'!$K307)</f>
        <v>0</v>
      </c>
      <c r="K297" s="45">
        <f>PRODUCT('All-Servers'!G307,'All-Servers'!$K307)</f>
        <v>0</v>
      </c>
    </row>
    <row r="298" spans="8:11" x14ac:dyDescent="0.2">
      <c r="H298" s="45">
        <f>PRODUCT('All-Servers'!D308,'All-Servers'!$K308)</f>
        <v>0</v>
      </c>
      <c r="I298" s="45">
        <f>PRODUCT('All-Servers'!E308,'All-Servers'!$K308)</f>
        <v>0</v>
      </c>
      <c r="J298" s="45">
        <f>PRODUCT('All-Servers'!F308,'All-Servers'!$K308)</f>
        <v>0</v>
      </c>
      <c r="K298" s="45">
        <f>PRODUCT('All-Servers'!G308,'All-Servers'!$K308)</f>
        <v>0</v>
      </c>
    </row>
    <row r="299" spans="8:11" x14ac:dyDescent="0.2">
      <c r="H299" s="45">
        <f>PRODUCT('All-Servers'!D309,'All-Servers'!$K309)</f>
        <v>0</v>
      </c>
      <c r="I299" s="45">
        <f>PRODUCT('All-Servers'!E309,'All-Servers'!$K309)</f>
        <v>0</v>
      </c>
      <c r="J299" s="45">
        <f>PRODUCT('All-Servers'!F309,'All-Servers'!$K309)</f>
        <v>0</v>
      </c>
      <c r="K299" s="45">
        <f>PRODUCT('All-Servers'!G309,'All-Servers'!$K309)</f>
        <v>0</v>
      </c>
    </row>
    <row r="300" spans="8:11" x14ac:dyDescent="0.2">
      <c r="H300" s="45">
        <f>PRODUCT('All-Servers'!D310,'All-Servers'!$K310)</f>
        <v>0</v>
      </c>
      <c r="I300" s="45">
        <f>PRODUCT('All-Servers'!E310,'All-Servers'!$K310)</f>
        <v>0</v>
      </c>
      <c r="J300" s="45">
        <f>PRODUCT('All-Servers'!F310,'All-Servers'!$K310)</f>
        <v>0</v>
      </c>
      <c r="K300" s="45">
        <f>PRODUCT('All-Servers'!G310,'All-Servers'!$K310)</f>
        <v>0</v>
      </c>
    </row>
    <row r="301" spans="8:11" x14ac:dyDescent="0.2">
      <c r="H301" s="45">
        <f>PRODUCT('All-Servers'!D311,'All-Servers'!$K311)</f>
        <v>0</v>
      </c>
      <c r="I301" s="45">
        <f>PRODUCT('All-Servers'!E311,'All-Servers'!$K311)</f>
        <v>0</v>
      </c>
      <c r="J301" s="45">
        <f>PRODUCT('All-Servers'!F311,'All-Servers'!$K311)</f>
        <v>0</v>
      </c>
      <c r="K301" s="45">
        <f>PRODUCT('All-Servers'!G311,'All-Servers'!$K311)</f>
        <v>0</v>
      </c>
    </row>
    <row r="302" spans="8:11" x14ac:dyDescent="0.2">
      <c r="H302" s="45">
        <f>PRODUCT('All-Servers'!D312,'All-Servers'!$K312)</f>
        <v>0</v>
      </c>
      <c r="I302" s="45">
        <f>PRODUCT('All-Servers'!E312,'All-Servers'!$K312)</f>
        <v>0</v>
      </c>
      <c r="J302" s="45">
        <f>PRODUCT('All-Servers'!F312,'All-Servers'!$K312)</f>
        <v>0</v>
      </c>
      <c r="K302" s="45">
        <f>PRODUCT('All-Servers'!G312,'All-Servers'!$K312)</f>
        <v>0</v>
      </c>
    </row>
    <row r="303" spans="8:11" x14ac:dyDescent="0.2">
      <c r="H303" s="45">
        <f>PRODUCT('All-Servers'!D313,'All-Servers'!$K313)</f>
        <v>0</v>
      </c>
      <c r="I303" s="45">
        <f>PRODUCT('All-Servers'!E313,'All-Servers'!$K313)</f>
        <v>0</v>
      </c>
      <c r="J303" s="45">
        <f>PRODUCT('All-Servers'!F313,'All-Servers'!$K313)</f>
        <v>0</v>
      </c>
      <c r="K303" s="45">
        <f>PRODUCT('All-Servers'!G313,'All-Servers'!$K313)</f>
        <v>0</v>
      </c>
    </row>
    <row r="304" spans="8:11" x14ac:dyDescent="0.2">
      <c r="H304" s="45">
        <f>PRODUCT('All-Servers'!D314,'All-Servers'!$K314)</f>
        <v>0</v>
      </c>
      <c r="I304" s="45">
        <f>PRODUCT('All-Servers'!E314,'All-Servers'!$K314)</f>
        <v>0</v>
      </c>
      <c r="J304" s="45">
        <f>PRODUCT('All-Servers'!F314,'All-Servers'!$K314)</f>
        <v>0</v>
      </c>
      <c r="K304" s="45">
        <f>PRODUCT('All-Servers'!G314,'All-Servers'!$K314)</f>
        <v>0</v>
      </c>
    </row>
    <row r="305" spans="8:11" x14ac:dyDescent="0.2">
      <c r="H305" s="45">
        <f>PRODUCT('All-Servers'!D315,'All-Servers'!$K315)</f>
        <v>0</v>
      </c>
      <c r="I305" s="45">
        <f>PRODUCT('All-Servers'!E315,'All-Servers'!$K315)</f>
        <v>0</v>
      </c>
      <c r="J305" s="45">
        <f>PRODUCT('All-Servers'!F315,'All-Servers'!$K315)</f>
        <v>0</v>
      </c>
      <c r="K305" s="45">
        <f>PRODUCT('All-Servers'!G315,'All-Servers'!$K315)</f>
        <v>0</v>
      </c>
    </row>
    <row r="306" spans="8:11" x14ac:dyDescent="0.2">
      <c r="H306" s="45">
        <f>PRODUCT('All-Servers'!D316,'All-Servers'!$K316)</f>
        <v>0</v>
      </c>
      <c r="I306" s="45">
        <f>PRODUCT('All-Servers'!E316,'All-Servers'!$K316)</f>
        <v>0</v>
      </c>
      <c r="J306" s="45">
        <f>PRODUCT('All-Servers'!F316,'All-Servers'!$K316)</f>
        <v>0</v>
      </c>
      <c r="K306" s="45">
        <f>PRODUCT('All-Servers'!G316,'All-Servers'!$K316)</f>
        <v>0</v>
      </c>
    </row>
    <row r="307" spans="8:11" x14ac:dyDescent="0.2">
      <c r="H307" s="45">
        <f>PRODUCT('All-Servers'!D317,'All-Servers'!$K317)</f>
        <v>0</v>
      </c>
      <c r="I307" s="45">
        <f>PRODUCT('All-Servers'!E317,'All-Servers'!$K317)</f>
        <v>0</v>
      </c>
      <c r="J307" s="45">
        <f>PRODUCT('All-Servers'!F317,'All-Servers'!$K317)</f>
        <v>0</v>
      </c>
      <c r="K307" s="45">
        <f>PRODUCT('All-Servers'!G317,'All-Servers'!$K317)</f>
        <v>0</v>
      </c>
    </row>
    <row r="308" spans="8:11" x14ac:dyDescent="0.2">
      <c r="H308" s="45">
        <f>PRODUCT('All-Servers'!D318,'All-Servers'!$K318)</f>
        <v>0</v>
      </c>
      <c r="I308" s="45">
        <f>PRODUCT('All-Servers'!E318,'All-Servers'!$K318)</f>
        <v>0</v>
      </c>
      <c r="J308" s="45">
        <f>PRODUCT('All-Servers'!F318,'All-Servers'!$K318)</f>
        <v>0</v>
      </c>
      <c r="K308" s="45">
        <f>PRODUCT('All-Servers'!G318,'All-Servers'!$K318)</f>
        <v>0</v>
      </c>
    </row>
    <row r="309" spans="8:11" x14ac:dyDescent="0.2">
      <c r="H309" s="45">
        <f>PRODUCT('All-Servers'!D319,'All-Servers'!$K319)</f>
        <v>0</v>
      </c>
      <c r="I309" s="45">
        <f>PRODUCT('All-Servers'!E319,'All-Servers'!$K319)</f>
        <v>0</v>
      </c>
      <c r="J309" s="45">
        <f>PRODUCT('All-Servers'!F319,'All-Servers'!$K319)</f>
        <v>0</v>
      </c>
      <c r="K309" s="45">
        <f>PRODUCT('All-Servers'!G319,'All-Servers'!$K319)</f>
        <v>0</v>
      </c>
    </row>
    <row r="310" spans="8:11" x14ac:dyDescent="0.2">
      <c r="H310" s="45">
        <f>PRODUCT('All-Servers'!D320,'All-Servers'!$K320)</f>
        <v>0</v>
      </c>
      <c r="I310" s="45">
        <f>PRODUCT('All-Servers'!E320,'All-Servers'!$K320)</f>
        <v>0</v>
      </c>
      <c r="J310" s="45">
        <f>PRODUCT('All-Servers'!F320,'All-Servers'!$K320)</f>
        <v>0</v>
      </c>
      <c r="K310" s="45">
        <f>PRODUCT('All-Servers'!G320,'All-Servers'!$K320)</f>
        <v>0</v>
      </c>
    </row>
    <row r="311" spans="8:11" x14ac:dyDescent="0.2">
      <c r="H311" s="45">
        <f>PRODUCT('All-Servers'!D321,'All-Servers'!$K321)</f>
        <v>0</v>
      </c>
      <c r="I311" s="45">
        <f>PRODUCT('All-Servers'!E321,'All-Servers'!$K321)</f>
        <v>0</v>
      </c>
      <c r="J311" s="45">
        <f>PRODUCT('All-Servers'!F321,'All-Servers'!$K321)</f>
        <v>0</v>
      </c>
      <c r="K311" s="45">
        <f>PRODUCT('All-Servers'!G321,'All-Servers'!$K321)</f>
        <v>0</v>
      </c>
    </row>
    <row r="312" spans="8:11" x14ac:dyDescent="0.2">
      <c r="H312" s="45">
        <f>PRODUCT('All-Servers'!D322,'All-Servers'!$K322)</f>
        <v>0</v>
      </c>
      <c r="I312" s="45">
        <f>PRODUCT('All-Servers'!E322,'All-Servers'!$K322)</f>
        <v>0</v>
      </c>
      <c r="J312" s="45">
        <f>PRODUCT('All-Servers'!F322,'All-Servers'!$K322)</f>
        <v>0</v>
      </c>
      <c r="K312" s="45">
        <f>PRODUCT('All-Servers'!G322,'All-Servers'!$K322)</f>
        <v>0</v>
      </c>
    </row>
    <row r="313" spans="8:11" x14ac:dyDescent="0.2">
      <c r="H313" s="45">
        <f>PRODUCT('All-Servers'!D323,'All-Servers'!$K323)</f>
        <v>0</v>
      </c>
      <c r="I313" s="45">
        <f>PRODUCT('All-Servers'!E323,'All-Servers'!$K323)</f>
        <v>0</v>
      </c>
      <c r="J313" s="45">
        <f>PRODUCT('All-Servers'!F323,'All-Servers'!$K323)</f>
        <v>0</v>
      </c>
      <c r="K313" s="45">
        <f>PRODUCT('All-Servers'!G323,'All-Servers'!$K323)</f>
        <v>0</v>
      </c>
    </row>
    <row r="314" spans="8:11" x14ac:dyDescent="0.2">
      <c r="H314" s="45">
        <f>PRODUCT('All-Servers'!D324,'All-Servers'!$K324)</f>
        <v>0</v>
      </c>
      <c r="I314" s="45">
        <f>PRODUCT('All-Servers'!E324,'All-Servers'!$K324)</f>
        <v>0</v>
      </c>
      <c r="J314" s="45">
        <f>PRODUCT('All-Servers'!F324,'All-Servers'!$K324)</f>
        <v>0</v>
      </c>
      <c r="K314" s="45">
        <f>PRODUCT('All-Servers'!G324,'All-Servers'!$K324)</f>
        <v>0</v>
      </c>
    </row>
    <row r="315" spans="8:11" x14ac:dyDescent="0.2">
      <c r="H315" s="45">
        <f>PRODUCT('All-Servers'!D325,'All-Servers'!$K325)</f>
        <v>0</v>
      </c>
      <c r="I315" s="45">
        <f>PRODUCT('All-Servers'!E325,'All-Servers'!$K325)</f>
        <v>0</v>
      </c>
      <c r="J315" s="45">
        <f>PRODUCT('All-Servers'!F325,'All-Servers'!$K325)</f>
        <v>0</v>
      </c>
      <c r="K315" s="45">
        <f>PRODUCT('All-Servers'!G325,'All-Servers'!$K325)</f>
        <v>0</v>
      </c>
    </row>
    <row r="316" spans="8:11" x14ac:dyDescent="0.2">
      <c r="H316" s="45">
        <f>PRODUCT('All-Servers'!D326,'All-Servers'!$K326)</f>
        <v>0</v>
      </c>
      <c r="I316" s="45">
        <f>PRODUCT('All-Servers'!E326,'All-Servers'!$K326)</f>
        <v>0</v>
      </c>
      <c r="J316" s="45">
        <f>PRODUCT('All-Servers'!F326,'All-Servers'!$K326)</f>
        <v>0</v>
      </c>
      <c r="K316" s="45">
        <f>PRODUCT('All-Servers'!G326,'All-Servers'!$K326)</f>
        <v>0</v>
      </c>
    </row>
    <row r="317" spans="8:11" x14ac:dyDescent="0.2">
      <c r="H317" s="45">
        <f>PRODUCT('All-Servers'!D327,'All-Servers'!$K327)</f>
        <v>0</v>
      </c>
      <c r="I317" s="45">
        <f>PRODUCT('All-Servers'!E327,'All-Servers'!$K327)</f>
        <v>0</v>
      </c>
      <c r="J317" s="45">
        <f>PRODUCT('All-Servers'!F327,'All-Servers'!$K327)</f>
        <v>0</v>
      </c>
      <c r="K317" s="45">
        <f>PRODUCT('All-Servers'!G327,'All-Servers'!$K327)</f>
        <v>0</v>
      </c>
    </row>
    <row r="318" spans="8:11" x14ac:dyDescent="0.2">
      <c r="H318" s="45">
        <f>PRODUCT('All-Servers'!D328,'All-Servers'!$K328)</f>
        <v>0</v>
      </c>
      <c r="I318" s="45">
        <f>PRODUCT('All-Servers'!E328,'All-Servers'!$K328)</f>
        <v>0</v>
      </c>
      <c r="J318" s="45">
        <f>PRODUCT('All-Servers'!F328,'All-Servers'!$K328)</f>
        <v>0</v>
      </c>
      <c r="K318" s="45">
        <f>PRODUCT('All-Servers'!G328,'All-Servers'!$K328)</f>
        <v>0</v>
      </c>
    </row>
    <row r="319" spans="8:11" x14ac:dyDescent="0.2">
      <c r="H319" s="45">
        <f>PRODUCT('All-Servers'!D329,'All-Servers'!$K329)</f>
        <v>0</v>
      </c>
      <c r="I319" s="45">
        <f>PRODUCT('All-Servers'!E329,'All-Servers'!$K329)</f>
        <v>0</v>
      </c>
      <c r="J319" s="45">
        <f>PRODUCT('All-Servers'!F329,'All-Servers'!$K329)</f>
        <v>0</v>
      </c>
      <c r="K319" s="45">
        <f>PRODUCT('All-Servers'!G329,'All-Servers'!$K329)</f>
        <v>0</v>
      </c>
    </row>
    <row r="320" spans="8:11" x14ac:dyDescent="0.2">
      <c r="H320" s="45">
        <f>PRODUCT('All-Servers'!D330,'All-Servers'!$K330)</f>
        <v>0</v>
      </c>
      <c r="I320" s="45">
        <f>PRODUCT('All-Servers'!E330,'All-Servers'!$K330)</f>
        <v>0</v>
      </c>
      <c r="J320" s="45">
        <f>PRODUCT('All-Servers'!F330,'All-Servers'!$K330)</f>
        <v>0</v>
      </c>
      <c r="K320" s="45">
        <f>PRODUCT('All-Servers'!G330,'All-Servers'!$K330)</f>
        <v>0</v>
      </c>
    </row>
    <row r="321" spans="8:11" x14ac:dyDescent="0.2">
      <c r="H321" s="45">
        <f>PRODUCT('All-Servers'!D331,'All-Servers'!$K331)</f>
        <v>0</v>
      </c>
      <c r="I321" s="45">
        <f>PRODUCT('All-Servers'!E331,'All-Servers'!$K331)</f>
        <v>0</v>
      </c>
      <c r="J321" s="45">
        <f>PRODUCT('All-Servers'!F331,'All-Servers'!$K331)</f>
        <v>0</v>
      </c>
      <c r="K321" s="45">
        <f>PRODUCT('All-Servers'!G331,'All-Servers'!$K331)</f>
        <v>0</v>
      </c>
    </row>
    <row r="322" spans="8:11" x14ac:dyDescent="0.2">
      <c r="H322" s="45">
        <f>PRODUCT('All-Servers'!D332,'All-Servers'!$K332)</f>
        <v>0</v>
      </c>
      <c r="I322" s="45">
        <f>PRODUCT('All-Servers'!E332,'All-Servers'!$K332)</f>
        <v>0</v>
      </c>
      <c r="J322" s="45">
        <f>PRODUCT('All-Servers'!F332,'All-Servers'!$K332)</f>
        <v>0</v>
      </c>
      <c r="K322" s="45">
        <f>PRODUCT('All-Servers'!G332,'All-Servers'!$K332)</f>
        <v>0</v>
      </c>
    </row>
    <row r="323" spans="8:11" x14ac:dyDescent="0.2">
      <c r="H323" s="45">
        <f>PRODUCT('All-Servers'!D333,'All-Servers'!$K333)</f>
        <v>0</v>
      </c>
      <c r="I323" s="45">
        <f>PRODUCT('All-Servers'!E333,'All-Servers'!$K333)</f>
        <v>0</v>
      </c>
      <c r="J323" s="45">
        <f>PRODUCT('All-Servers'!F333,'All-Servers'!$K333)</f>
        <v>0</v>
      </c>
      <c r="K323" s="45">
        <f>PRODUCT('All-Servers'!G333,'All-Servers'!$K333)</f>
        <v>0</v>
      </c>
    </row>
    <row r="324" spans="8:11" x14ac:dyDescent="0.2">
      <c r="H324" s="45">
        <f>PRODUCT('All-Servers'!D334,'All-Servers'!$K334)</f>
        <v>0</v>
      </c>
      <c r="I324" s="45">
        <f>PRODUCT('All-Servers'!E334,'All-Servers'!$K334)</f>
        <v>0</v>
      </c>
      <c r="J324" s="45">
        <f>PRODUCT('All-Servers'!F334,'All-Servers'!$K334)</f>
        <v>0</v>
      </c>
      <c r="K324" s="45">
        <f>PRODUCT('All-Servers'!G334,'All-Servers'!$K334)</f>
        <v>0</v>
      </c>
    </row>
    <row r="325" spans="8:11" x14ac:dyDescent="0.2">
      <c r="H325" s="45">
        <f>PRODUCT('All-Servers'!D335,'All-Servers'!$K335)</f>
        <v>0</v>
      </c>
      <c r="I325" s="45">
        <f>PRODUCT('All-Servers'!E335,'All-Servers'!$K335)</f>
        <v>0</v>
      </c>
      <c r="J325" s="45">
        <f>PRODUCT('All-Servers'!F335,'All-Servers'!$K335)</f>
        <v>0</v>
      </c>
      <c r="K325" s="45">
        <f>PRODUCT('All-Servers'!G335,'All-Servers'!$K335)</f>
        <v>0</v>
      </c>
    </row>
    <row r="326" spans="8:11" x14ac:dyDescent="0.2">
      <c r="H326" s="45">
        <f>PRODUCT('All-Servers'!D336,'All-Servers'!$K336)</f>
        <v>0</v>
      </c>
      <c r="I326" s="45">
        <f>PRODUCT('All-Servers'!E336,'All-Servers'!$K336)</f>
        <v>0</v>
      </c>
      <c r="J326" s="45">
        <f>PRODUCT('All-Servers'!F336,'All-Servers'!$K336)</f>
        <v>0</v>
      </c>
      <c r="K326" s="45">
        <f>PRODUCT('All-Servers'!G336,'All-Servers'!$K336)</f>
        <v>0</v>
      </c>
    </row>
    <row r="327" spans="8:11" x14ac:dyDescent="0.2">
      <c r="H327" s="45">
        <f>PRODUCT('All-Servers'!D337,'All-Servers'!$K337)</f>
        <v>0</v>
      </c>
      <c r="I327" s="45">
        <f>PRODUCT('All-Servers'!E337,'All-Servers'!$K337)</f>
        <v>0</v>
      </c>
      <c r="J327" s="45">
        <f>PRODUCT('All-Servers'!F337,'All-Servers'!$K337)</f>
        <v>0</v>
      </c>
      <c r="K327" s="45">
        <f>PRODUCT('All-Servers'!G337,'All-Servers'!$K337)</f>
        <v>0</v>
      </c>
    </row>
    <row r="328" spans="8:11" x14ac:dyDescent="0.2">
      <c r="H328" s="45">
        <f>PRODUCT('All-Servers'!D338,'All-Servers'!$K338)</f>
        <v>0</v>
      </c>
      <c r="I328" s="45">
        <f>PRODUCT('All-Servers'!E338,'All-Servers'!$K338)</f>
        <v>0</v>
      </c>
      <c r="J328" s="45">
        <f>PRODUCT('All-Servers'!F338,'All-Servers'!$K338)</f>
        <v>0</v>
      </c>
      <c r="K328" s="45">
        <f>PRODUCT('All-Servers'!G338,'All-Servers'!$K338)</f>
        <v>0</v>
      </c>
    </row>
    <row r="329" spans="8:11" x14ac:dyDescent="0.2">
      <c r="H329" s="45">
        <f>PRODUCT('All-Servers'!D339,'All-Servers'!$K339)</f>
        <v>0</v>
      </c>
      <c r="I329" s="45">
        <f>PRODUCT('All-Servers'!E339,'All-Servers'!$K339)</f>
        <v>0</v>
      </c>
      <c r="J329" s="45">
        <f>PRODUCT('All-Servers'!F339,'All-Servers'!$K339)</f>
        <v>0</v>
      </c>
      <c r="K329" s="45">
        <f>PRODUCT('All-Servers'!G339,'All-Servers'!$K339)</f>
        <v>0</v>
      </c>
    </row>
    <row r="330" spans="8:11" x14ac:dyDescent="0.2">
      <c r="H330" s="45">
        <f>PRODUCT('All-Servers'!D340,'All-Servers'!$K340)</f>
        <v>0</v>
      </c>
      <c r="I330" s="45">
        <f>PRODUCT('All-Servers'!E340,'All-Servers'!$K340)</f>
        <v>0</v>
      </c>
      <c r="J330" s="45">
        <f>PRODUCT('All-Servers'!F340,'All-Servers'!$K340)</f>
        <v>0</v>
      </c>
      <c r="K330" s="45">
        <f>PRODUCT('All-Servers'!G340,'All-Servers'!$K340)</f>
        <v>0</v>
      </c>
    </row>
    <row r="331" spans="8:11" x14ac:dyDescent="0.2">
      <c r="H331" s="45">
        <f>PRODUCT('All-Servers'!D341,'All-Servers'!$K341)</f>
        <v>0</v>
      </c>
      <c r="I331" s="45">
        <f>PRODUCT('All-Servers'!E341,'All-Servers'!$K341)</f>
        <v>0</v>
      </c>
      <c r="J331" s="45">
        <f>PRODUCT('All-Servers'!F341,'All-Servers'!$K341)</f>
        <v>0</v>
      </c>
      <c r="K331" s="45">
        <f>PRODUCT('All-Servers'!G341,'All-Servers'!$K341)</f>
        <v>0</v>
      </c>
    </row>
    <row r="332" spans="8:11" x14ac:dyDescent="0.2">
      <c r="H332" s="45">
        <f>PRODUCT('All-Servers'!D342,'All-Servers'!$K342)</f>
        <v>0</v>
      </c>
      <c r="I332" s="45">
        <f>PRODUCT('All-Servers'!E342,'All-Servers'!$K342)</f>
        <v>0</v>
      </c>
      <c r="J332" s="45">
        <f>PRODUCT('All-Servers'!F342,'All-Servers'!$K342)</f>
        <v>0</v>
      </c>
      <c r="K332" s="45">
        <f>PRODUCT('All-Servers'!G342,'All-Servers'!$K342)</f>
        <v>0</v>
      </c>
    </row>
    <row r="333" spans="8:11" x14ac:dyDescent="0.2">
      <c r="H333" s="45">
        <f>PRODUCT('All-Servers'!D343,'All-Servers'!$K343)</f>
        <v>0</v>
      </c>
      <c r="I333" s="45">
        <f>PRODUCT('All-Servers'!E343,'All-Servers'!$K343)</f>
        <v>0</v>
      </c>
      <c r="J333" s="45">
        <f>PRODUCT('All-Servers'!F343,'All-Servers'!$K343)</f>
        <v>0</v>
      </c>
      <c r="K333" s="45">
        <f>PRODUCT('All-Servers'!G343,'All-Servers'!$K343)</f>
        <v>0</v>
      </c>
    </row>
    <row r="334" spans="8:11" x14ac:dyDescent="0.2">
      <c r="H334" s="45">
        <f>PRODUCT('All-Servers'!D344,'All-Servers'!$K344)</f>
        <v>0</v>
      </c>
      <c r="I334" s="45">
        <f>PRODUCT('All-Servers'!E344,'All-Servers'!$K344)</f>
        <v>0</v>
      </c>
      <c r="J334" s="45">
        <f>PRODUCT('All-Servers'!F344,'All-Servers'!$K344)</f>
        <v>0</v>
      </c>
      <c r="K334" s="45">
        <f>PRODUCT('All-Servers'!G344,'All-Servers'!$K344)</f>
        <v>0</v>
      </c>
    </row>
    <row r="335" spans="8:11" x14ac:dyDescent="0.2">
      <c r="H335" s="45">
        <f>PRODUCT('All-Servers'!D345,'All-Servers'!$K345)</f>
        <v>0</v>
      </c>
      <c r="I335" s="45">
        <f>PRODUCT('All-Servers'!E345,'All-Servers'!$K345)</f>
        <v>0</v>
      </c>
      <c r="J335" s="45">
        <f>PRODUCT('All-Servers'!F345,'All-Servers'!$K345)</f>
        <v>0</v>
      </c>
      <c r="K335" s="45">
        <f>PRODUCT('All-Servers'!G345,'All-Servers'!$K345)</f>
        <v>0</v>
      </c>
    </row>
    <row r="336" spans="8:11" x14ac:dyDescent="0.2">
      <c r="H336" s="45">
        <f>PRODUCT('All-Servers'!D346,'All-Servers'!$K346)</f>
        <v>0</v>
      </c>
      <c r="I336" s="45">
        <f>PRODUCT('All-Servers'!E346,'All-Servers'!$K346)</f>
        <v>0</v>
      </c>
      <c r="J336" s="45">
        <f>PRODUCT('All-Servers'!F346,'All-Servers'!$K346)</f>
        <v>0</v>
      </c>
      <c r="K336" s="45">
        <f>PRODUCT('All-Servers'!G346,'All-Servers'!$K346)</f>
        <v>0</v>
      </c>
    </row>
    <row r="337" spans="8:11" x14ac:dyDescent="0.2">
      <c r="H337" s="45">
        <f>PRODUCT('All-Servers'!D347,'All-Servers'!$K347)</f>
        <v>0</v>
      </c>
      <c r="I337" s="45">
        <f>PRODUCT('All-Servers'!E347,'All-Servers'!$K347)</f>
        <v>0</v>
      </c>
      <c r="J337" s="45">
        <f>PRODUCT('All-Servers'!F347,'All-Servers'!$K347)</f>
        <v>0</v>
      </c>
      <c r="K337" s="45">
        <f>PRODUCT('All-Servers'!G347,'All-Servers'!$K347)</f>
        <v>0</v>
      </c>
    </row>
    <row r="338" spans="8:11" x14ac:dyDescent="0.2">
      <c r="H338" s="45">
        <f>PRODUCT('All-Servers'!D348,'All-Servers'!$K348)</f>
        <v>0</v>
      </c>
      <c r="I338" s="45">
        <f>PRODUCT('All-Servers'!E348,'All-Servers'!$K348)</f>
        <v>0</v>
      </c>
      <c r="J338" s="45">
        <f>PRODUCT('All-Servers'!F348,'All-Servers'!$K348)</f>
        <v>0</v>
      </c>
      <c r="K338" s="45">
        <f>PRODUCT('All-Servers'!G348,'All-Servers'!$K348)</f>
        <v>0</v>
      </c>
    </row>
    <row r="339" spans="8:11" x14ac:dyDescent="0.2">
      <c r="H339" s="45">
        <f>PRODUCT('All-Servers'!D349,'All-Servers'!$K349)</f>
        <v>0</v>
      </c>
      <c r="I339" s="45">
        <f>PRODUCT('All-Servers'!E349,'All-Servers'!$K349)</f>
        <v>0</v>
      </c>
      <c r="J339" s="45">
        <f>PRODUCT('All-Servers'!F349,'All-Servers'!$K349)</f>
        <v>0</v>
      </c>
      <c r="K339" s="45">
        <f>PRODUCT('All-Servers'!G349,'All-Servers'!$K349)</f>
        <v>0</v>
      </c>
    </row>
    <row r="340" spans="8:11" x14ac:dyDescent="0.2">
      <c r="H340" s="45">
        <f>PRODUCT('All-Servers'!D350,'All-Servers'!$K350)</f>
        <v>0</v>
      </c>
      <c r="I340" s="45">
        <f>PRODUCT('All-Servers'!E350,'All-Servers'!$K350)</f>
        <v>0</v>
      </c>
      <c r="J340" s="45">
        <f>PRODUCT('All-Servers'!F350,'All-Servers'!$K350)</f>
        <v>0</v>
      </c>
      <c r="K340" s="45">
        <f>PRODUCT('All-Servers'!G350,'All-Servers'!$K350)</f>
        <v>0</v>
      </c>
    </row>
    <row r="341" spans="8:11" x14ac:dyDescent="0.2">
      <c r="H341" s="45">
        <f>PRODUCT('All-Servers'!D351,'All-Servers'!$K351)</f>
        <v>0</v>
      </c>
      <c r="I341" s="45">
        <f>PRODUCT('All-Servers'!E351,'All-Servers'!$K351)</f>
        <v>0</v>
      </c>
      <c r="J341" s="45">
        <f>PRODUCT('All-Servers'!F351,'All-Servers'!$K351)</f>
        <v>0</v>
      </c>
      <c r="K341" s="45">
        <f>PRODUCT('All-Servers'!G351,'All-Servers'!$K351)</f>
        <v>0</v>
      </c>
    </row>
    <row r="342" spans="8:11" x14ac:dyDescent="0.2">
      <c r="H342" s="45">
        <f>PRODUCT('All-Servers'!D352,'All-Servers'!$K352)</f>
        <v>0</v>
      </c>
      <c r="I342" s="45">
        <f>PRODUCT('All-Servers'!E352,'All-Servers'!$K352)</f>
        <v>0</v>
      </c>
      <c r="J342" s="45">
        <f>PRODUCT('All-Servers'!F352,'All-Servers'!$K352)</f>
        <v>0</v>
      </c>
      <c r="K342" s="45">
        <f>PRODUCT('All-Servers'!G352,'All-Servers'!$K352)</f>
        <v>0</v>
      </c>
    </row>
    <row r="343" spans="8:11" x14ac:dyDescent="0.2">
      <c r="H343" s="45">
        <f>PRODUCT('All-Servers'!D353,'All-Servers'!$K353)</f>
        <v>0</v>
      </c>
      <c r="I343" s="45">
        <f>PRODUCT('All-Servers'!E353,'All-Servers'!$K353)</f>
        <v>0</v>
      </c>
      <c r="J343" s="45">
        <f>PRODUCT('All-Servers'!F353,'All-Servers'!$K353)</f>
        <v>0</v>
      </c>
      <c r="K343" s="45">
        <f>PRODUCT('All-Servers'!G353,'All-Servers'!$K353)</f>
        <v>0</v>
      </c>
    </row>
    <row r="344" spans="8:11" x14ac:dyDescent="0.2">
      <c r="H344" s="45">
        <f>PRODUCT('All-Servers'!D354,'All-Servers'!$K354)</f>
        <v>0</v>
      </c>
      <c r="I344" s="45">
        <f>PRODUCT('All-Servers'!E354,'All-Servers'!$K354)</f>
        <v>0</v>
      </c>
      <c r="J344" s="45">
        <f>PRODUCT('All-Servers'!F354,'All-Servers'!$K354)</f>
        <v>0</v>
      </c>
      <c r="K344" s="45">
        <f>PRODUCT('All-Servers'!G354,'All-Servers'!$K354)</f>
        <v>0</v>
      </c>
    </row>
    <row r="345" spans="8:11" x14ac:dyDescent="0.2">
      <c r="H345" s="45">
        <f>PRODUCT('All-Servers'!D355,'All-Servers'!$K355)</f>
        <v>0</v>
      </c>
      <c r="I345" s="45">
        <f>PRODUCT('All-Servers'!E355,'All-Servers'!$K355)</f>
        <v>0</v>
      </c>
      <c r="J345" s="45">
        <f>PRODUCT('All-Servers'!F355,'All-Servers'!$K355)</f>
        <v>0</v>
      </c>
      <c r="K345" s="45">
        <f>PRODUCT('All-Servers'!G355,'All-Servers'!$K355)</f>
        <v>0</v>
      </c>
    </row>
    <row r="346" spans="8:11" x14ac:dyDescent="0.2">
      <c r="H346" s="45">
        <f>PRODUCT('All-Servers'!D356,'All-Servers'!$K356)</f>
        <v>0</v>
      </c>
      <c r="I346" s="45">
        <f>PRODUCT('All-Servers'!E356,'All-Servers'!$K356)</f>
        <v>0</v>
      </c>
      <c r="J346" s="45">
        <f>PRODUCT('All-Servers'!F356,'All-Servers'!$K356)</f>
        <v>0</v>
      </c>
      <c r="K346" s="45">
        <f>PRODUCT('All-Servers'!G356,'All-Servers'!$K356)</f>
        <v>0</v>
      </c>
    </row>
    <row r="347" spans="8:11" x14ac:dyDescent="0.2">
      <c r="H347" s="45">
        <f>PRODUCT('All-Servers'!D357,'All-Servers'!$K357)</f>
        <v>0</v>
      </c>
      <c r="I347" s="45">
        <f>PRODUCT('All-Servers'!E357,'All-Servers'!$K357)</f>
        <v>0</v>
      </c>
      <c r="J347" s="45">
        <f>PRODUCT('All-Servers'!F357,'All-Servers'!$K357)</f>
        <v>0</v>
      </c>
      <c r="K347" s="45">
        <f>PRODUCT('All-Servers'!G357,'All-Servers'!$K357)</f>
        <v>0</v>
      </c>
    </row>
    <row r="348" spans="8:11" x14ac:dyDescent="0.2">
      <c r="H348" s="45">
        <f>PRODUCT('All-Servers'!D358,'All-Servers'!$K358)</f>
        <v>0</v>
      </c>
      <c r="I348" s="45">
        <f>PRODUCT('All-Servers'!E358,'All-Servers'!$K358)</f>
        <v>0</v>
      </c>
      <c r="J348" s="45">
        <f>PRODUCT('All-Servers'!F358,'All-Servers'!$K358)</f>
        <v>0</v>
      </c>
      <c r="K348" s="45">
        <f>PRODUCT('All-Servers'!G358,'All-Servers'!$K358)</f>
        <v>0</v>
      </c>
    </row>
    <row r="349" spans="8:11" x14ac:dyDescent="0.2">
      <c r="H349" s="45">
        <f>PRODUCT('All-Servers'!D359,'All-Servers'!$K359)</f>
        <v>0</v>
      </c>
      <c r="I349" s="45">
        <f>PRODUCT('All-Servers'!E359,'All-Servers'!$K359)</f>
        <v>0</v>
      </c>
      <c r="J349" s="45">
        <f>PRODUCT('All-Servers'!F359,'All-Servers'!$K359)</f>
        <v>0</v>
      </c>
      <c r="K349" s="45">
        <f>PRODUCT('All-Servers'!G359,'All-Servers'!$K359)</f>
        <v>0</v>
      </c>
    </row>
    <row r="350" spans="8:11" x14ac:dyDescent="0.2">
      <c r="H350" s="45">
        <f>PRODUCT('All-Servers'!D360,'All-Servers'!$K360)</f>
        <v>0</v>
      </c>
      <c r="I350" s="45">
        <f>PRODUCT('All-Servers'!E360,'All-Servers'!$K360)</f>
        <v>0</v>
      </c>
      <c r="J350" s="45">
        <f>PRODUCT('All-Servers'!F360,'All-Servers'!$K360)</f>
        <v>0</v>
      </c>
      <c r="K350" s="45">
        <f>PRODUCT('All-Servers'!G360,'All-Servers'!$K360)</f>
        <v>0</v>
      </c>
    </row>
    <row r="351" spans="8:11" x14ac:dyDescent="0.2">
      <c r="H351" s="45">
        <f>PRODUCT('All-Servers'!D361,'All-Servers'!$K361)</f>
        <v>0</v>
      </c>
      <c r="I351" s="45">
        <f>PRODUCT('All-Servers'!E361,'All-Servers'!$K361)</f>
        <v>0</v>
      </c>
      <c r="J351" s="45">
        <f>PRODUCT('All-Servers'!F361,'All-Servers'!$K361)</f>
        <v>0</v>
      </c>
      <c r="K351" s="45">
        <f>PRODUCT('All-Servers'!G361,'All-Servers'!$K361)</f>
        <v>0</v>
      </c>
    </row>
    <row r="352" spans="8:11" x14ac:dyDescent="0.2">
      <c r="H352" s="45">
        <f>PRODUCT('All-Servers'!D362,'All-Servers'!$K362)</f>
        <v>0</v>
      </c>
      <c r="I352" s="45">
        <f>PRODUCT('All-Servers'!E362,'All-Servers'!$K362)</f>
        <v>0</v>
      </c>
      <c r="J352" s="45">
        <f>PRODUCT('All-Servers'!F362,'All-Servers'!$K362)</f>
        <v>0</v>
      </c>
      <c r="K352" s="45">
        <f>PRODUCT('All-Servers'!G362,'All-Servers'!$K362)</f>
        <v>0</v>
      </c>
    </row>
    <row r="353" spans="8:11" x14ac:dyDescent="0.2">
      <c r="H353" s="45">
        <f>PRODUCT('All-Servers'!D363,'All-Servers'!$K363)</f>
        <v>0</v>
      </c>
      <c r="I353" s="45">
        <f>PRODUCT('All-Servers'!E363,'All-Servers'!$K363)</f>
        <v>0</v>
      </c>
      <c r="J353" s="45">
        <f>PRODUCT('All-Servers'!F363,'All-Servers'!$K363)</f>
        <v>0</v>
      </c>
      <c r="K353" s="45">
        <f>PRODUCT('All-Servers'!G363,'All-Servers'!$K363)</f>
        <v>0</v>
      </c>
    </row>
    <row r="354" spans="8:11" x14ac:dyDescent="0.2">
      <c r="H354" s="45">
        <f>PRODUCT('All-Servers'!D364,'All-Servers'!$K364)</f>
        <v>0</v>
      </c>
      <c r="I354" s="45">
        <f>PRODUCT('All-Servers'!E364,'All-Servers'!$K364)</f>
        <v>0</v>
      </c>
      <c r="J354" s="45">
        <f>PRODUCT('All-Servers'!F364,'All-Servers'!$K364)</f>
        <v>0</v>
      </c>
      <c r="K354" s="45">
        <f>PRODUCT('All-Servers'!G364,'All-Servers'!$K364)</f>
        <v>0</v>
      </c>
    </row>
    <row r="355" spans="8:11" x14ac:dyDescent="0.2">
      <c r="H355" s="45">
        <f>PRODUCT('All-Servers'!D365,'All-Servers'!$K365)</f>
        <v>0</v>
      </c>
      <c r="I355" s="45">
        <f>PRODUCT('All-Servers'!E365,'All-Servers'!$K365)</f>
        <v>0</v>
      </c>
      <c r="J355" s="45">
        <f>PRODUCT('All-Servers'!F365,'All-Servers'!$K365)</f>
        <v>0</v>
      </c>
      <c r="K355" s="45">
        <f>PRODUCT('All-Servers'!G365,'All-Servers'!$K365)</f>
        <v>0</v>
      </c>
    </row>
    <row r="356" spans="8:11" x14ac:dyDescent="0.2">
      <c r="H356" s="45">
        <f>PRODUCT('All-Servers'!D366,'All-Servers'!$K366)</f>
        <v>0</v>
      </c>
      <c r="I356" s="45">
        <f>PRODUCT('All-Servers'!E366,'All-Servers'!$K366)</f>
        <v>0</v>
      </c>
      <c r="J356" s="45">
        <f>PRODUCT('All-Servers'!F366,'All-Servers'!$K366)</f>
        <v>0</v>
      </c>
      <c r="K356" s="45">
        <f>PRODUCT('All-Servers'!G366,'All-Servers'!$K366)</f>
        <v>0</v>
      </c>
    </row>
    <row r="357" spans="8:11" x14ac:dyDescent="0.2">
      <c r="H357" s="45">
        <f>PRODUCT('All-Servers'!D367,'All-Servers'!$K367)</f>
        <v>0</v>
      </c>
      <c r="I357" s="45">
        <f>PRODUCT('All-Servers'!E367,'All-Servers'!$K367)</f>
        <v>0</v>
      </c>
      <c r="J357" s="45">
        <f>PRODUCT('All-Servers'!F367,'All-Servers'!$K367)</f>
        <v>0</v>
      </c>
      <c r="K357" s="45">
        <f>PRODUCT('All-Servers'!G367,'All-Servers'!$K367)</f>
        <v>0</v>
      </c>
    </row>
    <row r="358" spans="8:11" x14ac:dyDescent="0.2">
      <c r="H358" s="45">
        <f>PRODUCT('All-Servers'!D368,'All-Servers'!$K368)</f>
        <v>0</v>
      </c>
      <c r="I358" s="45">
        <f>PRODUCT('All-Servers'!E368,'All-Servers'!$K368)</f>
        <v>0</v>
      </c>
      <c r="J358" s="45">
        <f>PRODUCT('All-Servers'!F368,'All-Servers'!$K368)</f>
        <v>0</v>
      </c>
      <c r="K358" s="45">
        <f>PRODUCT('All-Servers'!G368,'All-Servers'!$K368)</f>
        <v>0</v>
      </c>
    </row>
    <row r="359" spans="8:11" x14ac:dyDescent="0.2">
      <c r="H359" s="45">
        <f>PRODUCT('All-Servers'!D369,'All-Servers'!$K369)</f>
        <v>0</v>
      </c>
      <c r="I359" s="45">
        <f>PRODUCT('All-Servers'!E369,'All-Servers'!$K369)</f>
        <v>0</v>
      </c>
      <c r="J359" s="45">
        <f>PRODUCT('All-Servers'!F369,'All-Servers'!$K369)</f>
        <v>0</v>
      </c>
      <c r="K359" s="45">
        <f>PRODUCT('All-Servers'!G369,'All-Servers'!$K369)</f>
        <v>0</v>
      </c>
    </row>
    <row r="360" spans="8:11" x14ac:dyDescent="0.2">
      <c r="H360" s="45">
        <f>PRODUCT('All-Servers'!D370,'All-Servers'!$K370)</f>
        <v>0</v>
      </c>
      <c r="I360" s="45">
        <f>PRODUCT('All-Servers'!E370,'All-Servers'!$K370)</f>
        <v>0</v>
      </c>
      <c r="J360" s="45">
        <f>PRODUCT('All-Servers'!F370,'All-Servers'!$K370)</f>
        <v>0</v>
      </c>
      <c r="K360" s="45">
        <f>PRODUCT('All-Servers'!G370,'All-Servers'!$K370)</f>
        <v>0</v>
      </c>
    </row>
    <row r="361" spans="8:11" x14ac:dyDescent="0.2">
      <c r="H361" s="45">
        <f>PRODUCT('All-Servers'!D371,'All-Servers'!$K371)</f>
        <v>0</v>
      </c>
      <c r="I361" s="45">
        <f>PRODUCT('All-Servers'!E371,'All-Servers'!$K371)</f>
        <v>0</v>
      </c>
      <c r="J361" s="45">
        <f>PRODUCT('All-Servers'!F371,'All-Servers'!$K371)</f>
        <v>0</v>
      </c>
      <c r="K361" s="45">
        <f>PRODUCT('All-Servers'!G371,'All-Servers'!$K371)</f>
        <v>0</v>
      </c>
    </row>
    <row r="362" spans="8:11" x14ac:dyDescent="0.2">
      <c r="H362" s="45">
        <f>PRODUCT('All-Servers'!D372,'All-Servers'!$K372)</f>
        <v>0</v>
      </c>
      <c r="I362" s="45">
        <f>PRODUCT('All-Servers'!E372,'All-Servers'!$K372)</f>
        <v>0</v>
      </c>
      <c r="J362" s="45">
        <f>PRODUCT('All-Servers'!F372,'All-Servers'!$K372)</f>
        <v>0</v>
      </c>
      <c r="K362" s="45">
        <f>PRODUCT('All-Servers'!G372,'All-Servers'!$K372)</f>
        <v>0</v>
      </c>
    </row>
    <row r="363" spans="8:11" x14ac:dyDescent="0.2">
      <c r="H363" s="45">
        <f>PRODUCT('All-Servers'!D373,'All-Servers'!$K373)</f>
        <v>0</v>
      </c>
      <c r="I363" s="45">
        <f>PRODUCT('All-Servers'!E373,'All-Servers'!$K373)</f>
        <v>0</v>
      </c>
      <c r="J363" s="45">
        <f>PRODUCT('All-Servers'!F373,'All-Servers'!$K373)</f>
        <v>0</v>
      </c>
      <c r="K363" s="45">
        <f>PRODUCT('All-Servers'!G373,'All-Servers'!$K373)</f>
        <v>0</v>
      </c>
    </row>
    <row r="364" spans="8:11" x14ac:dyDescent="0.2">
      <c r="H364" s="45">
        <f>PRODUCT('All-Servers'!D374,'All-Servers'!$K374)</f>
        <v>0</v>
      </c>
      <c r="I364" s="45">
        <f>PRODUCT('All-Servers'!E374,'All-Servers'!$K374)</f>
        <v>0</v>
      </c>
      <c r="J364" s="45">
        <f>PRODUCT('All-Servers'!F374,'All-Servers'!$K374)</f>
        <v>0</v>
      </c>
      <c r="K364" s="45">
        <f>PRODUCT('All-Servers'!G374,'All-Servers'!$K374)</f>
        <v>0</v>
      </c>
    </row>
    <row r="365" spans="8:11" x14ac:dyDescent="0.2">
      <c r="H365" s="45">
        <f>PRODUCT('All-Servers'!D375,'All-Servers'!$K375)</f>
        <v>0</v>
      </c>
      <c r="I365" s="45">
        <f>PRODUCT('All-Servers'!E375,'All-Servers'!$K375)</f>
        <v>0</v>
      </c>
      <c r="J365" s="45">
        <f>PRODUCT('All-Servers'!F375,'All-Servers'!$K375)</f>
        <v>0</v>
      </c>
      <c r="K365" s="45">
        <f>PRODUCT('All-Servers'!G375,'All-Servers'!$K375)</f>
        <v>0</v>
      </c>
    </row>
    <row r="366" spans="8:11" x14ac:dyDescent="0.2">
      <c r="H366" s="45">
        <f>PRODUCT('All-Servers'!D376,'All-Servers'!$K376)</f>
        <v>0</v>
      </c>
      <c r="I366" s="45">
        <f>PRODUCT('All-Servers'!E376,'All-Servers'!$K376)</f>
        <v>0</v>
      </c>
      <c r="J366" s="45">
        <f>PRODUCT('All-Servers'!F376,'All-Servers'!$K376)</f>
        <v>0</v>
      </c>
      <c r="K366" s="45">
        <f>PRODUCT('All-Servers'!G376,'All-Servers'!$K376)</f>
        <v>0</v>
      </c>
    </row>
    <row r="367" spans="8:11" x14ac:dyDescent="0.2">
      <c r="H367" s="45">
        <f>PRODUCT('All-Servers'!D377,'All-Servers'!$K377)</f>
        <v>0</v>
      </c>
      <c r="I367" s="45">
        <f>PRODUCT('All-Servers'!E377,'All-Servers'!$K377)</f>
        <v>0</v>
      </c>
      <c r="J367" s="45">
        <f>PRODUCT('All-Servers'!F377,'All-Servers'!$K377)</f>
        <v>0</v>
      </c>
      <c r="K367" s="45">
        <f>PRODUCT('All-Servers'!G377,'All-Servers'!$K377)</f>
        <v>0</v>
      </c>
    </row>
    <row r="368" spans="8:11" x14ac:dyDescent="0.2">
      <c r="H368" s="45">
        <f>PRODUCT('All-Servers'!D378,'All-Servers'!$K378)</f>
        <v>0</v>
      </c>
      <c r="I368" s="45">
        <f>PRODUCT('All-Servers'!E378,'All-Servers'!$K378)</f>
        <v>0</v>
      </c>
      <c r="J368" s="45">
        <f>PRODUCT('All-Servers'!F378,'All-Servers'!$K378)</f>
        <v>0</v>
      </c>
      <c r="K368" s="45">
        <f>PRODUCT('All-Servers'!G378,'All-Servers'!$K378)</f>
        <v>0</v>
      </c>
    </row>
    <row r="369" spans="8:11" x14ac:dyDescent="0.2">
      <c r="H369" s="45">
        <f>PRODUCT('All-Servers'!D379,'All-Servers'!$K379)</f>
        <v>0</v>
      </c>
      <c r="I369" s="45">
        <f>PRODUCT('All-Servers'!E379,'All-Servers'!$K379)</f>
        <v>0</v>
      </c>
      <c r="J369" s="45">
        <f>PRODUCT('All-Servers'!F379,'All-Servers'!$K379)</f>
        <v>0</v>
      </c>
      <c r="K369" s="45">
        <f>PRODUCT('All-Servers'!G379,'All-Servers'!$K379)</f>
        <v>0</v>
      </c>
    </row>
    <row r="370" spans="8:11" x14ac:dyDescent="0.2">
      <c r="H370" s="45">
        <f>PRODUCT('All-Servers'!D380,'All-Servers'!$K380)</f>
        <v>0</v>
      </c>
      <c r="I370" s="45">
        <f>PRODUCT('All-Servers'!E380,'All-Servers'!$K380)</f>
        <v>0</v>
      </c>
      <c r="J370" s="45">
        <f>PRODUCT('All-Servers'!F380,'All-Servers'!$K380)</f>
        <v>0</v>
      </c>
      <c r="K370" s="45">
        <f>PRODUCT('All-Servers'!G380,'All-Servers'!$K380)</f>
        <v>0</v>
      </c>
    </row>
    <row r="371" spans="8:11" x14ac:dyDescent="0.2">
      <c r="H371" s="45">
        <f>PRODUCT('All-Servers'!D381,'All-Servers'!$K381)</f>
        <v>0</v>
      </c>
      <c r="I371" s="45">
        <f>PRODUCT('All-Servers'!E381,'All-Servers'!$K381)</f>
        <v>0</v>
      </c>
      <c r="J371" s="45">
        <f>PRODUCT('All-Servers'!F381,'All-Servers'!$K381)</f>
        <v>0</v>
      </c>
      <c r="K371" s="45">
        <f>PRODUCT('All-Servers'!G381,'All-Servers'!$K381)</f>
        <v>0</v>
      </c>
    </row>
    <row r="372" spans="8:11" x14ac:dyDescent="0.2">
      <c r="H372" s="45">
        <f>PRODUCT('All-Servers'!D382,'All-Servers'!$K382)</f>
        <v>0</v>
      </c>
      <c r="I372" s="45">
        <f>PRODUCT('All-Servers'!E382,'All-Servers'!$K382)</f>
        <v>0</v>
      </c>
      <c r="J372" s="45">
        <f>PRODUCT('All-Servers'!F382,'All-Servers'!$K382)</f>
        <v>0</v>
      </c>
      <c r="K372" s="45">
        <f>PRODUCT('All-Servers'!G382,'All-Servers'!$K382)</f>
        <v>0</v>
      </c>
    </row>
    <row r="373" spans="8:11" x14ac:dyDescent="0.2">
      <c r="H373" s="45">
        <f>PRODUCT('All-Servers'!D383,'All-Servers'!$K383)</f>
        <v>0</v>
      </c>
      <c r="I373" s="45">
        <f>PRODUCT('All-Servers'!E383,'All-Servers'!$K383)</f>
        <v>0</v>
      </c>
      <c r="J373" s="45">
        <f>PRODUCT('All-Servers'!F383,'All-Servers'!$K383)</f>
        <v>0</v>
      </c>
      <c r="K373" s="45">
        <f>PRODUCT('All-Servers'!G383,'All-Servers'!$K383)</f>
        <v>0</v>
      </c>
    </row>
    <row r="374" spans="8:11" x14ac:dyDescent="0.2">
      <c r="H374" s="45">
        <f>PRODUCT('All-Servers'!D384,'All-Servers'!$K384)</f>
        <v>0</v>
      </c>
      <c r="I374" s="45">
        <f>PRODUCT('All-Servers'!E384,'All-Servers'!$K384)</f>
        <v>0</v>
      </c>
      <c r="J374" s="45">
        <f>PRODUCT('All-Servers'!F384,'All-Servers'!$K384)</f>
        <v>0</v>
      </c>
      <c r="K374" s="45">
        <f>PRODUCT('All-Servers'!G384,'All-Servers'!$K384)</f>
        <v>0</v>
      </c>
    </row>
    <row r="375" spans="8:11" x14ac:dyDescent="0.2">
      <c r="H375" s="45">
        <f>PRODUCT('All-Servers'!D385,'All-Servers'!$K385)</f>
        <v>0</v>
      </c>
      <c r="I375" s="45">
        <f>PRODUCT('All-Servers'!E385,'All-Servers'!$K385)</f>
        <v>0</v>
      </c>
      <c r="J375" s="45">
        <f>PRODUCT('All-Servers'!F385,'All-Servers'!$K385)</f>
        <v>0</v>
      </c>
      <c r="K375" s="45">
        <f>PRODUCT('All-Servers'!G385,'All-Servers'!$K385)</f>
        <v>0</v>
      </c>
    </row>
    <row r="376" spans="8:11" x14ac:dyDescent="0.2">
      <c r="H376" s="45">
        <f>PRODUCT('All-Servers'!D386,'All-Servers'!$K386)</f>
        <v>0</v>
      </c>
      <c r="I376" s="45">
        <f>PRODUCT('All-Servers'!E386,'All-Servers'!$K386)</f>
        <v>0</v>
      </c>
      <c r="J376" s="45">
        <f>PRODUCT('All-Servers'!F386,'All-Servers'!$K386)</f>
        <v>0</v>
      </c>
      <c r="K376" s="45">
        <f>PRODUCT('All-Servers'!G386,'All-Servers'!$K386)</f>
        <v>0</v>
      </c>
    </row>
    <row r="377" spans="8:11" x14ac:dyDescent="0.2">
      <c r="H377" s="45">
        <f>PRODUCT('All-Servers'!D387,'All-Servers'!$K387)</f>
        <v>0</v>
      </c>
      <c r="I377" s="45">
        <f>PRODUCT('All-Servers'!E387,'All-Servers'!$K387)</f>
        <v>0</v>
      </c>
      <c r="J377" s="45">
        <f>PRODUCT('All-Servers'!F387,'All-Servers'!$K387)</f>
        <v>0</v>
      </c>
      <c r="K377" s="45">
        <f>PRODUCT('All-Servers'!G387,'All-Servers'!$K387)</f>
        <v>0</v>
      </c>
    </row>
    <row r="378" spans="8:11" x14ac:dyDescent="0.2">
      <c r="H378" s="45">
        <f>PRODUCT('All-Servers'!D388,'All-Servers'!$K388)</f>
        <v>0</v>
      </c>
      <c r="I378" s="45">
        <f>PRODUCT('All-Servers'!E388,'All-Servers'!$K388)</f>
        <v>0</v>
      </c>
      <c r="J378" s="45">
        <f>PRODUCT('All-Servers'!F388,'All-Servers'!$K388)</f>
        <v>0</v>
      </c>
      <c r="K378" s="45">
        <f>PRODUCT('All-Servers'!G388,'All-Servers'!$K388)</f>
        <v>0</v>
      </c>
    </row>
    <row r="379" spans="8:11" x14ac:dyDescent="0.2">
      <c r="H379" s="45">
        <f>PRODUCT('All-Servers'!D389,'All-Servers'!$K389)</f>
        <v>0</v>
      </c>
      <c r="I379" s="45">
        <f>PRODUCT('All-Servers'!E389,'All-Servers'!$K389)</f>
        <v>0</v>
      </c>
      <c r="J379" s="45">
        <f>PRODUCT('All-Servers'!F389,'All-Servers'!$K389)</f>
        <v>0</v>
      </c>
      <c r="K379" s="45">
        <f>PRODUCT('All-Servers'!G389,'All-Servers'!$K389)</f>
        <v>0</v>
      </c>
    </row>
    <row r="380" spans="8:11" x14ac:dyDescent="0.2">
      <c r="H380" s="45">
        <f>PRODUCT('All-Servers'!D390,'All-Servers'!$K390)</f>
        <v>0</v>
      </c>
      <c r="I380" s="45">
        <f>PRODUCT('All-Servers'!E390,'All-Servers'!$K390)</f>
        <v>0</v>
      </c>
      <c r="J380" s="45">
        <f>PRODUCT('All-Servers'!F390,'All-Servers'!$K390)</f>
        <v>0</v>
      </c>
      <c r="K380" s="45">
        <f>PRODUCT('All-Servers'!G390,'All-Servers'!$K390)</f>
        <v>0</v>
      </c>
    </row>
    <row r="381" spans="8:11" x14ac:dyDescent="0.2">
      <c r="H381" s="45">
        <f>PRODUCT('All-Servers'!D391,'All-Servers'!$K391)</f>
        <v>0</v>
      </c>
      <c r="I381" s="45">
        <f>PRODUCT('All-Servers'!E391,'All-Servers'!$K391)</f>
        <v>0</v>
      </c>
      <c r="J381" s="45">
        <f>PRODUCT('All-Servers'!F391,'All-Servers'!$K391)</f>
        <v>0</v>
      </c>
      <c r="K381" s="45">
        <f>PRODUCT('All-Servers'!G391,'All-Servers'!$K391)</f>
        <v>0</v>
      </c>
    </row>
    <row r="382" spans="8:11" x14ac:dyDescent="0.2">
      <c r="H382" s="45">
        <f>PRODUCT('All-Servers'!D392,'All-Servers'!$K392)</f>
        <v>0</v>
      </c>
      <c r="I382" s="45">
        <f>PRODUCT('All-Servers'!E392,'All-Servers'!$K392)</f>
        <v>0</v>
      </c>
      <c r="J382" s="45">
        <f>PRODUCT('All-Servers'!F392,'All-Servers'!$K392)</f>
        <v>0</v>
      </c>
      <c r="K382" s="45">
        <f>PRODUCT('All-Servers'!G392,'All-Servers'!$K392)</f>
        <v>0</v>
      </c>
    </row>
    <row r="383" spans="8:11" x14ac:dyDescent="0.2">
      <c r="H383" s="45">
        <f>PRODUCT('All-Servers'!D393,'All-Servers'!$K393)</f>
        <v>0</v>
      </c>
      <c r="I383" s="45">
        <f>PRODUCT('All-Servers'!E393,'All-Servers'!$K393)</f>
        <v>0</v>
      </c>
      <c r="J383" s="45">
        <f>PRODUCT('All-Servers'!F393,'All-Servers'!$K393)</f>
        <v>0</v>
      </c>
      <c r="K383" s="45">
        <f>PRODUCT('All-Servers'!G393,'All-Servers'!$K393)</f>
        <v>0</v>
      </c>
    </row>
    <row r="384" spans="8:11" x14ac:dyDescent="0.2">
      <c r="H384" s="45">
        <f>PRODUCT('All-Servers'!D394,'All-Servers'!$K394)</f>
        <v>0</v>
      </c>
      <c r="I384" s="45">
        <f>PRODUCT('All-Servers'!E394,'All-Servers'!$K394)</f>
        <v>0</v>
      </c>
      <c r="J384" s="45">
        <f>PRODUCT('All-Servers'!F394,'All-Servers'!$K394)</f>
        <v>0</v>
      </c>
      <c r="K384" s="45">
        <f>PRODUCT('All-Servers'!G394,'All-Servers'!$K394)</f>
        <v>0</v>
      </c>
    </row>
    <row r="385" spans="8:11" x14ac:dyDescent="0.2">
      <c r="H385" s="45">
        <f>PRODUCT('All-Servers'!D395,'All-Servers'!$K395)</f>
        <v>0</v>
      </c>
      <c r="I385" s="45">
        <f>PRODUCT('All-Servers'!E395,'All-Servers'!$K395)</f>
        <v>0</v>
      </c>
      <c r="J385" s="45">
        <f>PRODUCT('All-Servers'!F395,'All-Servers'!$K395)</f>
        <v>0</v>
      </c>
      <c r="K385" s="45">
        <f>PRODUCT('All-Servers'!G395,'All-Servers'!$K395)</f>
        <v>0</v>
      </c>
    </row>
    <row r="386" spans="8:11" x14ac:dyDescent="0.2">
      <c r="H386" s="45">
        <f>PRODUCT('All-Servers'!D396,'All-Servers'!$K396)</f>
        <v>0</v>
      </c>
      <c r="I386" s="45">
        <f>PRODUCT('All-Servers'!E396,'All-Servers'!$K396)</f>
        <v>0</v>
      </c>
      <c r="J386" s="45">
        <f>PRODUCT('All-Servers'!F396,'All-Servers'!$K396)</f>
        <v>0</v>
      </c>
      <c r="K386" s="45">
        <f>PRODUCT('All-Servers'!G396,'All-Servers'!$K396)</f>
        <v>0</v>
      </c>
    </row>
    <row r="387" spans="8:11" x14ac:dyDescent="0.2">
      <c r="H387" s="45">
        <f>PRODUCT('All-Servers'!D397,'All-Servers'!$K397)</f>
        <v>0</v>
      </c>
      <c r="I387" s="45">
        <f>PRODUCT('All-Servers'!E397,'All-Servers'!$K397)</f>
        <v>0</v>
      </c>
      <c r="J387" s="45">
        <f>PRODUCT('All-Servers'!F397,'All-Servers'!$K397)</f>
        <v>0</v>
      </c>
      <c r="K387" s="45">
        <f>PRODUCT('All-Servers'!G397,'All-Servers'!$K397)</f>
        <v>0</v>
      </c>
    </row>
    <row r="388" spans="8:11" x14ac:dyDescent="0.2">
      <c r="H388" s="45">
        <f>PRODUCT('All-Servers'!D398,'All-Servers'!$K398)</f>
        <v>0</v>
      </c>
      <c r="I388" s="45">
        <f>PRODUCT('All-Servers'!E398,'All-Servers'!$K398)</f>
        <v>0</v>
      </c>
      <c r="J388" s="45">
        <f>PRODUCT('All-Servers'!F398,'All-Servers'!$K398)</f>
        <v>0</v>
      </c>
      <c r="K388" s="45">
        <f>PRODUCT('All-Servers'!G398,'All-Servers'!$K398)</f>
        <v>0</v>
      </c>
    </row>
    <row r="389" spans="8:11" x14ac:dyDescent="0.2">
      <c r="H389" s="45">
        <f>PRODUCT('All-Servers'!D399,'All-Servers'!$K399)</f>
        <v>0</v>
      </c>
      <c r="I389" s="45">
        <f>PRODUCT('All-Servers'!E399,'All-Servers'!$K399)</f>
        <v>0</v>
      </c>
      <c r="J389" s="45">
        <f>PRODUCT('All-Servers'!F399,'All-Servers'!$K399)</f>
        <v>0</v>
      </c>
      <c r="K389" s="45">
        <f>PRODUCT('All-Servers'!G399,'All-Servers'!$K399)</f>
        <v>0</v>
      </c>
    </row>
    <row r="390" spans="8:11" x14ac:dyDescent="0.2">
      <c r="H390" s="45">
        <f>PRODUCT('All-Servers'!D400,'All-Servers'!$K400)</f>
        <v>0</v>
      </c>
      <c r="I390" s="45">
        <f>PRODUCT('All-Servers'!E400,'All-Servers'!$K400)</f>
        <v>0</v>
      </c>
      <c r="J390" s="45">
        <f>PRODUCT('All-Servers'!F400,'All-Servers'!$K400)</f>
        <v>0</v>
      </c>
      <c r="K390" s="45">
        <f>PRODUCT('All-Servers'!G400,'All-Servers'!$K400)</f>
        <v>0</v>
      </c>
    </row>
    <row r="391" spans="8:11" x14ac:dyDescent="0.2">
      <c r="H391" s="45">
        <f>PRODUCT('All-Servers'!D401,'All-Servers'!$K401)</f>
        <v>0</v>
      </c>
      <c r="I391" s="45">
        <f>PRODUCT('All-Servers'!E401,'All-Servers'!$K401)</f>
        <v>0</v>
      </c>
      <c r="J391" s="45">
        <f>PRODUCT('All-Servers'!F401,'All-Servers'!$K401)</f>
        <v>0</v>
      </c>
      <c r="K391" s="45">
        <f>PRODUCT('All-Servers'!G401,'All-Servers'!$K401)</f>
        <v>0</v>
      </c>
    </row>
    <row r="392" spans="8:11" x14ac:dyDescent="0.2">
      <c r="H392" s="45">
        <f>PRODUCT('All-Servers'!D402,'All-Servers'!$K402)</f>
        <v>0</v>
      </c>
      <c r="I392" s="45">
        <f>PRODUCT('All-Servers'!E402,'All-Servers'!$K402)</f>
        <v>0</v>
      </c>
      <c r="J392" s="45">
        <f>PRODUCT('All-Servers'!F402,'All-Servers'!$K402)</f>
        <v>0</v>
      </c>
      <c r="K392" s="45">
        <f>PRODUCT('All-Servers'!G402,'All-Servers'!$K402)</f>
        <v>0</v>
      </c>
    </row>
    <row r="393" spans="8:11" x14ac:dyDescent="0.2">
      <c r="H393" s="45">
        <f>PRODUCT('All-Servers'!D403,'All-Servers'!$K403)</f>
        <v>0</v>
      </c>
      <c r="I393" s="45">
        <f>PRODUCT('All-Servers'!E403,'All-Servers'!$K403)</f>
        <v>0</v>
      </c>
      <c r="J393" s="45">
        <f>PRODUCT('All-Servers'!F403,'All-Servers'!$K403)</f>
        <v>0</v>
      </c>
      <c r="K393" s="45">
        <f>PRODUCT('All-Servers'!G403,'All-Servers'!$K403)</f>
        <v>0</v>
      </c>
    </row>
    <row r="394" spans="8:11" x14ac:dyDescent="0.2">
      <c r="H394" s="45">
        <f>PRODUCT('All-Servers'!D404,'All-Servers'!$K404)</f>
        <v>0</v>
      </c>
      <c r="I394" s="45">
        <f>PRODUCT('All-Servers'!E404,'All-Servers'!$K404)</f>
        <v>0</v>
      </c>
      <c r="J394" s="45">
        <f>PRODUCT('All-Servers'!F404,'All-Servers'!$K404)</f>
        <v>0</v>
      </c>
      <c r="K394" s="45">
        <f>PRODUCT('All-Servers'!G404,'All-Servers'!$K404)</f>
        <v>0</v>
      </c>
    </row>
    <row r="395" spans="8:11" x14ac:dyDescent="0.2">
      <c r="H395" s="45">
        <f>PRODUCT('All-Servers'!D405,'All-Servers'!$K405)</f>
        <v>0</v>
      </c>
      <c r="I395" s="45">
        <f>PRODUCT('All-Servers'!E405,'All-Servers'!$K405)</f>
        <v>0</v>
      </c>
      <c r="J395" s="45">
        <f>PRODUCT('All-Servers'!F405,'All-Servers'!$K405)</f>
        <v>0</v>
      </c>
      <c r="K395" s="45">
        <f>PRODUCT('All-Servers'!G405,'All-Servers'!$K405)</f>
        <v>0</v>
      </c>
    </row>
    <row r="396" spans="8:11" x14ac:dyDescent="0.2">
      <c r="H396" s="45">
        <f>PRODUCT('All-Servers'!D406,'All-Servers'!$K406)</f>
        <v>0</v>
      </c>
      <c r="I396" s="45">
        <f>PRODUCT('All-Servers'!E406,'All-Servers'!$K406)</f>
        <v>0</v>
      </c>
      <c r="J396" s="45">
        <f>PRODUCT('All-Servers'!F406,'All-Servers'!$K406)</f>
        <v>0</v>
      </c>
      <c r="K396" s="45">
        <f>PRODUCT('All-Servers'!G406,'All-Servers'!$K406)</f>
        <v>0</v>
      </c>
    </row>
    <row r="397" spans="8:11" x14ac:dyDescent="0.2">
      <c r="H397" s="45">
        <f>PRODUCT('All-Servers'!D407,'All-Servers'!$K407)</f>
        <v>0</v>
      </c>
      <c r="I397" s="45">
        <f>PRODUCT('All-Servers'!E407,'All-Servers'!$K407)</f>
        <v>0</v>
      </c>
      <c r="J397" s="45">
        <f>PRODUCT('All-Servers'!F407,'All-Servers'!$K407)</f>
        <v>0</v>
      </c>
      <c r="K397" s="45">
        <f>PRODUCT('All-Servers'!G407,'All-Servers'!$K407)</f>
        <v>0</v>
      </c>
    </row>
    <row r="398" spans="8:11" x14ac:dyDescent="0.2">
      <c r="H398" s="45">
        <f>PRODUCT('All-Servers'!D408,'All-Servers'!$K408)</f>
        <v>0</v>
      </c>
      <c r="I398" s="45">
        <f>PRODUCT('All-Servers'!E408,'All-Servers'!$K408)</f>
        <v>0</v>
      </c>
      <c r="J398" s="45">
        <f>PRODUCT('All-Servers'!F408,'All-Servers'!$K408)</f>
        <v>0</v>
      </c>
      <c r="K398" s="45">
        <f>PRODUCT('All-Servers'!G408,'All-Servers'!$K408)</f>
        <v>0</v>
      </c>
    </row>
    <row r="399" spans="8:11" x14ac:dyDescent="0.2">
      <c r="H399" s="45">
        <f>PRODUCT('All-Servers'!D409,'All-Servers'!$K409)</f>
        <v>0</v>
      </c>
      <c r="I399" s="45">
        <f>PRODUCT('All-Servers'!E409,'All-Servers'!$K409)</f>
        <v>0</v>
      </c>
      <c r="J399" s="45">
        <f>PRODUCT('All-Servers'!F409,'All-Servers'!$K409)</f>
        <v>0</v>
      </c>
      <c r="K399" s="45">
        <f>PRODUCT('All-Servers'!G409,'All-Servers'!$K409)</f>
        <v>0</v>
      </c>
    </row>
    <row r="400" spans="8:11" x14ac:dyDescent="0.2">
      <c r="H400" s="45">
        <f>PRODUCT('All-Servers'!D410,'All-Servers'!$K410)</f>
        <v>0</v>
      </c>
      <c r="I400" s="45">
        <f>PRODUCT('All-Servers'!E410,'All-Servers'!$K410)</f>
        <v>0</v>
      </c>
      <c r="J400" s="45">
        <f>PRODUCT('All-Servers'!F410,'All-Servers'!$K410)</f>
        <v>0</v>
      </c>
      <c r="K400" s="45">
        <f>PRODUCT('All-Servers'!G410,'All-Servers'!$K410)</f>
        <v>0</v>
      </c>
    </row>
    <row r="401" spans="8:11" x14ac:dyDescent="0.2">
      <c r="H401" s="45">
        <f>PRODUCT('All-Servers'!D411,'All-Servers'!$K411)</f>
        <v>0</v>
      </c>
      <c r="I401" s="45">
        <f>PRODUCT('All-Servers'!E411,'All-Servers'!$K411)</f>
        <v>0</v>
      </c>
      <c r="J401" s="45">
        <f>PRODUCT('All-Servers'!F411,'All-Servers'!$K411)</f>
        <v>0</v>
      </c>
      <c r="K401" s="45">
        <f>PRODUCT('All-Servers'!G411,'All-Servers'!$K411)</f>
        <v>0</v>
      </c>
    </row>
    <row r="402" spans="8:11" x14ac:dyDescent="0.2">
      <c r="H402" s="45">
        <f>PRODUCT('All-Servers'!D412,'All-Servers'!$K412)</f>
        <v>0</v>
      </c>
      <c r="I402" s="45">
        <f>PRODUCT('All-Servers'!E412,'All-Servers'!$K412)</f>
        <v>0</v>
      </c>
      <c r="J402" s="45">
        <f>PRODUCT('All-Servers'!F412,'All-Servers'!$K412)</f>
        <v>0</v>
      </c>
      <c r="K402" s="45">
        <f>PRODUCT('All-Servers'!G412,'All-Servers'!$K412)</f>
        <v>0</v>
      </c>
    </row>
    <row r="403" spans="8:11" x14ac:dyDescent="0.2">
      <c r="H403" s="45">
        <f>PRODUCT('All-Servers'!D413,'All-Servers'!$K413)</f>
        <v>0</v>
      </c>
      <c r="I403" s="45">
        <f>PRODUCT('All-Servers'!E413,'All-Servers'!$K413)</f>
        <v>0</v>
      </c>
      <c r="J403" s="45">
        <f>PRODUCT('All-Servers'!F413,'All-Servers'!$K413)</f>
        <v>0</v>
      </c>
      <c r="K403" s="45">
        <f>PRODUCT('All-Servers'!G413,'All-Servers'!$K413)</f>
        <v>0</v>
      </c>
    </row>
    <row r="404" spans="8:11" x14ac:dyDescent="0.2">
      <c r="H404" s="45">
        <f>PRODUCT('All-Servers'!D414,'All-Servers'!$K414)</f>
        <v>0</v>
      </c>
      <c r="I404" s="45">
        <f>PRODUCT('All-Servers'!E414,'All-Servers'!$K414)</f>
        <v>0</v>
      </c>
      <c r="J404" s="45">
        <f>PRODUCT('All-Servers'!F414,'All-Servers'!$K414)</f>
        <v>0</v>
      </c>
      <c r="K404" s="45">
        <f>PRODUCT('All-Servers'!G414,'All-Servers'!$K414)</f>
        <v>0</v>
      </c>
    </row>
    <row r="405" spans="8:11" x14ac:dyDescent="0.2">
      <c r="H405" s="45">
        <f>PRODUCT('All-Servers'!D415,'All-Servers'!$K415)</f>
        <v>0</v>
      </c>
      <c r="I405" s="45">
        <f>PRODUCT('All-Servers'!E415,'All-Servers'!$K415)</f>
        <v>0</v>
      </c>
      <c r="J405" s="45">
        <f>PRODUCT('All-Servers'!F415,'All-Servers'!$K415)</f>
        <v>0</v>
      </c>
      <c r="K405" s="45">
        <f>PRODUCT('All-Servers'!G415,'All-Servers'!$K415)</f>
        <v>0</v>
      </c>
    </row>
    <row r="406" spans="8:11" x14ac:dyDescent="0.2">
      <c r="H406" s="45">
        <f>PRODUCT('All-Servers'!D416,'All-Servers'!$K416)</f>
        <v>0</v>
      </c>
      <c r="I406" s="45">
        <f>PRODUCT('All-Servers'!E416,'All-Servers'!$K416)</f>
        <v>0</v>
      </c>
      <c r="J406" s="45">
        <f>PRODUCT('All-Servers'!F416,'All-Servers'!$K416)</f>
        <v>0</v>
      </c>
      <c r="K406" s="45">
        <f>PRODUCT('All-Servers'!G416,'All-Servers'!$K416)</f>
        <v>0</v>
      </c>
    </row>
    <row r="407" spans="8:11" x14ac:dyDescent="0.2">
      <c r="H407" s="45">
        <f>PRODUCT('All-Servers'!D417,'All-Servers'!$K417)</f>
        <v>0</v>
      </c>
      <c r="I407" s="45">
        <f>PRODUCT('All-Servers'!E417,'All-Servers'!$K417)</f>
        <v>0</v>
      </c>
      <c r="J407" s="45">
        <f>PRODUCT('All-Servers'!F417,'All-Servers'!$K417)</f>
        <v>0</v>
      </c>
      <c r="K407" s="45">
        <f>PRODUCT('All-Servers'!G417,'All-Servers'!$K417)</f>
        <v>0</v>
      </c>
    </row>
    <row r="408" spans="8:11" x14ac:dyDescent="0.2">
      <c r="H408" s="45">
        <f>PRODUCT('All-Servers'!D418,'All-Servers'!$K418)</f>
        <v>0</v>
      </c>
      <c r="I408" s="45">
        <f>PRODUCT('All-Servers'!E418,'All-Servers'!$K418)</f>
        <v>0</v>
      </c>
      <c r="J408" s="45">
        <f>PRODUCT('All-Servers'!F418,'All-Servers'!$K418)</f>
        <v>0</v>
      </c>
      <c r="K408" s="45">
        <f>PRODUCT('All-Servers'!G418,'All-Servers'!$K418)</f>
        <v>0</v>
      </c>
    </row>
    <row r="409" spans="8:11" x14ac:dyDescent="0.2">
      <c r="H409" s="45">
        <f>PRODUCT('All-Servers'!D419,'All-Servers'!$K419)</f>
        <v>0</v>
      </c>
      <c r="I409" s="45">
        <f>PRODUCT('All-Servers'!E419,'All-Servers'!$K419)</f>
        <v>0</v>
      </c>
      <c r="J409" s="45">
        <f>PRODUCT('All-Servers'!F419,'All-Servers'!$K419)</f>
        <v>0</v>
      </c>
      <c r="K409" s="45">
        <f>PRODUCT('All-Servers'!G419,'All-Servers'!$K419)</f>
        <v>0</v>
      </c>
    </row>
    <row r="410" spans="8:11" x14ac:dyDescent="0.2">
      <c r="H410" s="45">
        <f>PRODUCT('All-Servers'!D420,'All-Servers'!$K420)</f>
        <v>0</v>
      </c>
      <c r="I410" s="45">
        <f>PRODUCT('All-Servers'!E420,'All-Servers'!$K420)</f>
        <v>0</v>
      </c>
      <c r="J410" s="45">
        <f>PRODUCT('All-Servers'!F420,'All-Servers'!$K420)</f>
        <v>0</v>
      </c>
      <c r="K410" s="45">
        <f>PRODUCT('All-Servers'!G420,'All-Servers'!$K420)</f>
        <v>0</v>
      </c>
    </row>
    <row r="411" spans="8:11" x14ac:dyDescent="0.2">
      <c r="H411" s="45">
        <f>PRODUCT('All-Servers'!D421,'All-Servers'!$K421)</f>
        <v>0</v>
      </c>
      <c r="I411" s="45">
        <f>PRODUCT('All-Servers'!E421,'All-Servers'!$K421)</f>
        <v>0</v>
      </c>
      <c r="J411" s="45">
        <f>PRODUCT('All-Servers'!F421,'All-Servers'!$K421)</f>
        <v>0</v>
      </c>
      <c r="K411" s="45">
        <f>PRODUCT('All-Servers'!G421,'All-Servers'!$K421)</f>
        <v>0</v>
      </c>
    </row>
    <row r="412" spans="8:11" x14ac:dyDescent="0.2">
      <c r="H412" s="45">
        <f>PRODUCT('All-Servers'!D422,'All-Servers'!$K422)</f>
        <v>0</v>
      </c>
      <c r="I412" s="45">
        <f>PRODUCT('All-Servers'!E422,'All-Servers'!$K422)</f>
        <v>0</v>
      </c>
      <c r="J412" s="45">
        <f>PRODUCT('All-Servers'!F422,'All-Servers'!$K422)</f>
        <v>0</v>
      </c>
      <c r="K412" s="45">
        <f>PRODUCT('All-Servers'!G422,'All-Servers'!$K422)</f>
        <v>0</v>
      </c>
    </row>
    <row r="413" spans="8:11" x14ac:dyDescent="0.2">
      <c r="H413" s="45">
        <f>PRODUCT('All-Servers'!D423,'All-Servers'!$K423)</f>
        <v>0</v>
      </c>
      <c r="I413" s="45">
        <f>PRODUCT('All-Servers'!E423,'All-Servers'!$K423)</f>
        <v>0</v>
      </c>
      <c r="J413" s="45">
        <f>PRODUCT('All-Servers'!F423,'All-Servers'!$K423)</f>
        <v>0</v>
      </c>
      <c r="K413" s="45">
        <f>PRODUCT('All-Servers'!G423,'All-Servers'!$K423)</f>
        <v>0</v>
      </c>
    </row>
    <row r="414" spans="8:11" x14ac:dyDescent="0.2">
      <c r="H414" s="45">
        <f>PRODUCT('All-Servers'!D424,'All-Servers'!$K424)</f>
        <v>0</v>
      </c>
      <c r="I414" s="45">
        <f>PRODUCT('All-Servers'!E424,'All-Servers'!$K424)</f>
        <v>0</v>
      </c>
      <c r="J414" s="45">
        <f>PRODUCT('All-Servers'!F424,'All-Servers'!$K424)</f>
        <v>0</v>
      </c>
      <c r="K414" s="45">
        <f>PRODUCT('All-Servers'!G424,'All-Servers'!$K424)</f>
        <v>0</v>
      </c>
    </row>
    <row r="415" spans="8:11" x14ac:dyDescent="0.2">
      <c r="H415" s="45">
        <f>PRODUCT('All-Servers'!D425,'All-Servers'!$K425)</f>
        <v>0</v>
      </c>
      <c r="I415" s="45">
        <f>PRODUCT('All-Servers'!E425,'All-Servers'!$K425)</f>
        <v>0</v>
      </c>
      <c r="J415" s="45">
        <f>PRODUCT('All-Servers'!F425,'All-Servers'!$K425)</f>
        <v>0</v>
      </c>
      <c r="K415" s="45">
        <f>PRODUCT('All-Servers'!G425,'All-Servers'!$K425)</f>
        <v>0</v>
      </c>
    </row>
    <row r="416" spans="8:11" x14ac:dyDescent="0.2">
      <c r="H416" s="45">
        <f>PRODUCT('All-Servers'!D426,'All-Servers'!$K426)</f>
        <v>0</v>
      </c>
      <c r="I416" s="45">
        <f>PRODUCT('All-Servers'!E426,'All-Servers'!$K426)</f>
        <v>0</v>
      </c>
      <c r="J416" s="45">
        <f>PRODUCT('All-Servers'!F426,'All-Servers'!$K426)</f>
        <v>0</v>
      </c>
      <c r="K416" s="45">
        <f>PRODUCT('All-Servers'!G426,'All-Servers'!$K426)</f>
        <v>0</v>
      </c>
    </row>
    <row r="417" spans="8:11" x14ac:dyDescent="0.2">
      <c r="H417" s="45">
        <f>PRODUCT('All-Servers'!D427,'All-Servers'!$K427)</f>
        <v>0</v>
      </c>
      <c r="I417" s="45">
        <f>PRODUCT('All-Servers'!E427,'All-Servers'!$K427)</f>
        <v>0</v>
      </c>
      <c r="J417" s="45">
        <f>PRODUCT('All-Servers'!F427,'All-Servers'!$K427)</f>
        <v>0</v>
      </c>
      <c r="K417" s="45">
        <f>PRODUCT('All-Servers'!G427,'All-Servers'!$K427)</f>
        <v>0</v>
      </c>
    </row>
    <row r="418" spans="8:11" x14ac:dyDescent="0.2">
      <c r="H418" s="45">
        <f>PRODUCT('All-Servers'!D428,'All-Servers'!$K428)</f>
        <v>0</v>
      </c>
      <c r="I418" s="45">
        <f>PRODUCT('All-Servers'!E428,'All-Servers'!$K428)</f>
        <v>0</v>
      </c>
      <c r="J418" s="45">
        <f>PRODUCT('All-Servers'!F428,'All-Servers'!$K428)</f>
        <v>0</v>
      </c>
      <c r="K418" s="45">
        <f>PRODUCT('All-Servers'!G428,'All-Servers'!$K428)</f>
        <v>0</v>
      </c>
    </row>
    <row r="419" spans="8:11" x14ac:dyDescent="0.2">
      <c r="H419" s="45">
        <f>PRODUCT('All-Servers'!D429,'All-Servers'!$K429)</f>
        <v>0</v>
      </c>
      <c r="I419" s="45">
        <f>PRODUCT('All-Servers'!E429,'All-Servers'!$K429)</f>
        <v>0</v>
      </c>
      <c r="J419" s="45">
        <f>PRODUCT('All-Servers'!F429,'All-Servers'!$K429)</f>
        <v>0</v>
      </c>
      <c r="K419" s="45">
        <f>PRODUCT('All-Servers'!G429,'All-Servers'!$K429)</f>
        <v>0</v>
      </c>
    </row>
    <row r="420" spans="8:11" x14ac:dyDescent="0.2">
      <c r="H420" s="45">
        <f>PRODUCT('All-Servers'!D430,'All-Servers'!$K430)</f>
        <v>0</v>
      </c>
      <c r="I420" s="45">
        <f>PRODUCT('All-Servers'!E430,'All-Servers'!$K430)</f>
        <v>0</v>
      </c>
      <c r="J420" s="45">
        <f>PRODUCT('All-Servers'!F430,'All-Servers'!$K430)</f>
        <v>0</v>
      </c>
      <c r="K420" s="45">
        <f>PRODUCT('All-Servers'!G430,'All-Servers'!$K430)</f>
        <v>0</v>
      </c>
    </row>
    <row r="421" spans="8:11" x14ac:dyDescent="0.2">
      <c r="H421" s="45">
        <f>PRODUCT('All-Servers'!D431,'All-Servers'!$K431)</f>
        <v>0</v>
      </c>
      <c r="I421" s="45">
        <f>PRODUCT('All-Servers'!E431,'All-Servers'!$K431)</f>
        <v>0</v>
      </c>
      <c r="J421" s="45">
        <f>PRODUCT('All-Servers'!F431,'All-Servers'!$K431)</f>
        <v>0</v>
      </c>
      <c r="K421" s="45">
        <f>PRODUCT('All-Servers'!G431,'All-Servers'!$K431)</f>
        <v>0</v>
      </c>
    </row>
    <row r="422" spans="8:11" x14ac:dyDescent="0.2">
      <c r="H422" s="45">
        <f>PRODUCT('All-Servers'!D432,'All-Servers'!$K432)</f>
        <v>0</v>
      </c>
      <c r="I422" s="45">
        <f>PRODUCT('All-Servers'!E432,'All-Servers'!$K432)</f>
        <v>0</v>
      </c>
      <c r="J422" s="45">
        <f>PRODUCT('All-Servers'!F432,'All-Servers'!$K432)</f>
        <v>0</v>
      </c>
      <c r="K422" s="45">
        <f>PRODUCT('All-Servers'!G432,'All-Servers'!$K432)</f>
        <v>0</v>
      </c>
    </row>
    <row r="423" spans="8:11" x14ac:dyDescent="0.2">
      <c r="H423" s="45">
        <f>PRODUCT('All-Servers'!D433,'All-Servers'!$K433)</f>
        <v>0</v>
      </c>
      <c r="I423" s="45">
        <f>PRODUCT('All-Servers'!E433,'All-Servers'!$K433)</f>
        <v>0</v>
      </c>
      <c r="J423" s="45">
        <f>PRODUCT('All-Servers'!F433,'All-Servers'!$K433)</f>
        <v>0</v>
      </c>
      <c r="K423" s="45">
        <f>PRODUCT('All-Servers'!G433,'All-Servers'!$K433)</f>
        <v>0</v>
      </c>
    </row>
    <row r="424" spans="8:11" x14ac:dyDescent="0.2">
      <c r="H424" s="45">
        <f>PRODUCT('All-Servers'!D434,'All-Servers'!$K434)</f>
        <v>0</v>
      </c>
      <c r="I424" s="45">
        <f>PRODUCT('All-Servers'!E434,'All-Servers'!$K434)</f>
        <v>0</v>
      </c>
      <c r="J424" s="45">
        <f>PRODUCT('All-Servers'!F434,'All-Servers'!$K434)</f>
        <v>0</v>
      </c>
      <c r="K424" s="45">
        <f>PRODUCT('All-Servers'!G434,'All-Servers'!$K434)</f>
        <v>0</v>
      </c>
    </row>
    <row r="425" spans="8:11" x14ac:dyDescent="0.2">
      <c r="H425" s="45">
        <f>PRODUCT('All-Servers'!D435,'All-Servers'!$K435)</f>
        <v>0</v>
      </c>
      <c r="I425" s="45">
        <f>PRODUCT('All-Servers'!E435,'All-Servers'!$K435)</f>
        <v>0</v>
      </c>
      <c r="J425" s="45">
        <f>PRODUCT('All-Servers'!F435,'All-Servers'!$K435)</f>
        <v>0</v>
      </c>
      <c r="K425" s="45">
        <f>PRODUCT('All-Servers'!G435,'All-Servers'!$K435)</f>
        <v>0</v>
      </c>
    </row>
    <row r="426" spans="8:11" x14ac:dyDescent="0.2">
      <c r="H426" s="45">
        <f>PRODUCT('All-Servers'!D436,'All-Servers'!$K436)</f>
        <v>0</v>
      </c>
      <c r="I426" s="45">
        <f>PRODUCT('All-Servers'!E436,'All-Servers'!$K436)</f>
        <v>0</v>
      </c>
      <c r="J426" s="45">
        <f>PRODUCT('All-Servers'!F436,'All-Servers'!$K436)</f>
        <v>0</v>
      </c>
      <c r="K426" s="45">
        <f>PRODUCT('All-Servers'!G436,'All-Servers'!$K436)</f>
        <v>0</v>
      </c>
    </row>
    <row r="427" spans="8:11" x14ac:dyDescent="0.2">
      <c r="H427" s="45">
        <f>PRODUCT('All-Servers'!D437,'All-Servers'!$K437)</f>
        <v>0</v>
      </c>
      <c r="I427" s="45">
        <f>PRODUCT('All-Servers'!E437,'All-Servers'!$K437)</f>
        <v>0</v>
      </c>
      <c r="J427" s="45">
        <f>PRODUCT('All-Servers'!F437,'All-Servers'!$K437)</f>
        <v>0</v>
      </c>
      <c r="K427" s="45">
        <f>PRODUCT('All-Servers'!G437,'All-Servers'!$K437)</f>
        <v>0</v>
      </c>
    </row>
    <row r="428" spans="8:11" x14ac:dyDescent="0.2">
      <c r="H428" s="45">
        <f>PRODUCT('All-Servers'!D438,'All-Servers'!$K438)</f>
        <v>0</v>
      </c>
      <c r="I428" s="45">
        <f>PRODUCT('All-Servers'!E438,'All-Servers'!$K438)</f>
        <v>0</v>
      </c>
      <c r="J428" s="45">
        <f>PRODUCT('All-Servers'!F438,'All-Servers'!$K438)</f>
        <v>0</v>
      </c>
      <c r="K428" s="45">
        <f>PRODUCT('All-Servers'!G438,'All-Servers'!$K438)</f>
        <v>0</v>
      </c>
    </row>
    <row r="429" spans="8:11" x14ac:dyDescent="0.2">
      <c r="H429" s="45">
        <f>PRODUCT('All-Servers'!D439,'All-Servers'!$K439)</f>
        <v>0</v>
      </c>
      <c r="I429" s="45">
        <f>PRODUCT('All-Servers'!E439,'All-Servers'!$K439)</f>
        <v>0</v>
      </c>
      <c r="J429" s="45">
        <f>PRODUCT('All-Servers'!F439,'All-Servers'!$K439)</f>
        <v>0</v>
      </c>
      <c r="K429" s="45">
        <f>PRODUCT('All-Servers'!G439,'All-Servers'!$K439)</f>
        <v>0</v>
      </c>
    </row>
    <row r="430" spans="8:11" x14ac:dyDescent="0.2">
      <c r="H430" s="45">
        <f>PRODUCT('All-Servers'!D440,'All-Servers'!$K440)</f>
        <v>0</v>
      </c>
      <c r="I430" s="45">
        <f>PRODUCT('All-Servers'!E440,'All-Servers'!$K440)</f>
        <v>0</v>
      </c>
      <c r="J430" s="45">
        <f>PRODUCT('All-Servers'!F440,'All-Servers'!$K440)</f>
        <v>0</v>
      </c>
      <c r="K430" s="45">
        <f>PRODUCT('All-Servers'!G440,'All-Servers'!$K440)</f>
        <v>0</v>
      </c>
    </row>
    <row r="431" spans="8:11" x14ac:dyDescent="0.2">
      <c r="H431" s="45">
        <f>PRODUCT('All-Servers'!D441,'All-Servers'!$K441)</f>
        <v>0</v>
      </c>
      <c r="I431" s="45">
        <f>PRODUCT('All-Servers'!E441,'All-Servers'!$K441)</f>
        <v>0</v>
      </c>
      <c r="J431" s="45">
        <f>PRODUCT('All-Servers'!F441,'All-Servers'!$K441)</f>
        <v>0</v>
      </c>
      <c r="K431" s="45">
        <f>PRODUCT('All-Servers'!G441,'All-Servers'!$K441)</f>
        <v>0</v>
      </c>
    </row>
    <row r="432" spans="8:11" x14ac:dyDescent="0.2">
      <c r="H432" s="45">
        <f>PRODUCT('All-Servers'!D442,'All-Servers'!$K442)</f>
        <v>0</v>
      </c>
      <c r="I432" s="45">
        <f>PRODUCT('All-Servers'!E442,'All-Servers'!$K442)</f>
        <v>0</v>
      </c>
      <c r="J432" s="45">
        <f>PRODUCT('All-Servers'!F442,'All-Servers'!$K442)</f>
        <v>0</v>
      </c>
      <c r="K432" s="45">
        <f>PRODUCT('All-Servers'!G442,'All-Servers'!$K442)</f>
        <v>0</v>
      </c>
    </row>
    <row r="433" spans="8:11" x14ac:dyDescent="0.2">
      <c r="H433" s="45">
        <f>PRODUCT('All-Servers'!D443,'All-Servers'!$K443)</f>
        <v>0</v>
      </c>
      <c r="I433" s="45">
        <f>PRODUCT('All-Servers'!E443,'All-Servers'!$K443)</f>
        <v>0</v>
      </c>
      <c r="J433" s="45">
        <f>PRODUCT('All-Servers'!F443,'All-Servers'!$K443)</f>
        <v>0</v>
      </c>
      <c r="K433" s="45">
        <f>PRODUCT('All-Servers'!G443,'All-Servers'!$K443)</f>
        <v>0</v>
      </c>
    </row>
    <row r="434" spans="8:11" x14ac:dyDescent="0.2">
      <c r="H434" s="45">
        <f>PRODUCT('All-Servers'!D444,'All-Servers'!$K444)</f>
        <v>0</v>
      </c>
      <c r="I434" s="45">
        <f>PRODUCT('All-Servers'!E444,'All-Servers'!$K444)</f>
        <v>0</v>
      </c>
      <c r="J434" s="45">
        <f>PRODUCT('All-Servers'!F444,'All-Servers'!$K444)</f>
        <v>0</v>
      </c>
      <c r="K434" s="45">
        <f>PRODUCT('All-Servers'!G444,'All-Servers'!$K444)</f>
        <v>0</v>
      </c>
    </row>
    <row r="435" spans="8:11" x14ac:dyDescent="0.2">
      <c r="H435" s="45">
        <f>PRODUCT('All-Servers'!D445,'All-Servers'!$K445)</f>
        <v>0</v>
      </c>
      <c r="I435" s="45">
        <f>PRODUCT('All-Servers'!E445,'All-Servers'!$K445)</f>
        <v>0</v>
      </c>
      <c r="J435" s="45">
        <f>PRODUCT('All-Servers'!F445,'All-Servers'!$K445)</f>
        <v>0</v>
      </c>
      <c r="K435" s="45">
        <f>PRODUCT('All-Servers'!G445,'All-Servers'!$K445)</f>
        <v>0</v>
      </c>
    </row>
    <row r="436" spans="8:11" x14ac:dyDescent="0.2">
      <c r="H436" s="45">
        <f>PRODUCT('All-Servers'!D446,'All-Servers'!$K446)</f>
        <v>0</v>
      </c>
      <c r="I436" s="45">
        <f>PRODUCT('All-Servers'!E446,'All-Servers'!$K446)</f>
        <v>0</v>
      </c>
      <c r="J436" s="45">
        <f>PRODUCT('All-Servers'!F446,'All-Servers'!$K446)</f>
        <v>0</v>
      </c>
      <c r="K436" s="45">
        <f>PRODUCT('All-Servers'!G446,'All-Servers'!$K446)</f>
        <v>0</v>
      </c>
    </row>
    <row r="437" spans="8:11" x14ac:dyDescent="0.2">
      <c r="H437" s="45">
        <f>PRODUCT('All-Servers'!D447,'All-Servers'!$K447)</f>
        <v>0</v>
      </c>
      <c r="I437" s="45">
        <f>PRODUCT('All-Servers'!E447,'All-Servers'!$K447)</f>
        <v>0</v>
      </c>
      <c r="J437" s="45">
        <f>PRODUCT('All-Servers'!F447,'All-Servers'!$K447)</f>
        <v>0</v>
      </c>
      <c r="K437" s="45">
        <f>PRODUCT('All-Servers'!G447,'All-Servers'!$K447)</f>
        <v>0</v>
      </c>
    </row>
    <row r="438" spans="8:11" x14ac:dyDescent="0.2">
      <c r="H438" s="45">
        <f>PRODUCT('All-Servers'!D448,'All-Servers'!$K448)</f>
        <v>0</v>
      </c>
      <c r="I438" s="45">
        <f>PRODUCT('All-Servers'!E448,'All-Servers'!$K448)</f>
        <v>0</v>
      </c>
      <c r="J438" s="45">
        <f>PRODUCT('All-Servers'!F448,'All-Servers'!$K448)</f>
        <v>0</v>
      </c>
      <c r="K438" s="45">
        <f>PRODUCT('All-Servers'!G448,'All-Servers'!$K448)</f>
        <v>0</v>
      </c>
    </row>
    <row r="439" spans="8:11" x14ac:dyDescent="0.2">
      <c r="H439" s="45">
        <f>PRODUCT('All-Servers'!D449,'All-Servers'!$K449)</f>
        <v>0</v>
      </c>
      <c r="I439" s="45">
        <f>PRODUCT('All-Servers'!E449,'All-Servers'!$K449)</f>
        <v>0</v>
      </c>
      <c r="J439" s="45">
        <f>PRODUCT('All-Servers'!F449,'All-Servers'!$K449)</f>
        <v>0</v>
      </c>
      <c r="K439" s="45">
        <f>PRODUCT('All-Servers'!G449,'All-Servers'!$K449)</f>
        <v>0</v>
      </c>
    </row>
    <row r="440" spans="8:11" x14ac:dyDescent="0.2">
      <c r="H440" s="45">
        <f>PRODUCT('All-Servers'!D450,'All-Servers'!$K450)</f>
        <v>0</v>
      </c>
      <c r="I440" s="45">
        <f>PRODUCT('All-Servers'!E450,'All-Servers'!$K450)</f>
        <v>0</v>
      </c>
      <c r="J440" s="45">
        <f>PRODUCT('All-Servers'!F450,'All-Servers'!$K450)</f>
        <v>0</v>
      </c>
      <c r="K440" s="45">
        <f>PRODUCT('All-Servers'!G450,'All-Servers'!$K450)</f>
        <v>0</v>
      </c>
    </row>
    <row r="441" spans="8:11" x14ac:dyDescent="0.2">
      <c r="H441" s="45">
        <f>PRODUCT('All-Servers'!D451,'All-Servers'!$K451)</f>
        <v>0</v>
      </c>
      <c r="I441" s="45">
        <f>PRODUCT('All-Servers'!E451,'All-Servers'!$K451)</f>
        <v>0</v>
      </c>
      <c r="J441" s="45">
        <f>PRODUCT('All-Servers'!F451,'All-Servers'!$K451)</f>
        <v>0</v>
      </c>
      <c r="K441" s="45">
        <f>PRODUCT('All-Servers'!G451,'All-Servers'!$K451)</f>
        <v>0</v>
      </c>
    </row>
    <row r="442" spans="8:11" x14ac:dyDescent="0.2">
      <c r="H442" s="45">
        <f>PRODUCT('All-Servers'!D452,'All-Servers'!$K452)</f>
        <v>0</v>
      </c>
      <c r="I442" s="45">
        <f>PRODUCT('All-Servers'!E452,'All-Servers'!$K452)</f>
        <v>0</v>
      </c>
      <c r="J442" s="45">
        <f>PRODUCT('All-Servers'!F452,'All-Servers'!$K452)</f>
        <v>0</v>
      </c>
      <c r="K442" s="45">
        <f>PRODUCT('All-Servers'!G452,'All-Servers'!$K452)</f>
        <v>0</v>
      </c>
    </row>
    <row r="443" spans="8:11" x14ac:dyDescent="0.2">
      <c r="H443" s="45">
        <f>PRODUCT('All-Servers'!D453,'All-Servers'!$K453)</f>
        <v>0</v>
      </c>
      <c r="I443" s="45">
        <f>PRODUCT('All-Servers'!E453,'All-Servers'!$K453)</f>
        <v>0</v>
      </c>
      <c r="J443" s="45">
        <f>PRODUCT('All-Servers'!F453,'All-Servers'!$K453)</f>
        <v>0</v>
      </c>
      <c r="K443" s="45">
        <f>PRODUCT('All-Servers'!G453,'All-Servers'!$K453)</f>
        <v>0</v>
      </c>
    </row>
    <row r="444" spans="8:11" x14ac:dyDescent="0.2">
      <c r="H444" s="45">
        <f>PRODUCT('All-Servers'!D454,'All-Servers'!$K454)</f>
        <v>0</v>
      </c>
      <c r="I444" s="45">
        <f>PRODUCT('All-Servers'!E454,'All-Servers'!$K454)</f>
        <v>0</v>
      </c>
      <c r="J444" s="45">
        <f>PRODUCT('All-Servers'!F454,'All-Servers'!$K454)</f>
        <v>0</v>
      </c>
      <c r="K444" s="45">
        <f>PRODUCT('All-Servers'!G454,'All-Servers'!$K454)</f>
        <v>0</v>
      </c>
    </row>
    <row r="445" spans="8:11" x14ac:dyDescent="0.2">
      <c r="H445" s="45">
        <f>PRODUCT('All-Servers'!D455,'All-Servers'!$K455)</f>
        <v>0</v>
      </c>
      <c r="I445" s="45">
        <f>PRODUCT('All-Servers'!E455,'All-Servers'!$K455)</f>
        <v>0</v>
      </c>
      <c r="J445" s="45">
        <f>PRODUCT('All-Servers'!F455,'All-Servers'!$K455)</f>
        <v>0</v>
      </c>
      <c r="K445" s="45">
        <f>PRODUCT('All-Servers'!G455,'All-Servers'!$K455)</f>
        <v>0</v>
      </c>
    </row>
    <row r="446" spans="8:11" x14ac:dyDescent="0.2">
      <c r="H446" s="45">
        <f>PRODUCT('All-Servers'!D456,'All-Servers'!$K456)</f>
        <v>0</v>
      </c>
      <c r="I446" s="45">
        <f>PRODUCT('All-Servers'!E456,'All-Servers'!$K456)</f>
        <v>0</v>
      </c>
      <c r="J446" s="45">
        <f>PRODUCT('All-Servers'!F456,'All-Servers'!$K456)</f>
        <v>0</v>
      </c>
      <c r="K446" s="45">
        <f>PRODUCT('All-Servers'!G456,'All-Servers'!$K456)</f>
        <v>0</v>
      </c>
    </row>
    <row r="447" spans="8:11" x14ac:dyDescent="0.2">
      <c r="H447" s="45">
        <f>PRODUCT('All-Servers'!D457,'All-Servers'!$K457)</f>
        <v>0</v>
      </c>
      <c r="I447" s="45">
        <f>PRODUCT('All-Servers'!E457,'All-Servers'!$K457)</f>
        <v>0</v>
      </c>
      <c r="J447" s="45">
        <f>PRODUCT('All-Servers'!F457,'All-Servers'!$K457)</f>
        <v>0</v>
      </c>
      <c r="K447" s="45">
        <f>PRODUCT('All-Servers'!G457,'All-Servers'!$K457)</f>
        <v>0</v>
      </c>
    </row>
    <row r="448" spans="8:11" x14ac:dyDescent="0.2">
      <c r="H448" s="45">
        <f>PRODUCT('All-Servers'!D458,'All-Servers'!$K458)</f>
        <v>0</v>
      </c>
      <c r="I448" s="45">
        <f>PRODUCT('All-Servers'!E458,'All-Servers'!$K458)</f>
        <v>0</v>
      </c>
      <c r="J448" s="45">
        <f>PRODUCT('All-Servers'!F458,'All-Servers'!$K458)</f>
        <v>0</v>
      </c>
      <c r="K448" s="45">
        <f>PRODUCT('All-Servers'!G458,'All-Servers'!$K458)</f>
        <v>0</v>
      </c>
    </row>
    <row r="449" spans="8:11" x14ac:dyDescent="0.2">
      <c r="H449" s="45">
        <f>PRODUCT('All-Servers'!D459,'All-Servers'!$K459)</f>
        <v>0</v>
      </c>
      <c r="I449" s="45">
        <f>PRODUCT('All-Servers'!E459,'All-Servers'!$K459)</f>
        <v>0</v>
      </c>
      <c r="J449" s="45">
        <f>PRODUCT('All-Servers'!F459,'All-Servers'!$K459)</f>
        <v>0</v>
      </c>
      <c r="K449" s="45">
        <f>PRODUCT('All-Servers'!G459,'All-Servers'!$K459)</f>
        <v>0</v>
      </c>
    </row>
    <row r="450" spans="8:11" x14ac:dyDescent="0.2">
      <c r="H450" s="45">
        <f>PRODUCT('All-Servers'!D460,'All-Servers'!$K460)</f>
        <v>0</v>
      </c>
      <c r="I450" s="45">
        <f>PRODUCT('All-Servers'!E460,'All-Servers'!$K460)</f>
        <v>0</v>
      </c>
      <c r="J450" s="45">
        <f>PRODUCT('All-Servers'!F460,'All-Servers'!$K460)</f>
        <v>0</v>
      </c>
      <c r="K450" s="45">
        <f>PRODUCT('All-Servers'!G460,'All-Servers'!$K460)</f>
        <v>0</v>
      </c>
    </row>
    <row r="451" spans="8:11" x14ac:dyDescent="0.2">
      <c r="H451" s="45">
        <f>PRODUCT('All-Servers'!D461,'All-Servers'!$K461)</f>
        <v>0</v>
      </c>
      <c r="I451" s="45">
        <f>PRODUCT('All-Servers'!E461,'All-Servers'!$K461)</f>
        <v>0</v>
      </c>
      <c r="J451" s="45">
        <f>PRODUCT('All-Servers'!F461,'All-Servers'!$K461)</f>
        <v>0</v>
      </c>
      <c r="K451" s="45">
        <f>PRODUCT('All-Servers'!G461,'All-Servers'!$K461)</f>
        <v>0</v>
      </c>
    </row>
    <row r="452" spans="8:11" x14ac:dyDescent="0.2">
      <c r="H452" s="45">
        <f>PRODUCT('All-Servers'!D462,'All-Servers'!$K462)</f>
        <v>0</v>
      </c>
      <c r="I452" s="45">
        <f>PRODUCT('All-Servers'!E462,'All-Servers'!$K462)</f>
        <v>0</v>
      </c>
      <c r="J452" s="45">
        <f>PRODUCT('All-Servers'!F462,'All-Servers'!$K462)</f>
        <v>0</v>
      </c>
      <c r="K452" s="45">
        <f>PRODUCT('All-Servers'!G462,'All-Servers'!$K462)</f>
        <v>0</v>
      </c>
    </row>
    <row r="453" spans="8:11" x14ac:dyDescent="0.2">
      <c r="H453" s="45">
        <f>PRODUCT('All-Servers'!D463,'All-Servers'!$K463)</f>
        <v>0</v>
      </c>
      <c r="I453" s="45">
        <f>PRODUCT('All-Servers'!E463,'All-Servers'!$K463)</f>
        <v>0</v>
      </c>
      <c r="J453" s="45">
        <f>PRODUCT('All-Servers'!F463,'All-Servers'!$K463)</f>
        <v>0</v>
      </c>
      <c r="K453" s="45">
        <f>PRODUCT('All-Servers'!G463,'All-Servers'!$K463)</f>
        <v>0</v>
      </c>
    </row>
    <row r="454" spans="8:11" x14ac:dyDescent="0.2">
      <c r="H454" s="45">
        <f>PRODUCT('All-Servers'!D464,'All-Servers'!$K464)</f>
        <v>0</v>
      </c>
      <c r="I454" s="45">
        <f>PRODUCT('All-Servers'!E464,'All-Servers'!$K464)</f>
        <v>0</v>
      </c>
      <c r="J454" s="45">
        <f>PRODUCT('All-Servers'!F464,'All-Servers'!$K464)</f>
        <v>0</v>
      </c>
      <c r="K454" s="45">
        <f>PRODUCT('All-Servers'!G464,'All-Servers'!$K464)</f>
        <v>0</v>
      </c>
    </row>
    <row r="455" spans="8:11" x14ac:dyDescent="0.2">
      <c r="H455" s="45">
        <f>PRODUCT('All-Servers'!D465,'All-Servers'!$K465)</f>
        <v>0</v>
      </c>
      <c r="I455" s="45">
        <f>PRODUCT('All-Servers'!E465,'All-Servers'!$K465)</f>
        <v>0</v>
      </c>
      <c r="J455" s="45">
        <f>PRODUCT('All-Servers'!F465,'All-Servers'!$K465)</f>
        <v>0</v>
      </c>
      <c r="K455" s="45">
        <f>PRODUCT('All-Servers'!G465,'All-Servers'!$K465)</f>
        <v>0</v>
      </c>
    </row>
    <row r="456" spans="8:11" x14ac:dyDescent="0.2">
      <c r="H456" s="45">
        <f>PRODUCT('All-Servers'!D466,'All-Servers'!$K466)</f>
        <v>0</v>
      </c>
      <c r="I456" s="45">
        <f>PRODUCT('All-Servers'!E466,'All-Servers'!$K466)</f>
        <v>0</v>
      </c>
      <c r="J456" s="45">
        <f>PRODUCT('All-Servers'!F466,'All-Servers'!$K466)</f>
        <v>0</v>
      </c>
      <c r="K456" s="45">
        <f>PRODUCT('All-Servers'!G466,'All-Servers'!$K466)</f>
        <v>0</v>
      </c>
    </row>
    <row r="457" spans="8:11" x14ac:dyDescent="0.2">
      <c r="H457" s="45">
        <f>PRODUCT('All-Servers'!D467,'All-Servers'!$K467)</f>
        <v>0</v>
      </c>
      <c r="I457" s="45">
        <f>PRODUCT('All-Servers'!E467,'All-Servers'!$K467)</f>
        <v>0</v>
      </c>
      <c r="J457" s="45">
        <f>PRODUCT('All-Servers'!F467,'All-Servers'!$K467)</f>
        <v>0</v>
      </c>
      <c r="K457" s="45">
        <f>PRODUCT('All-Servers'!G467,'All-Servers'!$K467)</f>
        <v>0</v>
      </c>
    </row>
    <row r="458" spans="8:11" x14ac:dyDescent="0.2">
      <c r="H458" s="45">
        <f>PRODUCT('All-Servers'!D468,'All-Servers'!$K468)</f>
        <v>0</v>
      </c>
      <c r="I458" s="45">
        <f>PRODUCT('All-Servers'!E468,'All-Servers'!$K468)</f>
        <v>0</v>
      </c>
      <c r="J458" s="45">
        <f>PRODUCT('All-Servers'!F468,'All-Servers'!$K468)</f>
        <v>0</v>
      </c>
      <c r="K458" s="45">
        <f>PRODUCT('All-Servers'!G468,'All-Servers'!$K468)</f>
        <v>0</v>
      </c>
    </row>
    <row r="459" spans="8:11" x14ac:dyDescent="0.2">
      <c r="H459" s="45">
        <f>PRODUCT('All-Servers'!D469,'All-Servers'!$K469)</f>
        <v>0</v>
      </c>
      <c r="I459" s="45">
        <f>PRODUCT('All-Servers'!E469,'All-Servers'!$K469)</f>
        <v>0</v>
      </c>
      <c r="J459" s="45">
        <f>PRODUCT('All-Servers'!F469,'All-Servers'!$K469)</f>
        <v>0</v>
      </c>
      <c r="K459" s="45">
        <f>PRODUCT('All-Servers'!G469,'All-Servers'!$K469)</f>
        <v>0</v>
      </c>
    </row>
    <row r="460" spans="8:11" x14ac:dyDescent="0.2">
      <c r="H460" s="45">
        <f>PRODUCT('All-Servers'!D470,'All-Servers'!$K470)</f>
        <v>0</v>
      </c>
      <c r="I460" s="45">
        <f>PRODUCT('All-Servers'!E470,'All-Servers'!$K470)</f>
        <v>0</v>
      </c>
      <c r="J460" s="45">
        <f>PRODUCT('All-Servers'!F470,'All-Servers'!$K470)</f>
        <v>0</v>
      </c>
      <c r="K460" s="45">
        <f>PRODUCT('All-Servers'!G470,'All-Servers'!$K470)</f>
        <v>0</v>
      </c>
    </row>
    <row r="461" spans="8:11" x14ac:dyDescent="0.2">
      <c r="H461" s="45">
        <f>PRODUCT('All-Servers'!D471,'All-Servers'!$K471)</f>
        <v>0</v>
      </c>
      <c r="I461" s="45">
        <f>PRODUCT('All-Servers'!E471,'All-Servers'!$K471)</f>
        <v>0</v>
      </c>
      <c r="J461" s="45">
        <f>PRODUCT('All-Servers'!F471,'All-Servers'!$K471)</f>
        <v>0</v>
      </c>
      <c r="K461" s="45">
        <f>PRODUCT('All-Servers'!G471,'All-Servers'!$K471)</f>
        <v>0</v>
      </c>
    </row>
    <row r="462" spans="8:11" x14ac:dyDescent="0.2">
      <c r="H462" s="45">
        <f>PRODUCT('All-Servers'!D472,'All-Servers'!$K472)</f>
        <v>0</v>
      </c>
      <c r="I462" s="45">
        <f>PRODUCT('All-Servers'!E472,'All-Servers'!$K472)</f>
        <v>0</v>
      </c>
      <c r="J462" s="45">
        <f>PRODUCT('All-Servers'!F472,'All-Servers'!$K472)</f>
        <v>0</v>
      </c>
      <c r="K462" s="45">
        <f>PRODUCT('All-Servers'!G472,'All-Servers'!$K472)</f>
        <v>0</v>
      </c>
    </row>
    <row r="463" spans="8:11" x14ac:dyDescent="0.2">
      <c r="H463" s="45">
        <f>PRODUCT('All-Servers'!D473,'All-Servers'!$K473)</f>
        <v>0</v>
      </c>
      <c r="I463" s="45">
        <f>PRODUCT('All-Servers'!E473,'All-Servers'!$K473)</f>
        <v>0</v>
      </c>
      <c r="J463" s="45">
        <f>PRODUCT('All-Servers'!F473,'All-Servers'!$K473)</f>
        <v>0</v>
      </c>
      <c r="K463" s="45">
        <f>PRODUCT('All-Servers'!G473,'All-Servers'!$K473)</f>
        <v>0</v>
      </c>
    </row>
    <row r="464" spans="8:11" x14ac:dyDescent="0.2">
      <c r="H464" s="45">
        <f>PRODUCT('All-Servers'!D474,'All-Servers'!$K474)</f>
        <v>0</v>
      </c>
      <c r="I464" s="45">
        <f>PRODUCT('All-Servers'!E474,'All-Servers'!$K474)</f>
        <v>0</v>
      </c>
      <c r="J464" s="45">
        <f>PRODUCT('All-Servers'!F474,'All-Servers'!$K474)</f>
        <v>0</v>
      </c>
      <c r="K464" s="45">
        <f>PRODUCT('All-Servers'!G474,'All-Servers'!$K474)</f>
        <v>0</v>
      </c>
    </row>
    <row r="465" spans="8:11" x14ac:dyDescent="0.2">
      <c r="H465" s="45">
        <f>PRODUCT('All-Servers'!D475,'All-Servers'!$K475)</f>
        <v>0</v>
      </c>
      <c r="I465" s="45">
        <f>PRODUCT('All-Servers'!E475,'All-Servers'!$K475)</f>
        <v>0</v>
      </c>
      <c r="J465" s="45">
        <f>PRODUCT('All-Servers'!F475,'All-Servers'!$K475)</f>
        <v>0</v>
      </c>
      <c r="K465" s="45">
        <f>PRODUCT('All-Servers'!G475,'All-Servers'!$K475)</f>
        <v>0</v>
      </c>
    </row>
    <row r="466" spans="8:11" x14ac:dyDescent="0.2">
      <c r="H466" s="45">
        <f>PRODUCT('All-Servers'!D476,'All-Servers'!$K476)</f>
        <v>0</v>
      </c>
      <c r="I466" s="45">
        <f>PRODUCT('All-Servers'!E476,'All-Servers'!$K476)</f>
        <v>0</v>
      </c>
      <c r="J466" s="45">
        <f>PRODUCT('All-Servers'!F476,'All-Servers'!$K476)</f>
        <v>0</v>
      </c>
      <c r="K466" s="45">
        <f>PRODUCT('All-Servers'!G476,'All-Servers'!$K476)</f>
        <v>0</v>
      </c>
    </row>
    <row r="467" spans="8:11" x14ac:dyDescent="0.2">
      <c r="H467" s="45">
        <f>PRODUCT('All-Servers'!D477,'All-Servers'!$K477)</f>
        <v>0</v>
      </c>
      <c r="I467" s="45">
        <f>PRODUCT('All-Servers'!E477,'All-Servers'!$K477)</f>
        <v>0</v>
      </c>
      <c r="J467" s="45">
        <f>PRODUCT('All-Servers'!F477,'All-Servers'!$K477)</f>
        <v>0</v>
      </c>
      <c r="K467" s="45">
        <f>PRODUCT('All-Servers'!G477,'All-Servers'!$K477)</f>
        <v>0</v>
      </c>
    </row>
    <row r="468" spans="8:11" x14ac:dyDescent="0.2">
      <c r="H468" s="45">
        <f>PRODUCT('All-Servers'!D478,'All-Servers'!$K478)</f>
        <v>0</v>
      </c>
      <c r="I468" s="45">
        <f>PRODUCT('All-Servers'!E478,'All-Servers'!$K478)</f>
        <v>0</v>
      </c>
      <c r="J468" s="45">
        <f>PRODUCT('All-Servers'!F478,'All-Servers'!$K478)</f>
        <v>0</v>
      </c>
      <c r="K468" s="45">
        <f>PRODUCT('All-Servers'!G478,'All-Servers'!$K478)</f>
        <v>0</v>
      </c>
    </row>
    <row r="469" spans="8:11" x14ac:dyDescent="0.2">
      <c r="H469" s="45">
        <f>PRODUCT('All-Servers'!D479,'All-Servers'!$K479)</f>
        <v>0</v>
      </c>
      <c r="I469" s="45">
        <f>PRODUCT('All-Servers'!E479,'All-Servers'!$K479)</f>
        <v>0</v>
      </c>
      <c r="J469" s="45">
        <f>PRODUCT('All-Servers'!F479,'All-Servers'!$K479)</f>
        <v>0</v>
      </c>
      <c r="K469" s="45">
        <f>PRODUCT('All-Servers'!G479,'All-Servers'!$K479)</f>
        <v>0</v>
      </c>
    </row>
    <row r="470" spans="8:11" x14ac:dyDescent="0.2">
      <c r="H470" s="45">
        <f>PRODUCT('All-Servers'!D480,'All-Servers'!$K480)</f>
        <v>0</v>
      </c>
      <c r="I470" s="45">
        <f>PRODUCT('All-Servers'!E480,'All-Servers'!$K480)</f>
        <v>0</v>
      </c>
      <c r="J470" s="45">
        <f>PRODUCT('All-Servers'!F480,'All-Servers'!$K480)</f>
        <v>0</v>
      </c>
      <c r="K470" s="45">
        <f>PRODUCT('All-Servers'!G480,'All-Servers'!$K480)</f>
        <v>0</v>
      </c>
    </row>
    <row r="471" spans="8:11" x14ac:dyDescent="0.2">
      <c r="H471" s="45">
        <f>PRODUCT('All-Servers'!D481,'All-Servers'!$K481)</f>
        <v>0</v>
      </c>
      <c r="I471" s="45">
        <f>PRODUCT('All-Servers'!E481,'All-Servers'!$K481)</f>
        <v>0</v>
      </c>
      <c r="J471" s="45">
        <f>PRODUCT('All-Servers'!F481,'All-Servers'!$K481)</f>
        <v>0</v>
      </c>
      <c r="K471" s="45">
        <f>PRODUCT('All-Servers'!G481,'All-Servers'!$K481)</f>
        <v>0</v>
      </c>
    </row>
    <row r="472" spans="8:11" x14ac:dyDescent="0.2">
      <c r="H472" s="45">
        <f>PRODUCT('All-Servers'!D482,'All-Servers'!$K482)</f>
        <v>0</v>
      </c>
      <c r="I472" s="45">
        <f>PRODUCT('All-Servers'!E482,'All-Servers'!$K482)</f>
        <v>0</v>
      </c>
      <c r="J472" s="45">
        <f>PRODUCT('All-Servers'!F482,'All-Servers'!$K482)</f>
        <v>0</v>
      </c>
      <c r="K472" s="45">
        <f>PRODUCT('All-Servers'!G482,'All-Servers'!$K482)</f>
        <v>0</v>
      </c>
    </row>
    <row r="473" spans="8:11" x14ac:dyDescent="0.2">
      <c r="H473" s="45">
        <f>PRODUCT('All-Servers'!D483,'All-Servers'!$K483)</f>
        <v>0</v>
      </c>
      <c r="I473" s="45">
        <f>PRODUCT('All-Servers'!E483,'All-Servers'!$K483)</f>
        <v>0</v>
      </c>
      <c r="J473" s="45">
        <f>PRODUCT('All-Servers'!F483,'All-Servers'!$K483)</f>
        <v>0</v>
      </c>
      <c r="K473" s="45">
        <f>PRODUCT('All-Servers'!G483,'All-Servers'!$K483)</f>
        <v>0</v>
      </c>
    </row>
    <row r="474" spans="8:11" x14ac:dyDescent="0.2">
      <c r="H474" s="45">
        <f>PRODUCT('All-Servers'!D484,'All-Servers'!$K484)</f>
        <v>0</v>
      </c>
      <c r="I474" s="45">
        <f>PRODUCT('All-Servers'!E484,'All-Servers'!$K484)</f>
        <v>0</v>
      </c>
      <c r="J474" s="45">
        <f>PRODUCT('All-Servers'!F484,'All-Servers'!$K484)</f>
        <v>0</v>
      </c>
      <c r="K474" s="45">
        <f>PRODUCT('All-Servers'!G484,'All-Servers'!$K484)</f>
        <v>0</v>
      </c>
    </row>
    <row r="475" spans="8:11" x14ac:dyDescent="0.2">
      <c r="H475" s="45">
        <f>PRODUCT('All-Servers'!D485,'All-Servers'!$K485)</f>
        <v>0</v>
      </c>
      <c r="I475" s="45">
        <f>PRODUCT('All-Servers'!E485,'All-Servers'!$K485)</f>
        <v>0</v>
      </c>
      <c r="J475" s="45">
        <f>PRODUCT('All-Servers'!F485,'All-Servers'!$K485)</f>
        <v>0</v>
      </c>
      <c r="K475" s="45">
        <f>PRODUCT('All-Servers'!G485,'All-Servers'!$K485)</f>
        <v>0</v>
      </c>
    </row>
    <row r="476" spans="8:11" x14ac:dyDescent="0.2">
      <c r="H476" s="45">
        <f>PRODUCT('All-Servers'!D486,'All-Servers'!$K486)</f>
        <v>0</v>
      </c>
      <c r="I476" s="45">
        <f>PRODUCT('All-Servers'!E486,'All-Servers'!$K486)</f>
        <v>0</v>
      </c>
      <c r="J476" s="45">
        <f>PRODUCT('All-Servers'!F486,'All-Servers'!$K486)</f>
        <v>0</v>
      </c>
      <c r="K476" s="45">
        <f>PRODUCT('All-Servers'!G486,'All-Servers'!$K486)</f>
        <v>0</v>
      </c>
    </row>
    <row r="477" spans="8:11" x14ac:dyDescent="0.2">
      <c r="H477" s="45">
        <f>PRODUCT('All-Servers'!D487,'All-Servers'!$K487)</f>
        <v>0</v>
      </c>
      <c r="I477" s="45">
        <f>PRODUCT('All-Servers'!E487,'All-Servers'!$K487)</f>
        <v>0</v>
      </c>
      <c r="J477" s="45">
        <f>PRODUCT('All-Servers'!F487,'All-Servers'!$K487)</f>
        <v>0</v>
      </c>
      <c r="K477" s="45">
        <f>PRODUCT('All-Servers'!G487,'All-Servers'!$K487)</f>
        <v>0</v>
      </c>
    </row>
    <row r="478" spans="8:11" x14ac:dyDescent="0.2">
      <c r="H478" s="45">
        <f>PRODUCT('All-Servers'!D488,'All-Servers'!$K488)</f>
        <v>0</v>
      </c>
      <c r="I478" s="45">
        <f>PRODUCT('All-Servers'!E488,'All-Servers'!$K488)</f>
        <v>0</v>
      </c>
      <c r="J478" s="45">
        <f>PRODUCT('All-Servers'!F488,'All-Servers'!$K488)</f>
        <v>0</v>
      </c>
      <c r="K478" s="45">
        <f>PRODUCT('All-Servers'!G488,'All-Servers'!$K488)</f>
        <v>0</v>
      </c>
    </row>
    <row r="479" spans="8:11" x14ac:dyDescent="0.2">
      <c r="H479" s="45">
        <f>PRODUCT('All-Servers'!D489,'All-Servers'!$K489)</f>
        <v>0</v>
      </c>
      <c r="I479" s="45">
        <f>PRODUCT('All-Servers'!E489,'All-Servers'!$K489)</f>
        <v>0</v>
      </c>
      <c r="J479" s="45">
        <f>PRODUCT('All-Servers'!F489,'All-Servers'!$K489)</f>
        <v>0</v>
      </c>
      <c r="K479" s="45">
        <f>PRODUCT('All-Servers'!G489,'All-Servers'!$K489)</f>
        <v>0</v>
      </c>
    </row>
    <row r="480" spans="8:11" x14ac:dyDescent="0.2">
      <c r="H480" s="45">
        <f>PRODUCT('All-Servers'!D490,'All-Servers'!$K490)</f>
        <v>0</v>
      </c>
      <c r="I480" s="45">
        <f>PRODUCT('All-Servers'!E490,'All-Servers'!$K490)</f>
        <v>0</v>
      </c>
      <c r="J480" s="45">
        <f>PRODUCT('All-Servers'!F490,'All-Servers'!$K490)</f>
        <v>0</v>
      </c>
      <c r="K480" s="45">
        <f>PRODUCT('All-Servers'!G490,'All-Servers'!$K490)</f>
        <v>0</v>
      </c>
    </row>
    <row r="481" spans="8:11" x14ac:dyDescent="0.2">
      <c r="H481" s="45">
        <f>PRODUCT('All-Servers'!D491,'All-Servers'!$K491)</f>
        <v>0</v>
      </c>
      <c r="I481" s="45">
        <f>PRODUCT('All-Servers'!E491,'All-Servers'!$K491)</f>
        <v>0</v>
      </c>
      <c r="J481" s="45">
        <f>PRODUCT('All-Servers'!F491,'All-Servers'!$K491)</f>
        <v>0</v>
      </c>
      <c r="K481" s="45">
        <f>PRODUCT('All-Servers'!G491,'All-Servers'!$K491)</f>
        <v>0</v>
      </c>
    </row>
    <row r="482" spans="8:11" x14ac:dyDescent="0.2">
      <c r="H482" s="45">
        <f>PRODUCT('All-Servers'!D492,'All-Servers'!$K492)</f>
        <v>0</v>
      </c>
      <c r="I482" s="45">
        <f>PRODUCT('All-Servers'!E492,'All-Servers'!$K492)</f>
        <v>0</v>
      </c>
      <c r="J482" s="45">
        <f>PRODUCT('All-Servers'!F492,'All-Servers'!$K492)</f>
        <v>0</v>
      </c>
      <c r="K482" s="45">
        <f>PRODUCT('All-Servers'!G492,'All-Servers'!$K492)</f>
        <v>0</v>
      </c>
    </row>
    <row r="483" spans="8:11" x14ac:dyDescent="0.2">
      <c r="H483" s="45">
        <f>PRODUCT('All-Servers'!D493,'All-Servers'!$K493)</f>
        <v>0</v>
      </c>
      <c r="I483" s="45">
        <f>PRODUCT('All-Servers'!E493,'All-Servers'!$K493)</f>
        <v>0</v>
      </c>
      <c r="J483" s="45">
        <f>PRODUCT('All-Servers'!F493,'All-Servers'!$K493)</f>
        <v>0</v>
      </c>
      <c r="K483" s="45">
        <f>PRODUCT('All-Servers'!G493,'All-Servers'!$K493)</f>
        <v>0</v>
      </c>
    </row>
    <row r="484" spans="8:11" x14ac:dyDescent="0.2">
      <c r="H484" s="45">
        <f>PRODUCT('All-Servers'!D494,'All-Servers'!$K494)</f>
        <v>0</v>
      </c>
      <c r="I484" s="45">
        <f>PRODUCT('All-Servers'!E494,'All-Servers'!$K494)</f>
        <v>0</v>
      </c>
      <c r="J484" s="45">
        <f>PRODUCT('All-Servers'!F494,'All-Servers'!$K494)</f>
        <v>0</v>
      </c>
      <c r="K484" s="45">
        <f>PRODUCT('All-Servers'!G494,'All-Servers'!$K494)</f>
        <v>0</v>
      </c>
    </row>
    <row r="485" spans="8:11" x14ac:dyDescent="0.2">
      <c r="H485" s="45">
        <f>PRODUCT('All-Servers'!D495,'All-Servers'!$K495)</f>
        <v>0</v>
      </c>
      <c r="I485" s="45">
        <f>PRODUCT('All-Servers'!E495,'All-Servers'!$K495)</f>
        <v>0</v>
      </c>
      <c r="J485" s="45">
        <f>PRODUCT('All-Servers'!F495,'All-Servers'!$K495)</f>
        <v>0</v>
      </c>
      <c r="K485" s="45">
        <f>PRODUCT('All-Servers'!G495,'All-Servers'!$K495)</f>
        <v>0</v>
      </c>
    </row>
    <row r="486" spans="8:11" x14ac:dyDescent="0.2">
      <c r="H486" s="45">
        <f>PRODUCT('All-Servers'!D496,'All-Servers'!$K496)</f>
        <v>0</v>
      </c>
      <c r="I486" s="45">
        <f>PRODUCT('All-Servers'!E496,'All-Servers'!$K496)</f>
        <v>0</v>
      </c>
      <c r="J486" s="45">
        <f>PRODUCT('All-Servers'!F496,'All-Servers'!$K496)</f>
        <v>0</v>
      </c>
      <c r="K486" s="45">
        <f>PRODUCT('All-Servers'!G496,'All-Servers'!$K496)</f>
        <v>0</v>
      </c>
    </row>
    <row r="487" spans="8:11" x14ac:dyDescent="0.2">
      <c r="H487" s="45">
        <f>PRODUCT('All-Servers'!D497,'All-Servers'!$K497)</f>
        <v>0</v>
      </c>
      <c r="I487" s="45">
        <f>PRODUCT('All-Servers'!E497,'All-Servers'!$K497)</f>
        <v>0</v>
      </c>
      <c r="J487" s="45">
        <f>PRODUCT('All-Servers'!F497,'All-Servers'!$K497)</f>
        <v>0</v>
      </c>
      <c r="K487" s="45">
        <f>PRODUCT('All-Servers'!G497,'All-Servers'!$K497)</f>
        <v>0</v>
      </c>
    </row>
    <row r="488" spans="8:11" x14ac:dyDescent="0.2">
      <c r="H488" s="45">
        <f>PRODUCT('All-Servers'!D498,'All-Servers'!$K498)</f>
        <v>0</v>
      </c>
      <c r="I488" s="45">
        <f>PRODUCT('All-Servers'!E498,'All-Servers'!$K498)</f>
        <v>0</v>
      </c>
      <c r="J488" s="45">
        <f>PRODUCT('All-Servers'!F498,'All-Servers'!$K498)</f>
        <v>0</v>
      </c>
      <c r="K488" s="45">
        <f>PRODUCT('All-Servers'!G498,'All-Servers'!$K498)</f>
        <v>0</v>
      </c>
    </row>
    <row r="489" spans="8:11" x14ac:dyDescent="0.2">
      <c r="H489" s="45">
        <f>PRODUCT('All-Servers'!D499,'All-Servers'!$K499)</f>
        <v>0</v>
      </c>
      <c r="I489" s="45">
        <f>PRODUCT('All-Servers'!E499,'All-Servers'!$K499)</f>
        <v>0</v>
      </c>
      <c r="J489" s="45">
        <f>PRODUCT('All-Servers'!F499,'All-Servers'!$K499)</f>
        <v>0</v>
      </c>
      <c r="K489" s="45">
        <f>PRODUCT('All-Servers'!G499,'All-Servers'!$K499)</f>
        <v>0</v>
      </c>
    </row>
    <row r="490" spans="8:11" x14ac:dyDescent="0.2">
      <c r="H490" s="45">
        <f>PRODUCT('All-Servers'!D500,'All-Servers'!$K500)</f>
        <v>0</v>
      </c>
      <c r="I490" s="45">
        <f>PRODUCT('All-Servers'!E500,'All-Servers'!$K500)</f>
        <v>0</v>
      </c>
      <c r="J490" s="45">
        <f>PRODUCT('All-Servers'!F500,'All-Servers'!$K500)</f>
        <v>0</v>
      </c>
      <c r="K490" s="45">
        <f>PRODUCT('All-Servers'!G500,'All-Servers'!$K500)</f>
        <v>0</v>
      </c>
    </row>
    <row r="491" spans="8:11" x14ac:dyDescent="0.2">
      <c r="H491" s="45">
        <f>PRODUCT('All-Servers'!D501,'All-Servers'!$K501)</f>
        <v>0</v>
      </c>
      <c r="I491" s="45">
        <f>PRODUCT('All-Servers'!E501,'All-Servers'!$K501)</f>
        <v>0</v>
      </c>
      <c r="J491" s="45">
        <f>PRODUCT('All-Servers'!F501,'All-Servers'!$K501)</f>
        <v>0</v>
      </c>
      <c r="K491" s="45">
        <f>PRODUCT('All-Servers'!G501,'All-Servers'!$K501)</f>
        <v>0</v>
      </c>
    </row>
    <row r="492" spans="8:11" x14ac:dyDescent="0.2">
      <c r="H492" s="45">
        <f>PRODUCT('All-Servers'!D502,'All-Servers'!$K502)</f>
        <v>0</v>
      </c>
      <c r="I492" s="45">
        <f>PRODUCT('All-Servers'!E502,'All-Servers'!$K502)</f>
        <v>0</v>
      </c>
      <c r="J492" s="45">
        <f>PRODUCT('All-Servers'!F502,'All-Servers'!$K502)</f>
        <v>0</v>
      </c>
      <c r="K492" s="45">
        <f>PRODUCT('All-Servers'!G502,'All-Servers'!$K502)</f>
        <v>0</v>
      </c>
    </row>
    <row r="493" spans="8:11" x14ac:dyDescent="0.2">
      <c r="H493" s="45">
        <f>PRODUCT('All-Servers'!D503,'All-Servers'!$K503)</f>
        <v>0</v>
      </c>
      <c r="I493" s="45">
        <f>PRODUCT('All-Servers'!E503,'All-Servers'!$K503)</f>
        <v>0</v>
      </c>
      <c r="J493" s="45">
        <f>PRODUCT('All-Servers'!F503,'All-Servers'!$K503)</f>
        <v>0</v>
      </c>
      <c r="K493" s="45">
        <f>PRODUCT('All-Servers'!G503,'All-Servers'!$K503)</f>
        <v>0</v>
      </c>
    </row>
    <row r="494" spans="8:11" x14ac:dyDescent="0.2">
      <c r="H494" s="45">
        <f>PRODUCT('All-Servers'!D504,'All-Servers'!$K504)</f>
        <v>0</v>
      </c>
      <c r="I494" s="45">
        <f>PRODUCT('All-Servers'!E504,'All-Servers'!$K504)</f>
        <v>0</v>
      </c>
      <c r="J494" s="45">
        <f>PRODUCT('All-Servers'!F504,'All-Servers'!$K504)</f>
        <v>0</v>
      </c>
      <c r="K494" s="45">
        <f>PRODUCT('All-Servers'!G504,'All-Servers'!$K504)</f>
        <v>0</v>
      </c>
    </row>
    <row r="495" spans="8:11" x14ac:dyDescent="0.2">
      <c r="H495" s="45">
        <f>PRODUCT('All-Servers'!D505,'All-Servers'!$K505)</f>
        <v>0</v>
      </c>
      <c r="I495" s="45">
        <f>PRODUCT('All-Servers'!E505,'All-Servers'!$K505)</f>
        <v>0</v>
      </c>
      <c r="J495" s="45">
        <f>PRODUCT('All-Servers'!F505,'All-Servers'!$K505)</f>
        <v>0</v>
      </c>
      <c r="K495" s="45">
        <f>PRODUCT('All-Servers'!G505,'All-Servers'!$K505)</f>
        <v>0</v>
      </c>
    </row>
    <row r="496" spans="8:11" x14ac:dyDescent="0.2">
      <c r="H496" s="45">
        <f>PRODUCT('All-Servers'!D506,'All-Servers'!$K506)</f>
        <v>0</v>
      </c>
      <c r="I496" s="45">
        <f>PRODUCT('All-Servers'!E506,'All-Servers'!$K506)</f>
        <v>0</v>
      </c>
      <c r="J496" s="45">
        <f>PRODUCT('All-Servers'!F506,'All-Servers'!$K506)</f>
        <v>0</v>
      </c>
      <c r="K496" s="45">
        <f>PRODUCT('All-Servers'!G506,'All-Servers'!$K506)</f>
        <v>0</v>
      </c>
    </row>
    <row r="497" spans="8:11" x14ac:dyDescent="0.2">
      <c r="H497" s="45">
        <f>PRODUCT('All-Servers'!D507,'All-Servers'!$K507)</f>
        <v>0</v>
      </c>
      <c r="I497" s="45">
        <f>PRODUCT('All-Servers'!E507,'All-Servers'!$K507)</f>
        <v>0</v>
      </c>
      <c r="J497" s="45">
        <f>PRODUCT('All-Servers'!F507,'All-Servers'!$K507)</f>
        <v>0</v>
      </c>
      <c r="K497" s="45">
        <f>PRODUCT('All-Servers'!G507,'All-Servers'!$K507)</f>
        <v>0</v>
      </c>
    </row>
    <row r="498" spans="8:11" x14ac:dyDescent="0.2">
      <c r="H498" s="45">
        <f>PRODUCT('All-Servers'!D508,'All-Servers'!$K508)</f>
        <v>0</v>
      </c>
      <c r="I498" s="45">
        <f>PRODUCT('All-Servers'!E508,'All-Servers'!$K508)</f>
        <v>0</v>
      </c>
      <c r="J498" s="45">
        <f>PRODUCT('All-Servers'!F508,'All-Servers'!$K508)</f>
        <v>0</v>
      </c>
      <c r="K498" s="45">
        <f>PRODUCT('All-Servers'!G508,'All-Servers'!$K508)</f>
        <v>0</v>
      </c>
    </row>
    <row r="499" spans="8:11" x14ac:dyDescent="0.2">
      <c r="H499" s="45">
        <f>PRODUCT('All-Servers'!D509,'All-Servers'!$K509)</f>
        <v>0</v>
      </c>
      <c r="I499" s="45">
        <f>PRODUCT('All-Servers'!E509,'All-Servers'!$K509)</f>
        <v>0</v>
      </c>
      <c r="J499" s="45">
        <f>PRODUCT('All-Servers'!F509,'All-Servers'!$K509)</f>
        <v>0</v>
      </c>
      <c r="K499" s="45">
        <f>PRODUCT('All-Servers'!G509,'All-Servers'!$K509)</f>
        <v>0</v>
      </c>
    </row>
    <row r="500" spans="8:11" x14ac:dyDescent="0.2">
      <c r="H500" s="45">
        <f>PRODUCT('All-Servers'!D510,'All-Servers'!$K510)</f>
        <v>0</v>
      </c>
      <c r="I500" s="45">
        <f>PRODUCT('All-Servers'!E510,'All-Servers'!$K510)</f>
        <v>0</v>
      </c>
      <c r="J500" s="45">
        <f>PRODUCT('All-Servers'!F510,'All-Servers'!$K510)</f>
        <v>0</v>
      </c>
      <c r="K500" s="45">
        <f>PRODUCT('All-Servers'!G510,'All-Servers'!$K510)</f>
        <v>0</v>
      </c>
    </row>
    <row r="501" spans="8:11" x14ac:dyDescent="0.2">
      <c r="H501" s="45">
        <f>PRODUCT('All-Servers'!D511,'All-Servers'!$K511)</f>
        <v>0</v>
      </c>
      <c r="I501" s="45">
        <f>PRODUCT('All-Servers'!E511,'All-Servers'!$K511)</f>
        <v>0</v>
      </c>
      <c r="J501" s="45">
        <f>PRODUCT('All-Servers'!F511,'All-Servers'!$K511)</f>
        <v>0</v>
      </c>
      <c r="K501" s="45">
        <f>PRODUCT('All-Servers'!G511,'All-Servers'!$K511)</f>
        <v>0</v>
      </c>
    </row>
    <row r="502" spans="8:11" x14ac:dyDescent="0.2">
      <c r="H502" s="45">
        <f>PRODUCT('All-Servers'!D512,'All-Servers'!$K512)</f>
        <v>0</v>
      </c>
      <c r="I502" s="45">
        <f>PRODUCT('All-Servers'!E512,'All-Servers'!$K512)</f>
        <v>0</v>
      </c>
      <c r="J502" s="45">
        <f>PRODUCT('All-Servers'!F512,'All-Servers'!$K512)</f>
        <v>0</v>
      </c>
      <c r="K502" s="45">
        <f>PRODUCT('All-Servers'!G512,'All-Servers'!$K512)</f>
        <v>0</v>
      </c>
    </row>
    <row r="503" spans="8:11" x14ac:dyDescent="0.2">
      <c r="H503" s="45">
        <f>PRODUCT('All-Servers'!D513,'All-Servers'!$K513)</f>
        <v>0</v>
      </c>
      <c r="I503" s="45">
        <f>PRODUCT('All-Servers'!E513,'All-Servers'!$K513)</f>
        <v>0</v>
      </c>
      <c r="J503" s="45">
        <f>PRODUCT('All-Servers'!F513,'All-Servers'!$K513)</f>
        <v>0</v>
      </c>
      <c r="K503" s="45">
        <f>PRODUCT('All-Servers'!G513,'All-Servers'!$K513)</f>
        <v>0</v>
      </c>
    </row>
    <row r="504" spans="8:11" x14ac:dyDescent="0.2">
      <c r="H504" s="45">
        <f>PRODUCT('All-Servers'!D514,'All-Servers'!$K514)</f>
        <v>0</v>
      </c>
      <c r="I504" s="45">
        <f>PRODUCT('All-Servers'!E514,'All-Servers'!$K514)</f>
        <v>0</v>
      </c>
      <c r="J504" s="45">
        <f>PRODUCT('All-Servers'!F514,'All-Servers'!$K514)</f>
        <v>0</v>
      </c>
      <c r="K504" s="45">
        <f>PRODUCT('All-Servers'!G514,'All-Servers'!$K514)</f>
        <v>0</v>
      </c>
    </row>
    <row r="505" spans="8:11" x14ac:dyDescent="0.2">
      <c r="H505" s="45">
        <f>PRODUCT('All-Servers'!D515,'All-Servers'!$K515)</f>
        <v>0</v>
      </c>
      <c r="I505" s="45">
        <f>PRODUCT('All-Servers'!E515,'All-Servers'!$K515)</f>
        <v>0</v>
      </c>
      <c r="J505" s="45">
        <f>PRODUCT('All-Servers'!F515,'All-Servers'!$K515)</f>
        <v>0</v>
      </c>
      <c r="K505" s="45">
        <f>PRODUCT('All-Servers'!G515,'All-Servers'!$K515)</f>
        <v>0</v>
      </c>
    </row>
    <row r="506" spans="8:11" x14ac:dyDescent="0.2">
      <c r="H506" s="45">
        <f>PRODUCT('All-Servers'!D516,'All-Servers'!$K516)</f>
        <v>0</v>
      </c>
      <c r="I506" s="45">
        <f>PRODUCT('All-Servers'!E516,'All-Servers'!$K516)</f>
        <v>0</v>
      </c>
      <c r="J506" s="45">
        <f>PRODUCT('All-Servers'!F516,'All-Servers'!$K516)</f>
        <v>0</v>
      </c>
      <c r="K506" s="45">
        <f>PRODUCT('All-Servers'!G516,'All-Servers'!$K516)</f>
        <v>0</v>
      </c>
    </row>
    <row r="507" spans="8:11" x14ac:dyDescent="0.2">
      <c r="H507" s="45">
        <f>PRODUCT('All-Servers'!D517,'All-Servers'!$K517)</f>
        <v>0</v>
      </c>
      <c r="I507" s="45">
        <f>PRODUCT('All-Servers'!E517,'All-Servers'!$K517)</f>
        <v>0</v>
      </c>
      <c r="J507" s="45">
        <f>PRODUCT('All-Servers'!F517,'All-Servers'!$K517)</f>
        <v>0</v>
      </c>
      <c r="K507" s="45">
        <f>PRODUCT('All-Servers'!G517,'All-Servers'!$K517)</f>
        <v>0</v>
      </c>
    </row>
    <row r="508" spans="8:11" x14ac:dyDescent="0.2">
      <c r="H508" s="45">
        <f>PRODUCT('All-Servers'!D518,'All-Servers'!$K518)</f>
        <v>0</v>
      </c>
      <c r="I508" s="45">
        <f>PRODUCT('All-Servers'!E518,'All-Servers'!$K518)</f>
        <v>0</v>
      </c>
      <c r="J508" s="45">
        <f>PRODUCT('All-Servers'!F518,'All-Servers'!$K518)</f>
        <v>0</v>
      </c>
      <c r="K508" s="45">
        <f>PRODUCT('All-Servers'!G518,'All-Servers'!$K518)</f>
        <v>0</v>
      </c>
    </row>
    <row r="509" spans="8:11" x14ac:dyDescent="0.2">
      <c r="H509" s="45">
        <f>PRODUCT('All-Servers'!D519,'All-Servers'!$K519)</f>
        <v>0</v>
      </c>
      <c r="I509" s="45">
        <f>PRODUCT('All-Servers'!E519,'All-Servers'!$K519)</f>
        <v>0</v>
      </c>
      <c r="J509" s="45">
        <f>PRODUCT('All-Servers'!F519,'All-Servers'!$K519)</f>
        <v>0</v>
      </c>
      <c r="K509" s="45">
        <f>PRODUCT('All-Servers'!G519,'All-Servers'!$K519)</f>
        <v>0</v>
      </c>
    </row>
    <row r="510" spans="8:11" x14ac:dyDescent="0.2">
      <c r="H510" s="45">
        <f>PRODUCT('All-Servers'!D520,'All-Servers'!$K520)</f>
        <v>0</v>
      </c>
      <c r="I510" s="45">
        <f>PRODUCT('All-Servers'!E520,'All-Servers'!$K520)</f>
        <v>0</v>
      </c>
      <c r="J510" s="45">
        <f>PRODUCT('All-Servers'!F520,'All-Servers'!$K520)</f>
        <v>0</v>
      </c>
      <c r="K510" s="45">
        <f>PRODUCT('All-Servers'!G520,'All-Servers'!$K520)</f>
        <v>0</v>
      </c>
    </row>
    <row r="511" spans="8:11" x14ac:dyDescent="0.2">
      <c r="H511" s="45">
        <f>PRODUCT('All-Servers'!D521,'All-Servers'!$K521)</f>
        <v>0</v>
      </c>
      <c r="I511" s="45">
        <f>PRODUCT('All-Servers'!E521,'All-Servers'!$K521)</f>
        <v>0</v>
      </c>
      <c r="J511" s="45">
        <f>PRODUCT('All-Servers'!F521,'All-Servers'!$K521)</f>
        <v>0</v>
      </c>
      <c r="K511" s="45">
        <f>PRODUCT('All-Servers'!G521,'All-Servers'!$K521)</f>
        <v>0</v>
      </c>
    </row>
    <row r="512" spans="8:11" x14ac:dyDescent="0.2">
      <c r="H512" s="45">
        <f>PRODUCT('All-Servers'!D522,'All-Servers'!$K522)</f>
        <v>0</v>
      </c>
      <c r="I512" s="45">
        <f>PRODUCT('All-Servers'!E522,'All-Servers'!$K522)</f>
        <v>0</v>
      </c>
      <c r="J512" s="45">
        <f>PRODUCT('All-Servers'!F522,'All-Servers'!$K522)</f>
        <v>0</v>
      </c>
      <c r="K512" s="45">
        <f>PRODUCT('All-Servers'!G522,'All-Servers'!$K522)</f>
        <v>0</v>
      </c>
    </row>
    <row r="513" spans="8:11" x14ac:dyDescent="0.2">
      <c r="H513" s="45">
        <f>PRODUCT('All-Servers'!D523,'All-Servers'!$K523)</f>
        <v>0</v>
      </c>
      <c r="I513" s="45">
        <f>PRODUCT('All-Servers'!E523,'All-Servers'!$K523)</f>
        <v>0</v>
      </c>
      <c r="J513" s="45">
        <f>PRODUCT('All-Servers'!F523,'All-Servers'!$K523)</f>
        <v>0</v>
      </c>
      <c r="K513" s="45">
        <f>PRODUCT('All-Servers'!G523,'All-Servers'!$K523)</f>
        <v>0</v>
      </c>
    </row>
    <row r="514" spans="8:11" x14ac:dyDescent="0.2">
      <c r="H514" s="45">
        <f>PRODUCT('All-Servers'!D524,'All-Servers'!$K524)</f>
        <v>0</v>
      </c>
      <c r="I514" s="45">
        <f>PRODUCT('All-Servers'!E524,'All-Servers'!$K524)</f>
        <v>0</v>
      </c>
      <c r="J514" s="45">
        <f>PRODUCT('All-Servers'!F524,'All-Servers'!$K524)</f>
        <v>0</v>
      </c>
      <c r="K514" s="45">
        <f>PRODUCT('All-Servers'!G524,'All-Servers'!$K524)</f>
        <v>0</v>
      </c>
    </row>
    <row r="515" spans="8:11" x14ac:dyDescent="0.2">
      <c r="H515" s="45">
        <f>PRODUCT('All-Servers'!D525,'All-Servers'!$K525)</f>
        <v>0</v>
      </c>
      <c r="I515" s="45">
        <f>PRODUCT('All-Servers'!E525,'All-Servers'!$K525)</f>
        <v>0</v>
      </c>
      <c r="J515" s="45">
        <f>PRODUCT('All-Servers'!F525,'All-Servers'!$K525)</f>
        <v>0</v>
      </c>
      <c r="K515" s="45">
        <f>PRODUCT('All-Servers'!G525,'All-Servers'!$K525)</f>
        <v>0</v>
      </c>
    </row>
    <row r="516" spans="8:11" x14ac:dyDescent="0.2">
      <c r="H516" s="45">
        <f>PRODUCT('All-Servers'!D526,'All-Servers'!$K526)</f>
        <v>0</v>
      </c>
      <c r="I516" s="45">
        <f>PRODUCT('All-Servers'!E526,'All-Servers'!$K526)</f>
        <v>0</v>
      </c>
      <c r="J516" s="45">
        <f>PRODUCT('All-Servers'!F526,'All-Servers'!$K526)</f>
        <v>0</v>
      </c>
      <c r="K516" s="45">
        <f>PRODUCT('All-Servers'!G526,'All-Servers'!$K526)</f>
        <v>0</v>
      </c>
    </row>
    <row r="517" spans="8:11" x14ac:dyDescent="0.2">
      <c r="H517" s="45">
        <f>PRODUCT('All-Servers'!D527,'All-Servers'!$K527)</f>
        <v>0</v>
      </c>
      <c r="I517" s="45">
        <f>PRODUCT('All-Servers'!E527,'All-Servers'!$K527)</f>
        <v>0</v>
      </c>
      <c r="J517" s="45">
        <f>PRODUCT('All-Servers'!F527,'All-Servers'!$K527)</f>
        <v>0</v>
      </c>
      <c r="K517" s="45">
        <f>PRODUCT('All-Servers'!G527,'All-Servers'!$K527)</f>
        <v>0</v>
      </c>
    </row>
    <row r="518" spans="8:11" x14ac:dyDescent="0.2">
      <c r="H518" s="45">
        <f>PRODUCT('All-Servers'!D528,'All-Servers'!$K528)</f>
        <v>0</v>
      </c>
      <c r="I518" s="45">
        <f>PRODUCT('All-Servers'!E528,'All-Servers'!$K528)</f>
        <v>0</v>
      </c>
      <c r="J518" s="45">
        <f>PRODUCT('All-Servers'!F528,'All-Servers'!$K528)</f>
        <v>0</v>
      </c>
      <c r="K518" s="45">
        <f>PRODUCT('All-Servers'!G528,'All-Servers'!$K528)</f>
        <v>0</v>
      </c>
    </row>
    <row r="519" spans="8:11" x14ac:dyDescent="0.2">
      <c r="H519" s="45">
        <f>PRODUCT('All-Servers'!D529,'All-Servers'!$K529)</f>
        <v>0</v>
      </c>
      <c r="I519" s="45">
        <f>PRODUCT('All-Servers'!E529,'All-Servers'!$K529)</f>
        <v>0</v>
      </c>
      <c r="J519" s="45">
        <f>PRODUCT('All-Servers'!F529,'All-Servers'!$K529)</f>
        <v>0</v>
      </c>
      <c r="K519" s="45">
        <f>PRODUCT('All-Servers'!G529,'All-Servers'!$K529)</f>
        <v>0</v>
      </c>
    </row>
    <row r="520" spans="8:11" x14ac:dyDescent="0.2">
      <c r="H520" s="45">
        <f>PRODUCT('All-Servers'!D530,'All-Servers'!$K530)</f>
        <v>0</v>
      </c>
      <c r="I520" s="45">
        <f>PRODUCT('All-Servers'!E530,'All-Servers'!$K530)</f>
        <v>0</v>
      </c>
      <c r="J520" s="45">
        <f>PRODUCT('All-Servers'!F530,'All-Servers'!$K530)</f>
        <v>0</v>
      </c>
      <c r="K520" s="45">
        <f>PRODUCT('All-Servers'!G530,'All-Servers'!$K530)</f>
        <v>0</v>
      </c>
    </row>
    <row r="521" spans="8:11" x14ac:dyDescent="0.2">
      <c r="H521" s="45">
        <f>PRODUCT('All-Servers'!D531,'All-Servers'!$K531)</f>
        <v>0</v>
      </c>
      <c r="I521" s="45">
        <f>PRODUCT('All-Servers'!E531,'All-Servers'!$K531)</f>
        <v>0</v>
      </c>
      <c r="J521" s="45">
        <f>PRODUCT('All-Servers'!F531,'All-Servers'!$K531)</f>
        <v>0</v>
      </c>
      <c r="K521" s="45">
        <f>PRODUCT('All-Servers'!G531,'All-Servers'!$K531)</f>
        <v>0</v>
      </c>
    </row>
    <row r="522" spans="8:11" x14ac:dyDescent="0.2">
      <c r="H522" s="45">
        <f>PRODUCT('All-Servers'!D532,'All-Servers'!$K532)</f>
        <v>0</v>
      </c>
      <c r="I522" s="45">
        <f>PRODUCT('All-Servers'!E532,'All-Servers'!$K532)</f>
        <v>0</v>
      </c>
      <c r="J522" s="45">
        <f>PRODUCT('All-Servers'!F532,'All-Servers'!$K532)</f>
        <v>0</v>
      </c>
      <c r="K522" s="45">
        <f>PRODUCT('All-Servers'!G532,'All-Servers'!$K532)</f>
        <v>0</v>
      </c>
    </row>
    <row r="523" spans="8:11" x14ac:dyDescent="0.2">
      <c r="H523" s="45">
        <f>PRODUCT('All-Servers'!D533,'All-Servers'!$K533)</f>
        <v>0</v>
      </c>
      <c r="I523" s="45">
        <f>PRODUCT('All-Servers'!E533,'All-Servers'!$K533)</f>
        <v>0</v>
      </c>
      <c r="J523" s="45">
        <f>PRODUCT('All-Servers'!F533,'All-Servers'!$K533)</f>
        <v>0</v>
      </c>
      <c r="K523" s="45">
        <f>PRODUCT('All-Servers'!G533,'All-Servers'!$K533)</f>
        <v>0</v>
      </c>
    </row>
    <row r="524" spans="8:11" x14ac:dyDescent="0.2">
      <c r="H524" s="45">
        <f>PRODUCT('All-Servers'!D534,'All-Servers'!$K534)</f>
        <v>0</v>
      </c>
      <c r="I524" s="45">
        <f>PRODUCT('All-Servers'!E534,'All-Servers'!$K534)</f>
        <v>0</v>
      </c>
      <c r="J524" s="45">
        <f>PRODUCT('All-Servers'!F534,'All-Servers'!$K534)</f>
        <v>0</v>
      </c>
      <c r="K524" s="45">
        <f>PRODUCT('All-Servers'!G534,'All-Servers'!$K534)</f>
        <v>0</v>
      </c>
    </row>
    <row r="525" spans="8:11" x14ac:dyDescent="0.2">
      <c r="H525" s="45">
        <f>PRODUCT('All-Servers'!D535,'All-Servers'!$K535)</f>
        <v>0</v>
      </c>
      <c r="I525" s="45">
        <f>PRODUCT('All-Servers'!E535,'All-Servers'!$K535)</f>
        <v>0</v>
      </c>
      <c r="J525" s="45">
        <f>PRODUCT('All-Servers'!F535,'All-Servers'!$K535)</f>
        <v>0</v>
      </c>
      <c r="K525" s="45">
        <f>PRODUCT('All-Servers'!G535,'All-Servers'!$K535)</f>
        <v>0</v>
      </c>
    </row>
    <row r="526" spans="8:11" x14ac:dyDescent="0.2">
      <c r="H526" s="45">
        <f>PRODUCT('All-Servers'!D536,'All-Servers'!$K536)</f>
        <v>0</v>
      </c>
      <c r="I526" s="45">
        <f>PRODUCT('All-Servers'!E536,'All-Servers'!$K536)</f>
        <v>0</v>
      </c>
      <c r="J526" s="45">
        <f>PRODUCT('All-Servers'!F536,'All-Servers'!$K536)</f>
        <v>0</v>
      </c>
      <c r="K526" s="45">
        <f>PRODUCT('All-Servers'!G536,'All-Servers'!$K536)</f>
        <v>0</v>
      </c>
    </row>
    <row r="527" spans="8:11" x14ac:dyDescent="0.2">
      <c r="H527" s="45">
        <f>PRODUCT('All-Servers'!D537,'All-Servers'!$K537)</f>
        <v>0</v>
      </c>
      <c r="I527" s="45">
        <f>PRODUCT('All-Servers'!E537,'All-Servers'!$K537)</f>
        <v>0</v>
      </c>
      <c r="J527" s="45">
        <f>PRODUCT('All-Servers'!F537,'All-Servers'!$K537)</f>
        <v>0</v>
      </c>
      <c r="K527" s="45">
        <f>PRODUCT('All-Servers'!G537,'All-Servers'!$K537)</f>
        <v>0</v>
      </c>
    </row>
    <row r="528" spans="8:11" x14ac:dyDescent="0.2">
      <c r="H528" s="45">
        <f>PRODUCT('All-Servers'!D538,'All-Servers'!$K538)</f>
        <v>0</v>
      </c>
      <c r="I528" s="45">
        <f>PRODUCT('All-Servers'!E538,'All-Servers'!$K538)</f>
        <v>0</v>
      </c>
      <c r="J528" s="45">
        <f>PRODUCT('All-Servers'!F538,'All-Servers'!$K538)</f>
        <v>0</v>
      </c>
      <c r="K528" s="45">
        <f>PRODUCT('All-Servers'!G538,'All-Servers'!$K538)</f>
        <v>0</v>
      </c>
    </row>
    <row r="529" spans="8:11" x14ac:dyDescent="0.2">
      <c r="H529" s="45">
        <f>PRODUCT('All-Servers'!D539,'All-Servers'!$K539)</f>
        <v>0</v>
      </c>
      <c r="I529" s="45">
        <f>PRODUCT('All-Servers'!E539,'All-Servers'!$K539)</f>
        <v>0</v>
      </c>
      <c r="J529" s="45">
        <f>PRODUCT('All-Servers'!F539,'All-Servers'!$K539)</f>
        <v>0</v>
      </c>
      <c r="K529" s="45">
        <f>PRODUCT('All-Servers'!G539,'All-Servers'!$K539)</f>
        <v>0</v>
      </c>
    </row>
    <row r="530" spans="8:11" x14ac:dyDescent="0.2">
      <c r="H530" s="45">
        <f>PRODUCT('All-Servers'!D540,'All-Servers'!$K540)</f>
        <v>0</v>
      </c>
      <c r="I530" s="45">
        <f>PRODUCT('All-Servers'!E540,'All-Servers'!$K540)</f>
        <v>0</v>
      </c>
      <c r="J530" s="45">
        <f>PRODUCT('All-Servers'!F540,'All-Servers'!$K540)</f>
        <v>0</v>
      </c>
      <c r="K530" s="45">
        <f>PRODUCT('All-Servers'!G540,'All-Servers'!$K540)</f>
        <v>0</v>
      </c>
    </row>
    <row r="531" spans="8:11" x14ac:dyDescent="0.2">
      <c r="H531" s="45">
        <f>PRODUCT('All-Servers'!D541,'All-Servers'!$K541)</f>
        <v>0</v>
      </c>
      <c r="I531" s="45">
        <f>PRODUCT('All-Servers'!E541,'All-Servers'!$K541)</f>
        <v>0</v>
      </c>
      <c r="J531" s="45">
        <f>PRODUCT('All-Servers'!F541,'All-Servers'!$K541)</f>
        <v>0</v>
      </c>
      <c r="K531" s="45">
        <f>PRODUCT('All-Servers'!G541,'All-Servers'!$K541)</f>
        <v>0</v>
      </c>
    </row>
    <row r="532" spans="8:11" x14ac:dyDescent="0.2">
      <c r="H532" s="45">
        <f>PRODUCT('All-Servers'!D542,'All-Servers'!$K542)</f>
        <v>0</v>
      </c>
      <c r="I532" s="45">
        <f>PRODUCT('All-Servers'!E542,'All-Servers'!$K542)</f>
        <v>0</v>
      </c>
      <c r="J532" s="45">
        <f>PRODUCT('All-Servers'!F542,'All-Servers'!$K542)</f>
        <v>0</v>
      </c>
      <c r="K532" s="45">
        <f>PRODUCT('All-Servers'!G542,'All-Servers'!$K542)</f>
        <v>0</v>
      </c>
    </row>
    <row r="533" spans="8:11" x14ac:dyDescent="0.2">
      <c r="H533" s="45">
        <f>PRODUCT('All-Servers'!D543,'All-Servers'!$K543)</f>
        <v>0</v>
      </c>
      <c r="I533" s="45">
        <f>PRODUCT('All-Servers'!E543,'All-Servers'!$K543)</f>
        <v>0</v>
      </c>
      <c r="J533" s="45">
        <f>PRODUCT('All-Servers'!F543,'All-Servers'!$K543)</f>
        <v>0</v>
      </c>
      <c r="K533" s="45">
        <f>PRODUCT('All-Servers'!G543,'All-Servers'!$K543)</f>
        <v>0</v>
      </c>
    </row>
    <row r="534" spans="8:11" x14ac:dyDescent="0.2">
      <c r="H534" s="45">
        <f>PRODUCT('All-Servers'!D544,'All-Servers'!$K544)</f>
        <v>0</v>
      </c>
      <c r="I534" s="45">
        <f>PRODUCT('All-Servers'!E544,'All-Servers'!$K544)</f>
        <v>0</v>
      </c>
      <c r="J534" s="45">
        <f>PRODUCT('All-Servers'!F544,'All-Servers'!$K544)</f>
        <v>0</v>
      </c>
      <c r="K534" s="45">
        <f>PRODUCT('All-Servers'!G544,'All-Servers'!$K544)</f>
        <v>0</v>
      </c>
    </row>
    <row r="535" spans="8:11" x14ac:dyDescent="0.2">
      <c r="H535" s="45">
        <f>PRODUCT('All-Servers'!D545,'All-Servers'!$K545)</f>
        <v>0</v>
      </c>
      <c r="I535" s="45">
        <f>PRODUCT('All-Servers'!E545,'All-Servers'!$K545)</f>
        <v>0</v>
      </c>
      <c r="J535" s="45">
        <f>PRODUCT('All-Servers'!F545,'All-Servers'!$K545)</f>
        <v>0</v>
      </c>
      <c r="K535" s="45">
        <f>PRODUCT('All-Servers'!G545,'All-Servers'!$K545)</f>
        <v>0</v>
      </c>
    </row>
    <row r="536" spans="8:11" x14ac:dyDescent="0.2">
      <c r="H536" s="45">
        <f>PRODUCT('All-Servers'!D546,'All-Servers'!$K546)</f>
        <v>0</v>
      </c>
      <c r="I536" s="45">
        <f>PRODUCT('All-Servers'!E546,'All-Servers'!$K546)</f>
        <v>0</v>
      </c>
      <c r="J536" s="45">
        <f>PRODUCT('All-Servers'!F546,'All-Servers'!$K546)</f>
        <v>0</v>
      </c>
      <c r="K536" s="45">
        <f>PRODUCT('All-Servers'!G546,'All-Servers'!$K546)</f>
        <v>0</v>
      </c>
    </row>
    <row r="537" spans="8:11" x14ac:dyDescent="0.2">
      <c r="H537" s="45">
        <f>PRODUCT('All-Servers'!D547,'All-Servers'!$K547)</f>
        <v>0</v>
      </c>
      <c r="I537" s="45">
        <f>PRODUCT('All-Servers'!E547,'All-Servers'!$K547)</f>
        <v>0</v>
      </c>
      <c r="J537" s="45">
        <f>PRODUCT('All-Servers'!F547,'All-Servers'!$K547)</f>
        <v>0</v>
      </c>
      <c r="K537" s="45">
        <f>PRODUCT('All-Servers'!G547,'All-Servers'!$K547)</f>
        <v>0</v>
      </c>
    </row>
    <row r="538" spans="8:11" x14ac:dyDescent="0.2">
      <c r="H538" s="45">
        <f>PRODUCT('All-Servers'!D548,'All-Servers'!$K548)</f>
        <v>0</v>
      </c>
      <c r="I538" s="45">
        <f>PRODUCT('All-Servers'!E548,'All-Servers'!$K548)</f>
        <v>0</v>
      </c>
      <c r="J538" s="45">
        <f>PRODUCT('All-Servers'!F548,'All-Servers'!$K548)</f>
        <v>0</v>
      </c>
      <c r="K538" s="45">
        <f>PRODUCT('All-Servers'!G548,'All-Servers'!$K548)</f>
        <v>0</v>
      </c>
    </row>
    <row r="539" spans="8:11" x14ac:dyDescent="0.2">
      <c r="H539" s="45">
        <f>PRODUCT('All-Servers'!D549,'All-Servers'!$K549)</f>
        <v>0</v>
      </c>
      <c r="I539" s="45">
        <f>PRODUCT('All-Servers'!E549,'All-Servers'!$K549)</f>
        <v>0</v>
      </c>
      <c r="J539" s="45">
        <f>PRODUCT('All-Servers'!F549,'All-Servers'!$K549)</f>
        <v>0</v>
      </c>
      <c r="K539" s="45">
        <f>PRODUCT('All-Servers'!G549,'All-Servers'!$K549)</f>
        <v>0</v>
      </c>
    </row>
    <row r="540" spans="8:11" x14ac:dyDescent="0.2">
      <c r="H540" s="45">
        <f>PRODUCT('All-Servers'!D550,'All-Servers'!$K550)</f>
        <v>0</v>
      </c>
      <c r="I540" s="45">
        <f>PRODUCT('All-Servers'!E550,'All-Servers'!$K550)</f>
        <v>0</v>
      </c>
      <c r="J540" s="45">
        <f>PRODUCT('All-Servers'!F550,'All-Servers'!$K550)</f>
        <v>0</v>
      </c>
      <c r="K540" s="45">
        <f>PRODUCT('All-Servers'!G550,'All-Servers'!$K550)</f>
        <v>0</v>
      </c>
    </row>
    <row r="541" spans="8:11" x14ac:dyDescent="0.2">
      <c r="H541" s="45">
        <f>PRODUCT('All-Servers'!D551,'All-Servers'!$K551)</f>
        <v>0</v>
      </c>
      <c r="I541" s="45">
        <f>PRODUCT('All-Servers'!E551,'All-Servers'!$K551)</f>
        <v>0</v>
      </c>
      <c r="J541" s="45">
        <f>PRODUCT('All-Servers'!F551,'All-Servers'!$K551)</f>
        <v>0</v>
      </c>
      <c r="K541" s="45">
        <f>PRODUCT('All-Servers'!G551,'All-Servers'!$K551)</f>
        <v>0</v>
      </c>
    </row>
    <row r="542" spans="8:11" x14ac:dyDescent="0.2">
      <c r="H542" s="45">
        <f>PRODUCT('All-Servers'!D552,'All-Servers'!$K552)</f>
        <v>0</v>
      </c>
      <c r="I542" s="45">
        <f>PRODUCT('All-Servers'!E552,'All-Servers'!$K552)</f>
        <v>0</v>
      </c>
      <c r="J542" s="45">
        <f>PRODUCT('All-Servers'!F552,'All-Servers'!$K552)</f>
        <v>0</v>
      </c>
      <c r="K542" s="45">
        <f>PRODUCT('All-Servers'!G552,'All-Servers'!$K552)</f>
        <v>0</v>
      </c>
    </row>
    <row r="543" spans="8:11" x14ac:dyDescent="0.2">
      <c r="H543" s="45">
        <f>PRODUCT('All-Servers'!D553,'All-Servers'!$K553)</f>
        <v>0</v>
      </c>
      <c r="I543" s="45">
        <f>PRODUCT('All-Servers'!E553,'All-Servers'!$K553)</f>
        <v>0</v>
      </c>
      <c r="J543" s="45">
        <f>PRODUCT('All-Servers'!F553,'All-Servers'!$K553)</f>
        <v>0</v>
      </c>
      <c r="K543" s="45">
        <f>PRODUCT('All-Servers'!G553,'All-Servers'!$K553)</f>
        <v>0</v>
      </c>
    </row>
    <row r="544" spans="8:11" x14ac:dyDescent="0.2">
      <c r="H544" s="45">
        <f>PRODUCT('All-Servers'!D554,'All-Servers'!$K554)</f>
        <v>0</v>
      </c>
      <c r="I544" s="45">
        <f>PRODUCT('All-Servers'!E554,'All-Servers'!$K554)</f>
        <v>0</v>
      </c>
      <c r="J544" s="45">
        <f>PRODUCT('All-Servers'!F554,'All-Servers'!$K554)</f>
        <v>0</v>
      </c>
      <c r="K544" s="45">
        <f>PRODUCT('All-Servers'!G554,'All-Servers'!$K554)</f>
        <v>0</v>
      </c>
    </row>
    <row r="545" spans="8:11" x14ac:dyDescent="0.2">
      <c r="H545" s="45">
        <f>PRODUCT('All-Servers'!D555,'All-Servers'!$K555)</f>
        <v>0</v>
      </c>
      <c r="I545" s="45">
        <f>PRODUCT('All-Servers'!E555,'All-Servers'!$K555)</f>
        <v>0</v>
      </c>
      <c r="J545" s="45">
        <f>PRODUCT('All-Servers'!F555,'All-Servers'!$K555)</f>
        <v>0</v>
      </c>
      <c r="K545" s="45">
        <f>PRODUCT('All-Servers'!G555,'All-Servers'!$K555)</f>
        <v>0</v>
      </c>
    </row>
    <row r="546" spans="8:11" x14ac:dyDescent="0.2">
      <c r="H546" s="45">
        <f>PRODUCT('All-Servers'!D556,'All-Servers'!$K556)</f>
        <v>0</v>
      </c>
      <c r="I546" s="45">
        <f>PRODUCT('All-Servers'!E556,'All-Servers'!$K556)</f>
        <v>0</v>
      </c>
      <c r="J546" s="45">
        <f>PRODUCT('All-Servers'!F556,'All-Servers'!$K556)</f>
        <v>0</v>
      </c>
      <c r="K546" s="45">
        <f>PRODUCT('All-Servers'!G556,'All-Servers'!$K556)</f>
        <v>0</v>
      </c>
    </row>
    <row r="547" spans="8:11" x14ac:dyDescent="0.2">
      <c r="H547" s="45">
        <f>PRODUCT('All-Servers'!D557,'All-Servers'!$K557)</f>
        <v>0</v>
      </c>
      <c r="I547" s="45">
        <f>PRODUCT('All-Servers'!E557,'All-Servers'!$K557)</f>
        <v>0</v>
      </c>
      <c r="J547" s="45">
        <f>PRODUCT('All-Servers'!F557,'All-Servers'!$K557)</f>
        <v>0</v>
      </c>
      <c r="K547" s="45">
        <f>PRODUCT('All-Servers'!G557,'All-Servers'!$K557)</f>
        <v>0</v>
      </c>
    </row>
    <row r="548" spans="8:11" x14ac:dyDescent="0.2">
      <c r="H548" s="45">
        <f>PRODUCT('All-Servers'!D558,'All-Servers'!$K558)</f>
        <v>0</v>
      </c>
      <c r="I548" s="45">
        <f>PRODUCT('All-Servers'!E558,'All-Servers'!$K558)</f>
        <v>0</v>
      </c>
      <c r="J548" s="45">
        <f>PRODUCT('All-Servers'!F558,'All-Servers'!$K558)</f>
        <v>0</v>
      </c>
      <c r="K548" s="45">
        <f>PRODUCT('All-Servers'!G558,'All-Servers'!$K558)</f>
        <v>0</v>
      </c>
    </row>
    <row r="549" spans="8:11" x14ac:dyDescent="0.2">
      <c r="H549" s="45">
        <f>PRODUCT('All-Servers'!D559,'All-Servers'!$K559)</f>
        <v>0</v>
      </c>
      <c r="I549" s="45">
        <f>PRODUCT('All-Servers'!E559,'All-Servers'!$K559)</f>
        <v>0</v>
      </c>
      <c r="J549" s="45">
        <f>PRODUCT('All-Servers'!F559,'All-Servers'!$K559)</f>
        <v>0</v>
      </c>
      <c r="K549" s="45">
        <f>PRODUCT('All-Servers'!G559,'All-Servers'!$K559)</f>
        <v>0</v>
      </c>
    </row>
    <row r="550" spans="8:11" x14ac:dyDescent="0.2">
      <c r="H550" s="45">
        <f>PRODUCT('All-Servers'!D560,'All-Servers'!$K560)</f>
        <v>0</v>
      </c>
      <c r="I550" s="45">
        <f>PRODUCT('All-Servers'!E560,'All-Servers'!$K560)</f>
        <v>0</v>
      </c>
      <c r="J550" s="45">
        <f>PRODUCT('All-Servers'!F560,'All-Servers'!$K560)</f>
        <v>0</v>
      </c>
      <c r="K550" s="45">
        <f>PRODUCT('All-Servers'!G560,'All-Servers'!$K560)</f>
        <v>0</v>
      </c>
    </row>
    <row r="551" spans="8:11" x14ac:dyDescent="0.2">
      <c r="H551" s="45">
        <f>PRODUCT('All-Servers'!D561,'All-Servers'!$K561)</f>
        <v>0</v>
      </c>
      <c r="I551" s="45">
        <f>PRODUCT('All-Servers'!E561,'All-Servers'!$K561)</f>
        <v>0</v>
      </c>
      <c r="J551" s="45">
        <f>PRODUCT('All-Servers'!F561,'All-Servers'!$K561)</f>
        <v>0</v>
      </c>
      <c r="K551" s="45">
        <f>PRODUCT('All-Servers'!G561,'All-Servers'!$K561)</f>
        <v>0</v>
      </c>
    </row>
    <row r="552" spans="8:11" x14ac:dyDescent="0.2">
      <c r="H552" s="45">
        <f>PRODUCT('All-Servers'!D562,'All-Servers'!$K562)</f>
        <v>0</v>
      </c>
      <c r="I552" s="45">
        <f>PRODUCT('All-Servers'!E562,'All-Servers'!$K562)</f>
        <v>0</v>
      </c>
      <c r="J552" s="45">
        <f>PRODUCT('All-Servers'!F562,'All-Servers'!$K562)</f>
        <v>0</v>
      </c>
      <c r="K552" s="45">
        <f>PRODUCT('All-Servers'!G562,'All-Servers'!$K562)</f>
        <v>0</v>
      </c>
    </row>
    <row r="553" spans="8:11" x14ac:dyDescent="0.2">
      <c r="H553" s="45">
        <f>PRODUCT('All-Servers'!D563,'All-Servers'!$K563)</f>
        <v>0</v>
      </c>
      <c r="I553" s="45">
        <f>PRODUCT('All-Servers'!E563,'All-Servers'!$K563)</f>
        <v>0</v>
      </c>
      <c r="J553" s="45">
        <f>PRODUCT('All-Servers'!F563,'All-Servers'!$K563)</f>
        <v>0</v>
      </c>
      <c r="K553" s="45">
        <f>PRODUCT('All-Servers'!G563,'All-Servers'!$K563)</f>
        <v>0</v>
      </c>
    </row>
    <row r="554" spans="8:11" x14ac:dyDescent="0.2">
      <c r="H554" s="45">
        <f>PRODUCT('All-Servers'!D564,'All-Servers'!$K564)</f>
        <v>0</v>
      </c>
      <c r="I554" s="45">
        <f>PRODUCT('All-Servers'!E564,'All-Servers'!$K564)</f>
        <v>0</v>
      </c>
      <c r="J554" s="45">
        <f>PRODUCT('All-Servers'!F564,'All-Servers'!$K564)</f>
        <v>0</v>
      </c>
      <c r="K554" s="45">
        <f>PRODUCT('All-Servers'!G564,'All-Servers'!$K564)</f>
        <v>0</v>
      </c>
    </row>
    <row r="555" spans="8:11" x14ac:dyDescent="0.2">
      <c r="H555" s="45">
        <f>PRODUCT('All-Servers'!D565,'All-Servers'!$K565)</f>
        <v>0</v>
      </c>
      <c r="I555" s="45">
        <f>PRODUCT('All-Servers'!E565,'All-Servers'!$K565)</f>
        <v>0</v>
      </c>
      <c r="J555" s="45">
        <f>PRODUCT('All-Servers'!F565,'All-Servers'!$K565)</f>
        <v>0</v>
      </c>
      <c r="K555" s="45">
        <f>PRODUCT('All-Servers'!G565,'All-Servers'!$K565)</f>
        <v>0</v>
      </c>
    </row>
    <row r="556" spans="8:11" x14ac:dyDescent="0.2">
      <c r="H556" s="45">
        <f>PRODUCT('All-Servers'!D566,'All-Servers'!$K566)</f>
        <v>0</v>
      </c>
      <c r="I556" s="45">
        <f>PRODUCT('All-Servers'!E566,'All-Servers'!$K566)</f>
        <v>0</v>
      </c>
      <c r="J556" s="45">
        <f>PRODUCT('All-Servers'!F566,'All-Servers'!$K566)</f>
        <v>0</v>
      </c>
      <c r="K556" s="45">
        <f>PRODUCT('All-Servers'!G566,'All-Servers'!$K566)</f>
        <v>0</v>
      </c>
    </row>
    <row r="557" spans="8:11" x14ac:dyDescent="0.2">
      <c r="H557" s="45">
        <f>PRODUCT('All-Servers'!D567,'All-Servers'!$K567)</f>
        <v>0</v>
      </c>
      <c r="I557" s="45">
        <f>PRODUCT('All-Servers'!E567,'All-Servers'!$K567)</f>
        <v>0</v>
      </c>
      <c r="J557" s="45">
        <f>PRODUCT('All-Servers'!F567,'All-Servers'!$K567)</f>
        <v>0</v>
      </c>
      <c r="K557" s="45">
        <f>PRODUCT('All-Servers'!G567,'All-Servers'!$K567)</f>
        <v>0</v>
      </c>
    </row>
    <row r="558" spans="8:11" x14ac:dyDescent="0.2">
      <c r="H558" s="45">
        <f>PRODUCT('All-Servers'!D568,'All-Servers'!$K568)</f>
        <v>0</v>
      </c>
      <c r="I558" s="45">
        <f>PRODUCT('All-Servers'!E568,'All-Servers'!$K568)</f>
        <v>0</v>
      </c>
      <c r="J558" s="45">
        <f>PRODUCT('All-Servers'!F568,'All-Servers'!$K568)</f>
        <v>0</v>
      </c>
      <c r="K558" s="45">
        <f>PRODUCT('All-Servers'!G568,'All-Servers'!$K568)</f>
        <v>0</v>
      </c>
    </row>
    <row r="559" spans="8:11" x14ac:dyDescent="0.2">
      <c r="H559" s="45">
        <f>PRODUCT('All-Servers'!D569,'All-Servers'!$K569)</f>
        <v>0</v>
      </c>
      <c r="I559" s="45">
        <f>PRODUCT('All-Servers'!E569,'All-Servers'!$K569)</f>
        <v>0</v>
      </c>
      <c r="J559" s="45">
        <f>PRODUCT('All-Servers'!F569,'All-Servers'!$K569)</f>
        <v>0</v>
      </c>
      <c r="K559" s="45">
        <f>PRODUCT('All-Servers'!G569,'All-Servers'!$K569)</f>
        <v>0</v>
      </c>
    </row>
    <row r="560" spans="8:11" x14ac:dyDescent="0.2">
      <c r="H560" s="45">
        <f>PRODUCT('All-Servers'!D570,'All-Servers'!$K570)</f>
        <v>0</v>
      </c>
      <c r="I560" s="45">
        <f>PRODUCT('All-Servers'!E570,'All-Servers'!$K570)</f>
        <v>0</v>
      </c>
      <c r="J560" s="45">
        <f>PRODUCT('All-Servers'!F570,'All-Servers'!$K570)</f>
        <v>0</v>
      </c>
      <c r="K560" s="45">
        <f>PRODUCT('All-Servers'!G570,'All-Servers'!$K570)</f>
        <v>0</v>
      </c>
    </row>
    <row r="561" spans="8:11" x14ac:dyDescent="0.2">
      <c r="H561" s="45">
        <f>PRODUCT('All-Servers'!D571,'All-Servers'!$K571)</f>
        <v>0</v>
      </c>
      <c r="I561" s="45">
        <f>PRODUCT('All-Servers'!E571,'All-Servers'!$K571)</f>
        <v>0</v>
      </c>
      <c r="J561" s="45">
        <f>PRODUCT('All-Servers'!F571,'All-Servers'!$K571)</f>
        <v>0</v>
      </c>
      <c r="K561" s="45">
        <f>PRODUCT('All-Servers'!G571,'All-Servers'!$K571)</f>
        <v>0</v>
      </c>
    </row>
    <row r="562" spans="8:11" x14ac:dyDescent="0.2">
      <c r="H562" s="45">
        <f>PRODUCT('All-Servers'!D572,'All-Servers'!$K572)</f>
        <v>0</v>
      </c>
      <c r="I562" s="45">
        <f>PRODUCT('All-Servers'!E572,'All-Servers'!$K572)</f>
        <v>0</v>
      </c>
      <c r="J562" s="45">
        <f>PRODUCT('All-Servers'!F572,'All-Servers'!$K572)</f>
        <v>0</v>
      </c>
      <c r="K562" s="45">
        <f>PRODUCT('All-Servers'!G572,'All-Servers'!$K572)</f>
        <v>0</v>
      </c>
    </row>
    <row r="563" spans="8:11" x14ac:dyDescent="0.2">
      <c r="H563" s="45">
        <f>PRODUCT('All-Servers'!D573,'All-Servers'!$K573)</f>
        <v>0</v>
      </c>
      <c r="I563" s="45">
        <f>PRODUCT('All-Servers'!E573,'All-Servers'!$K573)</f>
        <v>0</v>
      </c>
      <c r="J563" s="45">
        <f>PRODUCT('All-Servers'!F573,'All-Servers'!$K573)</f>
        <v>0</v>
      </c>
      <c r="K563" s="45">
        <f>PRODUCT('All-Servers'!G573,'All-Servers'!$K573)</f>
        <v>0</v>
      </c>
    </row>
    <row r="564" spans="8:11" x14ac:dyDescent="0.2">
      <c r="H564" s="45">
        <f>PRODUCT('All-Servers'!D574,'All-Servers'!$K574)</f>
        <v>0</v>
      </c>
      <c r="I564" s="45">
        <f>PRODUCT('All-Servers'!E574,'All-Servers'!$K574)</f>
        <v>0</v>
      </c>
      <c r="J564" s="45">
        <f>PRODUCT('All-Servers'!F574,'All-Servers'!$K574)</f>
        <v>0</v>
      </c>
      <c r="K564" s="45">
        <f>PRODUCT('All-Servers'!G574,'All-Servers'!$K574)</f>
        <v>0</v>
      </c>
    </row>
    <row r="565" spans="8:11" x14ac:dyDescent="0.2">
      <c r="H565" s="45">
        <f>PRODUCT('All-Servers'!D575,'All-Servers'!$K575)</f>
        <v>0</v>
      </c>
      <c r="I565" s="45">
        <f>PRODUCT('All-Servers'!E575,'All-Servers'!$K575)</f>
        <v>0</v>
      </c>
      <c r="J565" s="45">
        <f>PRODUCT('All-Servers'!F575,'All-Servers'!$K575)</f>
        <v>0</v>
      </c>
      <c r="K565" s="45">
        <f>PRODUCT('All-Servers'!G575,'All-Servers'!$K575)</f>
        <v>0</v>
      </c>
    </row>
    <row r="566" spans="8:11" x14ac:dyDescent="0.2">
      <c r="H566" s="45">
        <f>PRODUCT('All-Servers'!D576,'All-Servers'!$K576)</f>
        <v>0</v>
      </c>
      <c r="I566" s="45">
        <f>PRODUCT('All-Servers'!E576,'All-Servers'!$K576)</f>
        <v>0</v>
      </c>
      <c r="J566" s="45">
        <f>PRODUCT('All-Servers'!F576,'All-Servers'!$K576)</f>
        <v>0</v>
      </c>
      <c r="K566" s="45">
        <f>PRODUCT('All-Servers'!G576,'All-Servers'!$K576)</f>
        <v>0</v>
      </c>
    </row>
    <row r="567" spans="8:11" x14ac:dyDescent="0.2">
      <c r="H567" s="45">
        <f>PRODUCT('All-Servers'!D577,'All-Servers'!$K577)</f>
        <v>0</v>
      </c>
      <c r="I567" s="45">
        <f>PRODUCT('All-Servers'!E577,'All-Servers'!$K577)</f>
        <v>0</v>
      </c>
      <c r="J567" s="45">
        <f>PRODUCT('All-Servers'!F577,'All-Servers'!$K577)</f>
        <v>0</v>
      </c>
      <c r="K567" s="45">
        <f>PRODUCT('All-Servers'!G577,'All-Servers'!$K577)</f>
        <v>0</v>
      </c>
    </row>
    <row r="568" spans="8:11" x14ac:dyDescent="0.2">
      <c r="H568" s="45">
        <f>PRODUCT('All-Servers'!D578,'All-Servers'!$K578)</f>
        <v>0</v>
      </c>
      <c r="I568" s="45">
        <f>PRODUCT('All-Servers'!E578,'All-Servers'!$K578)</f>
        <v>0</v>
      </c>
      <c r="J568" s="45">
        <f>PRODUCT('All-Servers'!F578,'All-Servers'!$K578)</f>
        <v>0</v>
      </c>
      <c r="K568" s="45">
        <f>PRODUCT('All-Servers'!G578,'All-Servers'!$K578)</f>
        <v>0</v>
      </c>
    </row>
    <row r="569" spans="8:11" x14ac:dyDescent="0.2">
      <c r="H569" s="45">
        <f>PRODUCT('All-Servers'!D579,'All-Servers'!$K579)</f>
        <v>0</v>
      </c>
      <c r="I569" s="45">
        <f>PRODUCT('All-Servers'!E579,'All-Servers'!$K579)</f>
        <v>0</v>
      </c>
      <c r="J569" s="45">
        <f>PRODUCT('All-Servers'!F579,'All-Servers'!$K579)</f>
        <v>0</v>
      </c>
      <c r="K569" s="45">
        <f>PRODUCT('All-Servers'!G579,'All-Servers'!$K579)</f>
        <v>0</v>
      </c>
    </row>
    <row r="570" spans="8:11" x14ac:dyDescent="0.2">
      <c r="H570" s="45">
        <f>PRODUCT('All-Servers'!D580,'All-Servers'!$K580)</f>
        <v>0</v>
      </c>
      <c r="I570" s="45">
        <f>PRODUCT('All-Servers'!E580,'All-Servers'!$K580)</f>
        <v>0</v>
      </c>
      <c r="J570" s="45">
        <f>PRODUCT('All-Servers'!F580,'All-Servers'!$K580)</f>
        <v>0</v>
      </c>
      <c r="K570" s="45">
        <f>PRODUCT('All-Servers'!G580,'All-Servers'!$K580)</f>
        <v>0</v>
      </c>
    </row>
    <row r="571" spans="8:11" x14ac:dyDescent="0.2">
      <c r="H571" s="45">
        <f>PRODUCT('All-Servers'!D581,'All-Servers'!$K581)</f>
        <v>0</v>
      </c>
      <c r="I571" s="45">
        <f>PRODUCT('All-Servers'!E581,'All-Servers'!$K581)</f>
        <v>0</v>
      </c>
      <c r="J571" s="45">
        <f>PRODUCT('All-Servers'!F581,'All-Servers'!$K581)</f>
        <v>0</v>
      </c>
      <c r="K571" s="45">
        <f>PRODUCT('All-Servers'!G581,'All-Servers'!$K581)</f>
        <v>0</v>
      </c>
    </row>
    <row r="572" spans="8:11" x14ac:dyDescent="0.2">
      <c r="H572" s="45">
        <f>PRODUCT('All-Servers'!D582,'All-Servers'!$K582)</f>
        <v>0</v>
      </c>
      <c r="I572" s="45">
        <f>PRODUCT('All-Servers'!E582,'All-Servers'!$K582)</f>
        <v>0</v>
      </c>
      <c r="J572" s="45">
        <f>PRODUCT('All-Servers'!F582,'All-Servers'!$K582)</f>
        <v>0</v>
      </c>
      <c r="K572" s="45">
        <f>PRODUCT('All-Servers'!G582,'All-Servers'!$K582)</f>
        <v>0</v>
      </c>
    </row>
    <row r="573" spans="8:11" x14ac:dyDescent="0.2">
      <c r="H573" s="45">
        <f>PRODUCT('All-Servers'!D583,'All-Servers'!$K583)</f>
        <v>0</v>
      </c>
      <c r="I573" s="45">
        <f>PRODUCT('All-Servers'!E583,'All-Servers'!$K583)</f>
        <v>0</v>
      </c>
      <c r="J573" s="45">
        <f>PRODUCT('All-Servers'!F583,'All-Servers'!$K583)</f>
        <v>0</v>
      </c>
      <c r="K573" s="45">
        <f>PRODUCT('All-Servers'!G583,'All-Servers'!$K583)</f>
        <v>0</v>
      </c>
    </row>
    <row r="574" spans="8:11" x14ac:dyDescent="0.2">
      <c r="H574" s="45">
        <f>PRODUCT('All-Servers'!D584,'All-Servers'!$K584)</f>
        <v>0</v>
      </c>
      <c r="I574" s="45">
        <f>PRODUCT('All-Servers'!E584,'All-Servers'!$K584)</f>
        <v>0</v>
      </c>
      <c r="J574" s="45">
        <f>PRODUCT('All-Servers'!F584,'All-Servers'!$K584)</f>
        <v>0</v>
      </c>
      <c r="K574" s="45">
        <f>PRODUCT('All-Servers'!G584,'All-Servers'!$K584)</f>
        <v>0</v>
      </c>
    </row>
    <row r="575" spans="8:11" x14ac:dyDescent="0.2">
      <c r="H575" s="45">
        <f>PRODUCT('All-Servers'!D585,'All-Servers'!$K585)</f>
        <v>0</v>
      </c>
      <c r="I575" s="45">
        <f>PRODUCT('All-Servers'!E585,'All-Servers'!$K585)</f>
        <v>0</v>
      </c>
      <c r="J575" s="45">
        <f>PRODUCT('All-Servers'!F585,'All-Servers'!$K585)</f>
        <v>0</v>
      </c>
      <c r="K575" s="45">
        <f>PRODUCT('All-Servers'!G585,'All-Servers'!$K585)</f>
        <v>0</v>
      </c>
    </row>
    <row r="576" spans="8:11" x14ac:dyDescent="0.2">
      <c r="H576" s="45">
        <f>PRODUCT('All-Servers'!D586,'All-Servers'!$K586)</f>
        <v>0</v>
      </c>
      <c r="I576" s="45">
        <f>PRODUCT('All-Servers'!E586,'All-Servers'!$K586)</f>
        <v>0</v>
      </c>
      <c r="J576" s="45">
        <f>PRODUCT('All-Servers'!F586,'All-Servers'!$K586)</f>
        <v>0</v>
      </c>
      <c r="K576" s="45">
        <f>PRODUCT('All-Servers'!G586,'All-Servers'!$K586)</f>
        <v>0</v>
      </c>
    </row>
    <row r="577" spans="8:11" x14ac:dyDescent="0.2">
      <c r="H577" s="45">
        <f>PRODUCT('All-Servers'!D587,'All-Servers'!$K587)</f>
        <v>0</v>
      </c>
      <c r="I577" s="45">
        <f>PRODUCT('All-Servers'!E587,'All-Servers'!$K587)</f>
        <v>0</v>
      </c>
      <c r="J577" s="45">
        <f>PRODUCT('All-Servers'!F587,'All-Servers'!$K587)</f>
        <v>0</v>
      </c>
      <c r="K577" s="45">
        <f>PRODUCT('All-Servers'!G587,'All-Servers'!$K587)</f>
        <v>0</v>
      </c>
    </row>
    <row r="578" spans="8:11" x14ac:dyDescent="0.2">
      <c r="H578" s="45">
        <f>PRODUCT('All-Servers'!D588,'All-Servers'!$K588)</f>
        <v>0</v>
      </c>
      <c r="I578" s="45">
        <f>PRODUCT('All-Servers'!E588,'All-Servers'!$K588)</f>
        <v>0</v>
      </c>
      <c r="J578" s="45">
        <f>PRODUCT('All-Servers'!F588,'All-Servers'!$K588)</f>
        <v>0</v>
      </c>
      <c r="K578" s="45">
        <f>PRODUCT('All-Servers'!G588,'All-Servers'!$K588)</f>
        <v>0</v>
      </c>
    </row>
    <row r="579" spans="8:11" x14ac:dyDescent="0.2">
      <c r="H579" s="45">
        <f>PRODUCT('All-Servers'!D589,'All-Servers'!$K589)</f>
        <v>0</v>
      </c>
      <c r="I579" s="45">
        <f>PRODUCT('All-Servers'!E589,'All-Servers'!$K589)</f>
        <v>0</v>
      </c>
      <c r="J579" s="45">
        <f>PRODUCT('All-Servers'!F589,'All-Servers'!$K589)</f>
        <v>0</v>
      </c>
      <c r="K579" s="45">
        <f>PRODUCT('All-Servers'!G589,'All-Servers'!$K589)</f>
        <v>0</v>
      </c>
    </row>
    <row r="580" spans="8:11" x14ac:dyDescent="0.2">
      <c r="H580" s="45">
        <f>PRODUCT('All-Servers'!D590,'All-Servers'!$K590)</f>
        <v>0</v>
      </c>
      <c r="I580" s="45">
        <f>PRODUCT('All-Servers'!E590,'All-Servers'!$K590)</f>
        <v>0</v>
      </c>
      <c r="J580" s="45">
        <f>PRODUCT('All-Servers'!F590,'All-Servers'!$K590)</f>
        <v>0</v>
      </c>
      <c r="K580" s="45">
        <f>PRODUCT('All-Servers'!G590,'All-Servers'!$K590)</f>
        <v>0</v>
      </c>
    </row>
    <row r="581" spans="8:11" x14ac:dyDescent="0.2">
      <c r="H581" s="45">
        <f>PRODUCT('All-Servers'!D591,'All-Servers'!$K591)</f>
        <v>0</v>
      </c>
      <c r="I581" s="45">
        <f>PRODUCT('All-Servers'!E591,'All-Servers'!$K591)</f>
        <v>0</v>
      </c>
      <c r="J581" s="45">
        <f>PRODUCT('All-Servers'!F591,'All-Servers'!$K591)</f>
        <v>0</v>
      </c>
      <c r="K581" s="45">
        <f>PRODUCT('All-Servers'!G591,'All-Servers'!$K591)</f>
        <v>0</v>
      </c>
    </row>
    <row r="582" spans="8:11" x14ac:dyDescent="0.2">
      <c r="H582" s="45">
        <f>PRODUCT('All-Servers'!D592,'All-Servers'!$K592)</f>
        <v>0</v>
      </c>
      <c r="I582" s="45">
        <f>PRODUCT('All-Servers'!E592,'All-Servers'!$K592)</f>
        <v>0</v>
      </c>
      <c r="J582" s="45">
        <f>PRODUCT('All-Servers'!F592,'All-Servers'!$K592)</f>
        <v>0</v>
      </c>
      <c r="K582" s="45">
        <f>PRODUCT('All-Servers'!G592,'All-Servers'!$K592)</f>
        <v>0</v>
      </c>
    </row>
    <row r="583" spans="8:11" x14ac:dyDescent="0.2">
      <c r="H583" s="45">
        <f>PRODUCT('All-Servers'!D593,'All-Servers'!$K593)</f>
        <v>0</v>
      </c>
      <c r="I583" s="45">
        <f>PRODUCT('All-Servers'!E593,'All-Servers'!$K593)</f>
        <v>0</v>
      </c>
      <c r="J583" s="45">
        <f>PRODUCT('All-Servers'!F593,'All-Servers'!$K593)</f>
        <v>0</v>
      </c>
      <c r="K583" s="45">
        <f>PRODUCT('All-Servers'!G593,'All-Servers'!$K593)</f>
        <v>0</v>
      </c>
    </row>
    <row r="584" spans="8:11" x14ac:dyDescent="0.2">
      <c r="H584" s="45">
        <f>PRODUCT('All-Servers'!D594,'All-Servers'!$K594)</f>
        <v>0</v>
      </c>
      <c r="I584" s="45">
        <f>PRODUCT('All-Servers'!E594,'All-Servers'!$K594)</f>
        <v>0</v>
      </c>
      <c r="J584" s="45">
        <f>PRODUCT('All-Servers'!F594,'All-Servers'!$K594)</f>
        <v>0</v>
      </c>
      <c r="K584" s="45">
        <f>PRODUCT('All-Servers'!G594,'All-Servers'!$K594)</f>
        <v>0</v>
      </c>
    </row>
    <row r="585" spans="8:11" x14ac:dyDescent="0.2">
      <c r="H585" s="45">
        <f>PRODUCT('All-Servers'!D595,'All-Servers'!$K595)</f>
        <v>0</v>
      </c>
      <c r="I585" s="45">
        <f>PRODUCT('All-Servers'!E595,'All-Servers'!$K595)</f>
        <v>0</v>
      </c>
      <c r="J585" s="45">
        <f>PRODUCT('All-Servers'!F595,'All-Servers'!$K595)</f>
        <v>0</v>
      </c>
      <c r="K585" s="45">
        <f>PRODUCT('All-Servers'!G595,'All-Servers'!$K595)</f>
        <v>0</v>
      </c>
    </row>
    <row r="586" spans="8:11" x14ac:dyDescent="0.2">
      <c r="H586" s="45">
        <f>PRODUCT('All-Servers'!D596,'All-Servers'!$K596)</f>
        <v>0</v>
      </c>
      <c r="I586" s="45">
        <f>PRODUCT('All-Servers'!E596,'All-Servers'!$K596)</f>
        <v>0</v>
      </c>
      <c r="J586" s="45">
        <f>PRODUCT('All-Servers'!F596,'All-Servers'!$K596)</f>
        <v>0</v>
      </c>
      <c r="K586" s="45">
        <f>PRODUCT('All-Servers'!G596,'All-Servers'!$K596)</f>
        <v>0</v>
      </c>
    </row>
    <row r="587" spans="8:11" x14ac:dyDescent="0.2">
      <c r="H587" s="45">
        <f>PRODUCT('All-Servers'!D597,'All-Servers'!$K597)</f>
        <v>0</v>
      </c>
      <c r="I587" s="45">
        <f>PRODUCT('All-Servers'!E597,'All-Servers'!$K597)</f>
        <v>0</v>
      </c>
      <c r="J587" s="45">
        <f>PRODUCT('All-Servers'!F597,'All-Servers'!$K597)</f>
        <v>0</v>
      </c>
      <c r="K587" s="45">
        <f>PRODUCT('All-Servers'!G597,'All-Servers'!$K597)</f>
        <v>0</v>
      </c>
    </row>
    <row r="588" spans="8:11" x14ac:dyDescent="0.2">
      <c r="H588" s="45">
        <f>PRODUCT('All-Servers'!D598,'All-Servers'!$K598)</f>
        <v>0</v>
      </c>
      <c r="I588" s="45">
        <f>PRODUCT('All-Servers'!E598,'All-Servers'!$K598)</f>
        <v>0</v>
      </c>
      <c r="J588" s="45">
        <f>PRODUCT('All-Servers'!F598,'All-Servers'!$K598)</f>
        <v>0</v>
      </c>
      <c r="K588" s="45">
        <f>PRODUCT('All-Servers'!G598,'All-Servers'!$K598)</f>
        <v>0</v>
      </c>
    </row>
    <row r="589" spans="8:11" x14ac:dyDescent="0.2">
      <c r="H589" s="45">
        <f>PRODUCT('All-Servers'!D599,'All-Servers'!$K599)</f>
        <v>0</v>
      </c>
      <c r="I589" s="45">
        <f>PRODUCT('All-Servers'!E599,'All-Servers'!$K599)</f>
        <v>0</v>
      </c>
      <c r="J589" s="45">
        <f>PRODUCT('All-Servers'!F599,'All-Servers'!$K599)</f>
        <v>0</v>
      </c>
      <c r="K589" s="45">
        <f>PRODUCT('All-Servers'!G599,'All-Servers'!$K599)</f>
        <v>0</v>
      </c>
    </row>
    <row r="590" spans="8:11" x14ac:dyDescent="0.2">
      <c r="H590" s="45">
        <f>PRODUCT('All-Servers'!D600,'All-Servers'!$K600)</f>
        <v>0</v>
      </c>
      <c r="I590" s="45">
        <f>PRODUCT('All-Servers'!E600,'All-Servers'!$K600)</f>
        <v>0</v>
      </c>
      <c r="J590" s="45">
        <f>PRODUCT('All-Servers'!F600,'All-Servers'!$K600)</f>
        <v>0</v>
      </c>
      <c r="K590" s="45">
        <f>PRODUCT('All-Servers'!G600,'All-Servers'!$K600)</f>
        <v>0</v>
      </c>
    </row>
    <row r="591" spans="8:11" x14ac:dyDescent="0.2">
      <c r="H591" s="45">
        <f>PRODUCT('All-Servers'!D601,'All-Servers'!$K601)</f>
        <v>0</v>
      </c>
      <c r="I591" s="45">
        <f>PRODUCT('All-Servers'!E601,'All-Servers'!$K601)</f>
        <v>0</v>
      </c>
      <c r="J591" s="45">
        <f>PRODUCT('All-Servers'!F601,'All-Servers'!$K601)</f>
        <v>0</v>
      </c>
      <c r="K591" s="45">
        <f>PRODUCT('All-Servers'!G601,'All-Servers'!$K601)</f>
        <v>0</v>
      </c>
    </row>
    <row r="592" spans="8:11" x14ac:dyDescent="0.2">
      <c r="H592" s="45">
        <f>PRODUCT('All-Servers'!D602,'All-Servers'!$K602)</f>
        <v>0</v>
      </c>
      <c r="I592" s="45">
        <f>PRODUCT('All-Servers'!E602,'All-Servers'!$K602)</f>
        <v>0</v>
      </c>
      <c r="J592" s="45">
        <f>PRODUCT('All-Servers'!F602,'All-Servers'!$K602)</f>
        <v>0</v>
      </c>
      <c r="K592" s="45">
        <f>PRODUCT('All-Servers'!G602,'All-Servers'!$K602)</f>
        <v>0</v>
      </c>
    </row>
    <row r="593" spans="8:11" x14ac:dyDescent="0.2">
      <c r="H593" s="45">
        <f>PRODUCT('All-Servers'!D603,'All-Servers'!$K603)</f>
        <v>0</v>
      </c>
      <c r="I593" s="45">
        <f>PRODUCT('All-Servers'!E603,'All-Servers'!$K603)</f>
        <v>0</v>
      </c>
      <c r="J593" s="45">
        <f>PRODUCT('All-Servers'!F603,'All-Servers'!$K603)</f>
        <v>0</v>
      </c>
      <c r="K593" s="45">
        <f>PRODUCT('All-Servers'!G603,'All-Servers'!$K603)</f>
        <v>0</v>
      </c>
    </row>
    <row r="594" spans="8:11" x14ac:dyDescent="0.2">
      <c r="H594" s="45">
        <f>PRODUCT('All-Servers'!D604,'All-Servers'!$K604)</f>
        <v>0</v>
      </c>
      <c r="I594" s="45">
        <f>PRODUCT('All-Servers'!E604,'All-Servers'!$K604)</f>
        <v>0</v>
      </c>
      <c r="J594" s="45">
        <f>PRODUCT('All-Servers'!F604,'All-Servers'!$K604)</f>
        <v>0</v>
      </c>
      <c r="K594" s="45">
        <f>PRODUCT('All-Servers'!G604,'All-Servers'!$K604)</f>
        <v>0</v>
      </c>
    </row>
    <row r="595" spans="8:11" x14ac:dyDescent="0.2">
      <c r="H595" s="45">
        <f>PRODUCT('All-Servers'!D605,'All-Servers'!$K605)</f>
        <v>0</v>
      </c>
      <c r="I595" s="45">
        <f>PRODUCT('All-Servers'!E605,'All-Servers'!$K605)</f>
        <v>0</v>
      </c>
      <c r="J595" s="45">
        <f>PRODUCT('All-Servers'!F605,'All-Servers'!$K605)</f>
        <v>0</v>
      </c>
      <c r="K595" s="45">
        <f>PRODUCT('All-Servers'!G605,'All-Servers'!$K605)</f>
        <v>0</v>
      </c>
    </row>
    <row r="596" spans="8:11" x14ac:dyDescent="0.2">
      <c r="H596" s="45">
        <f>PRODUCT('All-Servers'!D606,'All-Servers'!$K606)</f>
        <v>0</v>
      </c>
      <c r="I596" s="45">
        <f>PRODUCT('All-Servers'!E606,'All-Servers'!$K606)</f>
        <v>0</v>
      </c>
      <c r="J596" s="45">
        <f>PRODUCT('All-Servers'!F606,'All-Servers'!$K606)</f>
        <v>0</v>
      </c>
      <c r="K596" s="45">
        <f>PRODUCT('All-Servers'!G606,'All-Servers'!$K606)</f>
        <v>0</v>
      </c>
    </row>
    <row r="597" spans="8:11" x14ac:dyDescent="0.2">
      <c r="H597" s="45">
        <f>PRODUCT('All-Servers'!D607,'All-Servers'!$K607)</f>
        <v>0</v>
      </c>
      <c r="I597" s="45">
        <f>PRODUCT('All-Servers'!E607,'All-Servers'!$K607)</f>
        <v>0</v>
      </c>
      <c r="J597" s="45">
        <f>PRODUCT('All-Servers'!F607,'All-Servers'!$K607)</f>
        <v>0</v>
      </c>
      <c r="K597" s="45">
        <f>PRODUCT('All-Servers'!G607,'All-Servers'!$K607)</f>
        <v>0</v>
      </c>
    </row>
    <row r="598" spans="8:11" x14ac:dyDescent="0.2">
      <c r="H598" s="45">
        <f>PRODUCT('All-Servers'!D608,'All-Servers'!$K608)</f>
        <v>0</v>
      </c>
      <c r="I598" s="45">
        <f>PRODUCT('All-Servers'!E608,'All-Servers'!$K608)</f>
        <v>0</v>
      </c>
      <c r="J598" s="45">
        <f>PRODUCT('All-Servers'!F608,'All-Servers'!$K608)</f>
        <v>0</v>
      </c>
      <c r="K598" s="45">
        <f>PRODUCT('All-Servers'!G608,'All-Servers'!$K608)</f>
        <v>0</v>
      </c>
    </row>
    <row r="599" spans="8:11" x14ac:dyDescent="0.2">
      <c r="H599" s="45">
        <f>PRODUCT('All-Servers'!D609,'All-Servers'!$K609)</f>
        <v>0</v>
      </c>
      <c r="I599" s="45">
        <f>PRODUCT('All-Servers'!E609,'All-Servers'!$K609)</f>
        <v>0</v>
      </c>
      <c r="J599" s="45">
        <f>PRODUCT('All-Servers'!F609,'All-Servers'!$K609)</f>
        <v>0</v>
      </c>
      <c r="K599" s="45">
        <f>PRODUCT('All-Servers'!G609,'All-Servers'!$K609)</f>
        <v>0</v>
      </c>
    </row>
    <row r="600" spans="8:11" x14ac:dyDescent="0.2">
      <c r="H600" s="45">
        <f>PRODUCT('All-Servers'!D610,'All-Servers'!$K610)</f>
        <v>0</v>
      </c>
      <c r="I600" s="45">
        <f>PRODUCT('All-Servers'!E610,'All-Servers'!$K610)</f>
        <v>0</v>
      </c>
      <c r="J600" s="45">
        <f>PRODUCT('All-Servers'!F610,'All-Servers'!$K610)</f>
        <v>0</v>
      </c>
      <c r="K600" s="45">
        <f>PRODUCT('All-Servers'!G610,'All-Servers'!$K610)</f>
        <v>0</v>
      </c>
    </row>
    <row r="601" spans="8:11" x14ac:dyDescent="0.2">
      <c r="H601" s="45">
        <f>PRODUCT('All-Servers'!D611,'All-Servers'!$K611)</f>
        <v>0</v>
      </c>
      <c r="I601" s="45">
        <f>PRODUCT('All-Servers'!E611,'All-Servers'!$K611)</f>
        <v>0</v>
      </c>
      <c r="J601" s="45">
        <f>PRODUCT('All-Servers'!F611,'All-Servers'!$K611)</f>
        <v>0</v>
      </c>
      <c r="K601" s="45">
        <f>PRODUCT('All-Servers'!G611,'All-Servers'!$K611)</f>
        <v>0</v>
      </c>
    </row>
    <row r="602" spans="8:11" x14ac:dyDescent="0.2">
      <c r="H602" s="45">
        <f>PRODUCT('All-Servers'!D612,'All-Servers'!$K612)</f>
        <v>0</v>
      </c>
      <c r="I602" s="45">
        <f>PRODUCT('All-Servers'!E612,'All-Servers'!$K612)</f>
        <v>0</v>
      </c>
      <c r="J602" s="45">
        <f>PRODUCT('All-Servers'!F612,'All-Servers'!$K612)</f>
        <v>0</v>
      </c>
      <c r="K602" s="45">
        <f>PRODUCT('All-Servers'!G612,'All-Servers'!$K612)</f>
        <v>0</v>
      </c>
    </row>
    <row r="603" spans="8:11" x14ac:dyDescent="0.2">
      <c r="H603" s="45">
        <f>PRODUCT('All-Servers'!D613,'All-Servers'!$K613)</f>
        <v>0</v>
      </c>
      <c r="I603" s="45">
        <f>PRODUCT('All-Servers'!E613,'All-Servers'!$K613)</f>
        <v>0</v>
      </c>
      <c r="J603" s="45">
        <f>PRODUCT('All-Servers'!F613,'All-Servers'!$K613)</f>
        <v>0</v>
      </c>
      <c r="K603" s="45">
        <f>PRODUCT('All-Servers'!G613,'All-Servers'!$K613)</f>
        <v>0</v>
      </c>
    </row>
    <row r="604" spans="8:11" x14ac:dyDescent="0.2">
      <c r="H604" s="45">
        <f>PRODUCT('All-Servers'!D614,'All-Servers'!$K614)</f>
        <v>0</v>
      </c>
      <c r="I604" s="45">
        <f>PRODUCT('All-Servers'!E614,'All-Servers'!$K614)</f>
        <v>0</v>
      </c>
      <c r="J604" s="45">
        <f>PRODUCT('All-Servers'!F614,'All-Servers'!$K614)</f>
        <v>0</v>
      </c>
      <c r="K604" s="45">
        <f>PRODUCT('All-Servers'!G614,'All-Servers'!$K614)</f>
        <v>0</v>
      </c>
    </row>
    <row r="605" spans="8:11" x14ac:dyDescent="0.2">
      <c r="H605" s="45">
        <f>PRODUCT('All-Servers'!D615,'All-Servers'!$K615)</f>
        <v>0</v>
      </c>
      <c r="I605" s="45">
        <f>PRODUCT('All-Servers'!E615,'All-Servers'!$K615)</f>
        <v>0</v>
      </c>
      <c r="J605" s="45">
        <f>PRODUCT('All-Servers'!F615,'All-Servers'!$K615)</f>
        <v>0</v>
      </c>
      <c r="K605" s="45">
        <f>PRODUCT('All-Servers'!G615,'All-Servers'!$K615)</f>
        <v>0</v>
      </c>
    </row>
    <row r="606" spans="8:11" x14ac:dyDescent="0.2">
      <c r="H606" s="45">
        <f>PRODUCT('All-Servers'!D616,'All-Servers'!$K616)</f>
        <v>0</v>
      </c>
      <c r="I606" s="45">
        <f>PRODUCT('All-Servers'!E616,'All-Servers'!$K616)</f>
        <v>0</v>
      </c>
      <c r="J606" s="45">
        <f>PRODUCT('All-Servers'!F616,'All-Servers'!$K616)</f>
        <v>0</v>
      </c>
      <c r="K606" s="45">
        <f>PRODUCT('All-Servers'!G616,'All-Servers'!$K616)</f>
        <v>0</v>
      </c>
    </row>
    <row r="607" spans="8:11" x14ac:dyDescent="0.2">
      <c r="H607" s="45">
        <f>PRODUCT('All-Servers'!D617,'All-Servers'!$K617)</f>
        <v>0</v>
      </c>
      <c r="I607" s="45">
        <f>PRODUCT('All-Servers'!E617,'All-Servers'!$K617)</f>
        <v>0</v>
      </c>
      <c r="J607" s="45">
        <f>PRODUCT('All-Servers'!F617,'All-Servers'!$K617)</f>
        <v>0</v>
      </c>
      <c r="K607" s="45">
        <f>PRODUCT('All-Servers'!G617,'All-Servers'!$K617)</f>
        <v>0</v>
      </c>
    </row>
    <row r="608" spans="8:11" x14ac:dyDescent="0.2">
      <c r="H608" s="45">
        <f>PRODUCT('All-Servers'!D618,'All-Servers'!$K618)</f>
        <v>0</v>
      </c>
      <c r="I608" s="45">
        <f>PRODUCT('All-Servers'!E618,'All-Servers'!$K618)</f>
        <v>0</v>
      </c>
      <c r="J608" s="45">
        <f>PRODUCT('All-Servers'!F618,'All-Servers'!$K618)</f>
        <v>0</v>
      </c>
      <c r="K608" s="45">
        <f>PRODUCT('All-Servers'!G618,'All-Servers'!$K618)</f>
        <v>0</v>
      </c>
    </row>
    <row r="609" spans="8:11" x14ac:dyDescent="0.2">
      <c r="H609" s="45">
        <f>PRODUCT('All-Servers'!D619,'All-Servers'!$K619)</f>
        <v>0</v>
      </c>
      <c r="I609" s="45">
        <f>PRODUCT('All-Servers'!E619,'All-Servers'!$K619)</f>
        <v>0</v>
      </c>
      <c r="J609" s="45">
        <f>PRODUCT('All-Servers'!F619,'All-Servers'!$K619)</f>
        <v>0</v>
      </c>
      <c r="K609" s="45">
        <f>PRODUCT('All-Servers'!G619,'All-Servers'!$K619)</f>
        <v>0</v>
      </c>
    </row>
    <row r="610" spans="8:11" x14ac:dyDescent="0.2">
      <c r="H610" s="45">
        <f>PRODUCT('All-Servers'!D620,'All-Servers'!$K620)</f>
        <v>0</v>
      </c>
      <c r="I610" s="45">
        <f>PRODUCT('All-Servers'!E620,'All-Servers'!$K620)</f>
        <v>0</v>
      </c>
      <c r="J610" s="45">
        <f>PRODUCT('All-Servers'!F620,'All-Servers'!$K620)</f>
        <v>0</v>
      </c>
      <c r="K610" s="45">
        <f>PRODUCT('All-Servers'!G620,'All-Servers'!$K620)</f>
        <v>0</v>
      </c>
    </row>
    <row r="611" spans="8:11" x14ac:dyDescent="0.2">
      <c r="H611" s="45">
        <f>PRODUCT('All-Servers'!D621,'All-Servers'!$K621)</f>
        <v>0</v>
      </c>
      <c r="I611" s="45">
        <f>PRODUCT('All-Servers'!E621,'All-Servers'!$K621)</f>
        <v>0</v>
      </c>
      <c r="J611" s="45">
        <f>PRODUCT('All-Servers'!F621,'All-Servers'!$K621)</f>
        <v>0</v>
      </c>
      <c r="K611" s="45">
        <f>PRODUCT('All-Servers'!G621,'All-Servers'!$K621)</f>
        <v>0</v>
      </c>
    </row>
    <row r="612" spans="8:11" x14ac:dyDescent="0.2">
      <c r="H612" s="45">
        <f>PRODUCT('All-Servers'!D622,'All-Servers'!$K622)</f>
        <v>0</v>
      </c>
      <c r="I612" s="45">
        <f>PRODUCT('All-Servers'!E622,'All-Servers'!$K622)</f>
        <v>0</v>
      </c>
      <c r="J612" s="45">
        <f>PRODUCT('All-Servers'!F622,'All-Servers'!$K622)</f>
        <v>0</v>
      </c>
      <c r="K612" s="45">
        <f>PRODUCT('All-Servers'!G622,'All-Servers'!$K622)</f>
        <v>0</v>
      </c>
    </row>
    <row r="613" spans="8:11" x14ac:dyDescent="0.2">
      <c r="H613" s="45">
        <f>PRODUCT('All-Servers'!D623,'All-Servers'!$K623)</f>
        <v>0</v>
      </c>
      <c r="I613" s="45">
        <f>PRODUCT('All-Servers'!E623,'All-Servers'!$K623)</f>
        <v>0</v>
      </c>
      <c r="J613" s="45">
        <f>PRODUCT('All-Servers'!F623,'All-Servers'!$K623)</f>
        <v>0</v>
      </c>
      <c r="K613" s="45">
        <f>PRODUCT('All-Servers'!G623,'All-Servers'!$K623)</f>
        <v>0</v>
      </c>
    </row>
    <row r="614" spans="8:11" x14ac:dyDescent="0.2">
      <c r="H614" s="45">
        <f>PRODUCT('All-Servers'!D624,'All-Servers'!$K624)</f>
        <v>0</v>
      </c>
      <c r="I614" s="45">
        <f>PRODUCT('All-Servers'!E624,'All-Servers'!$K624)</f>
        <v>0</v>
      </c>
      <c r="J614" s="45">
        <f>PRODUCT('All-Servers'!F624,'All-Servers'!$K624)</f>
        <v>0</v>
      </c>
      <c r="K614" s="45">
        <f>PRODUCT('All-Servers'!G624,'All-Servers'!$K624)</f>
        <v>0</v>
      </c>
    </row>
    <row r="615" spans="8:11" x14ac:dyDescent="0.2">
      <c r="H615" s="45">
        <f>PRODUCT('All-Servers'!D625,'All-Servers'!$K625)</f>
        <v>0</v>
      </c>
      <c r="I615" s="45">
        <f>PRODUCT('All-Servers'!E625,'All-Servers'!$K625)</f>
        <v>0</v>
      </c>
      <c r="J615" s="45">
        <f>PRODUCT('All-Servers'!F625,'All-Servers'!$K625)</f>
        <v>0</v>
      </c>
      <c r="K615" s="45">
        <f>PRODUCT('All-Servers'!G625,'All-Servers'!$K625)</f>
        <v>0</v>
      </c>
    </row>
    <row r="616" spans="8:11" x14ac:dyDescent="0.2">
      <c r="H616" s="45">
        <f>PRODUCT('All-Servers'!D626,'All-Servers'!$K626)</f>
        <v>0</v>
      </c>
      <c r="I616" s="45">
        <f>PRODUCT('All-Servers'!E626,'All-Servers'!$K626)</f>
        <v>0</v>
      </c>
      <c r="J616" s="45">
        <f>PRODUCT('All-Servers'!F626,'All-Servers'!$K626)</f>
        <v>0</v>
      </c>
      <c r="K616" s="45">
        <f>PRODUCT('All-Servers'!G626,'All-Servers'!$K626)</f>
        <v>0</v>
      </c>
    </row>
    <row r="617" spans="8:11" x14ac:dyDescent="0.2">
      <c r="H617" s="45">
        <f>PRODUCT('All-Servers'!D627,'All-Servers'!$K627)</f>
        <v>0</v>
      </c>
      <c r="I617" s="45">
        <f>PRODUCT('All-Servers'!E627,'All-Servers'!$K627)</f>
        <v>0</v>
      </c>
      <c r="J617" s="45">
        <f>PRODUCT('All-Servers'!F627,'All-Servers'!$K627)</f>
        <v>0</v>
      </c>
      <c r="K617" s="45">
        <f>PRODUCT('All-Servers'!G627,'All-Servers'!$K627)</f>
        <v>0</v>
      </c>
    </row>
    <row r="618" spans="8:11" x14ac:dyDescent="0.2">
      <c r="H618" s="45">
        <f>PRODUCT('All-Servers'!D628,'All-Servers'!$K628)</f>
        <v>0</v>
      </c>
      <c r="I618" s="45">
        <f>PRODUCT('All-Servers'!E628,'All-Servers'!$K628)</f>
        <v>0</v>
      </c>
      <c r="J618" s="45">
        <f>PRODUCT('All-Servers'!F628,'All-Servers'!$K628)</f>
        <v>0</v>
      </c>
      <c r="K618" s="45">
        <f>PRODUCT('All-Servers'!G628,'All-Servers'!$K628)</f>
        <v>0</v>
      </c>
    </row>
    <row r="619" spans="8:11" x14ac:dyDescent="0.2">
      <c r="H619" s="45">
        <f>PRODUCT('All-Servers'!D629,'All-Servers'!$K629)</f>
        <v>0</v>
      </c>
      <c r="I619" s="45">
        <f>PRODUCT('All-Servers'!E629,'All-Servers'!$K629)</f>
        <v>0</v>
      </c>
      <c r="J619" s="45">
        <f>PRODUCT('All-Servers'!F629,'All-Servers'!$K629)</f>
        <v>0</v>
      </c>
      <c r="K619" s="45">
        <f>PRODUCT('All-Servers'!G629,'All-Servers'!$K629)</f>
        <v>0</v>
      </c>
    </row>
    <row r="620" spans="8:11" x14ac:dyDescent="0.2">
      <c r="H620" s="45">
        <f>PRODUCT('All-Servers'!D630,'All-Servers'!$K630)</f>
        <v>0</v>
      </c>
      <c r="I620" s="45">
        <f>PRODUCT('All-Servers'!E630,'All-Servers'!$K630)</f>
        <v>0</v>
      </c>
      <c r="J620" s="45">
        <f>PRODUCT('All-Servers'!F630,'All-Servers'!$K630)</f>
        <v>0</v>
      </c>
      <c r="K620" s="45">
        <f>PRODUCT('All-Servers'!G630,'All-Servers'!$K630)</f>
        <v>0</v>
      </c>
    </row>
    <row r="621" spans="8:11" x14ac:dyDescent="0.2">
      <c r="H621" s="45">
        <f>PRODUCT('All-Servers'!D631,'All-Servers'!$K631)</f>
        <v>0</v>
      </c>
      <c r="I621" s="45">
        <f>PRODUCT('All-Servers'!E631,'All-Servers'!$K631)</f>
        <v>0</v>
      </c>
      <c r="J621" s="45">
        <f>PRODUCT('All-Servers'!F631,'All-Servers'!$K631)</f>
        <v>0</v>
      </c>
      <c r="K621" s="45">
        <f>PRODUCT('All-Servers'!G631,'All-Servers'!$K631)</f>
        <v>0</v>
      </c>
    </row>
    <row r="622" spans="8:11" x14ac:dyDescent="0.2">
      <c r="H622" s="45">
        <f>PRODUCT('All-Servers'!D632,'All-Servers'!$K632)</f>
        <v>0</v>
      </c>
      <c r="I622" s="45">
        <f>PRODUCT('All-Servers'!E632,'All-Servers'!$K632)</f>
        <v>0</v>
      </c>
      <c r="J622" s="45">
        <f>PRODUCT('All-Servers'!F632,'All-Servers'!$K632)</f>
        <v>0</v>
      </c>
      <c r="K622" s="45">
        <f>PRODUCT('All-Servers'!G632,'All-Servers'!$K632)</f>
        <v>0</v>
      </c>
    </row>
    <row r="623" spans="8:11" x14ac:dyDescent="0.2">
      <c r="H623" s="45">
        <f>PRODUCT('All-Servers'!D633,'All-Servers'!$K633)</f>
        <v>0</v>
      </c>
      <c r="I623" s="45">
        <f>PRODUCT('All-Servers'!E633,'All-Servers'!$K633)</f>
        <v>0</v>
      </c>
      <c r="J623" s="45">
        <f>PRODUCT('All-Servers'!F633,'All-Servers'!$K633)</f>
        <v>0</v>
      </c>
      <c r="K623" s="45">
        <f>PRODUCT('All-Servers'!G633,'All-Servers'!$K633)</f>
        <v>0</v>
      </c>
    </row>
    <row r="624" spans="8:11" x14ac:dyDescent="0.2">
      <c r="H624" s="45">
        <f>PRODUCT('All-Servers'!D634,'All-Servers'!$K634)</f>
        <v>0</v>
      </c>
      <c r="I624" s="45">
        <f>PRODUCT('All-Servers'!E634,'All-Servers'!$K634)</f>
        <v>0</v>
      </c>
      <c r="J624" s="45">
        <f>PRODUCT('All-Servers'!F634,'All-Servers'!$K634)</f>
        <v>0</v>
      </c>
      <c r="K624" s="45">
        <f>PRODUCT('All-Servers'!G634,'All-Servers'!$K634)</f>
        <v>0</v>
      </c>
    </row>
    <row r="625" spans="8:11" x14ac:dyDescent="0.2">
      <c r="H625" s="45">
        <f>PRODUCT('All-Servers'!D635,'All-Servers'!$K635)</f>
        <v>0</v>
      </c>
      <c r="I625" s="45">
        <f>PRODUCT('All-Servers'!E635,'All-Servers'!$K635)</f>
        <v>0</v>
      </c>
      <c r="J625" s="45">
        <f>PRODUCT('All-Servers'!F635,'All-Servers'!$K635)</f>
        <v>0</v>
      </c>
      <c r="K625" s="45">
        <f>PRODUCT('All-Servers'!G635,'All-Servers'!$K635)</f>
        <v>0</v>
      </c>
    </row>
    <row r="626" spans="8:11" x14ac:dyDescent="0.2">
      <c r="H626" s="45">
        <f>PRODUCT('All-Servers'!D636,'All-Servers'!$K636)</f>
        <v>0</v>
      </c>
      <c r="I626" s="45">
        <f>PRODUCT('All-Servers'!E636,'All-Servers'!$K636)</f>
        <v>0</v>
      </c>
      <c r="J626" s="45">
        <f>PRODUCT('All-Servers'!F636,'All-Servers'!$K636)</f>
        <v>0</v>
      </c>
      <c r="K626" s="45">
        <f>PRODUCT('All-Servers'!G636,'All-Servers'!$K636)</f>
        <v>0</v>
      </c>
    </row>
    <row r="627" spans="8:11" x14ac:dyDescent="0.2">
      <c r="H627" s="45">
        <f>PRODUCT('All-Servers'!D637,'All-Servers'!$K637)</f>
        <v>0</v>
      </c>
      <c r="I627" s="45">
        <f>PRODUCT('All-Servers'!E637,'All-Servers'!$K637)</f>
        <v>0</v>
      </c>
      <c r="J627" s="45">
        <f>PRODUCT('All-Servers'!F637,'All-Servers'!$K637)</f>
        <v>0</v>
      </c>
      <c r="K627" s="45">
        <f>PRODUCT('All-Servers'!G637,'All-Servers'!$K637)</f>
        <v>0</v>
      </c>
    </row>
    <row r="628" spans="8:11" x14ac:dyDescent="0.2">
      <c r="H628" s="45">
        <f>PRODUCT('All-Servers'!D638,'All-Servers'!$K638)</f>
        <v>0</v>
      </c>
      <c r="I628" s="45">
        <f>PRODUCT('All-Servers'!E638,'All-Servers'!$K638)</f>
        <v>0</v>
      </c>
      <c r="J628" s="45">
        <f>PRODUCT('All-Servers'!F638,'All-Servers'!$K638)</f>
        <v>0</v>
      </c>
      <c r="K628" s="45">
        <f>PRODUCT('All-Servers'!G638,'All-Servers'!$K638)</f>
        <v>0</v>
      </c>
    </row>
    <row r="629" spans="8:11" x14ac:dyDescent="0.2">
      <c r="H629" s="45">
        <f>PRODUCT('All-Servers'!D639,'All-Servers'!$K639)</f>
        <v>0</v>
      </c>
      <c r="I629" s="45">
        <f>PRODUCT('All-Servers'!E639,'All-Servers'!$K639)</f>
        <v>0</v>
      </c>
      <c r="J629" s="45">
        <f>PRODUCT('All-Servers'!F639,'All-Servers'!$K639)</f>
        <v>0</v>
      </c>
      <c r="K629" s="45">
        <f>PRODUCT('All-Servers'!G639,'All-Servers'!$K639)</f>
        <v>0</v>
      </c>
    </row>
    <row r="630" spans="8:11" x14ac:dyDescent="0.2">
      <c r="H630" s="45">
        <f>PRODUCT('All-Servers'!D640,'All-Servers'!$K640)</f>
        <v>0</v>
      </c>
      <c r="I630" s="45">
        <f>PRODUCT('All-Servers'!E640,'All-Servers'!$K640)</f>
        <v>0</v>
      </c>
      <c r="J630" s="45">
        <f>PRODUCT('All-Servers'!F640,'All-Servers'!$K640)</f>
        <v>0</v>
      </c>
      <c r="K630" s="45">
        <f>PRODUCT('All-Servers'!G640,'All-Servers'!$K640)</f>
        <v>0</v>
      </c>
    </row>
    <row r="631" spans="8:11" x14ac:dyDescent="0.2">
      <c r="H631" s="45">
        <f>PRODUCT('All-Servers'!D641,'All-Servers'!$K641)</f>
        <v>0</v>
      </c>
      <c r="I631" s="45">
        <f>PRODUCT('All-Servers'!E641,'All-Servers'!$K641)</f>
        <v>0</v>
      </c>
      <c r="J631" s="45">
        <f>PRODUCT('All-Servers'!F641,'All-Servers'!$K641)</f>
        <v>0</v>
      </c>
      <c r="K631" s="45">
        <f>PRODUCT('All-Servers'!G641,'All-Servers'!$K641)</f>
        <v>0</v>
      </c>
    </row>
    <row r="632" spans="8:11" x14ac:dyDescent="0.2">
      <c r="H632" s="45">
        <f>PRODUCT('All-Servers'!D642,'All-Servers'!$K642)</f>
        <v>0</v>
      </c>
      <c r="I632" s="45">
        <f>PRODUCT('All-Servers'!E642,'All-Servers'!$K642)</f>
        <v>0</v>
      </c>
      <c r="J632" s="45">
        <f>PRODUCT('All-Servers'!F642,'All-Servers'!$K642)</f>
        <v>0</v>
      </c>
      <c r="K632" s="45">
        <f>PRODUCT('All-Servers'!G642,'All-Servers'!$K642)</f>
        <v>0</v>
      </c>
    </row>
    <row r="633" spans="8:11" x14ac:dyDescent="0.2">
      <c r="H633" s="45">
        <f>PRODUCT('All-Servers'!D643,'All-Servers'!$K643)</f>
        <v>0</v>
      </c>
      <c r="I633" s="45">
        <f>PRODUCT('All-Servers'!E643,'All-Servers'!$K643)</f>
        <v>0</v>
      </c>
      <c r="J633" s="45">
        <f>PRODUCT('All-Servers'!F643,'All-Servers'!$K643)</f>
        <v>0</v>
      </c>
      <c r="K633" s="45">
        <f>PRODUCT('All-Servers'!G643,'All-Servers'!$K643)</f>
        <v>0</v>
      </c>
    </row>
    <row r="634" spans="8:11" x14ac:dyDescent="0.2">
      <c r="H634" s="45">
        <f>PRODUCT('All-Servers'!D644,'All-Servers'!$K644)</f>
        <v>0</v>
      </c>
      <c r="I634" s="45">
        <f>PRODUCT('All-Servers'!E644,'All-Servers'!$K644)</f>
        <v>0</v>
      </c>
      <c r="J634" s="45">
        <f>PRODUCT('All-Servers'!F644,'All-Servers'!$K644)</f>
        <v>0</v>
      </c>
      <c r="K634" s="45">
        <f>PRODUCT('All-Servers'!G644,'All-Servers'!$K644)</f>
        <v>0</v>
      </c>
    </row>
    <row r="635" spans="8:11" x14ac:dyDescent="0.2">
      <c r="H635" s="45">
        <f>PRODUCT('All-Servers'!D645,'All-Servers'!$K645)</f>
        <v>0</v>
      </c>
      <c r="I635" s="45">
        <f>PRODUCT('All-Servers'!E645,'All-Servers'!$K645)</f>
        <v>0</v>
      </c>
      <c r="J635" s="45">
        <f>PRODUCT('All-Servers'!F645,'All-Servers'!$K645)</f>
        <v>0</v>
      </c>
      <c r="K635" s="45">
        <f>PRODUCT('All-Servers'!G645,'All-Servers'!$K645)</f>
        <v>0</v>
      </c>
    </row>
    <row r="636" spans="8:11" x14ac:dyDescent="0.2">
      <c r="H636" s="45">
        <f>PRODUCT('All-Servers'!D646,'All-Servers'!$K646)</f>
        <v>0</v>
      </c>
      <c r="I636" s="45">
        <f>PRODUCT('All-Servers'!E646,'All-Servers'!$K646)</f>
        <v>0</v>
      </c>
      <c r="J636" s="45">
        <f>PRODUCT('All-Servers'!F646,'All-Servers'!$K646)</f>
        <v>0</v>
      </c>
      <c r="K636" s="45">
        <f>PRODUCT('All-Servers'!G646,'All-Servers'!$K646)</f>
        <v>0</v>
      </c>
    </row>
    <row r="637" spans="8:11" x14ac:dyDescent="0.2">
      <c r="H637" s="45">
        <f>PRODUCT('All-Servers'!D647,'All-Servers'!$K647)</f>
        <v>0</v>
      </c>
      <c r="I637" s="45">
        <f>PRODUCT('All-Servers'!E647,'All-Servers'!$K647)</f>
        <v>0</v>
      </c>
      <c r="J637" s="45">
        <f>PRODUCT('All-Servers'!F647,'All-Servers'!$K647)</f>
        <v>0</v>
      </c>
      <c r="K637" s="45">
        <f>PRODUCT('All-Servers'!G647,'All-Servers'!$K647)</f>
        <v>0</v>
      </c>
    </row>
    <row r="638" spans="8:11" x14ac:dyDescent="0.2">
      <c r="H638" s="45">
        <f>PRODUCT('All-Servers'!D648,'All-Servers'!$K648)</f>
        <v>0</v>
      </c>
      <c r="I638" s="45">
        <f>PRODUCT('All-Servers'!E648,'All-Servers'!$K648)</f>
        <v>0</v>
      </c>
      <c r="J638" s="45">
        <f>PRODUCT('All-Servers'!F648,'All-Servers'!$K648)</f>
        <v>0</v>
      </c>
      <c r="K638" s="45">
        <f>PRODUCT('All-Servers'!G648,'All-Servers'!$K648)</f>
        <v>0</v>
      </c>
    </row>
    <row r="639" spans="8:11" x14ac:dyDescent="0.2">
      <c r="H639" s="45">
        <f>PRODUCT('All-Servers'!D649,'All-Servers'!$K649)</f>
        <v>0</v>
      </c>
      <c r="I639" s="45">
        <f>PRODUCT('All-Servers'!E649,'All-Servers'!$K649)</f>
        <v>0</v>
      </c>
      <c r="J639" s="45">
        <f>PRODUCT('All-Servers'!F649,'All-Servers'!$K649)</f>
        <v>0</v>
      </c>
      <c r="K639" s="45">
        <f>PRODUCT('All-Servers'!G649,'All-Servers'!$K649)</f>
        <v>0</v>
      </c>
    </row>
    <row r="640" spans="8:11" x14ac:dyDescent="0.2">
      <c r="H640" s="45">
        <f>PRODUCT('All-Servers'!D650,'All-Servers'!$K650)</f>
        <v>0</v>
      </c>
      <c r="I640" s="45">
        <f>PRODUCT('All-Servers'!E650,'All-Servers'!$K650)</f>
        <v>0</v>
      </c>
      <c r="J640" s="45">
        <f>PRODUCT('All-Servers'!F650,'All-Servers'!$K650)</f>
        <v>0</v>
      </c>
      <c r="K640" s="45">
        <f>PRODUCT('All-Servers'!G650,'All-Servers'!$K650)</f>
        <v>0</v>
      </c>
    </row>
    <row r="641" spans="8:11" x14ac:dyDescent="0.2">
      <c r="H641" s="45">
        <f>PRODUCT('All-Servers'!D651,'All-Servers'!$K651)</f>
        <v>0</v>
      </c>
      <c r="I641" s="45">
        <f>PRODUCT('All-Servers'!E651,'All-Servers'!$K651)</f>
        <v>0</v>
      </c>
      <c r="J641" s="45">
        <f>PRODUCT('All-Servers'!F651,'All-Servers'!$K651)</f>
        <v>0</v>
      </c>
      <c r="K641" s="45">
        <f>PRODUCT('All-Servers'!G651,'All-Servers'!$K651)</f>
        <v>0</v>
      </c>
    </row>
    <row r="642" spans="8:11" x14ac:dyDescent="0.2">
      <c r="H642" s="45">
        <f>PRODUCT('All-Servers'!D652,'All-Servers'!$K652)</f>
        <v>0</v>
      </c>
      <c r="I642" s="45">
        <f>PRODUCT('All-Servers'!E652,'All-Servers'!$K652)</f>
        <v>0</v>
      </c>
      <c r="J642" s="45">
        <f>PRODUCT('All-Servers'!F652,'All-Servers'!$K652)</f>
        <v>0</v>
      </c>
      <c r="K642" s="45">
        <f>PRODUCT('All-Servers'!G652,'All-Servers'!$K652)</f>
        <v>0</v>
      </c>
    </row>
    <row r="643" spans="8:11" x14ac:dyDescent="0.2">
      <c r="H643" s="45">
        <f>PRODUCT('All-Servers'!D653,'All-Servers'!$K653)</f>
        <v>0</v>
      </c>
      <c r="I643" s="45">
        <f>PRODUCT('All-Servers'!E653,'All-Servers'!$K653)</f>
        <v>0</v>
      </c>
      <c r="J643" s="45">
        <f>PRODUCT('All-Servers'!F653,'All-Servers'!$K653)</f>
        <v>0</v>
      </c>
      <c r="K643" s="45">
        <f>PRODUCT('All-Servers'!G653,'All-Servers'!$K653)</f>
        <v>0</v>
      </c>
    </row>
    <row r="644" spans="8:11" x14ac:dyDescent="0.2">
      <c r="H644" s="45">
        <f>PRODUCT('All-Servers'!D654,'All-Servers'!$K654)</f>
        <v>0</v>
      </c>
      <c r="I644" s="45">
        <f>PRODUCT('All-Servers'!E654,'All-Servers'!$K654)</f>
        <v>0</v>
      </c>
      <c r="J644" s="45">
        <f>PRODUCT('All-Servers'!F654,'All-Servers'!$K654)</f>
        <v>0</v>
      </c>
      <c r="K644" s="45">
        <f>PRODUCT('All-Servers'!G654,'All-Servers'!$K654)</f>
        <v>0</v>
      </c>
    </row>
    <row r="645" spans="8:11" x14ac:dyDescent="0.2">
      <c r="H645" s="45">
        <f>PRODUCT('All-Servers'!D655,'All-Servers'!$K655)</f>
        <v>0</v>
      </c>
      <c r="I645" s="45">
        <f>PRODUCT('All-Servers'!E655,'All-Servers'!$K655)</f>
        <v>0</v>
      </c>
      <c r="J645" s="45">
        <f>PRODUCT('All-Servers'!F655,'All-Servers'!$K655)</f>
        <v>0</v>
      </c>
      <c r="K645" s="45">
        <f>PRODUCT('All-Servers'!G655,'All-Servers'!$K655)</f>
        <v>0</v>
      </c>
    </row>
    <row r="646" spans="8:11" x14ac:dyDescent="0.2">
      <c r="H646" s="45">
        <f>PRODUCT('All-Servers'!D656,'All-Servers'!$K656)</f>
        <v>0</v>
      </c>
      <c r="I646" s="45">
        <f>PRODUCT('All-Servers'!E656,'All-Servers'!$K656)</f>
        <v>0</v>
      </c>
      <c r="J646" s="45">
        <f>PRODUCT('All-Servers'!F656,'All-Servers'!$K656)</f>
        <v>0</v>
      </c>
      <c r="K646" s="45">
        <f>PRODUCT('All-Servers'!G656,'All-Servers'!$K656)</f>
        <v>0</v>
      </c>
    </row>
    <row r="647" spans="8:11" x14ac:dyDescent="0.2">
      <c r="H647" s="45">
        <f>PRODUCT('All-Servers'!D657,'All-Servers'!$K657)</f>
        <v>0</v>
      </c>
      <c r="I647" s="45">
        <f>PRODUCT('All-Servers'!E657,'All-Servers'!$K657)</f>
        <v>0</v>
      </c>
      <c r="J647" s="45">
        <f>PRODUCT('All-Servers'!F657,'All-Servers'!$K657)</f>
        <v>0</v>
      </c>
      <c r="K647" s="45">
        <f>PRODUCT('All-Servers'!G657,'All-Servers'!$K657)</f>
        <v>0</v>
      </c>
    </row>
    <row r="648" spans="8:11" x14ac:dyDescent="0.2">
      <c r="H648" s="45">
        <f>PRODUCT('All-Servers'!D658,'All-Servers'!$K658)</f>
        <v>0</v>
      </c>
      <c r="I648" s="45">
        <f>PRODUCT('All-Servers'!E658,'All-Servers'!$K658)</f>
        <v>0</v>
      </c>
      <c r="J648" s="45">
        <f>PRODUCT('All-Servers'!F658,'All-Servers'!$K658)</f>
        <v>0</v>
      </c>
      <c r="K648" s="45">
        <f>PRODUCT('All-Servers'!G658,'All-Servers'!$K658)</f>
        <v>0</v>
      </c>
    </row>
    <row r="649" spans="8:11" x14ac:dyDescent="0.2">
      <c r="H649" s="45">
        <f>PRODUCT('All-Servers'!D659,'All-Servers'!$K659)</f>
        <v>0</v>
      </c>
      <c r="I649" s="45">
        <f>PRODUCT('All-Servers'!E659,'All-Servers'!$K659)</f>
        <v>0</v>
      </c>
      <c r="J649" s="45">
        <f>PRODUCT('All-Servers'!F659,'All-Servers'!$K659)</f>
        <v>0</v>
      </c>
      <c r="K649" s="45">
        <f>PRODUCT('All-Servers'!G659,'All-Servers'!$K659)</f>
        <v>0</v>
      </c>
    </row>
    <row r="650" spans="8:11" x14ac:dyDescent="0.2">
      <c r="H650" s="45">
        <f>PRODUCT('All-Servers'!D660,'All-Servers'!$K660)</f>
        <v>0</v>
      </c>
      <c r="I650" s="45">
        <f>PRODUCT('All-Servers'!E660,'All-Servers'!$K660)</f>
        <v>0</v>
      </c>
      <c r="J650" s="45">
        <f>PRODUCT('All-Servers'!F660,'All-Servers'!$K660)</f>
        <v>0</v>
      </c>
      <c r="K650" s="45">
        <f>PRODUCT('All-Servers'!G660,'All-Servers'!$K660)</f>
        <v>0</v>
      </c>
    </row>
    <row r="651" spans="8:11" x14ac:dyDescent="0.2">
      <c r="H651" s="45">
        <f>PRODUCT('All-Servers'!D661,'All-Servers'!$K661)</f>
        <v>0</v>
      </c>
      <c r="I651" s="45">
        <f>PRODUCT('All-Servers'!E661,'All-Servers'!$K661)</f>
        <v>0</v>
      </c>
      <c r="J651" s="45">
        <f>PRODUCT('All-Servers'!F661,'All-Servers'!$K661)</f>
        <v>0</v>
      </c>
      <c r="K651" s="45">
        <f>PRODUCT('All-Servers'!G661,'All-Servers'!$K661)</f>
        <v>0</v>
      </c>
    </row>
    <row r="652" spans="8:11" x14ac:dyDescent="0.2">
      <c r="H652" s="45">
        <f>PRODUCT('All-Servers'!D662,'All-Servers'!$K662)</f>
        <v>0</v>
      </c>
      <c r="I652" s="45">
        <f>PRODUCT('All-Servers'!E662,'All-Servers'!$K662)</f>
        <v>0</v>
      </c>
      <c r="J652" s="45">
        <f>PRODUCT('All-Servers'!F662,'All-Servers'!$K662)</f>
        <v>0</v>
      </c>
      <c r="K652" s="45">
        <f>PRODUCT('All-Servers'!G662,'All-Servers'!$K662)</f>
        <v>0</v>
      </c>
    </row>
    <row r="653" spans="8:11" x14ac:dyDescent="0.2">
      <c r="H653" s="45">
        <f>PRODUCT('All-Servers'!D663,'All-Servers'!$K663)</f>
        <v>0</v>
      </c>
      <c r="I653" s="45">
        <f>PRODUCT('All-Servers'!E663,'All-Servers'!$K663)</f>
        <v>0</v>
      </c>
      <c r="J653" s="45">
        <f>PRODUCT('All-Servers'!F663,'All-Servers'!$K663)</f>
        <v>0</v>
      </c>
      <c r="K653" s="45">
        <f>PRODUCT('All-Servers'!G663,'All-Servers'!$K663)</f>
        <v>0</v>
      </c>
    </row>
    <row r="654" spans="8:11" x14ac:dyDescent="0.2">
      <c r="H654" s="45">
        <f>PRODUCT('All-Servers'!D664,'All-Servers'!$K664)</f>
        <v>0</v>
      </c>
      <c r="I654" s="45">
        <f>PRODUCT('All-Servers'!E664,'All-Servers'!$K664)</f>
        <v>0</v>
      </c>
      <c r="J654" s="45">
        <f>PRODUCT('All-Servers'!F664,'All-Servers'!$K664)</f>
        <v>0</v>
      </c>
      <c r="K654" s="45">
        <f>PRODUCT('All-Servers'!G664,'All-Servers'!$K664)</f>
        <v>0</v>
      </c>
    </row>
    <row r="655" spans="8:11" x14ac:dyDescent="0.2">
      <c r="H655" s="45">
        <f>PRODUCT('All-Servers'!D665,'All-Servers'!$K665)</f>
        <v>0</v>
      </c>
      <c r="I655" s="45">
        <f>PRODUCT('All-Servers'!E665,'All-Servers'!$K665)</f>
        <v>0</v>
      </c>
      <c r="J655" s="45">
        <f>PRODUCT('All-Servers'!F665,'All-Servers'!$K665)</f>
        <v>0</v>
      </c>
      <c r="K655" s="45">
        <f>PRODUCT('All-Servers'!G665,'All-Servers'!$K665)</f>
        <v>0</v>
      </c>
    </row>
    <row r="656" spans="8:11" x14ac:dyDescent="0.2">
      <c r="H656" s="45">
        <f>PRODUCT('All-Servers'!D666,'All-Servers'!$K666)</f>
        <v>0</v>
      </c>
      <c r="I656" s="45">
        <f>PRODUCT('All-Servers'!E666,'All-Servers'!$K666)</f>
        <v>0</v>
      </c>
      <c r="J656" s="45">
        <f>PRODUCT('All-Servers'!F666,'All-Servers'!$K666)</f>
        <v>0</v>
      </c>
      <c r="K656" s="45">
        <f>PRODUCT('All-Servers'!G666,'All-Servers'!$K666)</f>
        <v>0</v>
      </c>
    </row>
    <row r="657" spans="8:11" x14ac:dyDescent="0.2">
      <c r="H657" s="45">
        <f>PRODUCT('All-Servers'!D667,'All-Servers'!$K667)</f>
        <v>0</v>
      </c>
      <c r="I657" s="45">
        <f>PRODUCT('All-Servers'!E667,'All-Servers'!$K667)</f>
        <v>0</v>
      </c>
      <c r="J657" s="45">
        <f>PRODUCT('All-Servers'!F667,'All-Servers'!$K667)</f>
        <v>0</v>
      </c>
      <c r="K657" s="45">
        <f>PRODUCT('All-Servers'!G667,'All-Servers'!$K667)</f>
        <v>0</v>
      </c>
    </row>
    <row r="658" spans="8:11" x14ac:dyDescent="0.2">
      <c r="H658" s="45">
        <f>PRODUCT('All-Servers'!D668,'All-Servers'!$K668)</f>
        <v>0</v>
      </c>
      <c r="I658" s="45">
        <f>PRODUCT('All-Servers'!E668,'All-Servers'!$K668)</f>
        <v>0</v>
      </c>
      <c r="J658" s="45">
        <f>PRODUCT('All-Servers'!F668,'All-Servers'!$K668)</f>
        <v>0</v>
      </c>
      <c r="K658" s="45">
        <f>PRODUCT('All-Servers'!G668,'All-Servers'!$K668)</f>
        <v>0</v>
      </c>
    </row>
    <row r="659" spans="8:11" x14ac:dyDescent="0.2">
      <c r="H659" s="45">
        <f>PRODUCT('All-Servers'!D669,'All-Servers'!$K669)</f>
        <v>0</v>
      </c>
      <c r="I659" s="45">
        <f>PRODUCT('All-Servers'!E669,'All-Servers'!$K669)</f>
        <v>0</v>
      </c>
      <c r="J659" s="45">
        <f>PRODUCT('All-Servers'!F669,'All-Servers'!$K669)</f>
        <v>0</v>
      </c>
      <c r="K659" s="45">
        <f>PRODUCT('All-Servers'!G669,'All-Servers'!$K669)</f>
        <v>0</v>
      </c>
    </row>
    <row r="660" spans="8:11" x14ac:dyDescent="0.2">
      <c r="H660" s="45">
        <f>PRODUCT('All-Servers'!D670,'All-Servers'!$K670)</f>
        <v>0</v>
      </c>
      <c r="I660" s="45">
        <f>PRODUCT('All-Servers'!E670,'All-Servers'!$K670)</f>
        <v>0</v>
      </c>
      <c r="J660" s="45">
        <f>PRODUCT('All-Servers'!F670,'All-Servers'!$K670)</f>
        <v>0</v>
      </c>
      <c r="K660" s="45">
        <f>PRODUCT('All-Servers'!G670,'All-Servers'!$K670)</f>
        <v>0</v>
      </c>
    </row>
    <row r="661" spans="8:11" x14ac:dyDescent="0.2">
      <c r="H661" s="45">
        <f>PRODUCT('All-Servers'!D671,'All-Servers'!$K671)</f>
        <v>0</v>
      </c>
      <c r="I661" s="45">
        <f>PRODUCT('All-Servers'!E671,'All-Servers'!$K671)</f>
        <v>0</v>
      </c>
      <c r="J661" s="45">
        <f>PRODUCT('All-Servers'!F671,'All-Servers'!$K671)</f>
        <v>0</v>
      </c>
      <c r="K661" s="45">
        <f>PRODUCT('All-Servers'!G671,'All-Servers'!$K671)</f>
        <v>0</v>
      </c>
    </row>
    <row r="662" spans="8:11" x14ac:dyDescent="0.2">
      <c r="H662" s="45">
        <f>PRODUCT('All-Servers'!D672,'All-Servers'!$K672)</f>
        <v>0</v>
      </c>
      <c r="I662" s="45">
        <f>PRODUCT('All-Servers'!E672,'All-Servers'!$K672)</f>
        <v>0</v>
      </c>
      <c r="J662" s="45">
        <f>PRODUCT('All-Servers'!F672,'All-Servers'!$K672)</f>
        <v>0</v>
      </c>
      <c r="K662" s="45">
        <f>PRODUCT('All-Servers'!G672,'All-Servers'!$K672)</f>
        <v>0</v>
      </c>
    </row>
    <row r="663" spans="8:11" x14ac:dyDescent="0.2">
      <c r="H663" s="45">
        <f>PRODUCT('All-Servers'!D673,'All-Servers'!$K673)</f>
        <v>0</v>
      </c>
      <c r="I663" s="45">
        <f>PRODUCT('All-Servers'!E673,'All-Servers'!$K673)</f>
        <v>0</v>
      </c>
      <c r="J663" s="45">
        <f>PRODUCT('All-Servers'!F673,'All-Servers'!$K673)</f>
        <v>0</v>
      </c>
      <c r="K663" s="45">
        <f>PRODUCT('All-Servers'!G673,'All-Servers'!$K673)</f>
        <v>0</v>
      </c>
    </row>
    <row r="664" spans="8:11" x14ac:dyDescent="0.2">
      <c r="H664" s="45">
        <f>PRODUCT('All-Servers'!D674,'All-Servers'!$K674)</f>
        <v>0</v>
      </c>
      <c r="I664" s="45">
        <f>PRODUCT('All-Servers'!E674,'All-Servers'!$K674)</f>
        <v>0</v>
      </c>
      <c r="J664" s="45">
        <f>PRODUCT('All-Servers'!F674,'All-Servers'!$K674)</f>
        <v>0</v>
      </c>
      <c r="K664" s="45">
        <f>PRODUCT('All-Servers'!G674,'All-Servers'!$K674)</f>
        <v>0</v>
      </c>
    </row>
    <row r="665" spans="8:11" x14ac:dyDescent="0.2">
      <c r="H665" s="45">
        <f>PRODUCT('All-Servers'!D675,'All-Servers'!$K675)</f>
        <v>0</v>
      </c>
      <c r="I665" s="45">
        <f>PRODUCT('All-Servers'!E675,'All-Servers'!$K675)</f>
        <v>0</v>
      </c>
      <c r="J665" s="45">
        <f>PRODUCT('All-Servers'!F675,'All-Servers'!$K675)</f>
        <v>0</v>
      </c>
      <c r="K665" s="45">
        <f>PRODUCT('All-Servers'!G675,'All-Servers'!$K675)</f>
        <v>0</v>
      </c>
    </row>
    <row r="666" spans="8:11" x14ac:dyDescent="0.2">
      <c r="H666" s="45">
        <f>PRODUCT('All-Servers'!D676,'All-Servers'!$K676)</f>
        <v>0</v>
      </c>
      <c r="I666" s="45">
        <f>PRODUCT('All-Servers'!E676,'All-Servers'!$K676)</f>
        <v>0</v>
      </c>
      <c r="J666" s="45">
        <f>PRODUCT('All-Servers'!F676,'All-Servers'!$K676)</f>
        <v>0</v>
      </c>
      <c r="K666" s="45">
        <f>PRODUCT('All-Servers'!G676,'All-Servers'!$K676)</f>
        <v>0</v>
      </c>
    </row>
    <row r="667" spans="8:11" x14ac:dyDescent="0.2">
      <c r="H667" s="45">
        <f>PRODUCT('All-Servers'!D677,'All-Servers'!$K677)</f>
        <v>0</v>
      </c>
      <c r="I667" s="45">
        <f>PRODUCT('All-Servers'!E677,'All-Servers'!$K677)</f>
        <v>0</v>
      </c>
      <c r="J667" s="45">
        <f>PRODUCT('All-Servers'!F677,'All-Servers'!$K677)</f>
        <v>0</v>
      </c>
      <c r="K667" s="45">
        <f>PRODUCT('All-Servers'!G677,'All-Servers'!$K677)</f>
        <v>0</v>
      </c>
    </row>
    <row r="668" spans="8:11" x14ac:dyDescent="0.2">
      <c r="H668" s="45">
        <f>PRODUCT('All-Servers'!D678,'All-Servers'!$K678)</f>
        <v>0</v>
      </c>
      <c r="I668" s="45">
        <f>PRODUCT('All-Servers'!E678,'All-Servers'!$K678)</f>
        <v>0</v>
      </c>
      <c r="J668" s="45">
        <f>PRODUCT('All-Servers'!F678,'All-Servers'!$K678)</f>
        <v>0</v>
      </c>
      <c r="K668" s="45">
        <f>PRODUCT('All-Servers'!G678,'All-Servers'!$K678)</f>
        <v>0</v>
      </c>
    </row>
    <row r="669" spans="8:11" x14ac:dyDescent="0.2">
      <c r="H669" s="45">
        <f>PRODUCT('All-Servers'!D679,'All-Servers'!$K679)</f>
        <v>0</v>
      </c>
      <c r="I669" s="45">
        <f>PRODUCT('All-Servers'!E679,'All-Servers'!$K679)</f>
        <v>0</v>
      </c>
      <c r="J669" s="45">
        <f>PRODUCT('All-Servers'!F679,'All-Servers'!$K679)</f>
        <v>0</v>
      </c>
      <c r="K669" s="45">
        <f>PRODUCT('All-Servers'!G679,'All-Servers'!$K679)</f>
        <v>0</v>
      </c>
    </row>
    <row r="670" spans="8:11" x14ac:dyDescent="0.2">
      <c r="H670" s="45">
        <f>PRODUCT('All-Servers'!D680,'All-Servers'!$K680)</f>
        <v>0</v>
      </c>
      <c r="I670" s="45">
        <f>PRODUCT('All-Servers'!E680,'All-Servers'!$K680)</f>
        <v>0</v>
      </c>
      <c r="J670" s="45">
        <f>PRODUCT('All-Servers'!F680,'All-Servers'!$K680)</f>
        <v>0</v>
      </c>
      <c r="K670" s="45">
        <f>PRODUCT('All-Servers'!G680,'All-Servers'!$K680)</f>
        <v>0</v>
      </c>
    </row>
    <row r="671" spans="8:11" x14ac:dyDescent="0.2">
      <c r="H671" s="45">
        <f>PRODUCT('All-Servers'!D681,'All-Servers'!$K681)</f>
        <v>0</v>
      </c>
      <c r="I671" s="45">
        <f>PRODUCT('All-Servers'!E681,'All-Servers'!$K681)</f>
        <v>0</v>
      </c>
      <c r="J671" s="45">
        <f>PRODUCT('All-Servers'!F681,'All-Servers'!$K681)</f>
        <v>0</v>
      </c>
      <c r="K671" s="45">
        <f>PRODUCT('All-Servers'!G681,'All-Servers'!$K681)</f>
        <v>0</v>
      </c>
    </row>
    <row r="672" spans="8:11" x14ac:dyDescent="0.2">
      <c r="H672" s="45">
        <f>PRODUCT('All-Servers'!D682,'All-Servers'!$K682)</f>
        <v>0</v>
      </c>
      <c r="I672" s="45">
        <f>PRODUCT('All-Servers'!E682,'All-Servers'!$K682)</f>
        <v>0</v>
      </c>
      <c r="J672" s="45">
        <f>PRODUCT('All-Servers'!F682,'All-Servers'!$K682)</f>
        <v>0</v>
      </c>
      <c r="K672" s="45">
        <f>PRODUCT('All-Servers'!G682,'All-Servers'!$K682)</f>
        <v>0</v>
      </c>
    </row>
    <row r="673" spans="8:11" x14ac:dyDescent="0.2">
      <c r="H673" s="45">
        <f>PRODUCT('All-Servers'!D683,'All-Servers'!$K683)</f>
        <v>0</v>
      </c>
      <c r="I673" s="45">
        <f>PRODUCT('All-Servers'!E683,'All-Servers'!$K683)</f>
        <v>0</v>
      </c>
      <c r="J673" s="45">
        <f>PRODUCT('All-Servers'!F683,'All-Servers'!$K683)</f>
        <v>0</v>
      </c>
      <c r="K673" s="45">
        <f>PRODUCT('All-Servers'!G683,'All-Servers'!$K683)</f>
        <v>0</v>
      </c>
    </row>
    <row r="674" spans="8:11" x14ac:dyDescent="0.2">
      <c r="H674" s="45">
        <f>PRODUCT('All-Servers'!D684,'All-Servers'!$K684)</f>
        <v>0</v>
      </c>
      <c r="I674" s="45">
        <f>PRODUCT('All-Servers'!E684,'All-Servers'!$K684)</f>
        <v>0</v>
      </c>
      <c r="J674" s="45">
        <f>PRODUCT('All-Servers'!F684,'All-Servers'!$K684)</f>
        <v>0</v>
      </c>
      <c r="K674" s="45">
        <f>PRODUCT('All-Servers'!G684,'All-Servers'!$K684)</f>
        <v>0</v>
      </c>
    </row>
    <row r="675" spans="8:11" x14ac:dyDescent="0.2">
      <c r="H675" s="45">
        <f>PRODUCT('All-Servers'!D685,'All-Servers'!$K685)</f>
        <v>0</v>
      </c>
      <c r="I675" s="45">
        <f>PRODUCT('All-Servers'!E685,'All-Servers'!$K685)</f>
        <v>0</v>
      </c>
      <c r="J675" s="45">
        <f>PRODUCT('All-Servers'!F685,'All-Servers'!$K685)</f>
        <v>0</v>
      </c>
      <c r="K675" s="45">
        <f>PRODUCT('All-Servers'!G685,'All-Servers'!$K685)</f>
        <v>0</v>
      </c>
    </row>
    <row r="676" spans="8:11" x14ac:dyDescent="0.2">
      <c r="H676" s="45">
        <f>PRODUCT('All-Servers'!D686,'All-Servers'!$K686)</f>
        <v>0</v>
      </c>
      <c r="I676" s="45">
        <f>PRODUCT('All-Servers'!E686,'All-Servers'!$K686)</f>
        <v>0</v>
      </c>
      <c r="J676" s="45">
        <f>PRODUCT('All-Servers'!F686,'All-Servers'!$K686)</f>
        <v>0</v>
      </c>
      <c r="K676" s="45">
        <f>PRODUCT('All-Servers'!G686,'All-Servers'!$K686)</f>
        <v>0</v>
      </c>
    </row>
    <row r="677" spans="8:11" x14ac:dyDescent="0.2">
      <c r="H677" s="45">
        <f>PRODUCT('All-Servers'!D687,'All-Servers'!$K687)</f>
        <v>0</v>
      </c>
      <c r="I677" s="45">
        <f>PRODUCT('All-Servers'!E687,'All-Servers'!$K687)</f>
        <v>0</v>
      </c>
      <c r="J677" s="45">
        <f>PRODUCT('All-Servers'!F687,'All-Servers'!$K687)</f>
        <v>0</v>
      </c>
      <c r="K677" s="45">
        <f>PRODUCT('All-Servers'!G687,'All-Servers'!$K687)</f>
        <v>0</v>
      </c>
    </row>
    <row r="678" spans="8:11" x14ac:dyDescent="0.2">
      <c r="H678" s="45">
        <f>PRODUCT('All-Servers'!D688,'All-Servers'!$K688)</f>
        <v>0</v>
      </c>
      <c r="I678" s="45">
        <f>PRODUCT('All-Servers'!E688,'All-Servers'!$K688)</f>
        <v>0</v>
      </c>
      <c r="J678" s="45">
        <f>PRODUCT('All-Servers'!F688,'All-Servers'!$K688)</f>
        <v>0</v>
      </c>
      <c r="K678" s="45">
        <f>PRODUCT('All-Servers'!G688,'All-Servers'!$K688)</f>
        <v>0</v>
      </c>
    </row>
    <row r="679" spans="8:11" x14ac:dyDescent="0.2">
      <c r="H679" s="45">
        <f>PRODUCT('All-Servers'!D689,'All-Servers'!$K689)</f>
        <v>0</v>
      </c>
      <c r="I679" s="45">
        <f>PRODUCT('All-Servers'!E689,'All-Servers'!$K689)</f>
        <v>0</v>
      </c>
      <c r="J679" s="45">
        <f>PRODUCT('All-Servers'!F689,'All-Servers'!$K689)</f>
        <v>0</v>
      </c>
      <c r="K679" s="45">
        <f>PRODUCT('All-Servers'!G689,'All-Servers'!$K689)</f>
        <v>0</v>
      </c>
    </row>
    <row r="680" spans="8:11" x14ac:dyDescent="0.2">
      <c r="H680" s="45">
        <f>PRODUCT('All-Servers'!D690,'All-Servers'!$K690)</f>
        <v>0</v>
      </c>
      <c r="I680" s="45">
        <f>PRODUCT('All-Servers'!E690,'All-Servers'!$K690)</f>
        <v>0</v>
      </c>
      <c r="J680" s="45">
        <f>PRODUCT('All-Servers'!F690,'All-Servers'!$K690)</f>
        <v>0</v>
      </c>
      <c r="K680" s="45">
        <f>PRODUCT('All-Servers'!G690,'All-Servers'!$K690)</f>
        <v>0</v>
      </c>
    </row>
    <row r="681" spans="8:11" x14ac:dyDescent="0.2">
      <c r="H681" s="45">
        <f>PRODUCT('All-Servers'!D691,'All-Servers'!$K691)</f>
        <v>0</v>
      </c>
      <c r="I681" s="45">
        <f>PRODUCT('All-Servers'!E691,'All-Servers'!$K691)</f>
        <v>0</v>
      </c>
      <c r="J681" s="45">
        <f>PRODUCT('All-Servers'!F691,'All-Servers'!$K691)</f>
        <v>0</v>
      </c>
      <c r="K681" s="45">
        <f>PRODUCT('All-Servers'!G691,'All-Servers'!$K691)</f>
        <v>0</v>
      </c>
    </row>
    <row r="682" spans="8:11" x14ac:dyDescent="0.2">
      <c r="H682" s="45">
        <f>PRODUCT('All-Servers'!D692,'All-Servers'!$K692)</f>
        <v>0</v>
      </c>
      <c r="I682" s="45">
        <f>PRODUCT('All-Servers'!E692,'All-Servers'!$K692)</f>
        <v>0</v>
      </c>
      <c r="J682" s="45">
        <f>PRODUCT('All-Servers'!F692,'All-Servers'!$K692)</f>
        <v>0</v>
      </c>
      <c r="K682" s="45">
        <f>PRODUCT('All-Servers'!G692,'All-Servers'!$K692)</f>
        <v>0</v>
      </c>
    </row>
    <row r="683" spans="8:11" x14ac:dyDescent="0.2">
      <c r="H683" s="45">
        <f>PRODUCT('All-Servers'!D693,'All-Servers'!$K693)</f>
        <v>0</v>
      </c>
      <c r="I683" s="45">
        <f>PRODUCT('All-Servers'!E693,'All-Servers'!$K693)</f>
        <v>0</v>
      </c>
      <c r="J683" s="45">
        <f>PRODUCT('All-Servers'!F693,'All-Servers'!$K693)</f>
        <v>0</v>
      </c>
      <c r="K683" s="45">
        <f>PRODUCT('All-Servers'!G693,'All-Servers'!$K693)</f>
        <v>0</v>
      </c>
    </row>
    <row r="684" spans="8:11" x14ac:dyDescent="0.2">
      <c r="H684" s="45">
        <f>PRODUCT('All-Servers'!D694,'All-Servers'!$K694)</f>
        <v>0</v>
      </c>
      <c r="I684" s="45">
        <f>PRODUCT('All-Servers'!E694,'All-Servers'!$K694)</f>
        <v>0</v>
      </c>
      <c r="J684" s="45">
        <f>PRODUCT('All-Servers'!F694,'All-Servers'!$K694)</f>
        <v>0</v>
      </c>
      <c r="K684" s="45">
        <f>PRODUCT('All-Servers'!G694,'All-Servers'!$K694)</f>
        <v>0</v>
      </c>
    </row>
    <row r="685" spans="8:11" x14ac:dyDescent="0.2">
      <c r="H685" s="45">
        <f>PRODUCT('All-Servers'!D695,'All-Servers'!$K695)</f>
        <v>0</v>
      </c>
      <c r="I685" s="45">
        <f>PRODUCT('All-Servers'!E695,'All-Servers'!$K695)</f>
        <v>0</v>
      </c>
      <c r="J685" s="45">
        <f>PRODUCT('All-Servers'!F695,'All-Servers'!$K695)</f>
        <v>0</v>
      </c>
      <c r="K685" s="45">
        <f>PRODUCT('All-Servers'!G695,'All-Servers'!$K695)</f>
        <v>0</v>
      </c>
    </row>
    <row r="686" spans="8:11" x14ac:dyDescent="0.2">
      <c r="H686" s="45">
        <f>PRODUCT('All-Servers'!D696,'All-Servers'!$K696)</f>
        <v>0</v>
      </c>
      <c r="I686" s="45">
        <f>PRODUCT('All-Servers'!E696,'All-Servers'!$K696)</f>
        <v>0</v>
      </c>
      <c r="J686" s="45">
        <f>PRODUCT('All-Servers'!F696,'All-Servers'!$K696)</f>
        <v>0</v>
      </c>
      <c r="K686" s="45">
        <f>PRODUCT('All-Servers'!G696,'All-Servers'!$K696)</f>
        <v>0</v>
      </c>
    </row>
    <row r="687" spans="8:11" x14ac:dyDescent="0.2">
      <c r="H687" s="45">
        <f>PRODUCT('All-Servers'!D697,'All-Servers'!$K697)</f>
        <v>0</v>
      </c>
      <c r="I687" s="45">
        <f>PRODUCT('All-Servers'!E697,'All-Servers'!$K697)</f>
        <v>0</v>
      </c>
      <c r="J687" s="45">
        <f>PRODUCT('All-Servers'!F697,'All-Servers'!$K697)</f>
        <v>0</v>
      </c>
      <c r="K687" s="45">
        <f>PRODUCT('All-Servers'!G697,'All-Servers'!$K697)</f>
        <v>0</v>
      </c>
    </row>
    <row r="688" spans="8:11" x14ac:dyDescent="0.2">
      <c r="H688" s="45">
        <f>PRODUCT('All-Servers'!D698,'All-Servers'!$K698)</f>
        <v>0</v>
      </c>
      <c r="I688" s="45">
        <f>PRODUCT('All-Servers'!E698,'All-Servers'!$K698)</f>
        <v>0</v>
      </c>
      <c r="J688" s="45">
        <f>PRODUCT('All-Servers'!F698,'All-Servers'!$K698)</f>
        <v>0</v>
      </c>
      <c r="K688" s="45">
        <f>PRODUCT('All-Servers'!G698,'All-Servers'!$K698)</f>
        <v>0</v>
      </c>
    </row>
    <row r="689" spans="8:11" x14ac:dyDescent="0.2">
      <c r="H689" s="45">
        <f>PRODUCT('All-Servers'!D699,'All-Servers'!$K699)</f>
        <v>0</v>
      </c>
      <c r="I689" s="45">
        <f>PRODUCT('All-Servers'!E699,'All-Servers'!$K699)</f>
        <v>0</v>
      </c>
      <c r="J689" s="45">
        <f>PRODUCT('All-Servers'!F699,'All-Servers'!$K699)</f>
        <v>0</v>
      </c>
      <c r="K689" s="45">
        <f>PRODUCT('All-Servers'!G699,'All-Servers'!$K699)</f>
        <v>0</v>
      </c>
    </row>
    <row r="690" spans="8:11" x14ac:dyDescent="0.2">
      <c r="H690" s="45">
        <f>PRODUCT('All-Servers'!D700,'All-Servers'!$K700)</f>
        <v>0</v>
      </c>
      <c r="I690" s="45">
        <f>PRODUCT('All-Servers'!E700,'All-Servers'!$K700)</f>
        <v>0</v>
      </c>
      <c r="J690" s="45">
        <f>PRODUCT('All-Servers'!F700,'All-Servers'!$K700)</f>
        <v>0</v>
      </c>
      <c r="K690" s="45">
        <f>PRODUCT('All-Servers'!G700,'All-Servers'!$K700)</f>
        <v>0</v>
      </c>
    </row>
    <row r="691" spans="8:11" x14ac:dyDescent="0.2">
      <c r="H691" s="45">
        <f>PRODUCT('All-Servers'!D701,'All-Servers'!$K701)</f>
        <v>0</v>
      </c>
      <c r="I691" s="45">
        <f>PRODUCT('All-Servers'!E701,'All-Servers'!$K701)</f>
        <v>0</v>
      </c>
      <c r="J691" s="45">
        <f>PRODUCT('All-Servers'!F701,'All-Servers'!$K701)</f>
        <v>0</v>
      </c>
      <c r="K691" s="45">
        <f>PRODUCT('All-Servers'!G701,'All-Servers'!$K701)</f>
        <v>0</v>
      </c>
    </row>
    <row r="692" spans="8:11" x14ac:dyDescent="0.2">
      <c r="H692" s="45">
        <f>PRODUCT('All-Servers'!D702,'All-Servers'!$K702)</f>
        <v>0</v>
      </c>
      <c r="I692" s="45">
        <f>PRODUCT('All-Servers'!E702,'All-Servers'!$K702)</f>
        <v>0</v>
      </c>
      <c r="J692" s="45">
        <f>PRODUCT('All-Servers'!F702,'All-Servers'!$K702)</f>
        <v>0</v>
      </c>
      <c r="K692" s="45">
        <f>PRODUCT('All-Servers'!G702,'All-Servers'!$K702)</f>
        <v>0</v>
      </c>
    </row>
    <row r="693" spans="8:11" x14ac:dyDescent="0.2">
      <c r="H693" s="45">
        <f>PRODUCT('All-Servers'!D703,'All-Servers'!$K703)</f>
        <v>0</v>
      </c>
      <c r="I693" s="45">
        <f>PRODUCT('All-Servers'!E703,'All-Servers'!$K703)</f>
        <v>0</v>
      </c>
      <c r="J693" s="45">
        <f>PRODUCT('All-Servers'!F703,'All-Servers'!$K703)</f>
        <v>0</v>
      </c>
      <c r="K693" s="45">
        <f>PRODUCT('All-Servers'!G703,'All-Servers'!$K703)</f>
        <v>0</v>
      </c>
    </row>
    <row r="694" spans="8:11" x14ac:dyDescent="0.2">
      <c r="H694" s="45">
        <f>PRODUCT('All-Servers'!D704,'All-Servers'!$K704)</f>
        <v>0</v>
      </c>
      <c r="I694" s="45">
        <f>PRODUCT('All-Servers'!E704,'All-Servers'!$K704)</f>
        <v>0</v>
      </c>
      <c r="J694" s="45">
        <f>PRODUCT('All-Servers'!F704,'All-Servers'!$K704)</f>
        <v>0</v>
      </c>
      <c r="K694" s="45">
        <f>PRODUCT('All-Servers'!G704,'All-Servers'!$K704)</f>
        <v>0</v>
      </c>
    </row>
    <row r="695" spans="8:11" x14ac:dyDescent="0.2">
      <c r="H695" s="45">
        <f>PRODUCT('All-Servers'!D705,'All-Servers'!$K705)</f>
        <v>0</v>
      </c>
      <c r="I695" s="45">
        <f>PRODUCT('All-Servers'!E705,'All-Servers'!$K705)</f>
        <v>0</v>
      </c>
      <c r="J695" s="45">
        <f>PRODUCT('All-Servers'!F705,'All-Servers'!$K705)</f>
        <v>0</v>
      </c>
      <c r="K695" s="45">
        <f>PRODUCT('All-Servers'!G705,'All-Servers'!$K705)</f>
        <v>0</v>
      </c>
    </row>
    <row r="696" spans="8:11" x14ac:dyDescent="0.2">
      <c r="H696" s="45">
        <f>PRODUCT('All-Servers'!D706,'All-Servers'!$K706)</f>
        <v>0</v>
      </c>
      <c r="I696" s="45">
        <f>PRODUCT('All-Servers'!E706,'All-Servers'!$K706)</f>
        <v>0</v>
      </c>
      <c r="J696" s="45">
        <f>PRODUCT('All-Servers'!F706,'All-Servers'!$K706)</f>
        <v>0</v>
      </c>
      <c r="K696" s="45">
        <f>PRODUCT('All-Servers'!G706,'All-Servers'!$K706)</f>
        <v>0</v>
      </c>
    </row>
    <row r="697" spans="8:11" x14ac:dyDescent="0.2">
      <c r="H697" s="45">
        <f>PRODUCT('All-Servers'!D707,'All-Servers'!$K707)</f>
        <v>0</v>
      </c>
      <c r="I697" s="45">
        <f>PRODUCT('All-Servers'!E707,'All-Servers'!$K707)</f>
        <v>0</v>
      </c>
      <c r="J697" s="45">
        <f>PRODUCT('All-Servers'!F707,'All-Servers'!$K707)</f>
        <v>0</v>
      </c>
      <c r="K697" s="45">
        <f>PRODUCT('All-Servers'!G707,'All-Servers'!$K707)</f>
        <v>0</v>
      </c>
    </row>
    <row r="698" spans="8:11" x14ac:dyDescent="0.2">
      <c r="H698" s="45">
        <f>PRODUCT('All-Servers'!D708,'All-Servers'!$K708)</f>
        <v>0</v>
      </c>
      <c r="I698" s="45">
        <f>PRODUCT('All-Servers'!E708,'All-Servers'!$K708)</f>
        <v>0</v>
      </c>
      <c r="J698" s="45">
        <f>PRODUCT('All-Servers'!F708,'All-Servers'!$K708)</f>
        <v>0</v>
      </c>
      <c r="K698" s="45">
        <f>PRODUCT('All-Servers'!G708,'All-Servers'!$K708)</f>
        <v>0</v>
      </c>
    </row>
    <row r="699" spans="8:11" x14ac:dyDescent="0.2">
      <c r="H699" s="45">
        <f>PRODUCT('All-Servers'!D709,'All-Servers'!$K709)</f>
        <v>0</v>
      </c>
      <c r="I699" s="45">
        <f>PRODUCT('All-Servers'!E709,'All-Servers'!$K709)</f>
        <v>0</v>
      </c>
      <c r="J699" s="45">
        <f>PRODUCT('All-Servers'!F709,'All-Servers'!$K709)</f>
        <v>0</v>
      </c>
      <c r="K699" s="45">
        <f>PRODUCT('All-Servers'!G709,'All-Servers'!$K709)</f>
        <v>0</v>
      </c>
    </row>
    <row r="700" spans="8:11" x14ac:dyDescent="0.2">
      <c r="H700" s="45">
        <f>PRODUCT('All-Servers'!D710,'All-Servers'!$K710)</f>
        <v>0</v>
      </c>
      <c r="I700" s="45">
        <f>PRODUCT('All-Servers'!E710,'All-Servers'!$K710)</f>
        <v>0</v>
      </c>
      <c r="J700" s="45">
        <f>PRODUCT('All-Servers'!F710,'All-Servers'!$K710)</f>
        <v>0</v>
      </c>
      <c r="K700" s="45">
        <f>PRODUCT('All-Servers'!G710,'All-Servers'!$K710)</f>
        <v>0</v>
      </c>
    </row>
    <row r="701" spans="8:11" x14ac:dyDescent="0.2">
      <c r="H701" s="45">
        <f>PRODUCT('All-Servers'!D711,'All-Servers'!$K711)</f>
        <v>0</v>
      </c>
      <c r="I701" s="45">
        <f>PRODUCT('All-Servers'!E711,'All-Servers'!$K711)</f>
        <v>0</v>
      </c>
      <c r="J701" s="45">
        <f>PRODUCT('All-Servers'!F711,'All-Servers'!$K711)</f>
        <v>0</v>
      </c>
      <c r="K701" s="45">
        <f>PRODUCT('All-Servers'!G711,'All-Servers'!$K711)</f>
        <v>0</v>
      </c>
    </row>
    <row r="702" spans="8:11" x14ac:dyDescent="0.2">
      <c r="H702" s="45">
        <f>PRODUCT('All-Servers'!D712,'All-Servers'!$K712)</f>
        <v>0</v>
      </c>
      <c r="I702" s="45">
        <f>PRODUCT('All-Servers'!E712,'All-Servers'!$K712)</f>
        <v>0</v>
      </c>
      <c r="J702" s="45">
        <f>PRODUCT('All-Servers'!F712,'All-Servers'!$K712)</f>
        <v>0</v>
      </c>
      <c r="K702" s="45">
        <f>PRODUCT('All-Servers'!G712,'All-Servers'!$K712)</f>
        <v>0</v>
      </c>
    </row>
    <row r="703" spans="8:11" x14ac:dyDescent="0.2">
      <c r="H703" s="45">
        <f>PRODUCT('All-Servers'!D713,'All-Servers'!$K713)</f>
        <v>0</v>
      </c>
      <c r="I703" s="45">
        <f>PRODUCT('All-Servers'!E713,'All-Servers'!$K713)</f>
        <v>0</v>
      </c>
      <c r="J703" s="45">
        <f>PRODUCT('All-Servers'!F713,'All-Servers'!$K713)</f>
        <v>0</v>
      </c>
      <c r="K703" s="45">
        <f>PRODUCT('All-Servers'!G713,'All-Servers'!$K713)</f>
        <v>0</v>
      </c>
    </row>
    <row r="704" spans="8:11" x14ac:dyDescent="0.2">
      <c r="H704" s="45">
        <f>PRODUCT('All-Servers'!D714,'All-Servers'!$K714)</f>
        <v>0</v>
      </c>
      <c r="I704" s="45">
        <f>PRODUCT('All-Servers'!E714,'All-Servers'!$K714)</f>
        <v>0</v>
      </c>
      <c r="J704" s="45">
        <f>PRODUCT('All-Servers'!F714,'All-Servers'!$K714)</f>
        <v>0</v>
      </c>
      <c r="K704" s="45">
        <f>PRODUCT('All-Servers'!G714,'All-Servers'!$K714)</f>
        <v>0</v>
      </c>
    </row>
    <row r="705" spans="8:11" x14ac:dyDescent="0.2">
      <c r="H705" s="45">
        <f>PRODUCT('All-Servers'!D715,'All-Servers'!$K715)</f>
        <v>0</v>
      </c>
      <c r="I705" s="45">
        <f>PRODUCT('All-Servers'!E715,'All-Servers'!$K715)</f>
        <v>0</v>
      </c>
      <c r="J705" s="45">
        <f>PRODUCT('All-Servers'!F715,'All-Servers'!$K715)</f>
        <v>0</v>
      </c>
      <c r="K705" s="45">
        <f>PRODUCT('All-Servers'!G715,'All-Servers'!$K715)</f>
        <v>0</v>
      </c>
    </row>
    <row r="706" spans="8:11" x14ac:dyDescent="0.2">
      <c r="H706" s="45">
        <f>PRODUCT('All-Servers'!D716,'All-Servers'!$K716)</f>
        <v>0</v>
      </c>
      <c r="I706" s="45">
        <f>PRODUCT('All-Servers'!E716,'All-Servers'!$K716)</f>
        <v>0</v>
      </c>
      <c r="J706" s="45">
        <f>PRODUCT('All-Servers'!F716,'All-Servers'!$K716)</f>
        <v>0</v>
      </c>
      <c r="K706" s="45">
        <f>PRODUCT('All-Servers'!G716,'All-Servers'!$K716)</f>
        <v>0</v>
      </c>
    </row>
    <row r="707" spans="8:11" x14ac:dyDescent="0.2">
      <c r="H707" s="45">
        <f>PRODUCT('All-Servers'!D717,'All-Servers'!$K717)</f>
        <v>0</v>
      </c>
      <c r="I707" s="45">
        <f>PRODUCT('All-Servers'!E717,'All-Servers'!$K717)</f>
        <v>0</v>
      </c>
      <c r="J707" s="45">
        <f>PRODUCT('All-Servers'!F717,'All-Servers'!$K717)</f>
        <v>0</v>
      </c>
      <c r="K707" s="45">
        <f>PRODUCT('All-Servers'!G717,'All-Servers'!$K717)</f>
        <v>0</v>
      </c>
    </row>
    <row r="708" spans="8:11" x14ac:dyDescent="0.2">
      <c r="H708" s="45">
        <f>PRODUCT('All-Servers'!D718,'All-Servers'!$K718)</f>
        <v>0</v>
      </c>
      <c r="I708" s="45">
        <f>PRODUCT('All-Servers'!E718,'All-Servers'!$K718)</f>
        <v>0</v>
      </c>
      <c r="J708" s="45">
        <f>PRODUCT('All-Servers'!F718,'All-Servers'!$K718)</f>
        <v>0</v>
      </c>
      <c r="K708" s="45">
        <f>PRODUCT('All-Servers'!G718,'All-Servers'!$K718)</f>
        <v>0</v>
      </c>
    </row>
    <row r="709" spans="8:11" x14ac:dyDescent="0.2">
      <c r="H709" s="45">
        <f>PRODUCT('All-Servers'!D719,'All-Servers'!$K719)</f>
        <v>0</v>
      </c>
      <c r="I709" s="45">
        <f>PRODUCT('All-Servers'!E719,'All-Servers'!$K719)</f>
        <v>0</v>
      </c>
      <c r="J709" s="45">
        <f>PRODUCT('All-Servers'!F719,'All-Servers'!$K719)</f>
        <v>0</v>
      </c>
      <c r="K709" s="45">
        <f>PRODUCT('All-Servers'!G719,'All-Servers'!$K719)</f>
        <v>0</v>
      </c>
    </row>
    <row r="710" spans="8:11" x14ac:dyDescent="0.2">
      <c r="H710" s="45">
        <f>PRODUCT('All-Servers'!D720,'All-Servers'!$K720)</f>
        <v>0</v>
      </c>
      <c r="I710" s="45">
        <f>PRODUCT('All-Servers'!E720,'All-Servers'!$K720)</f>
        <v>0</v>
      </c>
      <c r="J710" s="45">
        <f>PRODUCT('All-Servers'!F720,'All-Servers'!$K720)</f>
        <v>0</v>
      </c>
      <c r="K710" s="45">
        <f>PRODUCT('All-Servers'!G720,'All-Servers'!$K720)</f>
        <v>0</v>
      </c>
    </row>
    <row r="711" spans="8:11" x14ac:dyDescent="0.2">
      <c r="H711" s="45">
        <f>PRODUCT('All-Servers'!D721,'All-Servers'!$K721)</f>
        <v>0</v>
      </c>
      <c r="I711" s="45">
        <f>PRODUCT('All-Servers'!E721,'All-Servers'!$K721)</f>
        <v>0</v>
      </c>
      <c r="J711" s="45">
        <f>PRODUCT('All-Servers'!F721,'All-Servers'!$K721)</f>
        <v>0</v>
      </c>
      <c r="K711" s="45">
        <f>PRODUCT('All-Servers'!G721,'All-Servers'!$K721)</f>
        <v>0</v>
      </c>
    </row>
    <row r="712" spans="8:11" x14ac:dyDescent="0.2">
      <c r="H712" s="45">
        <f>PRODUCT('All-Servers'!D722,'All-Servers'!$K722)</f>
        <v>0</v>
      </c>
      <c r="I712" s="45">
        <f>PRODUCT('All-Servers'!E722,'All-Servers'!$K722)</f>
        <v>0</v>
      </c>
      <c r="J712" s="45">
        <f>PRODUCT('All-Servers'!F722,'All-Servers'!$K722)</f>
        <v>0</v>
      </c>
      <c r="K712" s="45">
        <f>PRODUCT('All-Servers'!G722,'All-Servers'!$K722)</f>
        <v>0</v>
      </c>
    </row>
    <row r="713" spans="8:11" x14ac:dyDescent="0.2">
      <c r="H713" s="45">
        <f>PRODUCT('All-Servers'!D723,'All-Servers'!$K723)</f>
        <v>0</v>
      </c>
      <c r="I713" s="45">
        <f>PRODUCT('All-Servers'!E723,'All-Servers'!$K723)</f>
        <v>0</v>
      </c>
      <c r="J713" s="45">
        <f>PRODUCT('All-Servers'!F723,'All-Servers'!$K723)</f>
        <v>0</v>
      </c>
      <c r="K713" s="45">
        <f>PRODUCT('All-Servers'!G723,'All-Servers'!$K723)</f>
        <v>0</v>
      </c>
    </row>
    <row r="714" spans="8:11" x14ac:dyDescent="0.2">
      <c r="H714" s="45">
        <f>PRODUCT('All-Servers'!D724,'All-Servers'!$K724)</f>
        <v>0</v>
      </c>
      <c r="I714" s="45">
        <f>PRODUCT('All-Servers'!E724,'All-Servers'!$K724)</f>
        <v>0</v>
      </c>
      <c r="J714" s="45">
        <f>PRODUCT('All-Servers'!F724,'All-Servers'!$K724)</f>
        <v>0</v>
      </c>
      <c r="K714" s="45">
        <f>PRODUCT('All-Servers'!G724,'All-Servers'!$K724)</f>
        <v>0</v>
      </c>
    </row>
    <row r="715" spans="8:11" x14ac:dyDescent="0.2">
      <c r="H715" s="45">
        <f>PRODUCT('All-Servers'!D725,'All-Servers'!$K725)</f>
        <v>0</v>
      </c>
      <c r="I715" s="45">
        <f>PRODUCT('All-Servers'!E725,'All-Servers'!$K725)</f>
        <v>0</v>
      </c>
      <c r="J715" s="45">
        <f>PRODUCT('All-Servers'!F725,'All-Servers'!$K725)</f>
        <v>0</v>
      </c>
      <c r="K715" s="45">
        <f>PRODUCT('All-Servers'!G725,'All-Servers'!$K725)</f>
        <v>0</v>
      </c>
    </row>
    <row r="716" spans="8:11" x14ac:dyDescent="0.2">
      <c r="H716" s="45">
        <f>PRODUCT('All-Servers'!D726,'All-Servers'!$K726)</f>
        <v>0</v>
      </c>
      <c r="I716" s="45">
        <f>PRODUCT('All-Servers'!E726,'All-Servers'!$K726)</f>
        <v>0</v>
      </c>
      <c r="J716" s="45">
        <f>PRODUCT('All-Servers'!F726,'All-Servers'!$K726)</f>
        <v>0</v>
      </c>
      <c r="K716" s="45">
        <f>PRODUCT('All-Servers'!G726,'All-Servers'!$K726)</f>
        <v>0</v>
      </c>
    </row>
    <row r="717" spans="8:11" x14ac:dyDescent="0.2">
      <c r="H717" s="45">
        <f>PRODUCT('All-Servers'!D727,'All-Servers'!$K727)</f>
        <v>0</v>
      </c>
      <c r="I717" s="45">
        <f>PRODUCT('All-Servers'!E727,'All-Servers'!$K727)</f>
        <v>0</v>
      </c>
      <c r="J717" s="45">
        <f>PRODUCT('All-Servers'!F727,'All-Servers'!$K727)</f>
        <v>0</v>
      </c>
      <c r="K717" s="45">
        <f>PRODUCT('All-Servers'!G727,'All-Servers'!$K727)</f>
        <v>0</v>
      </c>
    </row>
    <row r="718" spans="8:11" x14ac:dyDescent="0.2">
      <c r="H718" s="45">
        <f>PRODUCT('All-Servers'!D728,'All-Servers'!$K728)</f>
        <v>0</v>
      </c>
      <c r="I718" s="45">
        <f>PRODUCT('All-Servers'!E728,'All-Servers'!$K728)</f>
        <v>0</v>
      </c>
      <c r="J718" s="45">
        <f>PRODUCT('All-Servers'!F728,'All-Servers'!$K728)</f>
        <v>0</v>
      </c>
      <c r="K718" s="45">
        <f>PRODUCT('All-Servers'!G728,'All-Servers'!$K728)</f>
        <v>0</v>
      </c>
    </row>
    <row r="719" spans="8:11" x14ac:dyDescent="0.2">
      <c r="H719" s="45">
        <f>PRODUCT('All-Servers'!D729,'All-Servers'!$K729)</f>
        <v>0</v>
      </c>
      <c r="I719" s="45">
        <f>PRODUCT('All-Servers'!E729,'All-Servers'!$K729)</f>
        <v>0</v>
      </c>
      <c r="J719" s="45">
        <f>PRODUCT('All-Servers'!F729,'All-Servers'!$K729)</f>
        <v>0</v>
      </c>
      <c r="K719" s="45">
        <f>PRODUCT('All-Servers'!G729,'All-Servers'!$K729)</f>
        <v>0</v>
      </c>
    </row>
    <row r="720" spans="8:11" x14ac:dyDescent="0.2">
      <c r="H720" s="45">
        <f>PRODUCT('All-Servers'!D730,'All-Servers'!$K730)</f>
        <v>0</v>
      </c>
      <c r="I720" s="45">
        <f>PRODUCT('All-Servers'!E730,'All-Servers'!$K730)</f>
        <v>0</v>
      </c>
      <c r="J720" s="45">
        <f>PRODUCT('All-Servers'!F730,'All-Servers'!$K730)</f>
        <v>0</v>
      </c>
      <c r="K720" s="45">
        <f>PRODUCT('All-Servers'!G730,'All-Servers'!$K730)</f>
        <v>0</v>
      </c>
    </row>
    <row r="721" spans="8:11" x14ac:dyDescent="0.2">
      <c r="H721" s="45">
        <f>PRODUCT('All-Servers'!D731,'All-Servers'!$K731)</f>
        <v>0</v>
      </c>
      <c r="I721" s="45">
        <f>PRODUCT('All-Servers'!E731,'All-Servers'!$K731)</f>
        <v>0</v>
      </c>
      <c r="J721" s="45">
        <f>PRODUCT('All-Servers'!F731,'All-Servers'!$K731)</f>
        <v>0</v>
      </c>
      <c r="K721" s="45">
        <f>PRODUCT('All-Servers'!G731,'All-Servers'!$K731)</f>
        <v>0</v>
      </c>
    </row>
    <row r="722" spans="8:11" x14ac:dyDescent="0.2">
      <c r="H722" s="45">
        <f>PRODUCT('All-Servers'!D732,'All-Servers'!$K732)</f>
        <v>0</v>
      </c>
      <c r="I722" s="45">
        <f>PRODUCT('All-Servers'!E732,'All-Servers'!$K732)</f>
        <v>0</v>
      </c>
      <c r="J722" s="45">
        <f>PRODUCT('All-Servers'!F732,'All-Servers'!$K732)</f>
        <v>0</v>
      </c>
      <c r="K722" s="45">
        <f>PRODUCT('All-Servers'!G732,'All-Servers'!$K732)</f>
        <v>0</v>
      </c>
    </row>
    <row r="723" spans="8:11" x14ac:dyDescent="0.2">
      <c r="H723" s="45">
        <f>PRODUCT('All-Servers'!D733,'All-Servers'!$K733)</f>
        <v>0</v>
      </c>
      <c r="I723" s="45">
        <f>PRODUCT('All-Servers'!E733,'All-Servers'!$K733)</f>
        <v>0</v>
      </c>
      <c r="J723" s="45">
        <f>PRODUCT('All-Servers'!F733,'All-Servers'!$K733)</f>
        <v>0</v>
      </c>
      <c r="K723" s="45">
        <f>PRODUCT('All-Servers'!G733,'All-Servers'!$K733)</f>
        <v>0</v>
      </c>
    </row>
    <row r="724" spans="8:11" x14ac:dyDescent="0.2">
      <c r="H724" s="45">
        <f>PRODUCT('All-Servers'!D734,'All-Servers'!$K734)</f>
        <v>0</v>
      </c>
      <c r="I724" s="45">
        <f>PRODUCT('All-Servers'!E734,'All-Servers'!$K734)</f>
        <v>0</v>
      </c>
      <c r="J724" s="45">
        <f>PRODUCT('All-Servers'!F734,'All-Servers'!$K734)</f>
        <v>0</v>
      </c>
      <c r="K724" s="45">
        <f>PRODUCT('All-Servers'!G734,'All-Servers'!$K734)</f>
        <v>0</v>
      </c>
    </row>
    <row r="725" spans="8:11" x14ac:dyDescent="0.2">
      <c r="H725" s="45">
        <f>PRODUCT('All-Servers'!D735,'All-Servers'!$K735)</f>
        <v>0</v>
      </c>
      <c r="I725" s="45">
        <f>PRODUCT('All-Servers'!E735,'All-Servers'!$K735)</f>
        <v>0</v>
      </c>
      <c r="J725" s="45">
        <f>PRODUCT('All-Servers'!F735,'All-Servers'!$K735)</f>
        <v>0</v>
      </c>
      <c r="K725" s="45">
        <f>PRODUCT('All-Servers'!G735,'All-Servers'!$K735)</f>
        <v>0</v>
      </c>
    </row>
    <row r="726" spans="8:11" x14ac:dyDescent="0.2">
      <c r="H726" s="45">
        <f>PRODUCT('All-Servers'!D736,'All-Servers'!$K736)</f>
        <v>0</v>
      </c>
      <c r="I726" s="45">
        <f>PRODUCT('All-Servers'!E736,'All-Servers'!$K736)</f>
        <v>0</v>
      </c>
      <c r="J726" s="45">
        <f>PRODUCT('All-Servers'!F736,'All-Servers'!$K736)</f>
        <v>0</v>
      </c>
      <c r="K726" s="45">
        <f>PRODUCT('All-Servers'!G736,'All-Servers'!$K736)</f>
        <v>0</v>
      </c>
    </row>
    <row r="727" spans="8:11" x14ac:dyDescent="0.2">
      <c r="H727" s="45">
        <f>PRODUCT('All-Servers'!D737,'All-Servers'!$K737)</f>
        <v>0</v>
      </c>
      <c r="I727" s="45">
        <f>PRODUCT('All-Servers'!E737,'All-Servers'!$K737)</f>
        <v>0</v>
      </c>
      <c r="J727" s="45">
        <f>PRODUCT('All-Servers'!F737,'All-Servers'!$K737)</f>
        <v>0</v>
      </c>
      <c r="K727" s="45">
        <f>PRODUCT('All-Servers'!G737,'All-Servers'!$K737)</f>
        <v>0</v>
      </c>
    </row>
    <row r="728" spans="8:11" x14ac:dyDescent="0.2">
      <c r="H728" s="45">
        <f>PRODUCT('All-Servers'!D738,'All-Servers'!$K738)</f>
        <v>0</v>
      </c>
      <c r="I728" s="45">
        <f>PRODUCT('All-Servers'!E738,'All-Servers'!$K738)</f>
        <v>0</v>
      </c>
      <c r="J728" s="45">
        <f>PRODUCT('All-Servers'!F738,'All-Servers'!$K738)</f>
        <v>0</v>
      </c>
      <c r="K728" s="45">
        <f>PRODUCT('All-Servers'!G738,'All-Servers'!$K738)</f>
        <v>0</v>
      </c>
    </row>
    <row r="729" spans="8:11" x14ac:dyDescent="0.2">
      <c r="H729" s="45">
        <f>PRODUCT('All-Servers'!D739,'All-Servers'!$K739)</f>
        <v>0</v>
      </c>
      <c r="I729" s="45">
        <f>PRODUCT('All-Servers'!E739,'All-Servers'!$K739)</f>
        <v>0</v>
      </c>
      <c r="J729" s="45">
        <f>PRODUCT('All-Servers'!F739,'All-Servers'!$K739)</f>
        <v>0</v>
      </c>
      <c r="K729" s="45">
        <f>PRODUCT('All-Servers'!G739,'All-Servers'!$K739)</f>
        <v>0</v>
      </c>
    </row>
    <row r="730" spans="8:11" x14ac:dyDescent="0.2">
      <c r="H730" s="45">
        <f>PRODUCT('All-Servers'!D740,'All-Servers'!$K740)</f>
        <v>0</v>
      </c>
      <c r="I730" s="45">
        <f>PRODUCT('All-Servers'!E740,'All-Servers'!$K740)</f>
        <v>0</v>
      </c>
      <c r="J730" s="45">
        <f>PRODUCT('All-Servers'!F740,'All-Servers'!$K740)</f>
        <v>0</v>
      </c>
      <c r="K730" s="45">
        <f>PRODUCT('All-Servers'!G740,'All-Servers'!$K740)</f>
        <v>0</v>
      </c>
    </row>
    <row r="731" spans="8:11" x14ac:dyDescent="0.2">
      <c r="H731" s="45">
        <f>PRODUCT('All-Servers'!D741,'All-Servers'!$K741)</f>
        <v>0</v>
      </c>
      <c r="I731" s="45">
        <f>PRODUCT('All-Servers'!E741,'All-Servers'!$K741)</f>
        <v>0</v>
      </c>
      <c r="J731" s="45">
        <f>PRODUCT('All-Servers'!F741,'All-Servers'!$K741)</f>
        <v>0</v>
      </c>
      <c r="K731" s="45">
        <f>PRODUCT('All-Servers'!G741,'All-Servers'!$K741)</f>
        <v>0</v>
      </c>
    </row>
    <row r="732" spans="8:11" x14ac:dyDescent="0.2">
      <c r="H732" s="45">
        <f>PRODUCT('All-Servers'!D742,'All-Servers'!$K742)</f>
        <v>0</v>
      </c>
      <c r="I732" s="45">
        <f>PRODUCT('All-Servers'!E742,'All-Servers'!$K742)</f>
        <v>0</v>
      </c>
      <c r="J732" s="45">
        <f>PRODUCT('All-Servers'!F742,'All-Servers'!$K742)</f>
        <v>0</v>
      </c>
      <c r="K732" s="45">
        <f>PRODUCT('All-Servers'!G742,'All-Servers'!$K742)</f>
        <v>0</v>
      </c>
    </row>
    <row r="733" spans="8:11" x14ac:dyDescent="0.2">
      <c r="H733" s="45">
        <f>PRODUCT('All-Servers'!D743,'All-Servers'!$K743)</f>
        <v>0</v>
      </c>
      <c r="I733" s="45">
        <f>PRODUCT('All-Servers'!E743,'All-Servers'!$K743)</f>
        <v>0</v>
      </c>
      <c r="J733" s="45">
        <f>PRODUCT('All-Servers'!F743,'All-Servers'!$K743)</f>
        <v>0</v>
      </c>
      <c r="K733" s="45">
        <f>PRODUCT('All-Servers'!G743,'All-Servers'!$K743)</f>
        <v>0</v>
      </c>
    </row>
    <row r="734" spans="8:11" x14ac:dyDescent="0.2">
      <c r="H734" s="45">
        <f>PRODUCT('All-Servers'!D744,'All-Servers'!$K744)</f>
        <v>0</v>
      </c>
      <c r="I734" s="45">
        <f>PRODUCT('All-Servers'!E744,'All-Servers'!$K744)</f>
        <v>0</v>
      </c>
      <c r="J734" s="45">
        <f>PRODUCT('All-Servers'!F744,'All-Servers'!$K744)</f>
        <v>0</v>
      </c>
      <c r="K734" s="45">
        <f>PRODUCT('All-Servers'!G744,'All-Servers'!$K744)</f>
        <v>0</v>
      </c>
    </row>
    <row r="735" spans="8:11" x14ac:dyDescent="0.2">
      <c r="H735" s="45">
        <f>PRODUCT('All-Servers'!D745,'All-Servers'!$K745)</f>
        <v>0</v>
      </c>
      <c r="I735" s="45">
        <f>PRODUCT('All-Servers'!E745,'All-Servers'!$K745)</f>
        <v>0</v>
      </c>
      <c r="J735" s="45">
        <f>PRODUCT('All-Servers'!F745,'All-Servers'!$K745)</f>
        <v>0</v>
      </c>
      <c r="K735" s="45">
        <f>PRODUCT('All-Servers'!G745,'All-Servers'!$K745)</f>
        <v>0</v>
      </c>
    </row>
    <row r="736" spans="8:11" x14ac:dyDescent="0.2">
      <c r="H736" s="45">
        <f>PRODUCT('All-Servers'!D746,'All-Servers'!$K746)</f>
        <v>0</v>
      </c>
      <c r="I736" s="45">
        <f>PRODUCT('All-Servers'!E746,'All-Servers'!$K746)</f>
        <v>0</v>
      </c>
      <c r="J736" s="45">
        <f>PRODUCT('All-Servers'!F746,'All-Servers'!$K746)</f>
        <v>0</v>
      </c>
      <c r="K736" s="45">
        <f>PRODUCT('All-Servers'!G746,'All-Servers'!$K746)</f>
        <v>0</v>
      </c>
    </row>
    <row r="737" spans="8:11" x14ac:dyDescent="0.2">
      <c r="H737" s="45">
        <f>PRODUCT('All-Servers'!D747,'All-Servers'!$K747)</f>
        <v>0</v>
      </c>
      <c r="I737" s="45">
        <f>PRODUCT('All-Servers'!E747,'All-Servers'!$K747)</f>
        <v>0</v>
      </c>
      <c r="J737" s="45">
        <f>PRODUCT('All-Servers'!F747,'All-Servers'!$K747)</f>
        <v>0</v>
      </c>
      <c r="K737" s="45">
        <f>PRODUCT('All-Servers'!G747,'All-Servers'!$K747)</f>
        <v>0</v>
      </c>
    </row>
    <row r="738" spans="8:11" x14ac:dyDescent="0.2">
      <c r="H738" s="45">
        <f>PRODUCT('All-Servers'!D748,'All-Servers'!$K748)</f>
        <v>0</v>
      </c>
      <c r="I738" s="45">
        <f>PRODUCT('All-Servers'!E748,'All-Servers'!$K748)</f>
        <v>0</v>
      </c>
      <c r="J738" s="45">
        <f>PRODUCT('All-Servers'!F748,'All-Servers'!$K748)</f>
        <v>0</v>
      </c>
      <c r="K738" s="45">
        <f>PRODUCT('All-Servers'!G748,'All-Servers'!$K748)</f>
        <v>0</v>
      </c>
    </row>
    <row r="739" spans="8:11" x14ac:dyDescent="0.2">
      <c r="H739" s="45">
        <f>PRODUCT('All-Servers'!D749,'All-Servers'!$K749)</f>
        <v>0</v>
      </c>
      <c r="I739" s="45">
        <f>PRODUCT('All-Servers'!E749,'All-Servers'!$K749)</f>
        <v>0</v>
      </c>
      <c r="J739" s="45">
        <f>PRODUCT('All-Servers'!F749,'All-Servers'!$K749)</f>
        <v>0</v>
      </c>
      <c r="K739" s="45">
        <f>PRODUCT('All-Servers'!G749,'All-Servers'!$K749)</f>
        <v>0</v>
      </c>
    </row>
    <row r="740" spans="8:11" x14ac:dyDescent="0.2">
      <c r="H740" s="45">
        <f>PRODUCT('All-Servers'!D750,'All-Servers'!$K750)</f>
        <v>0</v>
      </c>
      <c r="I740" s="45">
        <f>PRODUCT('All-Servers'!E750,'All-Servers'!$K750)</f>
        <v>0</v>
      </c>
      <c r="J740" s="45">
        <f>PRODUCT('All-Servers'!F750,'All-Servers'!$K750)</f>
        <v>0</v>
      </c>
      <c r="K740" s="45">
        <f>PRODUCT('All-Servers'!G750,'All-Servers'!$K750)</f>
        <v>0</v>
      </c>
    </row>
    <row r="741" spans="8:11" x14ac:dyDescent="0.2">
      <c r="H741" s="45">
        <f>PRODUCT('All-Servers'!D751,'All-Servers'!$K751)</f>
        <v>0</v>
      </c>
      <c r="I741" s="45">
        <f>PRODUCT('All-Servers'!E751,'All-Servers'!$K751)</f>
        <v>0</v>
      </c>
      <c r="J741" s="45">
        <f>PRODUCT('All-Servers'!F751,'All-Servers'!$K751)</f>
        <v>0</v>
      </c>
      <c r="K741" s="45">
        <f>PRODUCT('All-Servers'!G751,'All-Servers'!$K751)</f>
        <v>0</v>
      </c>
    </row>
    <row r="742" spans="8:11" x14ac:dyDescent="0.2">
      <c r="H742" s="45">
        <f>PRODUCT('All-Servers'!D752,'All-Servers'!$K752)</f>
        <v>0</v>
      </c>
      <c r="I742" s="45">
        <f>PRODUCT('All-Servers'!E752,'All-Servers'!$K752)</f>
        <v>0</v>
      </c>
      <c r="J742" s="45">
        <f>PRODUCT('All-Servers'!F752,'All-Servers'!$K752)</f>
        <v>0</v>
      </c>
      <c r="K742" s="45">
        <f>PRODUCT('All-Servers'!G752,'All-Servers'!$K752)</f>
        <v>0</v>
      </c>
    </row>
    <row r="743" spans="8:11" x14ac:dyDescent="0.2">
      <c r="H743" s="45">
        <f>PRODUCT('All-Servers'!D753,'All-Servers'!$K753)</f>
        <v>0</v>
      </c>
      <c r="I743" s="45">
        <f>PRODUCT('All-Servers'!E753,'All-Servers'!$K753)</f>
        <v>0</v>
      </c>
      <c r="J743" s="45">
        <f>PRODUCT('All-Servers'!F753,'All-Servers'!$K753)</f>
        <v>0</v>
      </c>
      <c r="K743" s="45">
        <f>PRODUCT('All-Servers'!G753,'All-Servers'!$K753)</f>
        <v>0</v>
      </c>
    </row>
    <row r="744" spans="8:11" x14ac:dyDescent="0.2">
      <c r="H744" s="45">
        <f>PRODUCT('All-Servers'!D754,'All-Servers'!$K754)</f>
        <v>0</v>
      </c>
      <c r="I744" s="45">
        <f>PRODUCT('All-Servers'!E754,'All-Servers'!$K754)</f>
        <v>0</v>
      </c>
      <c r="J744" s="45">
        <f>PRODUCT('All-Servers'!F754,'All-Servers'!$K754)</f>
        <v>0</v>
      </c>
      <c r="K744" s="45">
        <f>PRODUCT('All-Servers'!G754,'All-Servers'!$K754)</f>
        <v>0</v>
      </c>
    </row>
    <row r="745" spans="8:11" x14ac:dyDescent="0.2">
      <c r="H745" s="45">
        <f>PRODUCT('All-Servers'!D755,'All-Servers'!$K755)</f>
        <v>0</v>
      </c>
      <c r="I745" s="45">
        <f>PRODUCT('All-Servers'!E755,'All-Servers'!$K755)</f>
        <v>0</v>
      </c>
      <c r="J745" s="45">
        <f>PRODUCT('All-Servers'!F755,'All-Servers'!$K755)</f>
        <v>0</v>
      </c>
      <c r="K745" s="45">
        <f>PRODUCT('All-Servers'!G755,'All-Servers'!$K755)</f>
        <v>0</v>
      </c>
    </row>
    <row r="746" spans="8:11" x14ac:dyDescent="0.2">
      <c r="H746" s="45">
        <f>PRODUCT('All-Servers'!D756,'All-Servers'!$K756)</f>
        <v>0</v>
      </c>
      <c r="I746" s="45">
        <f>PRODUCT('All-Servers'!E756,'All-Servers'!$K756)</f>
        <v>0</v>
      </c>
      <c r="J746" s="45">
        <f>PRODUCT('All-Servers'!F756,'All-Servers'!$K756)</f>
        <v>0</v>
      </c>
      <c r="K746" s="45">
        <f>PRODUCT('All-Servers'!G756,'All-Servers'!$K756)</f>
        <v>0</v>
      </c>
    </row>
    <row r="747" spans="8:11" x14ac:dyDescent="0.2">
      <c r="H747" s="45">
        <f>PRODUCT('All-Servers'!D757,'All-Servers'!$K757)</f>
        <v>0</v>
      </c>
      <c r="I747" s="45">
        <f>PRODUCT('All-Servers'!E757,'All-Servers'!$K757)</f>
        <v>0</v>
      </c>
      <c r="J747" s="45">
        <f>PRODUCT('All-Servers'!F757,'All-Servers'!$K757)</f>
        <v>0</v>
      </c>
      <c r="K747" s="45">
        <f>PRODUCT('All-Servers'!G757,'All-Servers'!$K757)</f>
        <v>0</v>
      </c>
    </row>
    <row r="748" spans="8:11" x14ac:dyDescent="0.2">
      <c r="H748" s="45">
        <f>PRODUCT('All-Servers'!D758,'All-Servers'!$K758)</f>
        <v>0</v>
      </c>
      <c r="I748" s="45">
        <f>PRODUCT('All-Servers'!E758,'All-Servers'!$K758)</f>
        <v>0</v>
      </c>
      <c r="J748" s="45">
        <f>PRODUCT('All-Servers'!F758,'All-Servers'!$K758)</f>
        <v>0</v>
      </c>
      <c r="K748" s="45">
        <f>PRODUCT('All-Servers'!G758,'All-Servers'!$K758)</f>
        <v>0</v>
      </c>
    </row>
    <row r="749" spans="8:11" x14ac:dyDescent="0.2">
      <c r="H749" s="45">
        <f>PRODUCT('All-Servers'!D759,'All-Servers'!$K759)</f>
        <v>0</v>
      </c>
      <c r="I749" s="45">
        <f>PRODUCT('All-Servers'!E759,'All-Servers'!$K759)</f>
        <v>0</v>
      </c>
      <c r="J749" s="45">
        <f>PRODUCT('All-Servers'!F759,'All-Servers'!$K759)</f>
        <v>0</v>
      </c>
      <c r="K749" s="45">
        <f>PRODUCT('All-Servers'!G759,'All-Servers'!$K759)</f>
        <v>0</v>
      </c>
    </row>
    <row r="750" spans="8:11" x14ac:dyDescent="0.2">
      <c r="H750" s="45">
        <f>PRODUCT('All-Servers'!D760,'All-Servers'!$K760)</f>
        <v>0</v>
      </c>
      <c r="I750" s="45">
        <f>PRODUCT('All-Servers'!E760,'All-Servers'!$K760)</f>
        <v>0</v>
      </c>
      <c r="J750" s="45">
        <f>PRODUCT('All-Servers'!F760,'All-Servers'!$K760)</f>
        <v>0</v>
      </c>
      <c r="K750" s="45">
        <f>PRODUCT('All-Servers'!G760,'All-Servers'!$K760)</f>
        <v>0</v>
      </c>
    </row>
    <row r="751" spans="8:11" x14ac:dyDescent="0.2">
      <c r="H751" s="45">
        <f>PRODUCT('All-Servers'!D761,'All-Servers'!$K761)</f>
        <v>0</v>
      </c>
      <c r="I751" s="45">
        <f>PRODUCT('All-Servers'!E761,'All-Servers'!$K761)</f>
        <v>0</v>
      </c>
      <c r="J751" s="45">
        <f>PRODUCT('All-Servers'!F761,'All-Servers'!$K761)</f>
        <v>0</v>
      </c>
      <c r="K751" s="45">
        <f>PRODUCT('All-Servers'!G761,'All-Servers'!$K761)</f>
        <v>0</v>
      </c>
    </row>
    <row r="752" spans="8:11" x14ac:dyDescent="0.2">
      <c r="H752" s="45">
        <f>PRODUCT('All-Servers'!D762,'All-Servers'!$K762)</f>
        <v>0</v>
      </c>
      <c r="I752" s="45">
        <f>PRODUCT('All-Servers'!E762,'All-Servers'!$K762)</f>
        <v>0</v>
      </c>
      <c r="J752" s="45">
        <f>PRODUCT('All-Servers'!F762,'All-Servers'!$K762)</f>
        <v>0</v>
      </c>
      <c r="K752" s="45">
        <f>PRODUCT('All-Servers'!G762,'All-Servers'!$K762)</f>
        <v>0</v>
      </c>
    </row>
    <row r="753" spans="8:11" x14ac:dyDescent="0.2">
      <c r="H753" s="45">
        <f>PRODUCT('All-Servers'!D763,'All-Servers'!$K763)</f>
        <v>0</v>
      </c>
      <c r="I753" s="45">
        <f>PRODUCT('All-Servers'!E763,'All-Servers'!$K763)</f>
        <v>0</v>
      </c>
      <c r="J753" s="45">
        <f>PRODUCT('All-Servers'!F763,'All-Servers'!$K763)</f>
        <v>0</v>
      </c>
      <c r="K753" s="45">
        <f>PRODUCT('All-Servers'!G763,'All-Servers'!$K763)</f>
        <v>0</v>
      </c>
    </row>
    <row r="754" spans="8:11" x14ac:dyDescent="0.2">
      <c r="H754" s="45">
        <f>PRODUCT('All-Servers'!D764,'All-Servers'!$K764)</f>
        <v>0</v>
      </c>
      <c r="I754" s="45">
        <f>PRODUCT('All-Servers'!E764,'All-Servers'!$K764)</f>
        <v>0</v>
      </c>
      <c r="J754" s="45">
        <f>PRODUCT('All-Servers'!F764,'All-Servers'!$K764)</f>
        <v>0</v>
      </c>
      <c r="K754" s="45">
        <f>PRODUCT('All-Servers'!G764,'All-Servers'!$K764)</f>
        <v>0</v>
      </c>
    </row>
    <row r="755" spans="8:11" x14ac:dyDescent="0.2">
      <c r="H755" s="45">
        <f>PRODUCT('All-Servers'!D765,'All-Servers'!$K765)</f>
        <v>0</v>
      </c>
      <c r="I755" s="45">
        <f>PRODUCT('All-Servers'!E765,'All-Servers'!$K765)</f>
        <v>0</v>
      </c>
      <c r="J755" s="45">
        <f>PRODUCT('All-Servers'!F765,'All-Servers'!$K765)</f>
        <v>0</v>
      </c>
      <c r="K755" s="45">
        <f>PRODUCT('All-Servers'!G765,'All-Servers'!$K765)</f>
        <v>0</v>
      </c>
    </row>
    <row r="756" spans="8:11" x14ac:dyDescent="0.2">
      <c r="H756" s="45">
        <f>PRODUCT('All-Servers'!D766,'All-Servers'!$K766)</f>
        <v>0</v>
      </c>
      <c r="I756" s="45">
        <f>PRODUCT('All-Servers'!E766,'All-Servers'!$K766)</f>
        <v>0</v>
      </c>
      <c r="J756" s="45">
        <f>PRODUCT('All-Servers'!F766,'All-Servers'!$K766)</f>
        <v>0</v>
      </c>
      <c r="K756" s="45">
        <f>PRODUCT('All-Servers'!G766,'All-Servers'!$K766)</f>
        <v>0</v>
      </c>
    </row>
    <row r="757" spans="8:11" x14ac:dyDescent="0.2">
      <c r="H757" s="45">
        <f>PRODUCT('All-Servers'!D767,'All-Servers'!$K767)</f>
        <v>0</v>
      </c>
      <c r="I757" s="45">
        <f>PRODUCT('All-Servers'!E767,'All-Servers'!$K767)</f>
        <v>0</v>
      </c>
      <c r="J757" s="45">
        <f>PRODUCT('All-Servers'!F767,'All-Servers'!$K767)</f>
        <v>0</v>
      </c>
      <c r="K757" s="45">
        <f>PRODUCT('All-Servers'!G767,'All-Servers'!$K767)</f>
        <v>0</v>
      </c>
    </row>
    <row r="758" spans="8:11" x14ac:dyDescent="0.2">
      <c r="H758" s="45">
        <f>PRODUCT('All-Servers'!D768,'All-Servers'!$K768)</f>
        <v>0</v>
      </c>
      <c r="I758" s="45">
        <f>PRODUCT('All-Servers'!E768,'All-Servers'!$K768)</f>
        <v>0</v>
      </c>
      <c r="J758" s="45">
        <f>PRODUCT('All-Servers'!F768,'All-Servers'!$K768)</f>
        <v>0</v>
      </c>
      <c r="K758" s="45">
        <f>PRODUCT('All-Servers'!G768,'All-Servers'!$K768)</f>
        <v>0</v>
      </c>
    </row>
    <row r="759" spans="8:11" x14ac:dyDescent="0.2">
      <c r="H759" s="45">
        <f>PRODUCT('All-Servers'!D769,'All-Servers'!$K769)</f>
        <v>0</v>
      </c>
      <c r="I759" s="45">
        <f>PRODUCT('All-Servers'!E769,'All-Servers'!$K769)</f>
        <v>0</v>
      </c>
      <c r="J759" s="45">
        <f>PRODUCT('All-Servers'!F769,'All-Servers'!$K769)</f>
        <v>0</v>
      </c>
      <c r="K759" s="45">
        <f>PRODUCT('All-Servers'!G769,'All-Servers'!$K769)</f>
        <v>0</v>
      </c>
    </row>
    <row r="760" spans="8:11" x14ac:dyDescent="0.2">
      <c r="H760" s="45">
        <f>PRODUCT('All-Servers'!D770,'All-Servers'!$K770)</f>
        <v>0</v>
      </c>
      <c r="I760" s="45">
        <f>PRODUCT('All-Servers'!E770,'All-Servers'!$K770)</f>
        <v>0</v>
      </c>
      <c r="J760" s="45">
        <f>PRODUCT('All-Servers'!F770,'All-Servers'!$K770)</f>
        <v>0</v>
      </c>
      <c r="K760" s="45">
        <f>PRODUCT('All-Servers'!G770,'All-Servers'!$K770)</f>
        <v>0</v>
      </c>
    </row>
    <row r="761" spans="8:11" x14ac:dyDescent="0.2">
      <c r="H761" s="45">
        <f>PRODUCT('All-Servers'!D771,'All-Servers'!$K771)</f>
        <v>0</v>
      </c>
      <c r="I761" s="45">
        <f>PRODUCT('All-Servers'!E771,'All-Servers'!$K771)</f>
        <v>0</v>
      </c>
      <c r="J761" s="45">
        <f>PRODUCT('All-Servers'!F771,'All-Servers'!$K771)</f>
        <v>0</v>
      </c>
      <c r="K761" s="45">
        <f>PRODUCT('All-Servers'!G771,'All-Servers'!$K771)</f>
        <v>0</v>
      </c>
    </row>
    <row r="762" spans="8:11" x14ac:dyDescent="0.2">
      <c r="H762" s="45">
        <f>PRODUCT('All-Servers'!D772,'All-Servers'!$K772)</f>
        <v>0</v>
      </c>
      <c r="I762" s="45">
        <f>PRODUCT('All-Servers'!E772,'All-Servers'!$K772)</f>
        <v>0</v>
      </c>
      <c r="J762" s="45">
        <f>PRODUCT('All-Servers'!F772,'All-Servers'!$K772)</f>
        <v>0</v>
      </c>
      <c r="K762" s="45">
        <f>PRODUCT('All-Servers'!G772,'All-Servers'!$K772)</f>
        <v>0</v>
      </c>
    </row>
    <row r="763" spans="8:11" x14ac:dyDescent="0.2">
      <c r="H763" s="45">
        <f>PRODUCT('All-Servers'!D773,'All-Servers'!$K773)</f>
        <v>0</v>
      </c>
      <c r="I763" s="45">
        <f>PRODUCT('All-Servers'!E773,'All-Servers'!$K773)</f>
        <v>0</v>
      </c>
      <c r="J763" s="45">
        <f>PRODUCT('All-Servers'!F773,'All-Servers'!$K773)</f>
        <v>0</v>
      </c>
      <c r="K763" s="45">
        <f>PRODUCT('All-Servers'!G773,'All-Servers'!$K773)</f>
        <v>0</v>
      </c>
    </row>
    <row r="764" spans="8:11" x14ac:dyDescent="0.2">
      <c r="H764" s="45">
        <f>PRODUCT('All-Servers'!D774,'All-Servers'!$K774)</f>
        <v>0</v>
      </c>
      <c r="I764" s="45">
        <f>PRODUCT('All-Servers'!E774,'All-Servers'!$K774)</f>
        <v>0</v>
      </c>
      <c r="J764" s="45">
        <f>PRODUCT('All-Servers'!F774,'All-Servers'!$K774)</f>
        <v>0</v>
      </c>
      <c r="K764" s="45">
        <f>PRODUCT('All-Servers'!G774,'All-Servers'!$K774)</f>
        <v>0</v>
      </c>
    </row>
    <row r="765" spans="8:11" x14ac:dyDescent="0.2">
      <c r="H765" s="45">
        <f>PRODUCT('All-Servers'!D775,'All-Servers'!$K775)</f>
        <v>0</v>
      </c>
      <c r="I765" s="45">
        <f>PRODUCT('All-Servers'!E775,'All-Servers'!$K775)</f>
        <v>0</v>
      </c>
      <c r="J765" s="45">
        <f>PRODUCT('All-Servers'!F775,'All-Servers'!$K775)</f>
        <v>0</v>
      </c>
      <c r="K765" s="45">
        <f>PRODUCT('All-Servers'!G775,'All-Servers'!$K775)</f>
        <v>0</v>
      </c>
    </row>
    <row r="766" spans="8:11" x14ac:dyDescent="0.2">
      <c r="H766" s="45">
        <f>PRODUCT('All-Servers'!D776,'All-Servers'!$K776)</f>
        <v>0</v>
      </c>
      <c r="I766" s="45">
        <f>PRODUCT('All-Servers'!E776,'All-Servers'!$K776)</f>
        <v>0</v>
      </c>
      <c r="J766" s="45">
        <f>PRODUCT('All-Servers'!F776,'All-Servers'!$K776)</f>
        <v>0</v>
      </c>
      <c r="K766" s="45">
        <f>PRODUCT('All-Servers'!G776,'All-Servers'!$K776)</f>
        <v>0</v>
      </c>
    </row>
    <row r="767" spans="8:11" x14ac:dyDescent="0.2">
      <c r="H767" s="45">
        <f>PRODUCT('All-Servers'!D777,'All-Servers'!$K777)</f>
        <v>0</v>
      </c>
      <c r="I767" s="45">
        <f>PRODUCT('All-Servers'!E777,'All-Servers'!$K777)</f>
        <v>0</v>
      </c>
      <c r="J767" s="45">
        <f>PRODUCT('All-Servers'!F777,'All-Servers'!$K777)</f>
        <v>0</v>
      </c>
      <c r="K767" s="45">
        <f>PRODUCT('All-Servers'!G777,'All-Servers'!$K777)</f>
        <v>0</v>
      </c>
    </row>
    <row r="768" spans="8:11" x14ac:dyDescent="0.2">
      <c r="H768" s="45">
        <f>PRODUCT('All-Servers'!D778,'All-Servers'!$K778)</f>
        <v>0</v>
      </c>
      <c r="I768" s="45">
        <f>PRODUCT('All-Servers'!E778,'All-Servers'!$K778)</f>
        <v>0</v>
      </c>
      <c r="J768" s="45">
        <f>PRODUCT('All-Servers'!F778,'All-Servers'!$K778)</f>
        <v>0</v>
      </c>
      <c r="K768" s="45">
        <f>PRODUCT('All-Servers'!G778,'All-Servers'!$K778)</f>
        <v>0</v>
      </c>
    </row>
    <row r="769" spans="8:11" x14ac:dyDescent="0.2">
      <c r="H769" s="45">
        <f>PRODUCT('All-Servers'!D779,'All-Servers'!$K779)</f>
        <v>0</v>
      </c>
      <c r="I769" s="45">
        <f>PRODUCT('All-Servers'!E779,'All-Servers'!$K779)</f>
        <v>0</v>
      </c>
      <c r="J769" s="45">
        <f>PRODUCT('All-Servers'!F779,'All-Servers'!$K779)</f>
        <v>0</v>
      </c>
      <c r="K769" s="45">
        <f>PRODUCT('All-Servers'!G779,'All-Servers'!$K779)</f>
        <v>0</v>
      </c>
    </row>
    <row r="770" spans="8:11" x14ac:dyDescent="0.2">
      <c r="H770" s="45">
        <f>PRODUCT('All-Servers'!D780,'All-Servers'!$K780)</f>
        <v>0</v>
      </c>
      <c r="I770" s="45">
        <f>PRODUCT('All-Servers'!E780,'All-Servers'!$K780)</f>
        <v>0</v>
      </c>
      <c r="J770" s="45">
        <f>PRODUCT('All-Servers'!F780,'All-Servers'!$K780)</f>
        <v>0</v>
      </c>
      <c r="K770" s="45">
        <f>PRODUCT('All-Servers'!G780,'All-Servers'!$K780)</f>
        <v>0</v>
      </c>
    </row>
    <row r="771" spans="8:11" x14ac:dyDescent="0.2">
      <c r="H771" s="45">
        <f>PRODUCT('All-Servers'!D781,'All-Servers'!$K781)</f>
        <v>0</v>
      </c>
      <c r="I771" s="45">
        <f>PRODUCT('All-Servers'!E781,'All-Servers'!$K781)</f>
        <v>0</v>
      </c>
      <c r="J771" s="45">
        <f>PRODUCT('All-Servers'!F781,'All-Servers'!$K781)</f>
        <v>0</v>
      </c>
      <c r="K771" s="45">
        <f>PRODUCT('All-Servers'!G781,'All-Servers'!$K781)</f>
        <v>0</v>
      </c>
    </row>
    <row r="772" spans="8:11" x14ac:dyDescent="0.2">
      <c r="H772" s="45">
        <f>PRODUCT('All-Servers'!D782,'All-Servers'!$K782)</f>
        <v>0</v>
      </c>
      <c r="I772" s="45">
        <f>PRODUCT('All-Servers'!E782,'All-Servers'!$K782)</f>
        <v>0</v>
      </c>
      <c r="J772" s="45">
        <f>PRODUCT('All-Servers'!F782,'All-Servers'!$K782)</f>
        <v>0</v>
      </c>
      <c r="K772" s="45">
        <f>PRODUCT('All-Servers'!G782,'All-Servers'!$K782)</f>
        <v>0</v>
      </c>
    </row>
    <row r="773" spans="8:11" x14ac:dyDescent="0.2">
      <c r="H773" s="45">
        <f>PRODUCT('All-Servers'!D783,'All-Servers'!$K783)</f>
        <v>0</v>
      </c>
      <c r="I773" s="45">
        <f>PRODUCT('All-Servers'!E783,'All-Servers'!$K783)</f>
        <v>0</v>
      </c>
      <c r="J773" s="45">
        <f>PRODUCT('All-Servers'!F783,'All-Servers'!$K783)</f>
        <v>0</v>
      </c>
      <c r="K773" s="45">
        <f>PRODUCT('All-Servers'!G783,'All-Servers'!$K783)</f>
        <v>0</v>
      </c>
    </row>
    <row r="774" spans="8:11" x14ac:dyDescent="0.2">
      <c r="H774" s="45">
        <f>PRODUCT('All-Servers'!D784,'All-Servers'!$K784)</f>
        <v>0</v>
      </c>
      <c r="I774" s="45">
        <f>PRODUCT('All-Servers'!E784,'All-Servers'!$K784)</f>
        <v>0</v>
      </c>
      <c r="J774" s="45">
        <f>PRODUCT('All-Servers'!F784,'All-Servers'!$K784)</f>
        <v>0</v>
      </c>
      <c r="K774" s="45">
        <f>PRODUCT('All-Servers'!G784,'All-Servers'!$K784)</f>
        <v>0</v>
      </c>
    </row>
    <row r="775" spans="8:11" x14ac:dyDescent="0.2">
      <c r="H775" s="45">
        <f>PRODUCT('All-Servers'!D785,'All-Servers'!$K785)</f>
        <v>0</v>
      </c>
      <c r="I775" s="45">
        <f>PRODUCT('All-Servers'!E785,'All-Servers'!$K785)</f>
        <v>0</v>
      </c>
      <c r="J775" s="45">
        <f>PRODUCT('All-Servers'!F785,'All-Servers'!$K785)</f>
        <v>0</v>
      </c>
      <c r="K775" s="45">
        <f>PRODUCT('All-Servers'!G785,'All-Servers'!$K785)</f>
        <v>0</v>
      </c>
    </row>
    <row r="776" spans="8:11" x14ac:dyDescent="0.2">
      <c r="H776" s="45">
        <f>PRODUCT('All-Servers'!D786,'All-Servers'!$K786)</f>
        <v>0</v>
      </c>
      <c r="I776" s="45">
        <f>PRODUCT('All-Servers'!E786,'All-Servers'!$K786)</f>
        <v>0</v>
      </c>
      <c r="J776" s="45">
        <f>PRODUCT('All-Servers'!F786,'All-Servers'!$K786)</f>
        <v>0</v>
      </c>
      <c r="K776" s="45">
        <f>PRODUCT('All-Servers'!G786,'All-Servers'!$K786)</f>
        <v>0</v>
      </c>
    </row>
    <row r="777" spans="8:11" x14ac:dyDescent="0.2">
      <c r="H777" s="45">
        <f>PRODUCT('All-Servers'!D787,'All-Servers'!$K787)</f>
        <v>0</v>
      </c>
      <c r="I777" s="45">
        <f>PRODUCT('All-Servers'!E787,'All-Servers'!$K787)</f>
        <v>0</v>
      </c>
      <c r="J777" s="45">
        <f>PRODUCT('All-Servers'!F787,'All-Servers'!$K787)</f>
        <v>0</v>
      </c>
      <c r="K777" s="45">
        <f>PRODUCT('All-Servers'!G787,'All-Servers'!$K787)</f>
        <v>0</v>
      </c>
    </row>
    <row r="778" spans="8:11" x14ac:dyDescent="0.2">
      <c r="H778" s="45">
        <f>PRODUCT('All-Servers'!D788,'All-Servers'!$K788)</f>
        <v>0</v>
      </c>
      <c r="I778" s="45">
        <f>PRODUCT('All-Servers'!E788,'All-Servers'!$K788)</f>
        <v>0</v>
      </c>
      <c r="J778" s="45">
        <f>PRODUCT('All-Servers'!F788,'All-Servers'!$K788)</f>
        <v>0</v>
      </c>
      <c r="K778" s="45">
        <f>PRODUCT('All-Servers'!G788,'All-Servers'!$K788)</f>
        <v>0</v>
      </c>
    </row>
    <row r="779" spans="8:11" x14ac:dyDescent="0.2">
      <c r="H779" s="45">
        <f>PRODUCT('All-Servers'!D789,'All-Servers'!$K789)</f>
        <v>0</v>
      </c>
      <c r="I779" s="45">
        <f>PRODUCT('All-Servers'!E789,'All-Servers'!$K789)</f>
        <v>0</v>
      </c>
      <c r="J779" s="45">
        <f>PRODUCT('All-Servers'!F789,'All-Servers'!$K789)</f>
        <v>0</v>
      </c>
      <c r="K779" s="45">
        <f>PRODUCT('All-Servers'!G789,'All-Servers'!$K789)</f>
        <v>0</v>
      </c>
    </row>
    <row r="780" spans="8:11" x14ac:dyDescent="0.2">
      <c r="H780" s="45">
        <f>PRODUCT('All-Servers'!D790,'All-Servers'!$K790)</f>
        <v>0</v>
      </c>
      <c r="I780" s="45">
        <f>PRODUCT('All-Servers'!E790,'All-Servers'!$K790)</f>
        <v>0</v>
      </c>
      <c r="J780" s="45">
        <f>PRODUCT('All-Servers'!F790,'All-Servers'!$K790)</f>
        <v>0</v>
      </c>
      <c r="K780" s="45">
        <f>PRODUCT('All-Servers'!G790,'All-Servers'!$K790)</f>
        <v>0</v>
      </c>
    </row>
    <row r="781" spans="8:11" x14ac:dyDescent="0.2">
      <c r="H781" s="45">
        <f>PRODUCT('All-Servers'!D791,'All-Servers'!$K791)</f>
        <v>0</v>
      </c>
      <c r="I781" s="45">
        <f>PRODUCT('All-Servers'!E791,'All-Servers'!$K791)</f>
        <v>0</v>
      </c>
      <c r="J781" s="45">
        <f>PRODUCT('All-Servers'!F791,'All-Servers'!$K791)</f>
        <v>0</v>
      </c>
      <c r="K781" s="45">
        <f>PRODUCT('All-Servers'!G791,'All-Servers'!$K791)</f>
        <v>0</v>
      </c>
    </row>
    <row r="782" spans="8:11" x14ac:dyDescent="0.2">
      <c r="H782" s="45">
        <f>PRODUCT('All-Servers'!D792,'All-Servers'!$K792)</f>
        <v>0</v>
      </c>
      <c r="I782" s="45">
        <f>PRODUCT('All-Servers'!E792,'All-Servers'!$K792)</f>
        <v>0</v>
      </c>
      <c r="J782" s="45">
        <f>PRODUCT('All-Servers'!F792,'All-Servers'!$K792)</f>
        <v>0</v>
      </c>
      <c r="K782" s="45">
        <f>PRODUCT('All-Servers'!G792,'All-Servers'!$K792)</f>
        <v>0</v>
      </c>
    </row>
    <row r="783" spans="8:11" x14ac:dyDescent="0.2">
      <c r="H783" s="45">
        <f>PRODUCT('All-Servers'!D793,'All-Servers'!$K793)</f>
        <v>0</v>
      </c>
      <c r="I783" s="45">
        <f>PRODUCT('All-Servers'!E793,'All-Servers'!$K793)</f>
        <v>0</v>
      </c>
      <c r="J783" s="45">
        <f>PRODUCT('All-Servers'!F793,'All-Servers'!$K793)</f>
        <v>0</v>
      </c>
      <c r="K783" s="45">
        <f>PRODUCT('All-Servers'!G793,'All-Servers'!$K793)</f>
        <v>0</v>
      </c>
    </row>
    <row r="784" spans="8:11" x14ac:dyDescent="0.2">
      <c r="H784" s="45">
        <f>PRODUCT('All-Servers'!D794,'All-Servers'!$K794)</f>
        <v>0</v>
      </c>
      <c r="I784" s="45">
        <f>PRODUCT('All-Servers'!E794,'All-Servers'!$K794)</f>
        <v>0</v>
      </c>
      <c r="J784" s="45">
        <f>PRODUCT('All-Servers'!F794,'All-Servers'!$K794)</f>
        <v>0</v>
      </c>
      <c r="K784" s="45">
        <f>PRODUCT('All-Servers'!G794,'All-Servers'!$K794)</f>
        <v>0</v>
      </c>
    </row>
    <row r="785" spans="8:11" x14ac:dyDescent="0.2">
      <c r="H785" s="45">
        <f>PRODUCT('All-Servers'!D795,'All-Servers'!$K795)</f>
        <v>0</v>
      </c>
      <c r="I785" s="45">
        <f>PRODUCT('All-Servers'!E795,'All-Servers'!$K795)</f>
        <v>0</v>
      </c>
      <c r="J785" s="45">
        <f>PRODUCT('All-Servers'!F795,'All-Servers'!$K795)</f>
        <v>0</v>
      </c>
      <c r="K785" s="45">
        <f>PRODUCT('All-Servers'!G795,'All-Servers'!$K795)</f>
        <v>0</v>
      </c>
    </row>
    <row r="786" spans="8:11" x14ac:dyDescent="0.2">
      <c r="H786" s="45">
        <f>PRODUCT('All-Servers'!D796,'All-Servers'!$K796)</f>
        <v>0</v>
      </c>
      <c r="I786" s="45">
        <f>PRODUCT('All-Servers'!E796,'All-Servers'!$K796)</f>
        <v>0</v>
      </c>
      <c r="J786" s="45">
        <f>PRODUCT('All-Servers'!F796,'All-Servers'!$K796)</f>
        <v>0</v>
      </c>
      <c r="K786" s="45">
        <f>PRODUCT('All-Servers'!G796,'All-Servers'!$K796)</f>
        <v>0</v>
      </c>
    </row>
    <row r="787" spans="8:11" x14ac:dyDescent="0.2">
      <c r="H787" s="45">
        <f>PRODUCT('All-Servers'!D797,'All-Servers'!$K797)</f>
        <v>0</v>
      </c>
      <c r="I787" s="45">
        <f>PRODUCT('All-Servers'!E797,'All-Servers'!$K797)</f>
        <v>0</v>
      </c>
      <c r="J787" s="45">
        <f>PRODUCT('All-Servers'!F797,'All-Servers'!$K797)</f>
        <v>0</v>
      </c>
      <c r="K787" s="45">
        <f>PRODUCT('All-Servers'!G797,'All-Servers'!$K797)</f>
        <v>0</v>
      </c>
    </row>
    <row r="788" spans="8:11" x14ac:dyDescent="0.2">
      <c r="H788" s="45">
        <f>PRODUCT('All-Servers'!D798,'All-Servers'!$K798)</f>
        <v>0</v>
      </c>
      <c r="I788" s="45">
        <f>PRODUCT('All-Servers'!E798,'All-Servers'!$K798)</f>
        <v>0</v>
      </c>
      <c r="J788" s="45">
        <f>PRODUCT('All-Servers'!F798,'All-Servers'!$K798)</f>
        <v>0</v>
      </c>
      <c r="K788" s="45">
        <f>PRODUCT('All-Servers'!G798,'All-Servers'!$K798)</f>
        <v>0</v>
      </c>
    </row>
    <row r="789" spans="8:11" x14ac:dyDescent="0.2">
      <c r="H789" s="45">
        <f>PRODUCT('All-Servers'!D799,'All-Servers'!$K799)</f>
        <v>0</v>
      </c>
      <c r="I789" s="45">
        <f>PRODUCT('All-Servers'!E799,'All-Servers'!$K799)</f>
        <v>0</v>
      </c>
      <c r="J789" s="45">
        <f>PRODUCT('All-Servers'!F799,'All-Servers'!$K799)</f>
        <v>0</v>
      </c>
      <c r="K789" s="45">
        <f>PRODUCT('All-Servers'!G799,'All-Servers'!$K799)</f>
        <v>0</v>
      </c>
    </row>
    <row r="790" spans="8:11" x14ac:dyDescent="0.2">
      <c r="H790" s="45">
        <f>PRODUCT('All-Servers'!D800,'All-Servers'!$K800)</f>
        <v>0</v>
      </c>
      <c r="I790" s="45">
        <f>PRODUCT('All-Servers'!E800,'All-Servers'!$K800)</f>
        <v>0</v>
      </c>
      <c r="J790" s="45">
        <f>PRODUCT('All-Servers'!F800,'All-Servers'!$K800)</f>
        <v>0</v>
      </c>
      <c r="K790" s="45">
        <f>PRODUCT('All-Servers'!G800,'All-Servers'!$K800)</f>
        <v>0</v>
      </c>
    </row>
    <row r="791" spans="8:11" x14ac:dyDescent="0.2">
      <c r="H791" s="45">
        <f>PRODUCT('All-Servers'!D801,'All-Servers'!$K801)</f>
        <v>0</v>
      </c>
      <c r="I791" s="45">
        <f>PRODUCT('All-Servers'!E801,'All-Servers'!$K801)</f>
        <v>0</v>
      </c>
      <c r="J791" s="45">
        <f>PRODUCT('All-Servers'!F801,'All-Servers'!$K801)</f>
        <v>0</v>
      </c>
      <c r="K791" s="45">
        <f>PRODUCT('All-Servers'!G801,'All-Servers'!$K801)</f>
        <v>0</v>
      </c>
    </row>
    <row r="792" spans="8:11" x14ac:dyDescent="0.2">
      <c r="H792" s="45">
        <f>PRODUCT('All-Servers'!D802,'All-Servers'!$K802)</f>
        <v>0</v>
      </c>
      <c r="I792" s="45">
        <f>PRODUCT('All-Servers'!E802,'All-Servers'!$K802)</f>
        <v>0</v>
      </c>
      <c r="J792" s="45">
        <f>PRODUCT('All-Servers'!F802,'All-Servers'!$K802)</f>
        <v>0</v>
      </c>
      <c r="K792" s="45">
        <f>PRODUCT('All-Servers'!G802,'All-Servers'!$K802)</f>
        <v>0</v>
      </c>
    </row>
    <row r="793" spans="8:11" x14ac:dyDescent="0.2">
      <c r="H793" s="45">
        <f>PRODUCT('All-Servers'!D803,'All-Servers'!$K803)</f>
        <v>0</v>
      </c>
      <c r="I793" s="45">
        <f>PRODUCT('All-Servers'!E803,'All-Servers'!$K803)</f>
        <v>0</v>
      </c>
      <c r="J793" s="45">
        <f>PRODUCT('All-Servers'!F803,'All-Servers'!$K803)</f>
        <v>0</v>
      </c>
      <c r="K793" s="45">
        <f>PRODUCT('All-Servers'!G803,'All-Servers'!$K803)</f>
        <v>0</v>
      </c>
    </row>
    <row r="794" spans="8:11" x14ac:dyDescent="0.2">
      <c r="H794" s="45">
        <f>PRODUCT('All-Servers'!D804,'All-Servers'!$K804)</f>
        <v>0</v>
      </c>
      <c r="I794" s="45">
        <f>PRODUCT('All-Servers'!E804,'All-Servers'!$K804)</f>
        <v>0</v>
      </c>
      <c r="J794" s="45">
        <f>PRODUCT('All-Servers'!F804,'All-Servers'!$K804)</f>
        <v>0</v>
      </c>
      <c r="K794" s="45">
        <f>PRODUCT('All-Servers'!G804,'All-Servers'!$K804)</f>
        <v>0</v>
      </c>
    </row>
    <row r="795" spans="8:11" x14ac:dyDescent="0.2">
      <c r="H795" s="45">
        <f>PRODUCT('All-Servers'!D805,'All-Servers'!$K805)</f>
        <v>0</v>
      </c>
      <c r="I795" s="45">
        <f>PRODUCT('All-Servers'!E805,'All-Servers'!$K805)</f>
        <v>0</v>
      </c>
      <c r="J795" s="45">
        <f>PRODUCT('All-Servers'!F805,'All-Servers'!$K805)</f>
        <v>0</v>
      </c>
      <c r="K795" s="45">
        <f>PRODUCT('All-Servers'!G805,'All-Servers'!$K805)</f>
        <v>0</v>
      </c>
    </row>
    <row r="796" spans="8:11" x14ac:dyDescent="0.2">
      <c r="H796" s="45">
        <f>PRODUCT('All-Servers'!D806,'All-Servers'!$K806)</f>
        <v>0</v>
      </c>
      <c r="I796" s="45">
        <f>PRODUCT('All-Servers'!E806,'All-Servers'!$K806)</f>
        <v>0</v>
      </c>
      <c r="J796" s="45">
        <f>PRODUCT('All-Servers'!F806,'All-Servers'!$K806)</f>
        <v>0</v>
      </c>
      <c r="K796" s="45">
        <f>PRODUCT('All-Servers'!G806,'All-Servers'!$K806)</f>
        <v>0</v>
      </c>
    </row>
    <row r="797" spans="8:11" x14ac:dyDescent="0.2">
      <c r="H797" s="45">
        <f>PRODUCT('All-Servers'!D807,'All-Servers'!$K807)</f>
        <v>0</v>
      </c>
      <c r="I797" s="45">
        <f>PRODUCT('All-Servers'!E807,'All-Servers'!$K807)</f>
        <v>0</v>
      </c>
      <c r="J797" s="45">
        <f>PRODUCT('All-Servers'!F807,'All-Servers'!$K807)</f>
        <v>0</v>
      </c>
      <c r="K797" s="45">
        <f>PRODUCT('All-Servers'!G807,'All-Servers'!$K807)</f>
        <v>0</v>
      </c>
    </row>
    <row r="798" spans="8:11" x14ac:dyDescent="0.2">
      <c r="H798" s="45">
        <f>PRODUCT('All-Servers'!D808,'All-Servers'!$K808)</f>
        <v>0</v>
      </c>
      <c r="I798" s="45">
        <f>PRODUCT('All-Servers'!E808,'All-Servers'!$K808)</f>
        <v>0</v>
      </c>
      <c r="J798" s="45">
        <f>PRODUCT('All-Servers'!F808,'All-Servers'!$K808)</f>
        <v>0</v>
      </c>
      <c r="K798" s="45">
        <f>PRODUCT('All-Servers'!G808,'All-Servers'!$K808)</f>
        <v>0</v>
      </c>
    </row>
    <row r="799" spans="8:11" x14ac:dyDescent="0.2">
      <c r="H799" s="45">
        <f>PRODUCT('All-Servers'!D809,'All-Servers'!$K809)</f>
        <v>0</v>
      </c>
      <c r="I799" s="45">
        <f>PRODUCT('All-Servers'!E809,'All-Servers'!$K809)</f>
        <v>0</v>
      </c>
      <c r="J799" s="45">
        <f>PRODUCT('All-Servers'!F809,'All-Servers'!$K809)</f>
        <v>0</v>
      </c>
      <c r="K799" s="45">
        <f>PRODUCT('All-Servers'!G809,'All-Servers'!$K809)</f>
        <v>0</v>
      </c>
    </row>
    <row r="800" spans="8:11" x14ac:dyDescent="0.2">
      <c r="H800" s="45">
        <f>PRODUCT('All-Servers'!D810,'All-Servers'!$K810)</f>
        <v>0</v>
      </c>
      <c r="I800" s="45">
        <f>PRODUCT('All-Servers'!E810,'All-Servers'!$K810)</f>
        <v>0</v>
      </c>
      <c r="J800" s="45">
        <f>PRODUCT('All-Servers'!F810,'All-Servers'!$K810)</f>
        <v>0</v>
      </c>
      <c r="K800" s="45">
        <f>PRODUCT('All-Servers'!G810,'All-Servers'!$K810)</f>
        <v>0</v>
      </c>
    </row>
    <row r="801" spans="8:11" x14ac:dyDescent="0.2">
      <c r="H801" s="45">
        <f>PRODUCT('All-Servers'!D811,'All-Servers'!$K811)</f>
        <v>0</v>
      </c>
      <c r="I801" s="45">
        <f>PRODUCT('All-Servers'!E811,'All-Servers'!$K811)</f>
        <v>0</v>
      </c>
      <c r="J801" s="45">
        <f>PRODUCT('All-Servers'!F811,'All-Servers'!$K811)</f>
        <v>0</v>
      </c>
      <c r="K801" s="45">
        <f>PRODUCT('All-Servers'!G811,'All-Servers'!$K811)</f>
        <v>0</v>
      </c>
    </row>
    <row r="802" spans="8:11" x14ac:dyDescent="0.2">
      <c r="H802" s="45">
        <f>PRODUCT('All-Servers'!D812,'All-Servers'!$K812)</f>
        <v>0</v>
      </c>
      <c r="I802" s="45">
        <f>PRODUCT('All-Servers'!E812,'All-Servers'!$K812)</f>
        <v>0</v>
      </c>
      <c r="J802" s="45">
        <f>PRODUCT('All-Servers'!F812,'All-Servers'!$K812)</f>
        <v>0</v>
      </c>
      <c r="K802" s="45">
        <f>PRODUCT('All-Servers'!G812,'All-Servers'!$K812)</f>
        <v>0</v>
      </c>
    </row>
    <row r="803" spans="8:11" x14ac:dyDescent="0.2">
      <c r="H803" s="45">
        <f>PRODUCT('All-Servers'!D813,'All-Servers'!$K813)</f>
        <v>0</v>
      </c>
      <c r="I803" s="45">
        <f>PRODUCT('All-Servers'!E813,'All-Servers'!$K813)</f>
        <v>0</v>
      </c>
      <c r="J803" s="45">
        <f>PRODUCT('All-Servers'!F813,'All-Servers'!$K813)</f>
        <v>0</v>
      </c>
      <c r="K803" s="45">
        <f>PRODUCT('All-Servers'!G813,'All-Servers'!$K813)</f>
        <v>0</v>
      </c>
    </row>
    <row r="804" spans="8:11" x14ac:dyDescent="0.2">
      <c r="H804" s="45">
        <f>PRODUCT('All-Servers'!D814,'All-Servers'!$K814)</f>
        <v>0</v>
      </c>
      <c r="I804" s="45">
        <f>PRODUCT('All-Servers'!E814,'All-Servers'!$K814)</f>
        <v>0</v>
      </c>
      <c r="J804" s="45">
        <f>PRODUCT('All-Servers'!F814,'All-Servers'!$K814)</f>
        <v>0</v>
      </c>
      <c r="K804" s="45">
        <f>PRODUCT('All-Servers'!G814,'All-Servers'!$K814)</f>
        <v>0</v>
      </c>
    </row>
    <row r="805" spans="8:11" x14ac:dyDescent="0.2">
      <c r="H805" s="45">
        <f>PRODUCT('All-Servers'!D815,'All-Servers'!$K815)</f>
        <v>0</v>
      </c>
      <c r="I805" s="45">
        <f>PRODUCT('All-Servers'!E815,'All-Servers'!$K815)</f>
        <v>0</v>
      </c>
      <c r="J805" s="45">
        <f>PRODUCT('All-Servers'!F815,'All-Servers'!$K815)</f>
        <v>0</v>
      </c>
      <c r="K805" s="45">
        <f>PRODUCT('All-Servers'!G815,'All-Servers'!$K815)</f>
        <v>0</v>
      </c>
    </row>
    <row r="806" spans="8:11" x14ac:dyDescent="0.2">
      <c r="H806" s="45">
        <f>PRODUCT('All-Servers'!D816,'All-Servers'!$K816)</f>
        <v>0</v>
      </c>
      <c r="I806" s="45">
        <f>PRODUCT('All-Servers'!E816,'All-Servers'!$K816)</f>
        <v>0</v>
      </c>
      <c r="J806" s="45">
        <f>PRODUCT('All-Servers'!F816,'All-Servers'!$K816)</f>
        <v>0</v>
      </c>
      <c r="K806" s="45">
        <f>PRODUCT('All-Servers'!G816,'All-Servers'!$K816)</f>
        <v>0</v>
      </c>
    </row>
    <row r="807" spans="8:11" x14ac:dyDescent="0.2">
      <c r="H807" s="45">
        <f>PRODUCT('All-Servers'!D817,'All-Servers'!$K817)</f>
        <v>0</v>
      </c>
      <c r="I807" s="45">
        <f>PRODUCT('All-Servers'!E817,'All-Servers'!$K817)</f>
        <v>0</v>
      </c>
      <c r="J807" s="45">
        <f>PRODUCT('All-Servers'!F817,'All-Servers'!$K817)</f>
        <v>0</v>
      </c>
      <c r="K807" s="45">
        <f>PRODUCT('All-Servers'!G817,'All-Servers'!$K817)</f>
        <v>0</v>
      </c>
    </row>
    <row r="808" spans="8:11" x14ac:dyDescent="0.2">
      <c r="H808" s="45">
        <f>PRODUCT('All-Servers'!D818,'All-Servers'!$K818)</f>
        <v>0</v>
      </c>
      <c r="I808" s="45">
        <f>PRODUCT('All-Servers'!E818,'All-Servers'!$K818)</f>
        <v>0</v>
      </c>
      <c r="J808" s="45">
        <f>PRODUCT('All-Servers'!F818,'All-Servers'!$K818)</f>
        <v>0</v>
      </c>
      <c r="K808" s="45">
        <f>PRODUCT('All-Servers'!G818,'All-Servers'!$K818)</f>
        <v>0</v>
      </c>
    </row>
    <row r="809" spans="8:11" x14ac:dyDescent="0.2">
      <c r="H809" s="45">
        <f>PRODUCT('All-Servers'!D819,'All-Servers'!$K819)</f>
        <v>0</v>
      </c>
      <c r="I809" s="45">
        <f>PRODUCT('All-Servers'!E819,'All-Servers'!$K819)</f>
        <v>0</v>
      </c>
      <c r="J809" s="45">
        <f>PRODUCT('All-Servers'!F819,'All-Servers'!$K819)</f>
        <v>0</v>
      </c>
      <c r="K809" s="45">
        <f>PRODUCT('All-Servers'!G819,'All-Servers'!$K819)</f>
        <v>0</v>
      </c>
    </row>
    <row r="810" spans="8:11" x14ac:dyDescent="0.2">
      <c r="H810" s="45">
        <f>PRODUCT('All-Servers'!D820,'All-Servers'!$K820)</f>
        <v>0</v>
      </c>
      <c r="I810" s="45">
        <f>PRODUCT('All-Servers'!E820,'All-Servers'!$K820)</f>
        <v>0</v>
      </c>
      <c r="J810" s="45">
        <f>PRODUCT('All-Servers'!F820,'All-Servers'!$K820)</f>
        <v>0</v>
      </c>
      <c r="K810" s="45">
        <f>PRODUCT('All-Servers'!G820,'All-Servers'!$K820)</f>
        <v>0</v>
      </c>
    </row>
    <row r="811" spans="8:11" x14ac:dyDescent="0.2">
      <c r="H811" s="45">
        <f>PRODUCT('All-Servers'!D821,'All-Servers'!$K821)</f>
        <v>0</v>
      </c>
      <c r="I811" s="45">
        <f>PRODUCT('All-Servers'!E821,'All-Servers'!$K821)</f>
        <v>0</v>
      </c>
      <c r="J811" s="45">
        <f>PRODUCT('All-Servers'!F821,'All-Servers'!$K821)</f>
        <v>0</v>
      </c>
      <c r="K811" s="45">
        <f>PRODUCT('All-Servers'!G821,'All-Servers'!$K821)</f>
        <v>0</v>
      </c>
    </row>
    <row r="812" spans="8:11" x14ac:dyDescent="0.2">
      <c r="H812" s="45">
        <f>PRODUCT('All-Servers'!D822,'All-Servers'!$K822)</f>
        <v>0</v>
      </c>
      <c r="I812" s="45">
        <f>PRODUCT('All-Servers'!E822,'All-Servers'!$K822)</f>
        <v>0</v>
      </c>
      <c r="J812" s="45">
        <f>PRODUCT('All-Servers'!F822,'All-Servers'!$K822)</f>
        <v>0</v>
      </c>
      <c r="K812" s="45">
        <f>PRODUCT('All-Servers'!G822,'All-Servers'!$K822)</f>
        <v>0</v>
      </c>
    </row>
    <row r="813" spans="8:11" x14ac:dyDescent="0.2">
      <c r="H813" s="45">
        <f>PRODUCT('All-Servers'!D823,'All-Servers'!$K823)</f>
        <v>0</v>
      </c>
      <c r="I813" s="45">
        <f>PRODUCT('All-Servers'!E823,'All-Servers'!$K823)</f>
        <v>0</v>
      </c>
      <c r="J813" s="45">
        <f>PRODUCT('All-Servers'!F823,'All-Servers'!$K823)</f>
        <v>0</v>
      </c>
      <c r="K813" s="45">
        <f>PRODUCT('All-Servers'!G823,'All-Servers'!$K823)</f>
        <v>0</v>
      </c>
    </row>
    <row r="814" spans="8:11" x14ac:dyDescent="0.2">
      <c r="H814" s="45">
        <f>PRODUCT('All-Servers'!D824,'All-Servers'!$K824)</f>
        <v>0</v>
      </c>
      <c r="I814" s="45">
        <f>PRODUCT('All-Servers'!E824,'All-Servers'!$K824)</f>
        <v>0</v>
      </c>
      <c r="J814" s="45">
        <f>PRODUCT('All-Servers'!F824,'All-Servers'!$K824)</f>
        <v>0</v>
      </c>
      <c r="K814" s="45">
        <f>PRODUCT('All-Servers'!G824,'All-Servers'!$K824)</f>
        <v>0</v>
      </c>
    </row>
    <row r="815" spans="8:11" x14ac:dyDescent="0.2">
      <c r="H815" s="45">
        <f>PRODUCT('All-Servers'!D825,'All-Servers'!$K825)</f>
        <v>0</v>
      </c>
      <c r="I815" s="45">
        <f>PRODUCT('All-Servers'!E825,'All-Servers'!$K825)</f>
        <v>0</v>
      </c>
      <c r="J815" s="45">
        <f>PRODUCT('All-Servers'!F825,'All-Servers'!$K825)</f>
        <v>0</v>
      </c>
      <c r="K815" s="45">
        <f>PRODUCT('All-Servers'!G825,'All-Servers'!$K825)</f>
        <v>0</v>
      </c>
    </row>
    <row r="816" spans="8:11" x14ac:dyDescent="0.2">
      <c r="H816" s="45">
        <f>PRODUCT('All-Servers'!D826,'All-Servers'!$K826)</f>
        <v>0</v>
      </c>
      <c r="I816" s="45">
        <f>PRODUCT('All-Servers'!E826,'All-Servers'!$K826)</f>
        <v>0</v>
      </c>
      <c r="J816" s="45">
        <f>PRODUCT('All-Servers'!F826,'All-Servers'!$K826)</f>
        <v>0</v>
      </c>
      <c r="K816" s="45">
        <f>PRODUCT('All-Servers'!G826,'All-Servers'!$K826)</f>
        <v>0</v>
      </c>
    </row>
    <row r="817" spans="8:11" x14ac:dyDescent="0.2">
      <c r="H817" s="45">
        <f>PRODUCT('All-Servers'!D827,'All-Servers'!$K827)</f>
        <v>0</v>
      </c>
      <c r="I817" s="45">
        <f>PRODUCT('All-Servers'!E827,'All-Servers'!$K827)</f>
        <v>0</v>
      </c>
      <c r="J817" s="45">
        <f>PRODUCT('All-Servers'!F827,'All-Servers'!$K827)</f>
        <v>0</v>
      </c>
      <c r="K817" s="45">
        <f>PRODUCT('All-Servers'!G827,'All-Servers'!$K827)</f>
        <v>0</v>
      </c>
    </row>
    <row r="818" spans="8:11" x14ac:dyDescent="0.2">
      <c r="H818" s="45">
        <f>PRODUCT('All-Servers'!D828,'All-Servers'!$K828)</f>
        <v>0</v>
      </c>
      <c r="I818" s="45">
        <f>PRODUCT('All-Servers'!E828,'All-Servers'!$K828)</f>
        <v>0</v>
      </c>
      <c r="J818" s="45">
        <f>PRODUCT('All-Servers'!F828,'All-Servers'!$K828)</f>
        <v>0</v>
      </c>
      <c r="K818" s="45">
        <f>PRODUCT('All-Servers'!G828,'All-Servers'!$K828)</f>
        <v>0</v>
      </c>
    </row>
    <row r="819" spans="8:11" x14ac:dyDescent="0.2">
      <c r="H819" s="45">
        <f>PRODUCT('All-Servers'!D829,'All-Servers'!$K829)</f>
        <v>0</v>
      </c>
      <c r="I819" s="45">
        <f>PRODUCT('All-Servers'!E829,'All-Servers'!$K829)</f>
        <v>0</v>
      </c>
      <c r="J819" s="45">
        <f>PRODUCT('All-Servers'!F829,'All-Servers'!$K829)</f>
        <v>0</v>
      </c>
      <c r="K819" s="45">
        <f>PRODUCT('All-Servers'!G829,'All-Servers'!$K829)</f>
        <v>0</v>
      </c>
    </row>
    <row r="820" spans="8:11" x14ac:dyDescent="0.2">
      <c r="H820" s="45">
        <f>PRODUCT('All-Servers'!D830,'All-Servers'!$K830)</f>
        <v>0</v>
      </c>
      <c r="I820" s="45">
        <f>PRODUCT('All-Servers'!E830,'All-Servers'!$K830)</f>
        <v>0</v>
      </c>
      <c r="J820" s="45">
        <f>PRODUCT('All-Servers'!F830,'All-Servers'!$K830)</f>
        <v>0</v>
      </c>
      <c r="K820" s="45">
        <f>PRODUCT('All-Servers'!G830,'All-Servers'!$K830)</f>
        <v>0</v>
      </c>
    </row>
    <row r="821" spans="8:11" x14ac:dyDescent="0.2">
      <c r="H821" s="45">
        <f>PRODUCT('All-Servers'!D831,'All-Servers'!$K831)</f>
        <v>0</v>
      </c>
      <c r="I821" s="45">
        <f>PRODUCT('All-Servers'!E831,'All-Servers'!$K831)</f>
        <v>0</v>
      </c>
      <c r="J821" s="45">
        <f>PRODUCT('All-Servers'!F831,'All-Servers'!$K831)</f>
        <v>0</v>
      </c>
      <c r="K821" s="45">
        <f>PRODUCT('All-Servers'!G831,'All-Servers'!$K831)</f>
        <v>0</v>
      </c>
    </row>
    <row r="822" spans="8:11" x14ac:dyDescent="0.2">
      <c r="H822" s="45">
        <f>PRODUCT('All-Servers'!D832,'All-Servers'!$K832)</f>
        <v>0</v>
      </c>
      <c r="I822" s="45">
        <f>PRODUCT('All-Servers'!E832,'All-Servers'!$K832)</f>
        <v>0</v>
      </c>
      <c r="J822" s="45">
        <f>PRODUCT('All-Servers'!F832,'All-Servers'!$K832)</f>
        <v>0</v>
      </c>
      <c r="K822" s="45">
        <f>PRODUCT('All-Servers'!G832,'All-Servers'!$K832)</f>
        <v>0</v>
      </c>
    </row>
    <row r="823" spans="8:11" x14ac:dyDescent="0.2">
      <c r="H823" s="45">
        <f>PRODUCT('All-Servers'!D833,'All-Servers'!$K833)</f>
        <v>0</v>
      </c>
      <c r="I823" s="45">
        <f>PRODUCT('All-Servers'!E833,'All-Servers'!$K833)</f>
        <v>0</v>
      </c>
      <c r="J823" s="45">
        <f>PRODUCT('All-Servers'!F833,'All-Servers'!$K833)</f>
        <v>0</v>
      </c>
      <c r="K823" s="45">
        <f>PRODUCT('All-Servers'!G833,'All-Servers'!$K833)</f>
        <v>0</v>
      </c>
    </row>
    <row r="824" spans="8:11" x14ac:dyDescent="0.2">
      <c r="H824" s="45">
        <f>PRODUCT('All-Servers'!D834,'All-Servers'!$K834)</f>
        <v>0</v>
      </c>
      <c r="I824" s="45">
        <f>PRODUCT('All-Servers'!E834,'All-Servers'!$K834)</f>
        <v>0</v>
      </c>
      <c r="J824" s="45">
        <f>PRODUCT('All-Servers'!F834,'All-Servers'!$K834)</f>
        <v>0</v>
      </c>
      <c r="K824" s="45">
        <f>PRODUCT('All-Servers'!G834,'All-Servers'!$K834)</f>
        <v>0</v>
      </c>
    </row>
    <row r="825" spans="8:11" x14ac:dyDescent="0.2">
      <c r="H825" s="45">
        <f>PRODUCT('All-Servers'!D835,'All-Servers'!$K835)</f>
        <v>0</v>
      </c>
      <c r="I825" s="45">
        <f>PRODUCT('All-Servers'!E835,'All-Servers'!$K835)</f>
        <v>0</v>
      </c>
      <c r="J825" s="45">
        <f>PRODUCT('All-Servers'!F835,'All-Servers'!$K835)</f>
        <v>0</v>
      </c>
      <c r="K825" s="45">
        <f>PRODUCT('All-Servers'!G835,'All-Servers'!$K835)</f>
        <v>0</v>
      </c>
    </row>
    <row r="826" spans="8:11" x14ac:dyDescent="0.2">
      <c r="H826" s="45">
        <f>PRODUCT('All-Servers'!D836,'All-Servers'!$K836)</f>
        <v>0</v>
      </c>
      <c r="I826" s="45">
        <f>PRODUCT('All-Servers'!E836,'All-Servers'!$K836)</f>
        <v>0</v>
      </c>
      <c r="J826" s="45">
        <f>PRODUCT('All-Servers'!F836,'All-Servers'!$K836)</f>
        <v>0</v>
      </c>
      <c r="K826" s="45">
        <f>PRODUCT('All-Servers'!G836,'All-Servers'!$K836)</f>
        <v>0</v>
      </c>
    </row>
    <row r="827" spans="8:11" x14ac:dyDescent="0.2">
      <c r="H827" s="45">
        <f>PRODUCT('All-Servers'!D837,'All-Servers'!$K837)</f>
        <v>0</v>
      </c>
      <c r="I827" s="45">
        <f>PRODUCT('All-Servers'!E837,'All-Servers'!$K837)</f>
        <v>0</v>
      </c>
      <c r="J827" s="45">
        <f>PRODUCT('All-Servers'!F837,'All-Servers'!$K837)</f>
        <v>0</v>
      </c>
      <c r="K827" s="45">
        <f>PRODUCT('All-Servers'!G837,'All-Servers'!$K837)</f>
        <v>0</v>
      </c>
    </row>
    <row r="828" spans="8:11" x14ac:dyDescent="0.2">
      <c r="H828" s="45">
        <f>PRODUCT('All-Servers'!D838,'All-Servers'!$K838)</f>
        <v>0</v>
      </c>
      <c r="I828" s="45">
        <f>PRODUCT('All-Servers'!E838,'All-Servers'!$K838)</f>
        <v>0</v>
      </c>
      <c r="J828" s="45">
        <f>PRODUCT('All-Servers'!F838,'All-Servers'!$K838)</f>
        <v>0</v>
      </c>
      <c r="K828" s="45">
        <f>PRODUCT('All-Servers'!G838,'All-Servers'!$K838)</f>
        <v>0</v>
      </c>
    </row>
    <row r="829" spans="8:11" x14ac:dyDescent="0.2">
      <c r="H829" s="45">
        <f>PRODUCT('All-Servers'!D839,'All-Servers'!$K839)</f>
        <v>0</v>
      </c>
      <c r="I829" s="45">
        <f>PRODUCT('All-Servers'!E839,'All-Servers'!$K839)</f>
        <v>0</v>
      </c>
      <c r="J829" s="45">
        <f>PRODUCT('All-Servers'!F839,'All-Servers'!$K839)</f>
        <v>0</v>
      </c>
      <c r="K829" s="45">
        <f>PRODUCT('All-Servers'!G839,'All-Servers'!$K839)</f>
        <v>0</v>
      </c>
    </row>
    <row r="830" spans="8:11" x14ac:dyDescent="0.2">
      <c r="H830" s="45">
        <f>PRODUCT('All-Servers'!D840,'All-Servers'!$K840)</f>
        <v>0</v>
      </c>
      <c r="I830" s="45">
        <f>PRODUCT('All-Servers'!E840,'All-Servers'!$K840)</f>
        <v>0</v>
      </c>
      <c r="J830" s="45">
        <f>PRODUCT('All-Servers'!F840,'All-Servers'!$K840)</f>
        <v>0</v>
      </c>
      <c r="K830" s="45">
        <f>PRODUCT('All-Servers'!G840,'All-Servers'!$K840)</f>
        <v>0</v>
      </c>
    </row>
    <row r="831" spans="8:11" x14ac:dyDescent="0.2">
      <c r="H831" s="45">
        <f>PRODUCT('All-Servers'!D841,'All-Servers'!$K841)</f>
        <v>0</v>
      </c>
      <c r="I831" s="45">
        <f>PRODUCT('All-Servers'!E841,'All-Servers'!$K841)</f>
        <v>0</v>
      </c>
      <c r="J831" s="45">
        <f>PRODUCT('All-Servers'!F841,'All-Servers'!$K841)</f>
        <v>0</v>
      </c>
      <c r="K831" s="45">
        <f>PRODUCT('All-Servers'!G841,'All-Servers'!$K841)</f>
        <v>0</v>
      </c>
    </row>
    <row r="832" spans="8:11" x14ac:dyDescent="0.2">
      <c r="H832" s="45">
        <f>PRODUCT('All-Servers'!D842,'All-Servers'!$K842)</f>
        <v>0</v>
      </c>
      <c r="I832" s="45">
        <f>PRODUCT('All-Servers'!E842,'All-Servers'!$K842)</f>
        <v>0</v>
      </c>
      <c r="J832" s="45">
        <f>PRODUCT('All-Servers'!F842,'All-Servers'!$K842)</f>
        <v>0</v>
      </c>
      <c r="K832" s="45">
        <f>PRODUCT('All-Servers'!G842,'All-Servers'!$K842)</f>
        <v>0</v>
      </c>
    </row>
    <row r="833" spans="8:11" x14ac:dyDescent="0.2">
      <c r="H833" s="45">
        <f>PRODUCT('All-Servers'!D843,'All-Servers'!$K843)</f>
        <v>0</v>
      </c>
      <c r="I833" s="45">
        <f>PRODUCT('All-Servers'!E843,'All-Servers'!$K843)</f>
        <v>0</v>
      </c>
      <c r="J833" s="45">
        <f>PRODUCT('All-Servers'!F843,'All-Servers'!$K843)</f>
        <v>0</v>
      </c>
      <c r="K833" s="45">
        <f>PRODUCT('All-Servers'!G843,'All-Servers'!$K843)</f>
        <v>0</v>
      </c>
    </row>
    <row r="834" spans="8:11" x14ac:dyDescent="0.2">
      <c r="H834" s="45">
        <f>PRODUCT('All-Servers'!D844,'All-Servers'!$K844)</f>
        <v>0</v>
      </c>
      <c r="I834" s="45">
        <f>PRODUCT('All-Servers'!E844,'All-Servers'!$K844)</f>
        <v>0</v>
      </c>
      <c r="J834" s="45">
        <f>PRODUCT('All-Servers'!F844,'All-Servers'!$K844)</f>
        <v>0</v>
      </c>
      <c r="K834" s="45">
        <f>PRODUCT('All-Servers'!G844,'All-Servers'!$K844)</f>
        <v>0</v>
      </c>
    </row>
    <row r="835" spans="8:11" x14ac:dyDescent="0.2">
      <c r="H835" s="45">
        <f>PRODUCT('All-Servers'!D845,'All-Servers'!$K845)</f>
        <v>0</v>
      </c>
      <c r="I835" s="45">
        <f>PRODUCT('All-Servers'!E845,'All-Servers'!$K845)</f>
        <v>0</v>
      </c>
      <c r="J835" s="45">
        <f>PRODUCT('All-Servers'!F845,'All-Servers'!$K845)</f>
        <v>0</v>
      </c>
      <c r="K835" s="45">
        <f>PRODUCT('All-Servers'!G845,'All-Servers'!$K845)</f>
        <v>0</v>
      </c>
    </row>
    <row r="836" spans="8:11" x14ac:dyDescent="0.2">
      <c r="H836" s="45">
        <f>PRODUCT('All-Servers'!D846,'All-Servers'!$K846)</f>
        <v>0</v>
      </c>
      <c r="I836" s="45">
        <f>PRODUCT('All-Servers'!E846,'All-Servers'!$K846)</f>
        <v>0</v>
      </c>
      <c r="J836" s="45">
        <f>PRODUCT('All-Servers'!F846,'All-Servers'!$K846)</f>
        <v>0</v>
      </c>
      <c r="K836" s="45">
        <f>PRODUCT('All-Servers'!G846,'All-Servers'!$K846)</f>
        <v>0</v>
      </c>
    </row>
    <row r="837" spans="8:11" x14ac:dyDescent="0.2">
      <c r="H837" s="45">
        <f>PRODUCT('All-Servers'!D847,'All-Servers'!$K847)</f>
        <v>0</v>
      </c>
      <c r="I837" s="45">
        <f>PRODUCT('All-Servers'!E847,'All-Servers'!$K847)</f>
        <v>0</v>
      </c>
      <c r="J837" s="45">
        <f>PRODUCT('All-Servers'!F847,'All-Servers'!$K847)</f>
        <v>0</v>
      </c>
      <c r="K837" s="45">
        <f>PRODUCT('All-Servers'!G847,'All-Servers'!$K847)</f>
        <v>0</v>
      </c>
    </row>
    <row r="838" spans="8:11" x14ac:dyDescent="0.2">
      <c r="H838" s="45">
        <f>PRODUCT('All-Servers'!D848,'All-Servers'!$K848)</f>
        <v>0</v>
      </c>
      <c r="I838" s="45">
        <f>PRODUCT('All-Servers'!E848,'All-Servers'!$K848)</f>
        <v>0</v>
      </c>
      <c r="J838" s="45">
        <f>PRODUCT('All-Servers'!F848,'All-Servers'!$K848)</f>
        <v>0</v>
      </c>
      <c r="K838" s="45">
        <f>PRODUCT('All-Servers'!G848,'All-Servers'!$K848)</f>
        <v>0</v>
      </c>
    </row>
    <row r="839" spans="8:11" x14ac:dyDescent="0.2">
      <c r="H839" s="45">
        <f>PRODUCT('All-Servers'!D849,'All-Servers'!$K849)</f>
        <v>0</v>
      </c>
      <c r="I839" s="45">
        <f>PRODUCT('All-Servers'!E849,'All-Servers'!$K849)</f>
        <v>0</v>
      </c>
      <c r="J839" s="45">
        <f>PRODUCT('All-Servers'!F849,'All-Servers'!$K849)</f>
        <v>0</v>
      </c>
      <c r="K839" s="45">
        <f>PRODUCT('All-Servers'!G849,'All-Servers'!$K849)</f>
        <v>0</v>
      </c>
    </row>
    <row r="840" spans="8:11" x14ac:dyDescent="0.2">
      <c r="H840" s="45">
        <f>PRODUCT('All-Servers'!D850,'All-Servers'!$K850)</f>
        <v>0</v>
      </c>
      <c r="I840" s="45">
        <f>PRODUCT('All-Servers'!E850,'All-Servers'!$K850)</f>
        <v>0</v>
      </c>
      <c r="J840" s="45">
        <f>PRODUCT('All-Servers'!F850,'All-Servers'!$K850)</f>
        <v>0</v>
      </c>
      <c r="K840" s="45">
        <f>PRODUCT('All-Servers'!G850,'All-Servers'!$K850)</f>
        <v>0</v>
      </c>
    </row>
    <row r="841" spans="8:11" x14ac:dyDescent="0.2">
      <c r="H841" s="45">
        <f>PRODUCT('All-Servers'!D851,'All-Servers'!$K851)</f>
        <v>0</v>
      </c>
      <c r="I841" s="45">
        <f>PRODUCT('All-Servers'!E851,'All-Servers'!$K851)</f>
        <v>0</v>
      </c>
      <c r="J841" s="45">
        <f>PRODUCT('All-Servers'!F851,'All-Servers'!$K851)</f>
        <v>0</v>
      </c>
      <c r="K841" s="45">
        <f>PRODUCT('All-Servers'!G851,'All-Servers'!$K851)</f>
        <v>0</v>
      </c>
    </row>
    <row r="842" spans="8:11" x14ac:dyDescent="0.2">
      <c r="H842" s="45">
        <f>PRODUCT('All-Servers'!D852,'All-Servers'!$K852)</f>
        <v>0</v>
      </c>
      <c r="I842" s="45">
        <f>PRODUCT('All-Servers'!E852,'All-Servers'!$K852)</f>
        <v>0</v>
      </c>
      <c r="J842" s="45">
        <f>PRODUCT('All-Servers'!F852,'All-Servers'!$K852)</f>
        <v>0</v>
      </c>
      <c r="K842" s="45">
        <f>PRODUCT('All-Servers'!G852,'All-Servers'!$K852)</f>
        <v>0</v>
      </c>
    </row>
    <row r="843" spans="8:11" x14ac:dyDescent="0.2">
      <c r="H843" s="45">
        <f>PRODUCT('All-Servers'!D853,'All-Servers'!$K853)</f>
        <v>0</v>
      </c>
      <c r="I843" s="45">
        <f>PRODUCT('All-Servers'!E853,'All-Servers'!$K853)</f>
        <v>0</v>
      </c>
      <c r="J843" s="45">
        <f>PRODUCT('All-Servers'!F853,'All-Servers'!$K853)</f>
        <v>0</v>
      </c>
      <c r="K843" s="45">
        <f>PRODUCT('All-Servers'!G853,'All-Servers'!$K853)</f>
        <v>0</v>
      </c>
    </row>
    <row r="844" spans="8:11" x14ac:dyDescent="0.2">
      <c r="H844" s="45">
        <f>PRODUCT('All-Servers'!D854,'All-Servers'!$K854)</f>
        <v>0</v>
      </c>
      <c r="I844" s="45">
        <f>PRODUCT('All-Servers'!E854,'All-Servers'!$K854)</f>
        <v>0</v>
      </c>
      <c r="J844" s="45">
        <f>PRODUCT('All-Servers'!F854,'All-Servers'!$K854)</f>
        <v>0</v>
      </c>
      <c r="K844" s="45">
        <f>PRODUCT('All-Servers'!G854,'All-Servers'!$K854)</f>
        <v>0</v>
      </c>
    </row>
    <row r="845" spans="8:11" x14ac:dyDescent="0.2">
      <c r="H845" s="45">
        <f>PRODUCT('All-Servers'!D855,'All-Servers'!$K855)</f>
        <v>0</v>
      </c>
      <c r="I845" s="45">
        <f>PRODUCT('All-Servers'!E855,'All-Servers'!$K855)</f>
        <v>0</v>
      </c>
      <c r="J845" s="45">
        <f>PRODUCT('All-Servers'!F855,'All-Servers'!$K855)</f>
        <v>0</v>
      </c>
      <c r="K845" s="45">
        <f>PRODUCT('All-Servers'!G855,'All-Servers'!$K855)</f>
        <v>0</v>
      </c>
    </row>
    <row r="846" spans="8:11" x14ac:dyDescent="0.2">
      <c r="H846" s="45">
        <f>PRODUCT('All-Servers'!D856,'All-Servers'!$K856)</f>
        <v>0</v>
      </c>
      <c r="I846" s="45">
        <f>PRODUCT('All-Servers'!E856,'All-Servers'!$K856)</f>
        <v>0</v>
      </c>
      <c r="J846" s="45">
        <f>PRODUCT('All-Servers'!F856,'All-Servers'!$K856)</f>
        <v>0</v>
      </c>
      <c r="K846" s="45">
        <f>PRODUCT('All-Servers'!G856,'All-Servers'!$K856)</f>
        <v>0</v>
      </c>
    </row>
    <row r="847" spans="8:11" x14ac:dyDescent="0.2">
      <c r="H847" s="45">
        <f>PRODUCT('All-Servers'!D857,'All-Servers'!$K857)</f>
        <v>0</v>
      </c>
      <c r="I847" s="45">
        <f>PRODUCT('All-Servers'!E857,'All-Servers'!$K857)</f>
        <v>0</v>
      </c>
      <c r="J847" s="45">
        <f>PRODUCT('All-Servers'!F857,'All-Servers'!$K857)</f>
        <v>0</v>
      </c>
      <c r="K847" s="45">
        <f>PRODUCT('All-Servers'!G857,'All-Servers'!$K857)</f>
        <v>0</v>
      </c>
    </row>
    <row r="848" spans="8:11" x14ac:dyDescent="0.2">
      <c r="H848" s="45">
        <f>PRODUCT('All-Servers'!D858,'All-Servers'!$K858)</f>
        <v>0</v>
      </c>
      <c r="I848" s="45">
        <f>PRODUCT('All-Servers'!E858,'All-Servers'!$K858)</f>
        <v>0</v>
      </c>
      <c r="J848" s="45">
        <f>PRODUCT('All-Servers'!F858,'All-Servers'!$K858)</f>
        <v>0</v>
      </c>
      <c r="K848" s="45">
        <f>PRODUCT('All-Servers'!G858,'All-Servers'!$K858)</f>
        <v>0</v>
      </c>
    </row>
    <row r="849" spans="8:11" x14ac:dyDescent="0.2">
      <c r="H849" s="45">
        <f>PRODUCT('All-Servers'!D859,'All-Servers'!$K859)</f>
        <v>0</v>
      </c>
      <c r="I849" s="45">
        <f>PRODUCT('All-Servers'!E859,'All-Servers'!$K859)</f>
        <v>0</v>
      </c>
      <c r="J849" s="45">
        <f>PRODUCT('All-Servers'!F859,'All-Servers'!$K859)</f>
        <v>0</v>
      </c>
      <c r="K849" s="45">
        <f>PRODUCT('All-Servers'!G859,'All-Servers'!$K859)</f>
        <v>0</v>
      </c>
    </row>
    <row r="850" spans="8:11" x14ac:dyDescent="0.2">
      <c r="H850" s="45">
        <f>PRODUCT('All-Servers'!D860,'All-Servers'!$K860)</f>
        <v>0</v>
      </c>
      <c r="I850" s="45">
        <f>PRODUCT('All-Servers'!E860,'All-Servers'!$K860)</f>
        <v>0</v>
      </c>
      <c r="J850" s="45">
        <f>PRODUCT('All-Servers'!F860,'All-Servers'!$K860)</f>
        <v>0</v>
      </c>
      <c r="K850" s="45">
        <f>PRODUCT('All-Servers'!G860,'All-Servers'!$K860)</f>
        <v>0</v>
      </c>
    </row>
    <row r="851" spans="8:11" x14ac:dyDescent="0.2">
      <c r="H851" s="45">
        <f>PRODUCT('All-Servers'!D861,'All-Servers'!$K861)</f>
        <v>0</v>
      </c>
      <c r="I851" s="45">
        <f>PRODUCT('All-Servers'!E861,'All-Servers'!$K861)</f>
        <v>0</v>
      </c>
      <c r="J851" s="45">
        <f>PRODUCT('All-Servers'!F861,'All-Servers'!$K861)</f>
        <v>0</v>
      </c>
      <c r="K851" s="45">
        <f>PRODUCT('All-Servers'!G861,'All-Servers'!$K861)</f>
        <v>0</v>
      </c>
    </row>
    <row r="852" spans="8:11" x14ac:dyDescent="0.2">
      <c r="H852" s="45">
        <f>PRODUCT('All-Servers'!D862,'All-Servers'!$K862)</f>
        <v>0</v>
      </c>
      <c r="I852" s="45">
        <f>PRODUCT('All-Servers'!E862,'All-Servers'!$K862)</f>
        <v>0</v>
      </c>
      <c r="J852" s="45">
        <f>PRODUCT('All-Servers'!F862,'All-Servers'!$K862)</f>
        <v>0</v>
      </c>
      <c r="K852" s="45">
        <f>PRODUCT('All-Servers'!G862,'All-Servers'!$K862)</f>
        <v>0</v>
      </c>
    </row>
    <row r="853" spans="8:11" x14ac:dyDescent="0.2">
      <c r="H853" s="45">
        <f>PRODUCT('All-Servers'!D863,'All-Servers'!$K863)</f>
        <v>0</v>
      </c>
      <c r="I853" s="45">
        <f>PRODUCT('All-Servers'!E863,'All-Servers'!$K863)</f>
        <v>0</v>
      </c>
      <c r="J853" s="45">
        <f>PRODUCT('All-Servers'!F863,'All-Servers'!$K863)</f>
        <v>0</v>
      </c>
      <c r="K853" s="45">
        <f>PRODUCT('All-Servers'!G863,'All-Servers'!$K863)</f>
        <v>0</v>
      </c>
    </row>
    <row r="854" spans="8:11" x14ac:dyDescent="0.2">
      <c r="H854" s="45">
        <f>PRODUCT('All-Servers'!D864,'All-Servers'!$K864)</f>
        <v>0</v>
      </c>
      <c r="I854" s="45">
        <f>PRODUCT('All-Servers'!E864,'All-Servers'!$K864)</f>
        <v>0</v>
      </c>
      <c r="J854" s="45">
        <f>PRODUCT('All-Servers'!F864,'All-Servers'!$K864)</f>
        <v>0</v>
      </c>
      <c r="K854" s="45">
        <f>PRODUCT('All-Servers'!G864,'All-Servers'!$K864)</f>
        <v>0</v>
      </c>
    </row>
    <row r="855" spans="8:11" x14ac:dyDescent="0.2">
      <c r="H855" s="45">
        <f>PRODUCT('All-Servers'!D865,'All-Servers'!$K865)</f>
        <v>0</v>
      </c>
      <c r="I855" s="45">
        <f>PRODUCT('All-Servers'!E865,'All-Servers'!$K865)</f>
        <v>0</v>
      </c>
      <c r="J855" s="45">
        <f>PRODUCT('All-Servers'!F865,'All-Servers'!$K865)</f>
        <v>0</v>
      </c>
      <c r="K855" s="45">
        <f>PRODUCT('All-Servers'!G865,'All-Servers'!$K865)</f>
        <v>0</v>
      </c>
    </row>
    <row r="856" spans="8:11" x14ac:dyDescent="0.2">
      <c r="H856" s="45">
        <f>PRODUCT('All-Servers'!D866,'All-Servers'!$K866)</f>
        <v>0</v>
      </c>
      <c r="I856" s="45">
        <f>PRODUCT('All-Servers'!E866,'All-Servers'!$K866)</f>
        <v>0</v>
      </c>
      <c r="J856" s="45">
        <f>PRODUCT('All-Servers'!F866,'All-Servers'!$K866)</f>
        <v>0</v>
      </c>
      <c r="K856" s="45">
        <f>PRODUCT('All-Servers'!G866,'All-Servers'!$K866)</f>
        <v>0</v>
      </c>
    </row>
    <row r="857" spans="8:11" x14ac:dyDescent="0.2">
      <c r="H857" s="45">
        <f>PRODUCT('All-Servers'!D867,'All-Servers'!$K867)</f>
        <v>0</v>
      </c>
      <c r="I857" s="45">
        <f>PRODUCT('All-Servers'!E867,'All-Servers'!$K867)</f>
        <v>0</v>
      </c>
      <c r="J857" s="45">
        <f>PRODUCT('All-Servers'!F867,'All-Servers'!$K867)</f>
        <v>0</v>
      </c>
      <c r="K857" s="45">
        <f>PRODUCT('All-Servers'!G867,'All-Servers'!$K867)</f>
        <v>0</v>
      </c>
    </row>
    <row r="858" spans="8:11" x14ac:dyDescent="0.2">
      <c r="H858" s="45">
        <f>PRODUCT('All-Servers'!D868,'All-Servers'!$K868)</f>
        <v>0</v>
      </c>
      <c r="I858" s="45">
        <f>PRODUCT('All-Servers'!E868,'All-Servers'!$K868)</f>
        <v>0</v>
      </c>
      <c r="J858" s="45">
        <f>PRODUCT('All-Servers'!F868,'All-Servers'!$K868)</f>
        <v>0</v>
      </c>
      <c r="K858" s="45">
        <f>PRODUCT('All-Servers'!G868,'All-Servers'!$K868)</f>
        <v>0</v>
      </c>
    </row>
    <row r="859" spans="8:11" x14ac:dyDescent="0.2">
      <c r="H859" s="45">
        <f>PRODUCT('All-Servers'!D869,'All-Servers'!$K869)</f>
        <v>0</v>
      </c>
      <c r="I859" s="45">
        <f>PRODUCT('All-Servers'!E869,'All-Servers'!$K869)</f>
        <v>0</v>
      </c>
      <c r="J859" s="45">
        <f>PRODUCT('All-Servers'!F869,'All-Servers'!$K869)</f>
        <v>0</v>
      </c>
      <c r="K859" s="45">
        <f>PRODUCT('All-Servers'!G869,'All-Servers'!$K869)</f>
        <v>0</v>
      </c>
    </row>
    <row r="860" spans="8:11" x14ac:dyDescent="0.2">
      <c r="H860" s="45">
        <f>PRODUCT('All-Servers'!D870,'All-Servers'!$K870)</f>
        <v>0</v>
      </c>
      <c r="I860" s="45">
        <f>PRODUCT('All-Servers'!E870,'All-Servers'!$K870)</f>
        <v>0</v>
      </c>
      <c r="J860" s="45">
        <f>PRODUCT('All-Servers'!F870,'All-Servers'!$K870)</f>
        <v>0</v>
      </c>
      <c r="K860" s="45">
        <f>PRODUCT('All-Servers'!G870,'All-Servers'!$K870)</f>
        <v>0</v>
      </c>
    </row>
    <row r="861" spans="8:11" x14ac:dyDescent="0.2">
      <c r="H861" s="45">
        <f>PRODUCT('All-Servers'!D871,'All-Servers'!$K871)</f>
        <v>0</v>
      </c>
      <c r="I861" s="45">
        <f>PRODUCT('All-Servers'!E871,'All-Servers'!$K871)</f>
        <v>0</v>
      </c>
      <c r="J861" s="45">
        <f>PRODUCT('All-Servers'!F871,'All-Servers'!$K871)</f>
        <v>0</v>
      </c>
      <c r="K861" s="45">
        <f>PRODUCT('All-Servers'!G871,'All-Servers'!$K871)</f>
        <v>0</v>
      </c>
    </row>
    <row r="862" spans="8:11" x14ac:dyDescent="0.2">
      <c r="H862" s="45">
        <f>PRODUCT('All-Servers'!D872,'All-Servers'!$K872)</f>
        <v>0</v>
      </c>
      <c r="I862" s="45">
        <f>PRODUCT('All-Servers'!E872,'All-Servers'!$K872)</f>
        <v>0</v>
      </c>
      <c r="J862" s="45">
        <f>PRODUCT('All-Servers'!F872,'All-Servers'!$K872)</f>
        <v>0</v>
      </c>
      <c r="K862" s="45">
        <f>PRODUCT('All-Servers'!G872,'All-Servers'!$K872)</f>
        <v>0</v>
      </c>
    </row>
    <row r="863" spans="8:11" x14ac:dyDescent="0.2">
      <c r="H863" s="45">
        <f>PRODUCT('All-Servers'!D873,'All-Servers'!$K873)</f>
        <v>0</v>
      </c>
      <c r="I863" s="45">
        <f>PRODUCT('All-Servers'!E873,'All-Servers'!$K873)</f>
        <v>0</v>
      </c>
      <c r="J863" s="45">
        <f>PRODUCT('All-Servers'!F873,'All-Servers'!$K873)</f>
        <v>0</v>
      </c>
      <c r="K863" s="45">
        <f>PRODUCT('All-Servers'!G873,'All-Servers'!$K873)</f>
        <v>0</v>
      </c>
    </row>
    <row r="864" spans="8:11" x14ac:dyDescent="0.2">
      <c r="H864" s="45">
        <f>PRODUCT('All-Servers'!D874,'All-Servers'!$K874)</f>
        <v>0</v>
      </c>
      <c r="I864" s="45">
        <f>PRODUCT('All-Servers'!E874,'All-Servers'!$K874)</f>
        <v>0</v>
      </c>
      <c r="J864" s="45">
        <f>PRODUCT('All-Servers'!F874,'All-Servers'!$K874)</f>
        <v>0</v>
      </c>
      <c r="K864" s="45">
        <f>PRODUCT('All-Servers'!G874,'All-Servers'!$K874)</f>
        <v>0</v>
      </c>
    </row>
    <row r="865" spans="8:11" x14ac:dyDescent="0.2">
      <c r="H865" s="45">
        <f>PRODUCT('All-Servers'!D875,'All-Servers'!$K875)</f>
        <v>0</v>
      </c>
      <c r="I865" s="45">
        <f>PRODUCT('All-Servers'!E875,'All-Servers'!$K875)</f>
        <v>0</v>
      </c>
      <c r="J865" s="45">
        <f>PRODUCT('All-Servers'!F875,'All-Servers'!$K875)</f>
        <v>0</v>
      </c>
      <c r="K865" s="45">
        <f>PRODUCT('All-Servers'!G875,'All-Servers'!$K875)</f>
        <v>0</v>
      </c>
    </row>
    <row r="866" spans="8:11" x14ac:dyDescent="0.2">
      <c r="H866" s="45">
        <f>PRODUCT('All-Servers'!D876,'All-Servers'!$K876)</f>
        <v>0</v>
      </c>
      <c r="I866" s="45">
        <f>PRODUCT('All-Servers'!E876,'All-Servers'!$K876)</f>
        <v>0</v>
      </c>
      <c r="J866" s="45">
        <f>PRODUCT('All-Servers'!F876,'All-Servers'!$K876)</f>
        <v>0</v>
      </c>
      <c r="K866" s="45">
        <f>PRODUCT('All-Servers'!G876,'All-Servers'!$K876)</f>
        <v>0</v>
      </c>
    </row>
    <row r="867" spans="8:11" x14ac:dyDescent="0.2">
      <c r="H867" s="45">
        <f>PRODUCT('All-Servers'!D877,'All-Servers'!$K877)</f>
        <v>0</v>
      </c>
      <c r="I867" s="45">
        <f>PRODUCT('All-Servers'!E877,'All-Servers'!$K877)</f>
        <v>0</v>
      </c>
      <c r="J867" s="45">
        <f>PRODUCT('All-Servers'!F877,'All-Servers'!$K877)</f>
        <v>0</v>
      </c>
      <c r="K867" s="45">
        <f>PRODUCT('All-Servers'!G877,'All-Servers'!$K877)</f>
        <v>0</v>
      </c>
    </row>
    <row r="868" spans="8:11" x14ac:dyDescent="0.2">
      <c r="H868" s="45">
        <f>PRODUCT('All-Servers'!D878,'All-Servers'!$K878)</f>
        <v>0</v>
      </c>
      <c r="I868" s="45">
        <f>PRODUCT('All-Servers'!E878,'All-Servers'!$K878)</f>
        <v>0</v>
      </c>
      <c r="J868" s="45">
        <f>PRODUCT('All-Servers'!F878,'All-Servers'!$K878)</f>
        <v>0</v>
      </c>
      <c r="K868" s="45">
        <f>PRODUCT('All-Servers'!G878,'All-Servers'!$K878)</f>
        <v>0</v>
      </c>
    </row>
    <row r="869" spans="8:11" x14ac:dyDescent="0.2">
      <c r="H869" s="45">
        <f>PRODUCT('All-Servers'!D879,'All-Servers'!$K879)</f>
        <v>0</v>
      </c>
      <c r="I869" s="45">
        <f>PRODUCT('All-Servers'!E879,'All-Servers'!$K879)</f>
        <v>0</v>
      </c>
      <c r="J869" s="45">
        <f>PRODUCT('All-Servers'!F879,'All-Servers'!$K879)</f>
        <v>0</v>
      </c>
      <c r="K869" s="45">
        <f>PRODUCT('All-Servers'!G879,'All-Servers'!$K879)</f>
        <v>0</v>
      </c>
    </row>
    <row r="870" spans="8:11" x14ac:dyDescent="0.2">
      <c r="H870" s="45">
        <f>PRODUCT('All-Servers'!D880,'All-Servers'!$K880)</f>
        <v>0</v>
      </c>
      <c r="I870" s="45">
        <f>PRODUCT('All-Servers'!E880,'All-Servers'!$K880)</f>
        <v>0</v>
      </c>
      <c r="J870" s="45">
        <f>PRODUCT('All-Servers'!F880,'All-Servers'!$K880)</f>
        <v>0</v>
      </c>
      <c r="K870" s="45">
        <f>PRODUCT('All-Servers'!G880,'All-Servers'!$K880)</f>
        <v>0</v>
      </c>
    </row>
    <row r="871" spans="8:11" x14ac:dyDescent="0.2">
      <c r="H871" s="45">
        <f>PRODUCT('All-Servers'!D881,'All-Servers'!$K881)</f>
        <v>0</v>
      </c>
      <c r="I871" s="45">
        <f>PRODUCT('All-Servers'!E881,'All-Servers'!$K881)</f>
        <v>0</v>
      </c>
      <c r="J871" s="45">
        <f>PRODUCT('All-Servers'!F881,'All-Servers'!$K881)</f>
        <v>0</v>
      </c>
      <c r="K871" s="45">
        <f>PRODUCT('All-Servers'!G881,'All-Servers'!$K881)</f>
        <v>0</v>
      </c>
    </row>
    <row r="872" spans="8:11" x14ac:dyDescent="0.2">
      <c r="H872" s="45">
        <f>PRODUCT('All-Servers'!D882,'All-Servers'!$K882)</f>
        <v>0</v>
      </c>
      <c r="I872" s="45">
        <f>PRODUCT('All-Servers'!E882,'All-Servers'!$K882)</f>
        <v>0</v>
      </c>
      <c r="J872" s="45">
        <f>PRODUCT('All-Servers'!F882,'All-Servers'!$K882)</f>
        <v>0</v>
      </c>
      <c r="K872" s="45">
        <f>PRODUCT('All-Servers'!G882,'All-Servers'!$K882)</f>
        <v>0</v>
      </c>
    </row>
    <row r="873" spans="8:11" x14ac:dyDescent="0.2">
      <c r="H873" s="45">
        <f>PRODUCT('All-Servers'!D883,'All-Servers'!$K883)</f>
        <v>0</v>
      </c>
      <c r="I873" s="45">
        <f>PRODUCT('All-Servers'!E883,'All-Servers'!$K883)</f>
        <v>0</v>
      </c>
      <c r="J873" s="45">
        <f>PRODUCT('All-Servers'!F883,'All-Servers'!$K883)</f>
        <v>0</v>
      </c>
      <c r="K873" s="45">
        <f>PRODUCT('All-Servers'!G883,'All-Servers'!$K883)</f>
        <v>0</v>
      </c>
    </row>
    <row r="874" spans="8:11" x14ac:dyDescent="0.2">
      <c r="H874" s="45">
        <f>PRODUCT('All-Servers'!D884,'All-Servers'!$K884)</f>
        <v>0</v>
      </c>
      <c r="I874" s="45">
        <f>PRODUCT('All-Servers'!E884,'All-Servers'!$K884)</f>
        <v>0</v>
      </c>
      <c r="J874" s="45">
        <f>PRODUCT('All-Servers'!F884,'All-Servers'!$K884)</f>
        <v>0</v>
      </c>
      <c r="K874" s="45">
        <f>PRODUCT('All-Servers'!G884,'All-Servers'!$K884)</f>
        <v>0</v>
      </c>
    </row>
    <row r="875" spans="8:11" x14ac:dyDescent="0.2">
      <c r="H875" s="45">
        <f>PRODUCT('All-Servers'!D885,'All-Servers'!$K885)</f>
        <v>0</v>
      </c>
      <c r="I875" s="45">
        <f>PRODUCT('All-Servers'!E885,'All-Servers'!$K885)</f>
        <v>0</v>
      </c>
      <c r="J875" s="45">
        <f>PRODUCT('All-Servers'!F885,'All-Servers'!$K885)</f>
        <v>0</v>
      </c>
      <c r="K875" s="45">
        <f>PRODUCT('All-Servers'!G885,'All-Servers'!$K885)</f>
        <v>0</v>
      </c>
    </row>
    <row r="876" spans="8:11" x14ac:dyDescent="0.2">
      <c r="H876" s="45">
        <f>PRODUCT('All-Servers'!D886,'All-Servers'!$K886)</f>
        <v>0</v>
      </c>
      <c r="I876" s="45">
        <f>PRODUCT('All-Servers'!E886,'All-Servers'!$K886)</f>
        <v>0</v>
      </c>
      <c r="J876" s="45">
        <f>PRODUCT('All-Servers'!F886,'All-Servers'!$K886)</f>
        <v>0</v>
      </c>
      <c r="K876" s="45">
        <f>PRODUCT('All-Servers'!G886,'All-Servers'!$K886)</f>
        <v>0</v>
      </c>
    </row>
    <row r="877" spans="8:11" x14ac:dyDescent="0.2">
      <c r="H877" s="45">
        <f>PRODUCT('All-Servers'!D887,'All-Servers'!$K887)</f>
        <v>0</v>
      </c>
      <c r="I877" s="45">
        <f>PRODUCT('All-Servers'!E887,'All-Servers'!$K887)</f>
        <v>0</v>
      </c>
      <c r="J877" s="45">
        <f>PRODUCT('All-Servers'!F887,'All-Servers'!$K887)</f>
        <v>0</v>
      </c>
      <c r="K877" s="45">
        <f>PRODUCT('All-Servers'!G887,'All-Servers'!$K887)</f>
        <v>0</v>
      </c>
    </row>
    <row r="878" spans="8:11" x14ac:dyDescent="0.2">
      <c r="H878" s="45">
        <f>PRODUCT('All-Servers'!D888,'All-Servers'!$K888)</f>
        <v>0</v>
      </c>
      <c r="I878" s="45">
        <f>PRODUCT('All-Servers'!E888,'All-Servers'!$K888)</f>
        <v>0</v>
      </c>
      <c r="J878" s="45">
        <f>PRODUCT('All-Servers'!F888,'All-Servers'!$K888)</f>
        <v>0</v>
      </c>
      <c r="K878" s="45">
        <f>PRODUCT('All-Servers'!G888,'All-Servers'!$K888)</f>
        <v>0</v>
      </c>
    </row>
    <row r="879" spans="8:11" x14ac:dyDescent="0.2">
      <c r="H879" s="45">
        <f>PRODUCT('All-Servers'!D889,'All-Servers'!$K889)</f>
        <v>0</v>
      </c>
      <c r="I879" s="45">
        <f>PRODUCT('All-Servers'!E889,'All-Servers'!$K889)</f>
        <v>0</v>
      </c>
      <c r="J879" s="45">
        <f>PRODUCT('All-Servers'!F889,'All-Servers'!$K889)</f>
        <v>0</v>
      </c>
      <c r="K879" s="45">
        <f>PRODUCT('All-Servers'!G889,'All-Servers'!$K889)</f>
        <v>0</v>
      </c>
    </row>
    <row r="880" spans="8:11" x14ac:dyDescent="0.2">
      <c r="H880" s="45">
        <f>PRODUCT('All-Servers'!D890,'All-Servers'!$K890)</f>
        <v>0</v>
      </c>
      <c r="I880" s="45">
        <f>PRODUCT('All-Servers'!E890,'All-Servers'!$K890)</f>
        <v>0</v>
      </c>
      <c r="J880" s="45">
        <f>PRODUCT('All-Servers'!F890,'All-Servers'!$K890)</f>
        <v>0</v>
      </c>
      <c r="K880" s="45">
        <f>PRODUCT('All-Servers'!G890,'All-Servers'!$K890)</f>
        <v>0</v>
      </c>
    </row>
    <row r="881" spans="8:11" x14ac:dyDescent="0.2">
      <c r="H881" s="45">
        <f>PRODUCT('All-Servers'!D891,'All-Servers'!$K891)</f>
        <v>0</v>
      </c>
      <c r="I881" s="45">
        <f>PRODUCT('All-Servers'!E891,'All-Servers'!$K891)</f>
        <v>0</v>
      </c>
      <c r="J881" s="45">
        <f>PRODUCT('All-Servers'!F891,'All-Servers'!$K891)</f>
        <v>0</v>
      </c>
      <c r="K881" s="45">
        <f>PRODUCT('All-Servers'!G891,'All-Servers'!$K891)</f>
        <v>0</v>
      </c>
    </row>
    <row r="882" spans="8:11" x14ac:dyDescent="0.2">
      <c r="H882" s="45">
        <f>PRODUCT('All-Servers'!D892,'All-Servers'!$K892)</f>
        <v>0</v>
      </c>
      <c r="I882" s="45">
        <f>PRODUCT('All-Servers'!E892,'All-Servers'!$K892)</f>
        <v>0</v>
      </c>
      <c r="J882" s="45">
        <f>PRODUCT('All-Servers'!F892,'All-Servers'!$K892)</f>
        <v>0</v>
      </c>
      <c r="K882" s="45">
        <f>PRODUCT('All-Servers'!G892,'All-Servers'!$K892)</f>
        <v>0</v>
      </c>
    </row>
    <row r="883" spans="8:11" x14ac:dyDescent="0.2">
      <c r="H883" s="45">
        <f>PRODUCT('All-Servers'!D893,'All-Servers'!$K893)</f>
        <v>0</v>
      </c>
      <c r="I883" s="45">
        <f>PRODUCT('All-Servers'!E893,'All-Servers'!$K893)</f>
        <v>0</v>
      </c>
      <c r="J883" s="45">
        <f>PRODUCT('All-Servers'!F893,'All-Servers'!$K893)</f>
        <v>0</v>
      </c>
      <c r="K883" s="45">
        <f>PRODUCT('All-Servers'!G893,'All-Servers'!$K893)</f>
        <v>0</v>
      </c>
    </row>
    <row r="884" spans="8:11" x14ac:dyDescent="0.2">
      <c r="H884" s="45">
        <f>PRODUCT('All-Servers'!D894,'All-Servers'!$K894)</f>
        <v>0</v>
      </c>
      <c r="I884" s="45">
        <f>PRODUCT('All-Servers'!E894,'All-Servers'!$K894)</f>
        <v>0</v>
      </c>
      <c r="J884" s="45">
        <f>PRODUCT('All-Servers'!F894,'All-Servers'!$K894)</f>
        <v>0</v>
      </c>
      <c r="K884" s="45">
        <f>PRODUCT('All-Servers'!G894,'All-Servers'!$K894)</f>
        <v>0</v>
      </c>
    </row>
    <row r="885" spans="8:11" x14ac:dyDescent="0.2">
      <c r="H885" s="45">
        <f>PRODUCT('All-Servers'!D895,'All-Servers'!$K895)</f>
        <v>0</v>
      </c>
      <c r="I885" s="45">
        <f>PRODUCT('All-Servers'!E895,'All-Servers'!$K895)</f>
        <v>0</v>
      </c>
      <c r="J885" s="45">
        <f>PRODUCT('All-Servers'!F895,'All-Servers'!$K895)</f>
        <v>0</v>
      </c>
      <c r="K885" s="45">
        <f>PRODUCT('All-Servers'!G895,'All-Servers'!$K895)</f>
        <v>0</v>
      </c>
    </row>
    <row r="886" spans="8:11" x14ac:dyDescent="0.2">
      <c r="H886" s="45">
        <f>PRODUCT('All-Servers'!D896,'All-Servers'!$K896)</f>
        <v>0</v>
      </c>
      <c r="I886" s="45">
        <f>PRODUCT('All-Servers'!E896,'All-Servers'!$K896)</f>
        <v>0</v>
      </c>
      <c r="J886" s="45">
        <f>PRODUCT('All-Servers'!F896,'All-Servers'!$K896)</f>
        <v>0</v>
      </c>
      <c r="K886" s="45">
        <f>PRODUCT('All-Servers'!G896,'All-Servers'!$K896)</f>
        <v>0</v>
      </c>
    </row>
    <row r="887" spans="8:11" x14ac:dyDescent="0.2">
      <c r="H887" s="45">
        <f>PRODUCT('All-Servers'!D897,'All-Servers'!$K897)</f>
        <v>0</v>
      </c>
      <c r="I887" s="45">
        <f>PRODUCT('All-Servers'!E897,'All-Servers'!$K897)</f>
        <v>0</v>
      </c>
      <c r="J887" s="45">
        <f>PRODUCT('All-Servers'!F897,'All-Servers'!$K897)</f>
        <v>0</v>
      </c>
      <c r="K887" s="45">
        <f>PRODUCT('All-Servers'!G897,'All-Servers'!$K897)</f>
        <v>0</v>
      </c>
    </row>
    <row r="888" spans="8:11" x14ac:dyDescent="0.2">
      <c r="H888" s="45">
        <f>PRODUCT('All-Servers'!D898,'All-Servers'!$K898)</f>
        <v>0</v>
      </c>
      <c r="I888" s="45">
        <f>PRODUCT('All-Servers'!E898,'All-Servers'!$K898)</f>
        <v>0</v>
      </c>
      <c r="J888" s="45">
        <f>PRODUCT('All-Servers'!F898,'All-Servers'!$K898)</f>
        <v>0</v>
      </c>
      <c r="K888" s="45">
        <f>PRODUCT('All-Servers'!G898,'All-Servers'!$K898)</f>
        <v>0</v>
      </c>
    </row>
    <row r="889" spans="8:11" x14ac:dyDescent="0.2">
      <c r="H889" s="45">
        <f>PRODUCT('All-Servers'!D899,'All-Servers'!$K899)</f>
        <v>0</v>
      </c>
      <c r="I889" s="45">
        <f>PRODUCT('All-Servers'!E899,'All-Servers'!$K899)</f>
        <v>0</v>
      </c>
      <c r="J889" s="45">
        <f>PRODUCT('All-Servers'!F899,'All-Servers'!$K899)</f>
        <v>0</v>
      </c>
      <c r="K889" s="45">
        <f>PRODUCT('All-Servers'!G899,'All-Servers'!$K899)</f>
        <v>0</v>
      </c>
    </row>
    <row r="890" spans="8:11" x14ac:dyDescent="0.2">
      <c r="H890" s="45">
        <f>PRODUCT('All-Servers'!D900,'All-Servers'!$K900)</f>
        <v>0</v>
      </c>
      <c r="I890" s="45">
        <f>PRODUCT('All-Servers'!E900,'All-Servers'!$K900)</f>
        <v>0</v>
      </c>
      <c r="J890" s="45">
        <f>PRODUCT('All-Servers'!F900,'All-Servers'!$K900)</f>
        <v>0</v>
      </c>
      <c r="K890" s="45">
        <f>PRODUCT('All-Servers'!G900,'All-Servers'!$K900)</f>
        <v>0</v>
      </c>
    </row>
    <row r="891" spans="8:11" x14ac:dyDescent="0.2">
      <c r="H891" s="45">
        <f>PRODUCT('All-Servers'!D901,'All-Servers'!$K901)</f>
        <v>0</v>
      </c>
      <c r="I891" s="45">
        <f>PRODUCT('All-Servers'!E901,'All-Servers'!$K901)</f>
        <v>0</v>
      </c>
      <c r="J891" s="45">
        <f>PRODUCT('All-Servers'!F901,'All-Servers'!$K901)</f>
        <v>0</v>
      </c>
      <c r="K891" s="45">
        <f>PRODUCT('All-Servers'!G901,'All-Servers'!$K901)</f>
        <v>0</v>
      </c>
    </row>
    <row r="892" spans="8:11" x14ac:dyDescent="0.2">
      <c r="H892" s="45">
        <f>PRODUCT('All-Servers'!D902,'All-Servers'!$K902)</f>
        <v>0</v>
      </c>
      <c r="I892" s="45">
        <f>PRODUCT('All-Servers'!E902,'All-Servers'!$K902)</f>
        <v>0</v>
      </c>
      <c r="J892" s="45">
        <f>PRODUCT('All-Servers'!F902,'All-Servers'!$K902)</f>
        <v>0</v>
      </c>
      <c r="K892" s="45">
        <f>PRODUCT('All-Servers'!G902,'All-Servers'!$K902)</f>
        <v>0</v>
      </c>
    </row>
    <row r="893" spans="8:11" x14ac:dyDescent="0.2">
      <c r="H893" s="45">
        <f>PRODUCT('All-Servers'!D903,'All-Servers'!$K903)</f>
        <v>0</v>
      </c>
      <c r="I893" s="45">
        <f>PRODUCT('All-Servers'!E903,'All-Servers'!$K903)</f>
        <v>0</v>
      </c>
      <c r="J893" s="45">
        <f>PRODUCT('All-Servers'!F903,'All-Servers'!$K903)</f>
        <v>0</v>
      </c>
      <c r="K893" s="45">
        <f>PRODUCT('All-Servers'!G903,'All-Servers'!$K903)</f>
        <v>0</v>
      </c>
    </row>
    <row r="894" spans="8:11" x14ac:dyDescent="0.2">
      <c r="H894" s="45">
        <f>PRODUCT('All-Servers'!D904,'All-Servers'!$K904)</f>
        <v>0</v>
      </c>
      <c r="I894" s="45">
        <f>PRODUCT('All-Servers'!E904,'All-Servers'!$K904)</f>
        <v>0</v>
      </c>
      <c r="J894" s="45">
        <f>PRODUCT('All-Servers'!F904,'All-Servers'!$K904)</f>
        <v>0</v>
      </c>
      <c r="K894" s="45">
        <f>PRODUCT('All-Servers'!G904,'All-Servers'!$K904)</f>
        <v>0</v>
      </c>
    </row>
    <row r="895" spans="8:11" x14ac:dyDescent="0.2">
      <c r="H895" s="45">
        <f>PRODUCT('All-Servers'!D905,'All-Servers'!$K905)</f>
        <v>0</v>
      </c>
      <c r="I895" s="45">
        <f>PRODUCT('All-Servers'!E905,'All-Servers'!$K905)</f>
        <v>0</v>
      </c>
      <c r="J895" s="45">
        <f>PRODUCT('All-Servers'!F905,'All-Servers'!$K905)</f>
        <v>0</v>
      </c>
      <c r="K895" s="45">
        <f>PRODUCT('All-Servers'!G905,'All-Servers'!$K905)</f>
        <v>0</v>
      </c>
    </row>
    <row r="896" spans="8:11" x14ac:dyDescent="0.2">
      <c r="H896" s="45">
        <f>PRODUCT('All-Servers'!D906,'All-Servers'!$K906)</f>
        <v>0</v>
      </c>
      <c r="I896" s="45">
        <f>PRODUCT('All-Servers'!E906,'All-Servers'!$K906)</f>
        <v>0</v>
      </c>
      <c r="J896" s="45">
        <f>PRODUCT('All-Servers'!F906,'All-Servers'!$K906)</f>
        <v>0</v>
      </c>
      <c r="K896" s="45">
        <f>PRODUCT('All-Servers'!G906,'All-Servers'!$K906)</f>
        <v>0</v>
      </c>
    </row>
    <row r="897" spans="8:11" x14ac:dyDescent="0.2">
      <c r="H897" s="45">
        <f>PRODUCT('All-Servers'!D907,'All-Servers'!$K907)</f>
        <v>0</v>
      </c>
      <c r="I897" s="45">
        <f>PRODUCT('All-Servers'!E907,'All-Servers'!$K907)</f>
        <v>0</v>
      </c>
      <c r="J897" s="45">
        <f>PRODUCT('All-Servers'!F907,'All-Servers'!$K907)</f>
        <v>0</v>
      </c>
      <c r="K897" s="45">
        <f>PRODUCT('All-Servers'!G907,'All-Servers'!$K907)</f>
        <v>0</v>
      </c>
    </row>
    <row r="898" spans="8:11" x14ac:dyDescent="0.2">
      <c r="H898" s="45">
        <f>PRODUCT('All-Servers'!D908,'All-Servers'!$K908)</f>
        <v>0</v>
      </c>
      <c r="I898" s="45">
        <f>PRODUCT('All-Servers'!E908,'All-Servers'!$K908)</f>
        <v>0</v>
      </c>
      <c r="J898" s="45">
        <f>PRODUCT('All-Servers'!F908,'All-Servers'!$K908)</f>
        <v>0</v>
      </c>
      <c r="K898" s="45">
        <f>PRODUCT('All-Servers'!G908,'All-Servers'!$K908)</f>
        <v>0</v>
      </c>
    </row>
    <row r="899" spans="8:11" x14ac:dyDescent="0.2">
      <c r="H899" s="45">
        <f>PRODUCT('All-Servers'!D909,'All-Servers'!$K909)</f>
        <v>0</v>
      </c>
      <c r="I899" s="45">
        <f>PRODUCT('All-Servers'!E909,'All-Servers'!$K909)</f>
        <v>0</v>
      </c>
      <c r="J899" s="45">
        <f>PRODUCT('All-Servers'!F909,'All-Servers'!$K909)</f>
        <v>0</v>
      </c>
      <c r="K899" s="45">
        <f>PRODUCT('All-Servers'!G909,'All-Servers'!$K909)</f>
        <v>0</v>
      </c>
    </row>
    <row r="900" spans="8:11" x14ac:dyDescent="0.2">
      <c r="H900" s="45">
        <f>PRODUCT('All-Servers'!D910,'All-Servers'!$K910)</f>
        <v>0</v>
      </c>
      <c r="I900" s="45">
        <f>PRODUCT('All-Servers'!E910,'All-Servers'!$K910)</f>
        <v>0</v>
      </c>
      <c r="J900" s="45">
        <f>PRODUCT('All-Servers'!F910,'All-Servers'!$K910)</f>
        <v>0</v>
      </c>
      <c r="K900" s="45">
        <f>PRODUCT('All-Servers'!G910,'All-Servers'!$K910)</f>
        <v>0</v>
      </c>
    </row>
    <row r="901" spans="8:11" x14ac:dyDescent="0.2">
      <c r="H901" s="45">
        <f>PRODUCT('All-Servers'!D911,'All-Servers'!$K911)</f>
        <v>0</v>
      </c>
      <c r="I901" s="45">
        <f>PRODUCT('All-Servers'!E911,'All-Servers'!$K911)</f>
        <v>0</v>
      </c>
      <c r="J901" s="45">
        <f>PRODUCT('All-Servers'!F911,'All-Servers'!$K911)</f>
        <v>0</v>
      </c>
      <c r="K901" s="45">
        <f>PRODUCT('All-Servers'!G911,'All-Servers'!$K911)</f>
        <v>0</v>
      </c>
    </row>
    <row r="902" spans="8:11" x14ac:dyDescent="0.2">
      <c r="H902" s="45">
        <f>PRODUCT('All-Servers'!D912,'All-Servers'!$K912)</f>
        <v>0</v>
      </c>
      <c r="I902" s="45">
        <f>PRODUCT('All-Servers'!E912,'All-Servers'!$K912)</f>
        <v>0</v>
      </c>
      <c r="J902" s="45">
        <f>PRODUCT('All-Servers'!F912,'All-Servers'!$K912)</f>
        <v>0</v>
      </c>
      <c r="K902" s="45">
        <f>PRODUCT('All-Servers'!G912,'All-Servers'!$K912)</f>
        <v>0</v>
      </c>
    </row>
    <row r="903" spans="8:11" x14ac:dyDescent="0.2">
      <c r="H903" s="45">
        <f>PRODUCT('All-Servers'!D913,'All-Servers'!$K913)</f>
        <v>0</v>
      </c>
      <c r="I903" s="45">
        <f>PRODUCT('All-Servers'!E913,'All-Servers'!$K913)</f>
        <v>0</v>
      </c>
      <c r="J903" s="45">
        <f>PRODUCT('All-Servers'!F913,'All-Servers'!$K913)</f>
        <v>0</v>
      </c>
      <c r="K903" s="45">
        <f>PRODUCT('All-Servers'!G913,'All-Servers'!$K913)</f>
        <v>0</v>
      </c>
    </row>
    <row r="904" spans="8:11" x14ac:dyDescent="0.2">
      <c r="H904" s="45">
        <f>PRODUCT('All-Servers'!D914,'All-Servers'!$K914)</f>
        <v>0</v>
      </c>
      <c r="I904" s="45">
        <f>PRODUCT('All-Servers'!E914,'All-Servers'!$K914)</f>
        <v>0</v>
      </c>
      <c r="J904" s="45">
        <f>PRODUCT('All-Servers'!F914,'All-Servers'!$K914)</f>
        <v>0</v>
      </c>
      <c r="K904" s="45">
        <f>PRODUCT('All-Servers'!G914,'All-Servers'!$K914)</f>
        <v>0</v>
      </c>
    </row>
    <row r="905" spans="8:11" x14ac:dyDescent="0.2">
      <c r="H905" s="45">
        <f>PRODUCT('All-Servers'!D915,'All-Servers'!$K915)</f>
        <v>0</v>
      </c>
      <c r="I905" s="45">
        <f>PRODUCT('All-Servers'!E915,'All-Servers'!$K915)</f>
        <v>0</v>
      </c>
      <c r="J905" s="45">
        <f>PRODUCT('All-Servers'!F915,'All-Servers'!$K915)</f>
        <v>0</v>
      </c>
      <c r="K905" s="45">
        <f>PRODUCT('All-Servers'!G915,'All-Servers'!$K915)</f>
        <v>0</v>
      </c>
    </row>
    <row r="906" spans="8:11" x14ac:dyDescent="0.2">
      <c r="H906" s="45">
        <f>PRODUCT('All-Servers'!D916,'All-Servers'!$K916)</f>
        <v>0</v>
      </c>
      <c r="I906" s="45">
        <f>PRODUCT('All-Servers'!E916,'All-Servers'!$K916)</f>
        <v>0</v>
      </c>
      <c r="J906" s="45">
        <f>PRODUCT('All-Servers'!F916,'All-Servers'!$K916)</f>
        <v>0</v>
      </c>
      <c r="K906" s="45">
        <f>PRODUCT('All-Servers'!G916,'All-Servers'!$K916)</f>
        <v>0</v>
      </c>
    </row>
    <row r="907" spans="8:11" x14ac:dyDescent="0.2">
      <c r="H907" s="45">
        <f>PRODUCT('All-Servers'!D917,'All-Servers'!$K917)</f>
        <v>0</v>
      </c>
      <c r="I907" s="45">
        <f>PRODUCT('All-Servers'!E917,'All-Servers'!$K917)</f>
        <v>0</v>
      </c>
      <c r="J907" s="45">
        <f>PRODUCT('All-Servers'!F917,'All-Servers'!$K917)</f>
        <v>0</v>
      </c>
      <c r="K907" s="45">
        <f>PRODUCT('All-Servers'!G917,'All-Servers'!$K917)</f>
        <v>0</v>
      </c>
    </row>
    <row r="908" spans="8:11" x14ac:dyDescent="0.2">
      <c r="H908" s="45">
        <f>PRODUCT('All-Servers'!D918,'All-Servers'!$K918)</f>
        <v>0</v>
      </c>
      <c r="I908" s="45">
        <f>PRODUCT('All-Servers'!E918,'All-Servers'!$K918)</f>
        <v>0</v>
      </c>
      <c r="J908" s="45">
        <f>PRODUCT('All-Servers'!F918,'All-Servers'!$K918)</f>
        <v>0</v>
      </c>
      <c r="K908" s="45">
        <f>PRODUCT('All-Servers'!G918,'All-Servers'!$K918)</f>
        <v>0</v>
      </c>
    </row>
    <row r="909" spans="8:11" x14ac:dyDescent="0.2">
      <c r="H909" s="45">
        <f>PRODUCT('All-Servers'!D919,'All-Servers'!$K919)</f>
        <v>0</v>
      </c>
      <c r="I909" s="45">
        <f>PRODUCT('All-Servers'!E919,'All-Servers'!$K919)</f>
        <v>0</v>
      </c>
      <c r="J909" s="45">
        <f>PRODUCT('All-Servers'!F919,'All-Servers'!$K919)</f>
        <v>0</v>
      </c>
      <c r="K909" s="45">
        <f>PRODUCT('All-Servers'!G919,'All-Servers'!$K919)</f>
        <v>0</v>
      </c>
    </row>
    <row r="910" spans="8:11" x14ac:dyDescent="0.2">
      <c r="H910" s="45">
        <f>PRODUCT('All-Servers'!D920,'All-Servers'!$K920)</f>
        <v>0</v>
      </c>
      <c r="I910" s="45">
        <f>PRODUCT('All-Servers'!E920,'All-Servers'!$K920)</f>
        <v>0</v>
      </c>
      <c r="J910" s="45">
        <f>PRODUCT('All-Servers'!F920,'All-Servers'!$K920)</f>
        <v>0</v>
      </c>
      <c r="K910" s="45">
        <f>PRODUCT('All-Servers'!G920,'All-Servers'!$K920)</f>
        <v>0</v>
      </c>
    </row>
    <row r="911" spans="8:11" x14ac:dyDescent="0.2">
      <c r="H911" s="45">
        <f>PRODUCT('All-Servers'!D921,'All-Servers'!$K921)</f>
        <v>0</v>
      </c>
      <c r="I911" s="45">
        <f>PRODUCT('All-Servers'!E921,'All-Servers'!$K921)</f>
        <v>0</v>
      </c>
      <c r="J911" s="45">
        <f>PRODUCT('All-Servers'!F921,'All-Servers'!$K921)</f>
        <v>0</v>
      </c>
      <c r="K911" s="45">
        <f>PRODUCT('All-Servers'!G921,'All-Servers'!$K921)</f>
        <v>0</v>
      </c>
    </row>
    <row r="912" spans="8:11" x14ac:dyDescent="0.2">
      <c r="H912" s="45">
        <f>PRODUCT('All-Servers'!D922,'All-Servers'!$K922)</f>
        <v>0</v>
      </c>
      <c r="I912" s="45">
        <f>PRODUCT('All-Servers'!E922,'All-Servers'!$K922)</f>
        <v>0</v>
      </c>
      <c r="J912" s="45">
        <f>PRODUCT('All-Servers'!F922,'All-Servers'!$K922)</f>
        <v>0</v>
      </c>
      <c r="K912" s="45">
        <f>PRODUCT('All-Servers'!G922,'All-Servers'!$K922)</f>
        <v>0</v>
      </c>
    </row>
    <row r="913" spans="8:11" x14ac:dyDescent="0.2">
      <c r="H913" s="45">
        <f>PRODUCT('All-Servers'!D923,'All-Servers'!$K923)</f>
        <v>0</v>
      </c>
      <c r="I913" s="45">
        <f>PRODUCT('All-Servers'!E923,'All-Servers'!$K923)</f>
        <v>0</v>
      </c>
      <c r="J913" s="45">
        <f>PRODUCT('All-Servers'!F923,'All-Servers'!$K923)</f>
        <v>0</v>
      </c>
      <c r="K913" s="45">
        <f>PRODUCT('All-Servers'!G923,'All-Servers'!$K923)</f>
        <v>0</v>
      </c>
    </row>
    <row r="914" spans="8:11" x14ac:dyDescent="0.2">
      <c r="H914" s="45">
        <f>PRODUCT('All-Servers'!D924,'All-Servers'!$K924)</f>
        <v>0</v>
      </c>
      <c r="I914" s="45">
        <f>PRODUCT('All-Servers'!E924,'All-Servers'!$K924)</f>
        <v>0</v>
      </c>
      <c r="J914" s="45">
        <f>PRODUCT('All-Servers'!F924,'All-Servers'!$K924)</f>
        <v>0</v>
      </c>
      <c r="K914" s="45">
        <f>PRODUCT('All-Servers'!G924,'All-Servers'!$K924)</f>
        <v>0</v>
      </c>
    </row>
    <row r="915" spans="8:11" x14ac:dyDescent="0.2">
      <c r="H915" s="45">
        <f>PRODUCT('All-Servers'!D925,'All-Servers'!$K925)</f>
        <v>0</v>
      </c>
      <c r="I915" s="45">
        <f>PRODUCT('All-Servers'!E925,'All-Servers'!$K925)</f>
        <v>0</v>
      </c>
      <c r="J915" s="45">
        <f>PRODUCT('All-Servers'!F925,'All-Servers'!$K925)</f>
        <v>0</v>
      </c>
      <c r="K915" s="45">
        <f>PRODUCT('All-Servers'!G925,'All-Servers'!$K925)</f>
        <v>0</v>
      </c>
    </row>
    <row r="916" spans="8:11" x14ac:dyDescent="0.2">
      <c r="H916" s="45">
        <f>PRODUCT('All-Servers'!D926,'All-Servers'!$K926)</f>
        <v>0</v>
      </c>
      <c r="I916" s="45">
        <f>PRODUCT('All-Servers'!E926,'All-Servers'!$K926)</f>
        <v>0</v>
      </c>
      <c r="J916" s="45">
        <f>PRODUCT('All-Servers'!F926,'All-Servers'!$K926)</f>
        <v>0</v>
      </c>
      <c r="K916" s="45">
        <f>PRODUCT('All-Servers'!G926,'All-Servers'!$K926)</f>
        <v>0</v>
      </c>
    </row>
    <row r="917" spans="8:11" x14ac:dyDescent="0.2">
      <c r="H917" s="45">
        <f>PRODUCT('All-Servers'!D927,'All-Servers'!$K927)</f>
        <v>0</v>
      </c>
      <c r="I917" s="45">
        <f>PRODUCT('All-Servers'!E927,'All-Servers'!$K927)</f>
        <v>0</v>
      </c>
      <c r="J917" s="45">
        <f>PRODUCT('All-Servers'!F927,'All-Servers'!$K927)</f>
        <v>0</v>
      </c>
      <c r="K917" s="45">
        <f>PRODUCT('All-Servers'!G927,'All-Servers'!$K927)</f>
        <v>0</v>
      </c>
    </row>
    <row r="918" spans="8:11" x14ac:dyDescent="0.2">
      <c r="H918" s="45">
        <f>PRODUCT('All-Servers'!D928,'All-Servers'!$K928)</f>
        <v>0</v>
      </c>
      <c r="I918" s="45">
        <f>PRODUCT('All-Servers'!E928,'All-Servers'!$K928)</f>
        <v>0</v>
      </c>
      <c r="J918" s="45">
        <f>PRODUCT('All-Servers'!F928,'All-Servers'!$K928)</f>
        <v>0</v>
      </c>
      <c r="K918" s="45">
        <f>PRODUCT('All-Servers'!G928,'All-Servers'!$K928)</f>
        <v>0</v>
      </c>
    </row>
    <row r="919" spans="8:11" x14ac:dyDescent="0.2">
      <c r="H919" s="45">
        <f>PRODUCT('All-Servers'!D929,'All-Servers'!$K929)</f>
        <v>0</v>
      </c>
      <c r="I919" s="45">
        <f>PRODUCT('All-Servers'!E929,'All-Servers'!$K929)</f>
        <v>0</v>
      </c>
      <c r="J919" s="45">
        <f>PRODUCT('All-Servers'!F929,'All-Servers'!$K929)</f>
        <v>0</v>
      </c>
      <c r="K919" s="45">
        <f>PRODUCT('All-Servers'!G929,'All-Servers'!$K929)</f>
        <v>0</v>
      </c>
    </row>
    <row r="920" spans="8:11" x14ac:dyDescent="0.2">
      <c r="H920" s="45">
        <f>PRODUCT('All-Servers'!D930,'All-Servers'!$K930)</f>
        <v>0</v>
      </c>
      <c r="I920" s="45">
        <f>PRODUCT('All-Servers'!E930,'All-Servers'!$K930)</f>
        <v>0</v>
      </c>
      <c r="J920" s="45">
        <f>PRODUCT('All-Servers'!F930,'All-Servers'!$K930)</f>
        <v>0</v>
      </c>
      <c r="K920" s="45">
        <f>PRODUCT('All-Servers'!G930,'All-Servers'!$K930)</f>
        <v>0</v>
      </c>
    </row>
    <row r="921" spans="8:11" x14ac:dyDescent="0.2">
      <c r="H921" s="45">
        <f>PRODUCT('All-Servers'!D931,'All-Servers'!$K931)</f>
        <v>0</v>
      </c>
      <c r="I921" s="45">
        <f>PRODUCT('All-Servers'!E931,'All-Servers'!$K931)</f>
        <v>0</v>
      </c>
      <c r="J921" s="45">
        <f>PRODUCT('All-Servers'!F931,'All-Servers'!$K931)</f>
        <v>0</v>
      </c>
      <c r="K921" s="45">
        <f>PRODUCT('All-Servers'!G931,'All-Servers'!$K931)</f>
        <v>0</v>
      </c>
    </row>
    <row r="922" spans="8:11" x14ac:dyDescent="0.2">
      <c r="H922" s="45">
        <f>PRODUCT('All-Servers'!D932,'All-Servers'!$K932)</f>
        <v>0</v>
      </c>
      <c r="I922" s="45">
        <f>PRODUCT('All-Servers'!E932,'All-Servers'!$K932)</f>
        <v>0</v>
      </c>
      <c r="J922" s="45">
        <f>PRODUCT('All-Servers'!F932,'All-Servers'!$K932)</f>
        <v>0</v>
      </c>
      <c r="K922" s="45">
        <f>PRODUCT('All-Servers'!G932,'All-Servers'!$K932)</f>
        <v>0</v>
      </c>
    </row>
    <row r="923" spans="8:11" x14ac:dyDescent="0.2">
      <c r="H923" s="45">
        <f>PRODUCT('All-Servers'!D933,'All-Servers'!$K933)</f>
        <v>0</v>
      </c>
      <c r="I923" s="45">
        <f>PRODUCT('All-Servers'!E933,'All-Servers'!$K933)</f>
        <v>0</v>
      </c>
      <c r="J923" s="45">
        <f>PRODUCT('All-Servers'!F933,'All-Servers'!$K933)</f>
        <v>0</v>
      </c>
      <c r="K923" s="45">
        <f>PRODUCT('All-Servers'!G933,'All-Servers'!$K933)</f>
        <v>0</v>
      </c>
    </row>
    <row r="924" spans="8:11" x14ac:dyDescent="0.2">
      <c r="H924" s="45">
        <f>PRODUCT('All-Servers'!D934,'All-Servers'!$K934)</f>
        <v>0</v>
      </c>
      <c r="I924" s="45">
        <f>PRODUCT('All-Servers'!E934,'All-Servers'!$K934)</f>
        <v>0</v>
      </c>
      <c r="J924" s="45">
        <f>PRODUCT('All-Servers'!F934,'All-Servers'!$K934)</f>
        <v>0</v>
      </c>
      <c r="K924" s="45">
        <f>PRODUCT('All-Servers'!G934,'All-Servers'!$K934)</f>
        <v>0</v>
      </c>
    </row>
    <row r="925" spans="8:11" x14ac:dyDescent="0.2">
      <c r="H925" s="45">
        <f>PRODUCT('All-Servers'!D935,'All-Servers'!$K935)</f>
        <v>0</v>
      </c>
      <c r="I925" s="45">
        <f>PRODUCT('All-Servers'!E935,'All-Servers'!$K935)</f>
        <v>0</v>
      </c>
      <c r="J925" s="45">
        <f>PRODUCT('All-Servers'!F935,'All-Servers'!$K935)</f>
        <v>0</v>
      </c>
      <c r="K925" s="45">
        <f>PRODUCT('All-Servers'!G935,'All-Servers'!$K935)</f>
        <v>0</v>
      </c>
    </row>
    <row r="926" spans="8:11" x14ac:dyDescent="0.2">
      <c r="H926" s="45">
        <f>PRODUCT('All-Servers'!D936,'All-Servers'!$K936)</f>
        <v>0</v>
      </c>
      <c r="I926" s="45">
        <f>PRODUCT('All-Servers'!E936,'All-Servers'!$K936)</f>
        <v>0</v>
      </c>
      <c r="J926" s="45">
        <f>PRODUCT('All-Servers'!F936,'All-Servers'!$K936)</f>
        <v>0</v>
      </c>
      <c r="K926" s="45">
        <f>PRODUCT('All-Servers'!G936,'All-Servers'!$K936)</f>
        <v>0</v>
      </c>
    </row>
    <row r="927" spans="8:11" x14ac:dyDescent="0.2">
      <c r="H927" s="45">
        <f>PRODUCT('All-Servers'!D937,'All-Servers'!$K937)</f>
        <v>0</v>
      </c>
      <c r="I927" s="45">
        <f>PRODUCT('All-Servers'!E937,'All-Servers'!$K937)</f>
        <v>0</v>
      </c>
      <c r="J927" s="45">
        <f>PRODUCT('All-Servers'!F937,'All-Servers'!$K937)</f>
        <v>0</v>
      </c>
      <c r="K927" s="45">
        <f>PRODUCT('All-Servers'!G937,'All-Servers'!$K937)</f>
        <v>0</v>
      </c>
    </row>
    <row r="928" spans="8:11" x14ac:dyDescent="0.2">
      <c r="H928" s="45">
        <f>PRODUCT('All-Servers'!D938,'All-Servers'!$K938)</f>
        <v>0</v>
      </c>
      <c r="I928" s="45">
        <f>PRODUCT('All-Servers'!E938,'All-Servers'!$K938)</f>
        <v>0</v>
      </c>
      <c r="J928" s="45">
        <f>PRODUCT('All-Servers'!F938,'All-Servers'!$K938)</f>
        <v>0</v>
      </c>
      <c r="K928" s="45">
        <f>PRODUCT('All-Servers'!G938,'All-Servers'!$K938)</f>
        <v>0</v>
      </c>
    </row>
    <row r="929" spans="8:11" x14ac:dyDescent="0.2">
      <c r="H929" s="45">
        <f>PRODUCT('All-Servers'!D939,'All-Servers'!$K939)</f>
        <v>0</v>
      </c>
      <c r="I929" s="45">
        <f>PRODUCT('All-Servers'!E939,'All-Servers'!$K939)</f>
        <v>0</v>
      </c>
      <c r="J929" s="45">
        <f>PRODUCT('All-Servers'!F939,'All-Servers'!$K939)</f>
        <v>0</v>
      </c>
      <c r="K929" s="45">
        <f>PRODUCT('All-Servers'!G939,'All-Servers'!$K939)</f>
        <v>0</v>
      </c>
    </row>
    <row r="930" spans="8:11" x14ac:dyDescent="0.2">
      <c r="H930" s="45">
        <f>PRODUCT('All-Servers'!D940,'All-Servers'!$K940)</f>
        <v>0</v>
      </c>
      <c r="I930" s="45">
        <f>PRODUCT('All-Servers'!E940,'All-Servers'!$K940)</f>
        <v>0</v>
      </c>
      <c r="J930" s="45">
        <f>PRODUCT('All-Servers'!F940,'All-Servers'!$K940)</f>
        <v>0</v>
      </c>
      <c r="K930" s="45">
        <f>PRODUCT('All-Servers'!G940,'All-Servers'!$K940)</f>
        <v>0</v>
      </c>
    </row>
    <row r="931" spans="8:11" x14ac:dyDescent="0.2">
      <c r="H931" s="45">
        <f>PRODUCT('All-Servers'!D941,'All-Servers'!$K941)</f>
        <v>0</v>
      </c>
      <c r="I931" s="45">
        <f>PRODUCT('All-Servers'!E941,'All-Servers'!$K941)</f>
        <v>0</v>
      </c>
      <c r="J931" s="45">
        <f>PRODUCT('All-Servers'!F941,'All-Servers'!$K941)</f>
        <v>0</v>
      </c>
      <c r="K931" s="45">
        <f>PRODUCT('All-Servers'!G941,'All-Servers'!$K941)</f>
        <v>0</v>
      </c>
    </row>
    <row r="932" spans="8:11" x14ac:dyDescent="0.2">
      <c r="H932" s="45">
        <f>PRODUCT('All-Servers'!D942,'All-Servers'!$K942)</f>
        <v>0</v>
      </c>
      <c r="I932" s="45">
        <f>PRODUCT('All-Servers'!E942,'All-Servers'!$K942)</f>
        <v>0</v>
      </c>
      <c r="J932" s="45">
        <f>PRODUCT('All-Servers'!F942,'All-Servers'!$K942)</f>
        <v>0</v>
      </c>
      <c r="K932" s="45">
        <f>PRODUCT('All-Servers'!G942,'All-Servers'!$K942)</f>
        <v>0</v>
      </c>
    </row>
    <row r="933" spans="8:11" x14ac:dyDescent="0.2">
      <c r="H933" s="45">
        <f>PRODUCT('All-Servers'!D943,'All-Servers'!$K943)</f>
        <v>0</v>
      </c>
      <c r="I933" s="45">
        <f>PRODUCT('All-Servers'!E943,'All-Servers'!$K943)</f>
        <v>0</v>
      </c>
      <c r="J933" s="45">
        <f>PRODUCT('All-Servers'!F943,'All-Servers'!$K943)</f>
        <v>0</v>
      </c>
      <c r="K933" s="45">
        <f>PRODUCT('All-Servers'!G943,'All-Servers'!$K943)</f>
        <v>0</v>
      </c>
    </row>
    <row r="934" spans="8:11" x14ac:dyDescent="0.2">
      <c r="H934" s="45">
        <f>PRODUCT('All-Servers'!D944,'All-Servers'!$K944)</f>
        <v>0</v>
      </c>
      <c r="I934" s="45">
        <f>PRODUCT('All-Servers'!E944,'All-Servers'!$K944)</f>
        <v>0</v>
      </c>
      <c r="J934" s="45">
        <f>PRODUCT('All-Servers'!F944,'All-Servers'!$K944)</f>
        <v>0</v>
      </c>
      <c r="K934" s="45">
        <f>PRODUCT('All-Servers'!G944,'All-Servers'!$K944)</f>
        <v>0</v>
      </c>
    </row>
    <row r="935" spans="8:11" x14ac:dyDescent="0.2">
      <c r="H935" s="45">
        <f>PRODUCT('All-Servers'!D945,'All-Servers'!$K945)</f>
        <v>0</v>
      </c>
      <c r="I935" s="45">
        <f>PRODUCT('All-Servers'!E945,'All-Servers'!$K945)</f>
        <v>0</v>
      </c>
      <c r="J935" s="45">
        <f>PRODUCT('All-Servers'!F945,'All-Servers'!$K945)</f>
        <v>0</v>
      </c>
      <c r="K935" s="45">
        <f>PRODUCT('All-Servers'!G945,'All-Servers'!$K945)</f>
        <v>0</v>
      </c>
    </row>
    <row r="936" spans="8:11" x14ac:dyDescent="0.2">
      <c r="H936" s="45">
        <f>PRODUCT('All-Servers'!D946,'All-Servers'!$K946)</f>
        <v>0</v>
      </c>
      <c r="I936" s="45">
        <f>PRODUCT('All-Servers'!E946,'All-Servers'!$K946)</f>
        <v>0</v>
      </c>
      <c r="J936" s="45">
        <f>PRODUCT('All-Servers'!F946,'All-Servers'!$K946)</f>
        <v>0</v>
      </c>
      <c r="K936" s="45">
        <f>PRODUCT('All-Servers'!G946,'All-Servers'!$K946)</f>
        <v>0</v>
      </c>
    </row>
    <row r="937" spans="8:11" x14ac:dyDescent="0.2">
      <c r="H937" s="45">
        <f>PRODUCT('All-Servers'!D947,'All-Servers'!$K947)</f>
        <v>0</v>
      </c>
      <c r="I937" s="45">
        <f>PRODUCT('All-Servers'!E947,'All-Servers'!$K947)</f>
        <v>0</v>
      </c>
      <c r="J937" s="45">
        <f>PRODUCT('All-Servers'!F947,'All-Servers'!$K947)</f>
        <v>0</v>
      </c>
      <c r="K937" s="45">
        <f>PRODUCT('All-Servers'!G947,'All-Servers'!$K947)</f>
        <v>0</v>
      </c>
    </row>
    <row r="938" spans="8:11" x14ac:dyDescent="0.2">
      <c r="H938" s="45">
        <f>PRODUCT('All-Servers'!D948,'All-Servers'!$K948)</f>
        <v>0</v>
      </c>
      <c r="I938" s="45">
        <f>PRODUCT('All-Servers'!E948,'All-Servers'!$K948)</f>
        <v>0</v>
      </c>
      <c r="J938" s="45">
        <f>PRODUCT('All-Servers'!F948,'All-Servers'!$K948)</f>
        <v>0</v>
      </c>
      <c r="K938" s="45">
        <f>PRODUCT('All-Servers'!G948,'All-Servers'!$K948)</f>
        <v>0</v>
      </c>
    </row>
    <row r="939" spans="8:11" x14ac:dyDescent="0.2">
      <c r="H939" s="45">
        <f>PRODUCT('All-Servers'!D949,'All-Servers'!$K949)</f>
        <v>0</v>
      </c>
      <c r="I939" s="45">
        <f>PRODUCT('All-Servers'!E949,'All-Servers'!$K949)</f>
        <v>0</v>
      </c>
      <c r="J939" s="45">
        <f>PRODUCT('All-Servers'!F949,'All-Servers'!$K949)</f>
        <v>0</v>
      </c>
      <c r="K939" s="45">
        <f>PRODUCT('All-Servers'!G949,'All-Servers'!$K949)</f>
        <v>0</v>
      </c>
    </row>
    <row r="940" spans="8:11" x14ac:dyDescent="0.2">
      <c r="H940" s="45">
        <f>PRODUCT('All-Servers'!D950,'All-Servers'!$K950)</f>
        <v>0</v>
      </c>
      <c r="I940" s="45">
        <f>PRODUCT('All-Servers'!E950,'All-Servers'!$K950)</f>
        <v>0</v>
      </c>
      <c r="J940" s="45">
        <f>PRODUCT('All-Servers'!F950,'All-Servers'!$K950)</f>
        <v>0</v>
      </c>
      <c r="K940" s="45">
        <f>PRODUCT('All-Servers'!G950,'All-Servers'!$K950)</f>
        <v>0</v>
      </c>
    </row>
    <row r="941" spans="8:11" x14ac:dyDescent="0.2">
      <c r="H941" s="45">
        <f>PRODUCT('All-Servers'!D951,'All-Servers'!$K951)</f>
        <v>0</v>
      </c>
      <c r="I941" s="45">
        <f>PRODUCT('All-Servers'!E951,'All-Servers'!$K951)</f>
        <v>0</v>
      </c>
      <c r="J941" s="45">
        <f>PRODUCT('All-Servers'!F951,'All-Servers'!$K951)</f>
        <v>0</v>
      </c>
      <c r="K941" s="45">
        <f>PRODUCT('All-Servers'!G951,'All-Servers'!$K951)</f>
        <v>0</v>
      </c>
    </row>
    <row r="942" spans="8:11" x14ac:dyDescent="0.2">
      <c r="H942" s="45">
        <f>PRODUCT('All-Servers'!D952,'All-Servers'!$K952)</f>
        <v>0</v>
      </c>
      <c r="I942" s="45">
        <f>PRODUCT('All-Servers'!E952,'All-Servers'!$K952)</f>
        <v>0</v>
      </c>
      <c r="J942" s="45">
        <f>PRODUCT('All-Servers'!F952,'All-Servers'!$K952)</f>
        <v>0</v>
      </c>
      <c r="K942" s="45">
        <f>PRODUCT('All-Servers'!G952,'All-Servers'!$K952)</f>
        <v>0</v>
      </c>
    </row>
    <row r="943" spans="8:11" x14ac:dyDescent="0.2">
      <c r="H943" s="45">
        <f>PRODUCT('All-Servers'!D953,'All-Servers'!$K953)</f>
        <v>0</v>
      </c>
      <c r="I943" s="45">
        <f>PRODUCT('All-Servers'!E953,'All-Servers'!$K953)</f>
        <v>0</v>
      </c>
      <c r="J943" s="45">
        <f>PRODUCT('All-Servers'!F953,'All-Servers'!$K953)</f>
        <v>0</v>
      </c>
      <c r="K943" s="45">
        <f>PRODUCT('All-Servers'!G953,'All-Servers'!$K953)</f>
        <v>0</v>
      </c>
    </row>
    <row r="944" spans="8:11" x14ac:dyDescent="0.2">
      <c r="H944" s="45">
        <f>PRODUCT('All-Servers'!D954,'All-Servers'!$K954)</f>
        <v>0</v>
      </c>
      <c r="I944" s="45">
        <f>PRODUCT('All-Servers'!E954,'All-Servers'!$K954)</f>
        <v>0</v>
      </c>
      <c r="J944" s="45">
        <f>PRODUCT('All-Servers'!F954,'All-Servers'!$K954)</f>
        <v>0</v>
      </c>
      <c r="K944" s="45">
        <f>PRODUCT('All-Servers'!G954,'All-Servers'!$K954)</f>
        <v>0</v>
      </c>
    </row>
    <row r="945" spans="8:11" x14ac:dyDescent="0.2">
      <c r="H945" s="45">
        <f>PRODUCT('All-Servers'!D955,'All-Servers'!$K955)</f>
        <v>0</v>
      </c>
      <c r="I945" s="45">
        <f>PRODUCT('All-Servers'!E955,'All-Servers'!$K955)</f>
        <v>0</v>
      </c>
      <c r="J945" s="45">
        <f>PRODUCT('All-Servers'!F955,'All-Servers'!$K955)</f>
        <v>0</v>
      </c>
      <c r="K945" s="45">
        <f>PRODUCT('All-Servers'!G955,'All-Servers'!$K955)</f>
        <v>0</v>
      </c>
    </row>
    <row r="946" spans="8:11" x14ac:dyDescent="0.2">
      <c r="H946" s="45">
        <f>PRODUCT('All-Servers'!D956,'All-Servers'!$K956)</f>
        <v>0</v>
      </c>
      <c r="I946" s="45">
        <f>PRODUCT('All-Servers'!E956,'All-Servers'!$K956)</f>
        <v>0</v>
      </c>
      <c r="J946" s="45">
        <f>PRODUCT('All-Servers'!F956,'All-Servers'!$K956)</f>
        <v>0</v>
      </c>
      <c r="K946" s="45">
        <f>PRODUCT('All-Servers'!G956,'All-Servers'!$K956)</f>
        <v>0</v>
      </c>
    </row>
    <row r="947" spans="8:11" x14ac:dyDescent="0.2">
      <c r="H947" s="45">
        <f>PRODUCT('All-Servers'!D957,'All-Servers'!$K957)</f>
        <v>0</v>
      </c>
      <c r="I947" s="45">
        <f>PRODUCT('All-Servers'!E957,'All-Servers'!$K957)</f>
        <v>0</v>
      </c>
      <c r="J947" s="45">
        <f>PRODUCT('All-Servers'!F957,'All-Servers'!$K957)</f>
        <v>0</v>
      </c>
      <c r="K947" s="45">
        <f>PRODUCT('All-Servers'!G957,'All-Servers'!$K957)</f>
        <v>0</v>
      </c>
    </row>
    <row r="948" spans="8:11" x14ac:dyDescent="0.2">
      <c r="H948" s="45">
        <f>PRODUCT('All-Servers'!D958,'All-Servers'!$K958)</f>
        <v>0</v>
      </c>
      <c r="I948" s="45">
        <f>PRODUCT('All-Servers'!E958,'All-Servers'!$K958)</f>
        <v>0</v>
      </c>
      <c r="J948" s="45">
        <f>PRODUCT('All-Servers'!F958,'All-Servers'!$K958)</f>
        <v>0</v>
      </c>
      <c r="K948" s="45">
        <f>PRODUCT('All-Servers'!G958,'All-Servers'!$K958)</f>
        <v>0</v>
      </c>
    </row>
    <row r="949" spans="8:11" x14ac:dyDescent="0.2">
      <c r="H949" s="45">
        <f>PRODUCT('All-Servers'!D959,'All-Servers'!$K959)</f>
        <v>0</v>
      </c>
      <c r="I949" s="45">
        <f>PRODUCT('All-Servers'!E959,'All-Servers'!$K959)</f>
        <v>0</v>
      </c>
      <c r="J949" s="45">
        <f>PRODUCT('All-Servers'!F959,'All-Servers'!$K959)</f>
        <v>0</v>
      </c>
      <c r="K949" s="45">
        <f>PRODUCT('All-Servers'!G959,'All-Servers'!$K959)</f>
        <v>0</v>
      </c>
    </row>
    <row r="950" spans="8:11" x14ac:dyDescent="0.2">
      <c r="H950" s="45">
        <f>PRODUCT('All-Servers'!D960,'All-Servers'!$K960)</f>
        <v>0</v>
      </c>
      <c r="I950" s="45">
        <f>PRODUCT('All-Servers'!E960,'All-Servers'!$K960)</f>
        <v>0</v>
      </c>
      <c r="J950" s="45">
        <f>PRODUCT('All-Servers'!F960,'All-Servers'!$K960)</f>
        <v>0</v>
      </c>
      <c r="K950" s="45">
        <f>PRODUCT('All-Servers'!G960,'All-Servers'!$K960)</f>
        <v>0</v>
      </c>
    </row>
    <row r="951" spans="8:11" x14ac:dyDescent="0.2">
      <c r="H951" s="45">
        <f>PRODUCT('All-Servers'!D961,'All-Servers'!$K961)</f>
        <v>0</v>
      </c>
      <c r="I951" s="45">
        <f>PRODUCT('All-Servers'!E961,'All-Servers'!$K961)</f>
        <v>0</v>
      </c>
      <c r="J951" s="45">
        <f>PRODUCT('All-Servers'!F961,'All-Servers'!$K961)</f>
        <v>0</v>
      </c>
      <c r="K951" s="45">
        <f>PRODUCT('All-Servers'!G961,'All-Servers'!$K961)</f>
        <v>0</v>
      </c>
    </row>
    <row r="952" spans="8:11" x14ac:dyDescent="0.2">
      <c r="H952" s="45">
        <f>PRODUCT('All-Servers'!D962,'All-Servers'!$K962)</f>
        <v>0</v>
      </c>
      <c r="I952" s="45">
        <f>PRODUCT('All-Servers'!E962,'All-Servers'!$K962)</f>
        <v>0</v>
      </c>
      <c r="J952" s="45">
        <f>PRODUCT('All-Servers'!F962,'All-Servers'!$K962)</f>
        <v>0</v>
      </c>
      <c r="K952" s="45">
        <f>PRODUCT('All-Servers'!G962,'All-Servers'!$K962)</f>
        <v>0</v>
      </c>
    </row>
    <row r="953" spans="8:11" x14ac:dyDescent="0.2">
      <c r="H953" s="45">
        <f>PRODUCT('All-Servers'!D963,'All-Servers'!$K963)</f>
        <v>0</v>
      </c>
      <c r="I953" s="45">
        <f>PRODUCT('All-Servers'!E963,'All-Servers'!$K963)</f>
        <v>0</v>
      </c>
      <c r="J953" s="45">
        <f>PRODUCT('All-Servers'!F963,'All-Servers'!$K963)</f>
        <v>0</v>
      </c>
      <c r="K953" s="45">
        <f>PRODUCT('All-Servers'!G963,'All-Servers'!$K963)</f>
        <v>0</v>
      </c>
    </row>
    <row r="954" spans="8:11" x14ac:dyDescent="0.2">
      <c r="H954" s="45">
        <f>PRODUCT('All-Servers'!D964,'All-Servers'!$K964)</f>
        <v>0</v>
      </c>
      <c r="I954" s="45">
        <f>PRODUCT('All-Servers'!E964,'All-Servers'!$K964)</f>
        <v>0</v>
      </c>
      <c r="J954" s="45">
        <f>PRODUCT('All-Servers'!F964,'All-Servers'!$K964)</f>
        <v>0</v>
      </c>
      <c r="K954" s="45">
        <f>PRODUCT('All-Servers'!G964,'All-Servers'!$K964)</f>
        <v>0</v>
      </c>
    </row>
    <row r="955" spans="8:11" x14ac:dyDescent="0.2">
      <c r="H955" s="45">
        <f>PRODUCT('All-Servers'!D965,'All-Servers'!$K965)</f>
        <v>0</v>
      </c>
      <c r="I955" s="45">
        <f>PRODUCT('All-Servers'!E965,'All-Servers'!$K965)</f>
        <v>0</v>
      </c>
      <c r="J955" s="45">
        <f>PRODUCT('All-Servers'!F965,'All-Servers'!$K965)</f>
        <v>0</v>
      </c>
      <c r="K955" s="45">
        <f>PRODUCT('All-Servers'!G965,'All-Servers'!$K965)</f>
        <v>0</v>
      </c>
    </row>
    <row r="956" spans="8:11" x14ac:dyDescent="0.2">
      <c r="H956" s="45">
        <f>PRODUCT('All-Servers'!D966,'All-Servers'!$K966)</f>
        <v>0</v>
      </c>
      <c r="I956" s="45">
        <f>PRODUCT('All-Servers'!E966,'All-Servers'!$K966)</f>
        <v>0</v>
      </c>
      <c r="J956" s="45">
        <f>PRODUCT('All-Servers'!F966,'All-Servers'!$K966)</f>
        <v>0</v>
      </c>
      <c r="K956" s="45">
        <f>PRODUCT('All-Servers'!G966,'All-Servers'!$K966)</f>
        <v>0</v>
      </c>
    </row>
    <row r="957" spans="8:11" x14ac:dyDescent="0.2">
      <c r="H957" s="45">
        <f>PRODUCT('All-Servers'!D967,'All-Servers'!$K967)</f>
        <v>0</v>
      </c>
      <c r="I957" s="45">
        <f>PRODUCT('All-Servers'!E967,'All-Servers'!$K967)</f>
        <v>0</v>
      </c>
      <c r="J957" s="45">
        <f>PRODUCT('All-Servers'!F967,'All-Servers'!$K967)</f>
        <v>0</v>
      </c>
      <c r="K957" s="45">
        <f>PRODUCT('All-Servers'!G967,'All-Servers'!$K967)</f>
        <v>0</v>
      </c>
    </row>
    <row r="958" spans="8:11" x14ac:dyDescent="0.2">
      <c r="H958" s="45">
        <f>PRODUCT('All-Servers'!D968,'All-Servers'!$K968)</f>
        <v>0</v>
      </c>
      <c r="I958" s="45">
        <f>PRODUCT('All-Servers'!E968,'All-Servers'!$K968)</f>
        <v>0</v>
      </c>
      <c r="J958" s="45">
        <f>PRODUCT('All-Servers'!F968,'All-Servers'!$K968)</f>
        <v>0</v>
      </c>
      <c r="K958" s="45">
        <f>PRODUCT('All-Servers'!G968,'All-Servers'!$K968)</f>
        <v>0</v>
      </c>
    </row>
    <row r="959" spans="8:11" x14ac:dyDescent="0.2">
      <c r="H959" s="45">
        <f>PRODUCT('All-Servers'!D969,'All-Servers'!$K969)</f>
        <v>0</v>
      </c>
      <c r="I959" s="45">
        <f>PRODUCT('All-Servers'!E969,'All-Servers'!$K969)</f>
        <v>0</v>
      </c>
      <c r="J959" s="45">
        <f>PRODUCT('All-Servers'!F969,'All-Servers'!$K969)</f>
        <v>0</v>
      </c>
      <c r="K959" s="45">
        <f>PRODUCT('All-Servers'!G969,'All-Servers'!$K969)</f>
        <v>0</v>
      </c>
    </row>
    <row r="960" spans="8:11" x14ac:dyDescent="0.2">
      <c r="H960" s="45">
        <f>PRODUCT('All-Servers'!D970,'All-Servers'!$K970)</f>
        <v>0</v>
      </c>
      <c r="I960" s="45">
        <f>PRODUCT('All-Servers'!E970,'All-Servers'!$K970)</f>
        <v>0</v>
      </c>
      <c r="J960" s="45">
        <f>PRODUCT('All-Servers'!F970,'All-Servers'!$K970)</f>
        <v>0</v>
      </c>
      <c r="K960" s="45">
        <f>PRODUCT('All-Servers'!G970,'All-Servers'!$K970)</f>
        <v>0</v>
      </c>
    </row>
    <row r="961" spans="8:11" x14ac:dyDescent="0.2">
      <c r="H961" s="45">
        <f>PRODUCT('All-Servers'!D971,'All-Servers'!$K971)</f>
        <v>0</v>
      </c>
      <c r="I961" s="45">
        <f>PRODUCT('All-Servers'!E971,'All-Servers'!$K971)</f>
        <v>0</v>
      </c>
      <c r="J961" s="45">
        <f>PRODUCT('All-Servers'!F971,'All-Servers'!$K971)</f>
        <v>0</v>
      </c>
      <c r="K961" s="45">
        <f>PRODUCT('All-Servers'!G971,'All-Servers'!$K971)</f>
        <v>0</v>
      </c>
    </row>
    <row r="962" spans="8:11" x14ac:dyDescent="0.2">
      <c r="H962" s="45">
        <f>PRODUCT('All-Servers'!D972,'All-Servers'!$K972)</f>
        <v>0</v>
      </c>
      <c r="I962" s="45">
        <f>PRODUCT('All-Servers'!E972,'All-Servers'!$K972)</f>
        <v>0</v>
      </c>
      <c r="J962" s="45">
        <f>PRODUCT('All-Servers'!F972,'All-Servers'!$K972)</f>
        <v>0</v>
      </c>
      <c r="K962" s="45">
        <f>PRODUCT('All-Servers'!G972,'All-Servers'!$K972)</f>
        <v>0</v>
      </c>
    </row>
    <row r="963" spans="8:11" x14ac:dyDescent="0.2">
      <c r="H963" s="45">
        <f>PRODUCT('All-Servers'!D973,'All-Servers'!$K973)</f>
        <v>0</v>
      </c>
      <c r="I963" s="45">
        <f>PRODUCT('All-Servers'!E973,'All-Servers'!$K973)</f>
        <v>0</v>
      </c>
      <c r="J963" s="45">
        <f>PRODUCT('All-Servers'!F973,'All-Servers'!$K973)</f>
        <v>0</v>
      </c>
      <c r="K963" s="45">
        <f>PRODUCT('All-Servers'!G973,'All-Servers'!$K973)</f>
        <v>0</v>
      </c>
    </row>
    <row r="964" spans="8:11" x14ac:dyDescent="0.2">
      <c r="H964" s="45">
        <f>PRODUCT('All-Servers'!D974,'All-Servers'!$K974)</f>
        <v>0</v>
      </c>
      <c r="I964" s="45">
        <f>PRODUCT('All-Servers'!E974,'All-Servers'!$K974)</f>
        <v>0</v>
      </c>
      <c r="J964" s="45">
        <f>PRODUCT('All-Servers'!F974,'All-Servers'!$K974)</f>
        <v>0</v>
      </c>
      <c r="K964" s="45">
        <f>PRODUCT('All-Servers'!G974,'All-Servers'!$K974)</f>
        <v>0</v>
      </c>
    </row>
    <row r="965" spans="8:11" x14ac:dyDescent="0.2">
      <c r="H965" s="45">
        <f>PRODUCT('All-Servers'!D975,'All-Servers'!$K975)</f>
        <v>0</v>
      </c>
      <c r="I965" s="45">
        <f>PRODUCT('All-Servers'!E975,'All-Servers'!$K975)</f>
        <v>0</v>
      </c>
      <c r="J965" s="45">
        <f>PRODUCT('All-Servers'!F975,'All-Servers'!$K975)</f>
        <v>0</v>
      </c>
      <c r="K965" s="45">
        <f>PRODUCT('All-Servers'!G975,'All-Servers'!$K975)</f>
        <v>0</v>
      </c>
    </row>
    <row r="966" spans="8:11" x14ac:dyDescent="0.2">
      <c r="H966" s="45">
        <f>PRODUCT('All-Servers'!D976,'All-Servers'!$K976)</f>
        <v>0</v>
      </c>
      <c r="I966" s="45">
        <f>PRODUCT('All-Servers'!E976,'All-Servers'!$K976)</f>
        <v>0</v>
      </c>
      <c r="J966" s="45">
        <f>PRODUCT('All-Servers'!F976,'All-Servers'!$K976)</f>
        <v>0</v>
      </c>
      <c r="K966" s="45">
        <f>PRODUCT('All-Servers'!G976,'All-Servers'!$K976)</f>
        <v>0</v>
      </c>
    </row>
    <row r="967" spans="8:11" x14ac:dyDescent="0.2">
      <c r="H967" s="45">
        <f>PRODUCT('All-Servers'!D977,'All-Servers'!$K977)</f>
        <v>0</v>
      </c>
      <c r="I967" s="45">
        <f>PRODUCT('All-Servers'!E977,'All-Servers'!$K977)</f>
        <v>0</v>
      </c>
      <c r="J967" s="45">
        <f>PRODUCT('All-Servers'!F977,'All-Servers'!$K977)</f>
        <v>0</v>
      </c>
      <c r="K967" s="45">
        <f>PRODUCT('All-Servers'!G977,'All-Servers'!$K977)</f>
        <v>0</v>
      </c>
    </row>
    <row r="968" spans="8:11" x14ac:dyDescent="0.2">
      <c r="H968" s="45">
        <f>PRODUCT('All-Servers'!D978,'All-Servers'!$K978)</f>
        <v>0</v>
      </c>
      <c r="I968" s="45">
        <f>PRODUCT('All-Servers'!E978,'All-Servers'!$K978)</f>
        <v>0</v>
      </c>
      <c r="J968" s="45">
        <f>PRODUCT('All-Servers'!F978,'All-Servers'!$K978)</f>
        <v>0</v>
      </c>
      <c r="K968" s="45">
        <f>PRODUCT('All-Servers'!G978,'All-Servers'!$K978)</f>
        <v>0</v>
      </c>
    </row>
    <row r="969" spans="8:11" x14ac:dyDescent="0.2">
      <c r="H969" s="45">
        <f>PRODUCT('All-Servers'!D979,'All-Servers'!$K979)</f>
        <v>0</v>
      </c>
      <c r="I969" s="45">
        <f>PRODUCT('All-Servers'!E979,'All-Servers'!$K979)</f>
        <v>0</v>
      </c>
      <c r="J969" s="45">
        <f>PRODUCT('All-Servers'!F979,'All-Servers'!$K979)</f>
        <v>0</v>
      </c>
      <c r="K969" s="45">
        <f>PRODUCT('All-Servers'!G979,'All-Servers'!$K979)</f>
        <v>0</v>
      </c>
    </row>
    <row r="970" spans="8:11" x14ac:dyDescent="0.2">
      <c r="H970" s="45">
        <f>PRODUCT('All-Servers'!D980,'All-Servers'!$K980)</f>
        <v>0</v>
      </c>
      <c r="I970" s="45">
        <f>PRODUCT('All-Servers'!E980,'All-Servers'!$K980)</f>
        <v>0</v>
      </c>
      <c r="J970" s="45">
        <f>PRODUCT('All-Servers'!F980,'All-Servers'!$K980)</f>
        <v>0</v>
      </c>
      <c r="K970" s="45">
        <f>PRODUCT('All-Servers'!G980,'All-Servers'!$K980)</f>
        <v>0</v>
      </c>
    </row>
    <row r="971" spans="8:11" x14ac:dyDescent="0.2">
      <c r="H971" s="45">
        <f>PRODUCT('All-Servers'!D981,'All-Servers'!$K981)</f>
        <v>0</v>
      </c>
      <c r="I971" s="45">
        <f>PRODUCT('All-Servers'!E981,'All-Servers'!$K981)</f>
        <v>0</v>
      </c>
      <c r="J971" s="45">
        <f>PRODUCT('All-Servers'!F981,'All-Servers'!$K981)</f>
        <v>0</v>
      </c>
      <c r="K971" s="45">
        <f>PRODUCT('All-Servers'!G981,'All-Servers'!$K981)</f>
        <v>0</v>
      </c>
    </row>
    <row r="972" spans="8:11" x14ac:dyDescent="0.2">
      <c r="H972" s="45">
        <f>PRODUCT('All-Servers'!D982,'All-Servers'!$K982)</f>
        <v>0</v>
      </c>
      <c r="I972" s="45">
        <f>PRODUCT('All-Servers'!E982,'All-Servers'!$K982)</f>
        <v>0</v>
      </c>
      <c r="J972" s="45">
        <f>PRODUCT('All-Servers'!F982,'All-Servers'!$K982)</f>
        <v>0</v>
      </c>
      <c r="K972" s="45">
        <f>PRODUCT('All-Servers'!G982,'All-Servers'!$K982)</f>
        <v>0</v>
      </c>
    </row>
    <row r="973" spans="8:11" x14ac:dyDescent="0.2">
      <c r="H973" s="45">
        <f>PRODUCT('All-Servers'!D983,'All-Servers'!$K983)</f>
        <v>0</v>
      </c>
      <c r="I973" s="45">
        <f>PRODUCT('All-Servers'!E983,'All-Servers'!$K983)</f>
        <v>0</v>
      </c>
      <c r="J973" s="45">
        <f>PRODUCT('All-Servers'!F983,'All-Servers'!$K983)</f>
        <v>0</v>
      </c>
      <c r="K973" s="45">
        <f>PRODUCT('All-Servers'!G983,'All-Servers'!$K983)</f>
        <v>0</v>
      </c>
    </row>
    <row r="974" spans="8:11" x14ac:dyDescent="0.2">
      <c r="H974" s="45">
        <f>PRODUCT('All-Servers'!D984,'All-Servers'!$K984)</f>
        <v>0</v>
      </c>
      <c r="I974" s="45">
        <f>PRODUCT('All-Servers'!E984,'All-Servers'!$K984)</f>
        <v>0</v>
      </c>
      <c r="J974" s="45">
        <f>PRODUCT('All-Servers'!F984,'All-Servers'!$K984)</f>
        <v>0</v>
      </c>
      <c r="K974" s="45">
        <f>PRODUCT('All-Servers'!G984,'All-Servers'!$K984)</f>
        <v>0</v>
      </c>
    </row>
    <row r="975" spans="8:11" x14ac:dyDescent="0.2">
      <c r="H975" s="45">
        <f>PRODUCT('All-Servers'!D985,'All-Servers'!$K985)</f>
        <v>0</v>
      </c>
      <c r="I975" s="45">
        <f>PRODUCT('All-Servers'!E985,'All-Servers'!$K985)</f>
        <v>0</v>
      </c>
      <c r="J975" s="45">
        <f>PRODUCT('All-Servers'!F985,'All-Servers'!$K985)</f>
        <v>0</v>
      </c>
      <c r="K975" s="45">
        <f>PRODUCT('All-Servers'!G985,'All-Servers'!$K985)</f>
        <v>0</v>
      </c>
    </row>
    <row r="976" spans="8:11" x14ac:dyDescent="0.2">
      <c r="H976" s="45">
        <f>PRODUCT('All-Servers'!D986,'All-Servers'!$K986)</f>
        <v>0</v>
      </c>
      <c r="I976" s="45">
        <f>PRODUCT('All-Servers'!E986,'All-Servers'!$K986)</f>
        <v>0</v>
      </c>
      <c r="J976" s="45">
        <f>PRODUCT('All-Servers'!F986,'All-Servers'!$K986)</f>
        <v>0</v>
      </c>
      <c r="K976" s="45">
        <f>PRODUCT('All-Servers'!G986,'All-Servers'!$K986)</f>
        <v>0</v>
      </c>
    </row>
    <row r="977" spans="8:11" x14ac:dyDescent="0.2">
      <c r="H977" s="45">
        <f>PRODUCT('All-Servers'!D987,'All-Servers'!$K987)</f>
        <v>0</v>
      </c>
      <c r="I977" s="45">
        <f>PRODUCT('All-Servers'!E987,'All-Servers'!$K987)</f>
        <v>0</v>
      </c>
      <c r="J977" s="45">
        <f>PRODUCT('All-Servers'!F987,'All-Servers'!$K987)</f>
        <v>0</v>
      </c>
      <c r="K977" s="45">
        <f>PRODUCT('All-Servers'!G987,'All-Servers'!$K987)</f>
        <v>0</v>
      </c>
    </row>
    <row r="978" spans="8:11" x14ac:dyDescent="0.2">
      <c r="H978" s="45">
        <f>PRODUCT('All-Servers'!D988,'All-Servers'!$K988)</f>
        <v>0</v>
      </c>
      <c r="I978" s="45">
        <f>PRODUCT('All-Servers'!E988,'All-Servers'!$K988)</f>
        <v>0</v>
      </c>
      <c r="J978" s="45">
        <f>PRODUCT('All-Servers'!F988,'All-Servers'!$K988)</f>
        <v>0</v>
      </c>
      <c r="K978" s="45">
        <f>PRODUCT('All-Servers'!G988,'All-Servers'!$K988)</f>
        <v>0</v>
      </c>
    </row>
    <row r="979" spans="8:11" x14ac:dyDescent="0.2">
      <c r="H979" s="45">
        <f>PRODUCT('All-Servers'!D989,'All-Servers'!$K989)</f>
        <v>0</v>
      </c>
      <c r="I979" s="45">
        <f>PRODUCT('All-Servers'!E989,'All-Servers'!$K989)</f>
        <v>0</v>
      </c>
      <c r="J979" s="45">
        <f>PRODUCT('All-Servers'!F989,'All-Servers'!$K989)</f>
        <v>0</v>
      </c>
      <c r="K979" s="45">
        <f>PRODUCT('All-Servers'!G989,'All-Servers'!$K989)</f>
        <v>0</v>
      </c>
    </row>
    <row r="980" spans="8:11" x14ac:dyDescent="0.2">
      <c r="H980" s="45">
        <f>PRODUCT('All-Servers'!D990,'All-Servers'!$K990)</f>
        <v>0</v>
      </c>
      <c r="I980" s="45">
        <f>PRODUCT('All-Servers'!E990,'All-Servers'!$K990)</f>
        <v>0</v>
      </c>
      <c r="J980" s="45">
        <f>PRODUCT('All-Servers'!F990,'All-Servers'!$K990)</f>
        <v>0</v>
      </c>
      <c r="K980" s="45">
        <f>PRODUCT('All-Servers'!G990,'All-Servers'!$K990)</f>
        <v>0</v>
      </c>
    </row>
    <row r="981" spans="8:11" x14ac:dyDescent="0.2">
      <c r="H981" s="45">
        <f>PRODUCT('All-Servers'!D991,'All-Servers'!$K991)</f>
        <v>0</v>
      </c>
      <c r="I981" s="45">
        <f>PRODUCT('All-Servers'!E991,'All-Servers'!$K991)</f>
        <v>0</v>
      </c>
      <c r="J981" s="45">
        <f>PRODUCT('All-Servers'!F991,'All-Servers'!$K991)</f>
        <v>0</v>
      </c>
      <c r="K981" s="45">
        <f>PRODUCT('All-Servers'!G991,'All-Servers'!$K991)</f>
        <v>0</v>
      </c>
    </row>
    <row r="982" spans="8:11" x14ac:dyDescent="0.2">
      <c r="H982" s="45">
        <f>PRODUCT('All-Servers'!D992,'All-Servers'!$K992)</f>
        <v>0</v>
      </c>
      <c r="I982" s="45">
        <f>PRODUCT('All-Servers'!E992,'All-Servers'!$K992)</f>
        <v>0</v>
      </c>
      <c r="J982" s="45">
        <f>PRODUCT('All-Servers'!F992,'All-Servers'!$K992)</f>
        <v>0</v>
      </c>
      <c r="K982" s="45">
        <f>PRODUCT('All-Servers'!G992,'All-Servers'!$K992)</f>
        <v>0</v>
      </c>
    </row>
    <row r="983" spans="8:11" x14ac:dyDescent="0.2">
      <c r="H983" s="45">
        <f>PRODUCT('All-Servers'!D993,'All-Servers'!$K993)</f>
        <v>0</v>
      </c>
      <c r="I983" s="45">
        <f>PRODUCT('All-Servers'!E993,'All-Servers'!$K993)</f>
        <v>0</v>
      </c>
      <c r="J983" s="45">
        <f>PRODUCT('All-Servers'!F993,'All-Servers'!$K993)</f>
        <v>0</v>
      </c>
      <c r="K983" s="45">
        <f>PRODUCT('All-Servers'!G993,'All-Servers'!$K993)</f>
        <v>0</v>
      </c>
    </row>
    <row r="984" spans="8:11" x14ac:dyDescent="0.2">
      <c r="H984" s="45">
        <f>PRODUCT('All-Servers'!D994,'All-Servers'!$K994)</f>
        <v>0</v>
      </c>
      <c r="I984" s="45">
        <f>PRODUCT('All-Servers'!E994,'All-Servers'!$K994)</f>
        <v>0</v>
      </c>
      <c r="J984" s="45">
        <f>PRODUCT('All-Servers'!F994,'All-Servers'!$K994)</f>
        <v>0</v>
      </c>
      <c r="K984" s="45">
        <f>PRODUCT('All-Servers'!G994,'All-Servers'!$K994)</f>
        <v>0</v>
      </c>
    </row>
    <row r="985" spans="8:11" x14ac:dyDescent="0.2">
      <c r="H985" s="45">
        <f>PRODUCT('All-Servers'!D995,'All-Servers'!$K995)</f>
        <v>0</v>
      </c>
      <c r="I985" s="45">
        <f>PRODUCT('All-Servers'!E995,'All-Servers'!$K995)</f>
        <v>0</v>
      </c>
      <c r="J985" s="45">
        <f>PRODUCT('All-Servers'!F995,'All-Servers'!$K995)</f>
        <v>0</v>
      </c>
      <c r="K985" s="45">
        <f>PRODUCT('All-Servers'!G995,'All-Servers'!$K995)</f>
        <v>0</v>
      </c>
    </row>
    <row r="986" spans="8:11" x14ac:dyDescent="0.2">
      <c r="H986" s="45">
        <f>PRODUCT('All-Servers'!D996,'All-Servers'!$K996)</f>
        <v>0</v>
      </c>
      <c r="I986" s="45">
        <f>PRODUCT('All-Servers'!E996,'All-Servers'!$K996)</f>
        <v>0</v>
      </c>
      <c r="J986" s="45">
        <f>PRODUCT('All-Servers'!F996,'All-Servers'!$K996)</f>
        <v>0</v>
      </c>
      <c r="K986" s="45">
        <f>PRODUCT('All-Servers'!G996,'All-Servers'!$K996)</f>
        <v>0</v>
      </c>
    </row>
    <row r="987" spans="8:11" x14ac:dyDescent="0.2">
      <c r="H987" s="45">
        <f>PRODUCT('All-Servers'!D997,'All-Servers'!$K997)</f>
        <v>0</v>
      </c>
      <c r="I987" s="45">
        <f>PRODUCT('All-Servers'!E997,'All-Servers'!$K997)</f>
        <v>0</v>
      </c>
      <c r="J987" s="45">
        <f>PRODUCT('All-Servers'!F997,'All-Servers'!$K997)</f>
        <v>0</v>
      </c>
      <c r="K987" s="45">
        <f>PRODUCT('All-Servers'!G997,'All-Servers'!$K997)</f>
        <v>0</v>
      </c>
    </row>
    <row r="988" spans="8:11" x14ac:dyDescent="0.2">
      <c r="H988" s="45">
        <f>PRODUCT('All-Servers'!D998,'All-Servers'!$K998)</f>
        <v>0</v>
      </c>
      <c r="I988" s="45">
        <f>PRODUCT('All-Servers'!E998,'All-Servers'!$K998)</f>
        <v>0</v>
      </c>
      <c r="J988" s="45">
        <f>PRODUCT('All-Servers'!F998,'All-Servers'!$K998)</f>
        <v>0</v>
      </c>
      <c r="K988" s="45">
        <f>PRODUCT('All-Servers'!G998,'All-Servers'!$K998)</f>
        <v>0</v>
      </c>
    </row>
    <row r="989" spans="8:11" x14ac:dyDescent="0.2">
      <c r="H989" s="45">
        <f>PRODUCT('All-Servers'!D999,'All-Servers'!$K999)</f>
        <v>0</v>
      </c>
      <c r="I989" s="45">
        <f>PRODUCT('All-Servers'!E999,'All-Servers'!$K999)</f>
        <v>0</v>
      </c>
      <c r="J989" s="45">
        <f>PRODUCT('All-Servers'!F999,'All-Servers'!$K999)</f>
        <v>0</v>
      </c>
      <c r="K989" s="45">
        <f>PRODUCT('All-Servers'!G999,'All-Servers'!$K999)</f>
        <v>0</v>
      </c>
    </row>
    <row r="990" spans="8:11" x14ac:dyDescent="0.2">
      <c r="H990" s="45">
        <f>PRODUCT('All-Servers'!D1000,'All-Servers'!$K1000)</f>
        <v>0</v>
      </c>
      <c r="I990" s="45">
        <f>PRODUCT('All-Servers'!E1000,'All-Servers'!$K1000)</f>
        <v>0</v>
      </c>
      <c r="J990" s="45">
        <f>PRODUCT('All-Servers'!F1000,'All-Servers'!$K1000)</f>
        <v>0</v>
      </c>
      <c r="K990" s="45">
        <f>PRODUCT('All-Servers'!G1000,'All-Servers'!$K1000)</f>
        <v>0</v>
      </c>
    </row>
    <row r="991" spans="8:11" x14ac:dyDescent="0.2">
      <c r="H991" s="45">
        <f>PRODUCT('All-Servers'!D1001,'All-Servers'!$K1001)</f>
        <v>0</v>
      </c>
      <c r="I991" s="45">
        <f>PRODUCT('All-Servers'!E1001,'All-Servers'!$K1001)</f>
        <v>0</v>
      </c>
      <c r="J991" s="45">
        <f>PRODUCT('All-Servers'!F1001,'All-Servers'!$K1001)</f>
        <v>0</v>
      </c>
      <c r="K991" s="45">
        <f>PRODUCT('All-Servers'!G1001,'All-Servers'!$K1001)</f>
        <v>0</v>
      </c>
    </row>
    <row r="992" spans="8:11" x14ac:dyDescent="0.2">
      <c r="H992" s="45">
        <f>PRODUCT('All-Servers'!D1002,'All-Servers'!$K1002)</f>
        <v>0</v>
      </c>
      <c r="I992" s="45">
        <f>PRODUCT('All-Servers'!E1002,'All-Servers'!$K1002)</f>
        <v>0</v>
      </c>
      <c r="J992" s="45">
        <f>PRODUCT('All-Servers'!F1002,'All-Servers'!$K1002)</f>
        <v>0</v>
      </c>
      <c r="K992" s="45">
        <f>PRODUCT('All-Servers'!G1002,'All-Servers'!$K1002)</f>
        <v>0</v>
      </c>
    </row>
    <row r="993" spans="8:11" x14ac:dyDescent="0.2">
      <c r="H993" s="45">
        <f>PRODUCT('All-Servers'!D1003,'All-Servers'!$K1003)</f>
        <v>0</v>
      </c>
      <c r="I993" s="45">
        <f>PRODUCT('All-Servers'!E1003,'All-Servers'!$K1003)</f>
        <v>0</v>
      </c>
      <c r="J993" s="45">
        <f>PRODUCT('All-Servers'!F1003,'All-Servers'!$K1003)</f>
        <v>0</v>
      </c>
      <c r="K993" s="45">
        <f>PRODUCT('All-Servers'!G1003,'All-Servers'!$K1003)</f>
        <v>0</v>
      </c>
    </row>
    <row r="994" spans="8:11" x14ac:dyDescent="0.2">
      <c r="H994" s="45">
        <f>PRODUCT('All-Servers'!D1004,'All-Servers'!$K1004)</f>
        <v>0</v>
      </c>
      <c r="I994" s="45">
        <f>PRODUCT('All-Servers'!E1004,'All-Servers'!$K1004)</f>
        <v>0</v>
      </c>
      <c r="J994" s="45">
        <f>PRODUCT('All-Servers'!F1004,'All-Servers'!$K1004)</f>
        <v>0</v>
      </c>
      <c r="K994" s="45">
        <f>PRODUCT('All-Servers'!G1004,'All-Servers'!$K1004)</f>
        <v>0</v>
      </c>
    </row>
    <row r="995" spans="8:11" x14ac:dyDescent="0.2">
      <c r="H995" s="45">
        <f>PRODUCT('All-Servers'!D1005,'All-Servers'!$K1005)</f>
        <v>0</v>
      </c>
      <c r="I995" s="45">
        <f>PRODUCT('All-Servers'!E1005,'All-Servers'!$K1005)</f>
        <v>0</v>
      </c>
      <c r="J995" s="45">
        <f>PRODUCT('All-Servers'!F1005,'All-Servers'!$K1005)</f>
        <v>0</v>
      </c>
      <c r="K995" s="45">
        <f>PRODUCT('All-Servers'!G1005,'All-Servers'!$K1005)</f>
        <v>0</v>
      </c>
    </row>
    <row r="996" spans="8:11" x14ac:dyDescent="0.2">
      <c r="H996" s="45">
        <f>PRODUCT('All-Servers'!D1006,'All-Servers'!$K1006)</f>
        <v>0</v>
      </c>
      <c r="I996" s="45">
        <f>PRODUCT('All-Servers'!E1006,'All-Servers'!$K1006)</f>
        <v>0</v>
      </c>
      <c r="J996" s="45">
        <f>PRODUCT('All-Servers'!F1006,'All-Servers'!$K1006)</f>
        <v>0</v>
      </c>
      <c r="K996" s="45">
        <f>PRODUCT('All-Servers'!G1006,'All-Servers'!$K1006)</f>
        <v>0</v>
      </c>
    </row>
    <row r="997" spans="8:11" x14ac:dyDescent="0.2">
      <c r="H997" s="45">
        <f>PRODUCT('All-Servers'!D1007,'All-Servers'!$K1007)</f>
        <v>0</v>
      </c>
      <c r="I997" s="45">
        <f>PRODUCT('All-Servers'!E1007,'All-Servers'!$K1007)</f>
        <v>0</v>
      </c>
      <c r="J997" s="45">
        <f>PRODUCT('All-Servers'!F1007,'All-Servers'!$K1007)</f>
        <v>0</v>
      </c>
      <c r="K997" s="45">
        <f>PRODUCT('All-Servers'!G1007,'All-Servers'!$K1007)</f>
        <v>0</v>
      </c>
    </row>
    <row r="998" spans="8:11" x14ac:dyDescent="0.2">
      <c r="H998" s="45">
        <f>PRODUCT('All-Servers'!D1008,'All-Servers'!$K1008)</f>
        <v>0</v>
      </c>
      <c r="I998" s="45">
        <f>PRODUCT('All-Servers'!E1008,'All-Servers'!$K1008)</f>
        <v>0</v>
      </c>
      <c r="J998" s="45">
        <f>PRODUCT('All-Servers'!F1008,'All-Servers'!$K1008)</f>
        <v>0</v>
      </c>
      <c r="K998" s="45">
        <f>PRODUCT('All-Servers'!G1008,'All-Servers'!$K1008)</f>
        <v>0</v>
      </c>
    </row>
    <row r="999" spans="8:11" x14ac:dyDescent="0.2">
      <c r="H999" s="45">
        <f>PRODUCT('All-Servers'!D1009,'All-Servers'!$K1009)</f>
        <v>0</v>
      </c>
      <c r="I999" s="45">
        <f>PRODUCT('All-Servers'!E1009,'All-Servers'!$K1009)</f>
        <v>0</v>
      </c>
      <c r="J999" s="45">
        <f>PRODUCT('All-Servers'!F1009,'All-Servers'!$K1009)</f>
        <v>0</v>
      </c>
      <c r="K999" s="45">
        <f>PRODUCT('All-Servers'!G1009,'All-Servers'!$K1009)</f>
        <v>0</v>
      </c>
    </row>
    <row r="1000" spans="8:11" x14ac:dyDescent="0.2">
      <c r="H1000" s="45">
        <f>PRODUCT('All-Servers'!D1010,'All-Servers'!$K1010)</f>
        <v>0</v>
      </c>
      <c r="I1000" s="45">
        <f>PRODUCT('All-Servers'!E1010,'All-Servers'!$K1010)</f>
        <v>0</v>
      </c>
      <c r="J1000" s="45">
        <f>PRODUCT('All-Servers'!F1010,'All-Servers'!$K1010)</f>
        <v>0</v>
      </c>
      <c r="K1000" s="45">
        <f>PRODUCT('All-Servers'!G1010,'All-Servers'!$K1010)</f>
        <v>0</v>
      </c>
    </row>
    <row r="1001" spans="8:11" x14ac:dyDescent="0.2">
      <c r="H1001" s="45">
        <f>PRODUCT('All-Servers'!D1011,'All-Servers'!$K1011)</f>
        <v>0</v>
      </c>
      <c r="I1001" s="45">
        <f>PRODUCT('All-Servers'!E1011,'All-Servers'!$K1011)</f>
        <v>0</v>
      </c>
      <c r="J1001" s="45">
        <f>PRODUCT('All-Servers'!F1011,'All-Servers'!$K1011)</f>
        <v>0</v>
      </c>
      <c r="K1001" s="45">
        <f>PRODUCT('All-Servers'!G1011,'All-Servers'!$K1011)</f>
        <v>0</v>
      </c>
    </row>
    <row r="1002" spans="8:11" x14ac:dyDescent="0.2">
      <c r="H1002" s="45">
        <f>PRODUCT('All-Servers'!D1012,'All-Servers'!$K1012)</f>
        <v>0</v>
      </c>
      <c r="I1002" s="45">
        <f>PRODUCT('All-Servers'!E1012,'All-Servers'!$K1012)</f>
        <v>0</v>
      </c>
      <c r="J1002" s="45">
        <f>PRODUCT('All-Servers'!F1012,'All-Servers'!$K1012)</f>
        <v>0</v>
      </c>
      <c r="K1002" s="45">
        <f>PRODUCT('All-Servers'!G1012,'All-Servers'!$K1012)</f>
        <v>0</v>
      </c>
    </row>
    <row r="1003" spans="8:11" x14ac:dyDescent="0.2">
      <c r="H1003" s="45">
        <f>PRODUCT('All-Servers'!D1013,'All-Servers'!$K1013)</f>
        <v>0</v>
      </c>
      <c r="I1003" s="45">
        <f>PRODUCT('All-Servers'!E1013,'All-Servers'!$K1013)</f>
        <v>0</v>
      </c>
      <c r="J1003" s="45">
        <f>PRODUCT('All-Servers'!F1013,'All-Servers'!$K1013)</f>
        <v>0</v>
      </c>
      <c r="K1003" s="45">
        <f>PRODUCT('All-Servers'!G1013,'All-Servers'!$K1013)</f>
        <v>0</v>
      </c>
    </row>
    <row r="1004" spans="8:11" x14ac:dyDescent="0.2">
      <c r="H1004" s="45">
        <f>PRODUCT('All-Servers'!D1014,'All-Servers'!$K1014)</f>
        <v>0</v>
      </c>
      <c r="I1004" s="45">
        <f>PRODUCT('All-Servers'!E1014,'All-Servers'!$K1014)</f>
        <v>0</v>
      </c>
      <c r="J1004" s="45">
        <f>PRODUCT('All-Servers'!F1014,'All-Servers'!$K1014)</f>
        <v>0</v>
      </c>
      <c r="K1004" s="45">
        <f>PRODUCT('All-Servers'!G1014,'All-Servers'!$K1014)</f>
        <v>0</v>
      </c>
    </row>
    <row r="1005" spans="8:11" x14ac:dyDescent="0.2">
      <c r="H1005" s="45">
        <f>PRODUCT('All-Servers'!D1015,'All-Servers'!$K1015)</f>
        <v>0</v>
      </c>
      <c r="I1005" s="45">
        <f>PRODUCT('All-Servers'!E1015,'All-Servers'!$K1015)</f>
        <v>0</v>
      </c>
      <c r="J1005" s="45">
        <f>PRODUCT('All-Servers'!F1015,'All-Servers'!$K1015)</f>
        <v>0</v>
      </c>
      <c r="K1005" s="45">
        <f>PRODUCT('All-Servers'!G1015,'All-Servers'!$K1015)</f>
        <v>0</v>
      </c>
    </row>
    <row r="1006" spans="8:11" x14ac:dyDescent="0.2">
      <c r="H1006" s="45">
        <f>PRODUCT('All-Servers'!D1016,'All-Servers'!$K1016)</f>
        <v>0</v>
      </c>
      <c r="I1006" s="45">
        <f>PRODUCT('All-Servers'!E1016,'All-Servers'!$K1016)</f>
        <v>0</v>
      </c>
      <c r="J1006" s="45">
        <f>PRODUCT('All-Servers'!F1016,'All-Servers'!$K1016)</f>
        <v>0</v>
      </c>
      <c r="K1006" s="45">
        <f>PRODUCT('All-Servers'!G1016,'All-Servers'!$K1016)</f>
        <v>0</v>
      </c>
    </row>
    <row r="1007" spans="8:11" x14ac:dyDescent="0.2">
      <c r="H1007" s="45">
        <f>PRODUCT('All-Servers'!D1017,'All-Servers'!$K1017)</f>
        <v>0</v>
      </c>
      <c r="I1007" s="45">
        <f>PRODUCT('All-Servers'!E1017,'All-Servers'!$K1017)</f>
        <v>0</v>
      </c>
      <c r="J1007" s="45">
        <f>PRODUCT('All-Servers'!F1017,'All-Servers'!$K1017)</f>
        <v>0</v>
      </c>
      <c r="K1007" s="45">
        <f>PRODUCT('All-Servers'!G1017,'All-Servers'!$K1017)</f>
        <v>0</v>
      </c>
    </row>
    <row r="1008" spans="8:11" x14ac:dyDescent="0.2">
      <c r="H1008" s="45">
        <f>PRODUCT('All-Servers'!D1018,'All-Servers'!$K1018)</f>
        <v>0</v>
      </c>
      <c r="I1008" s="45">
        <f>PRODUCT('All-Servers'!E1018,'All-Servers'!$K1018)</f>
        <v>0</v>
      </c>
      <c r="J1008" s="45">
        <f>PRODUCT('All-Servers'!F1018,'All-Servers'!$K1018)</f>
        <v>0</v>
      </c>
      <c r="K1008" s="45">
        <f>PRODUCT('All-Servers'!G1018,'All-Servers'!$K1018)</f>
        <v>0</v>
      </c>
    </row>
    <row r="1009" spans="8:11" x14ac:dyDescent="0.2">
      <c r="H1009" s="45">
        <f>PRODUCT('All-Servers'!D1019,'All-Servers'!$K1019)</f>
        <v>0</v>
      </c>
      <c r="I1009" s="45">
        <f>PRODUCT('All-Servers'!E1019,'All-Servers'!$K1019)</f>
        <v>0</v>
      </c>
      <c r="J1009" s="45">
        <f>PRODUCT('All-Servers'!F1019,'All-Servers'!$K1019)</f>
        <v>0</v>
      </c>
      <c r="K1009" s="45">
        <f>PRODUCT('All-Servers'!G1019,'All-Servers'!$K1019)</f>
        <v>0</v>
      </c>
    </row>
    <row r="1010" spans="8:11" x14ac:dyDescent="0.2">
      <c r="H1010" s="45">
        <f>PRODUCT('All-Servers'!D1020,'All-Servers'!$K1020)</f>
        <v>0</v>
      </c>
      <c r="I1010" s="45">
        <f>PRODUCT('All-Servers'!E1020,'All-Servers'!$K1020)</f>
        <v>0</v>
      </c>
      <c r="J1010" s="45">
        <f>PRODUCT('All-Servers'!F1020,'All-Servers'!$K1020)</f>
        <v>0</v>
      </c>
      <c r="K1010" s="45">
        <f>PRODUCT('All-Servers'!G1020,'All-Servers'!$K1020)</f>
        <v>0</v>
      </c>
    </row>
    <row r="1011" spans="8:11" x14ac:dyDescent="0.2">
      <c r="H1011" s="45">
        <f>PRODUCT('All-Servers'!D1021,'All-Servers'!$K1021)</f>
        <v>0</v>
      </c>
      <c r="I1011" s="45">
        <f>PRODUCT('All-Servers'!E1021,'All-Servers'!$K1021)</f>
        <v>0</v>
      </c>
      <c r="J1011" s="45">
        <f>PRODUCT('All-Servers'!F1021,'All-Servers'!$K1021)</f>
        <v>0</v>
      </c>
      <c r="K1011" s="45">
        <f>PRODUCT('All-Servers'!G1021,'All-Servers'!$K1021)</f>
        <v>0</v>
      </c>
    </row>
    <row r="1012" spans="8:11" x14ac:dyDescent="0.2">
      <c r="H1012" s="45">
        <f>PRODUCT('All-Servers'!D1022,'All-Servers'!$K1022)</f>
        <v>0</v>
      </c>
      <c r="I1012" s="45">
        <f>PRODUCT('All-Servers'!E1022,'All-Servers'!$K1022)</f>
        <v>0</v>
      </c>
      <c r="J1012" s="45">
        <f>PRODUCT('All-Servers'!F1022,'All-Servers'!$K1022)</f>
        <v>0</v>
      </c>
      <c r="K1012" s="45">
        <f>PRODUCT('All-Servers'!G1022,'All-Servers'!$K1022)</f>
        <v>0</v>
      </c>
    </row>
    <row r="1013" spans="8:11" x14ac:dyDescent="0.2">
      <c r="H1013" s="45">
        <f>PRODUCT('All-Servers'!D1023,'All-Servers'!$K1023)</f>
        <v>0</v>
      </c>
      <c r="I1013" s="45">
        <f>PRODUCT('All-Servers'!E1023,'All-Servers'!$K1023)</f>
        <v>0</v>
      </c>
      <c r="J1013" s="45">
        <f>PRODUCT('All-Servers'!F1023,'All-Servers'!$K1023)</f>
        <v>0</v>
      </c>
      <c r="K1013" s="45">
        <f>PRODUCT('All-Servers'!G1023,'All-Servers'!$K1023)</f>
        <v>0</v>
      </c>
    </row>
    <row r="1014" spans="8:11" x14ac:dyDescent="0.2">
      <c r="H1014" s="45">
        <f>PRODUCT('All-Servers'!D1024,'All-Servers'!$K1024)</f>
        <v>0</v>
      </c>
      <c r="I1014" s="45">
        <f>PRODUCT('All-Servers'!E1024,'All-Servers'!$K1024)</f>
        <v>0</v>
      </c>
      <c r="J1014" s="45">
        <f>PRODUCT('All-Servers'!F1024,'All-Servers'!$K1024)</f>
        <v>0</v>
      </c>
      <c r="K1014" s="45">
        <f>PRODUCT('All-Servers'!G1024,'All-Servers'!$K1024)</f>
        <v>0</v>
      </c>
    </row>
    <row r="1015" spans="8:11" x14ac:dyDescent="0.2">
      <c r="H1015" s="45">
        <f>PRODUCT('All-Servers'!D1025,'All-Servers'!$K1025)</f>
        <v>0</v>
      </c>
      <c r="I1015" s="45">
        <f>PRODUCT('All-Servers'!E1025,'All-Servers'!$K1025)</f>
        <v>0</v>
      </c>
      <c r="J1015" s="45">
        <f>PRODUCT('All-Servers'!F1025,'All-Servers'!$K1025)</f>
        <v>0</v>
      </c>
      <c r="K1015" s="45">
        <f>PRODUCT('All-Servers'!G1025,'All-Servers'!$K1025)</f>
        <v>0</v>
      </c>
    </row>
    <row r="1016" spans="8:11" x14ac:dyDescent="0.2">
      <c r="H1016" s="45">
        <f>PRODUCT('All-Servers'!D1026,'All-Servers'!$K1026)</f>
        <v>0</v>
      </c>
      <c r="I1016" s="45">
        <f>PRODUCT('All-Servers'!E1026,'All-Servers'!$K1026)</f>
        <v>0</v>
      </c>
      <c r="J1016" s="45">
        <f>PRODUCT('All-Servers'!F1026,'All-Servers'!$K1026)</f>
        <v>0</v>
      </c>
      <c r="K1016" s="45">
        <f>PRODUCT('All-Servers'!G1026,'All-Servers'!$K1026)</f>
        <v>0</v>
      </c>
    </row>
    <row r="1017" spans="8:11" x14ac:dyDescent="0.2">
      <c r="H1017" s="45">
        <f>PRODUCT('All-Servers'!D1027,'All-Servers'!$K1027)</f>
        <v>0</v>
      </c>
      <c r="I1017" s="45">
        <f>PRODUCT('All-Servers'!E1027,'All-Servers'!$K1027)</f>
        <v>0</v>
      </c>
      <c r="J1017" s="45">
        <f>PRODUCT('All-Servers'!F1027,'All-Servers'!$K1027)</f>
        <v>0</v>
      </c>
      <c r="K1017" s="45">
        <f>PRODUCT('All-Servers'!G1027,'All-Servers'!$K1027)</f>
        <v>0</v>
      </c>
    </row>
    <row r="1018" spans="8:11" x14ac:dyDescent="0.2">
      <c r="H1018" s="45">
        <f>PRODUCT('All-Servers'!D1028,'All-Servers'!$K1028)</f>
        <v>0</v>
      </c>
      <c r="I1018" s="45">
        <f>PRODUCT('All-Servers'!E1028,'All-Servers'!$K1028)</f>
        <v>0</v>
      </c>
      <c r="J1018" s="45">
        <f>PRODUCT('All-Servers'!F1028,'All-Servers'!$K1028)</f>
        <v>0</v>
      </c>
      <c r="K1018" s="45">
        <f>PRODUCT('All-Servers'!G1028,'All-Servers'!$K1028)</f>
        <v>0</v>
      </c>
    </row>
    <row r="1019" spans="8:11" x14ac:dyDescent="0.2">
      <c r="H1019" s="45">
        <f>PRODUCT('All-Servers'!D1029,'All-Servers'!$K1029)</f>
        <v>0</v>
      </c>
      <c r="I1019" s="45">
        <f>PRODUCT('All-Servers'!E1029,'All-Servers'!$K1029)</f>
        <v>0</v>
      </c>
      <c r="J1019" s="45">
        <f>PRODUCT('All-Servers'!F1029,'All-Servers'!$K1029)</f>
        <v>0</v>
      </c>
      <c r="K1019" s="45">
        <f>PRODUCT('All-Servers'!G1029,'All-Servers'!$K1029)</f>
        <v>0</v>
      </c>
    </row>
    <row r="1020" spans="8:11" x14ac:dyDescent="0.2">
      <c r="H1020" s="45">
        <f>PRODUCT('All-Servers'!D1030,'All-Servers'!$K1030)</f>
        <v>0</v>
      </c>
      <c r="I1020" s="45">
        <f>PRODUCT('All-Servers'!E1030,'All-Servers'!$K1030)</f>
        <v>0</v>
      </c>
      <c r="J1020" s="45">
        <f>PRODUCT('All-Servers'!F1030,'All-Servers'!$K1030)</f>
        <v>0</v>
      </c>
      <c r="K1020" s="45">
        <f>PRODUCT('All-Servers'!G1030,'All-Servers'!$K1030)</f>
        <v>0</v>
      </c>
    </row>
    <row r="1021" spans="8:11" x14ac:dyDescent="0.2">
      <c r="H1021" s="45">
        <f>PRODUCT('All-Servers'!D1031,'All-Servers'!$K1031)</f>
        <v>0</v>
      </c>
      <c r="I1021" s="45">
        <f>PRODUCT('All-Servers'!E1031,'All-Servers'!$K1031)</f>
        <v>0</v>
      </c>
      <c r="J1021" s="45">
        <f>PRODUCT('All-Servers'!F1031,'All-Servers'!$K1031)</f>
        <v>0</v>
      </c>
      <c r="K1021" s="45">
        <f>PRODUCT('All-Servers'!G1031,'All-Servers'!$K1031)</f>
        <v>0</v>
      </c>
    </row>
    <row r="1022" spans="8:11" x14ac:dyDescent="0.2">
      <c r="H1022" s="45">
        <f>PRODUCT('All-Servers'!D1032,'All-Servers'!$K1032)</f>
        <v>0</v>
      </c>
      <c r="I1022" s="45">
        <f>PRODUCT('All-Servers'!E1032,'All-Servers'!$K1032)</f>
        <v>0</v>
      </c>
      <c r="J1022" s="45">
        <f>PRODUCT('All-Servers'!F1032,'All-Servers'!$K1032)</f>
        <v>0</v>
      </c>
      <c r="K1022" s="45">
        <f>PRODUCT('All-Servers'!G1032,'All-Servers'!$K1032)</f>
        <v>0</v>
      </c>
    </row>
    <row r="1023" spans="8:11" x14ac:dyDescent="0.2">
      <c r="H1023" s="45">
        <f>PRODUCT('All-Servers'!D1033,'All-Servers'!$K1033)</f>
        <v>0</v>
      </c>
      <c r="I1023" s="45">
        <f>PRODUCT('All-Servers'!E1033,'All-Servers'!$K1033)</f>
        <v>0</v>
      </c>
      <c r="J1023" s="45">
        <f>PRODUCT('All-Servers'!F1033,'All-Servers'!$K1033)</f>
        <v>0</v>
      </c>
      <c r="K1023" s="45">
        <f>PRODUCT('All-Servers'!G1033,'All-Servers'!$K1033)</f>
        <v>0</v>
      </c>
    </row>
    <row r="1024" spans="8:11" x14ac:dyDescent="0.2">
      <c r="H1024" s="45">
        <f>PRODUCT('All-Servers'!D1034,'All-Servers'!$K1034)</f>
        <v>0</v>
      </c>
      <c r="I1024" s="45">
        <f>PRODUCT('All-Servers'!E1034,'All-Servers'!$K1034)</f>
        <v>0</v>
      </c>
      <c r="J1024" s="45">
        <f>PRODUCT('All-Servers'!F1034,'All-Servers'!$K1034)</f>
        <v>0</v>
      </c>
      <c r="K1024" s="45">
        <f>PRODUCT('All-Servers'!G1034,'All-Servers'!$K1034)</f>
        <v>0</v>
      </c>
    </row>
    <row r="1025" spans="8:11" x14ac:dyDescent="0.2">
      <c r="H1025" s="45">
        <f>PRODUCT('All-Servers'!D1035,'All-Servers'!$K1035)</f>
        <v>0</v>
      </c>
      <c r="I1025" s="45">
        <f>PRODUCT('All-Servers'!E1035,'All-Servers'!$K1035)</f>
        <v>0</v>
      </c>
      <c r="J1025" s="45">
        <f>PRODUCT('All-Servers'!F1035,'All-Servers'!$K1035)</f>
        <v>0</v>
      </c>
      <c r="K1025" s="45">
        <f>PRODUCT('All-Servers'!G1035,'All-Servers'!$K1035)</f>
        <v>0</v>
      </c>
    </row>
    <row r="1026" spans="8:11" x14ac:dyDescent="0.2">
      <c r="H1026" s="45">
        <f>PRODUCT('All-Servers'!D1036,'All-Servers'!$K1036)</f>
        <v>0</v>
      </c>
      <c r="I1026" s="45">
        <f>PRODUCT('All-Servers'!E1036,'All-Servers'!$K1036)</f>
        <v>0</v>
      </c>
      <c r="J1026" s="45">
        <f>PRODUCT('All-Servers'!F1036,'All-Servers'!$K1036)</f>
        <v>0</v>
      </c>
      <c r="K1026" s="45">
        <f>PRODUCT('All-Servers'!G1036,'All-Servers'!$K1036)</f>
        <v>0</v>
      </c>
    </row>
    <row r="1027" spans="8:11" x14ac:dyDescent="0.2">
      <c r="H1027" s="45">
        <f>PRODUCT('All-Servers'!D1037,'All-Servers'!$K1037)</f>
        <v>0</v>
      </c>
      <c r="I1027" s="45">
        <f>PRODUCT('All-Servers'!E1037,'All-Servers'!$K1037)</f>
        <v>0</v>
      </c>
      <c r="J1027" s="45">
        <f>PRODUCT('All-Servers'!F1037,'All-Servers'!$K1037)</f>
        <v>0</v>
      </c>
      <c r="K1027" s="45">
        <f>PRODUCT('All-Servers'!G1037,'All-Servers'!$K1037)</f>
        <v>0</v>
      </c>
    </row>
    <row r="1028" spans="8:11" x14ac:dyDescent="0.2">
      <c r="H1028" s="45">
        <f>PRODUCT('All-Servers'!D1038,'All-Servers'!$K1038)</f>
        <v>0</v>
      </c>
      <c r="I1028" s="45">
        <f>PRODUCT('All-Servers'!E1038,'All-Servers'!$K1038)</f>
        <v>0</v>
      </c>
      <c r="J1028" s="45">
        <f>PRODUCT('All-Servers'!F1038,'All-Servers'!$K1038)</f>
        <v>0</v>
      </c>
      <c r="K1028" s="45">
        <f>PRODUCT('All-Servers'!G1038,'All-Servers'!$K1038)</f>
        <v>0</v>
      </c>
    </row>
    <row r="1029" spans="8:11" x14ac:dyDescent="0.2">
      <c r="H1029" s="45">
        <f>PRODUCT('All-Servers'!D1039,'All-Servers'!$K1039)</f>
        <v>0</v>
      </c>
      <c r="I1029" s="45">
        <f>PRODUCT('All-Servers'!E1039,'All-Servers'!$K1039)</f>
        <v>0</v>
      </c>
      <c r="J1029" s="45">
        <f>PRODUCT('All-Servers'!F1039,'All-Servers'!$K1039)</f>
        <v>0</v>
      </c>
      <c r="K1029" s="45">
        <f>PRODUCT('All-Servers'!G1039,'All-Servers'!$K1039)</f>
        <v>0</v>
      </c>
    </row>
    <row r="1030" spans="8:11" x14ac:dyDescent="0.2">
      <c r="H1030" s="45">
        <f>PRODUCT('All-Servers'!D1040,'All-Servers'!$K1040)</f>
        <v>0</v>
      </c>
      <c r="I1030" s="45">
        <f>PRODUCT('All-Servers'!E1040,'All-Servers'!$K1040)</f>
        <v>0</v>
      </c>
      <c r="J1030" s="45">
        <f>PRODUCT('All-Servers'!F1040,'All-Servers'!$K1040)</f>
        <v>0</v>
      </c>
      <c r="K1030" s="45">
        <f>PRODUCT('All-Servers'!G1040,'All-Servers'!$K1040)</f>
        <v>0</v>
      </c>
    </row>
    <row r="1031" spans="8:11" x14ac:dyDescent="0.2">
      <c r="H1031" s="45">
        <f>PRODUCT('All-Servers'!D1041,'All-Servers'!$K1041)</f>
        <v>0</v>
      </c>
      <c r="I1031" s="45">
        <f>PRODUCT('All-Servers'!E1041,'All-Servers'!$K1041)</f>
        <v>0</v>
      </c>
      <c r="J1031" s="45">
        <f>PRODUCT('All-Servers'!F1041,'All-Servers'!$K1041)</f>
        <v>0</v>
      </c>
      <c r="K1031" s="45">
        <f>PRODUCT('All-Servers'!G1041,'All-Servers'!$K1041)</f>
        <v>0</v>
      </c>
    </row>
    <row r="1032" spans="8:11" x14ac:dyDescent="0.2">
      <c r="H1032" s="45">
        <f>PRODUCT('All-Servers'!D1042,'All-Servers'!$K1042)</f>
        <v>0</v>
      </c>
      <c r="I1032" s="45">
        <f>PRODUCT('All-Servers'!E1042,'All-Servers'!$K1042)</f>
        <v>0</v>
      </c>
      <c r="J1032" s="45">
        <f>PRODUCT('All-Servers'!F1042,'All-Servers'!$K1042)</f>
        <v>0</v>
      </c>
      <c r="K1032" s="45">
        <f>PRODUCT('All-Servers'!G1042,'All-Servers'!$K1042)</f>
        <v>0</v>
      </c>
    </row>
    <row r="1033" spans="8:11" x14ac:dyDescent="0.2">
      <c r="H1033" s="45">
        <f>PRODUCT('All-Servers'!D1043,'All-Servers'!$K1043)</f>
        <v>0</v>
      </c>
      <c r="I1033" s="45">
        <f>PRODUCT('All-Servers'!E1043,'All-Servers'!$K1043)</f>
        <v>0</v>
      </c>
      <c r="J1033" s="45">
        <f>PRODUCT('All-Servers'!F1043,'All-Servers'!$K1043)</f>
        <v>0</v>
      </c>
      <c r="K1033" s="45">
        <f>PRODUCT('All-Servers'!G1043,'All-Servers'!$K1043)</f>
        <v>0</v>
      </c>
    </row>
    <row r="1034" spans="8:11" x14ac:dyDescent="0.2">
      <c r="H1034" s="45">
        <f>PRODUCT('All-Servers'!D1044,'All-Servers'!$K1044)</f>
        <v>0</v>
      </c>
      <c r="I1034" s="45">
        <f>PRODUCT('All-Servers'!E1044,'All-Servers'!$K1044)</f>
        <v>0</v>
      </c>
      <c r="J1034" s="45">
        <f>PRODUCT('All-Servers'!F1044,'All-Servers'!$K1044)</f>
        <v>0</v>
      </c>
      <c r="K1034" s="45">
        <f>PRODUCT('All-Servers'!G1044,'All-Servers'!$K1044)</f>
        <v>0</v>
      </c>
    </row>
    <row r="1035" spans="8:11" x14ac:dyDescent="0.2">
      <c r="H1035" s="45">
        <f>PRODUCT('All-Servers'!D1045,'All-Servers'!$K1045)</f>
        <v>0</v>
      </c>
      <c r="I1035" s="45">
        <f>PRODUCT('All-Servers'!E1045,'All-Servers'!$K1045)</f>
        <v>0</v>
      </c>
      <c r="J1035" s="45">
        <f>PRODUCT('All-Servers'!F1045,'All-Servers'!$K1045)</f>
        <v>0</v>
      </c>
      <c r="K1035" s="45">
        <f>PRODUCT('All-Servers'!G1045,'All-Servers'!$K1045)</f>
        <v>0</v>
      </c>
    </row>
    <row r="1036" spans="8:11" x14ac:dyDescent="0.2">
      <c r="H1036" s="45">
        <f>PRODUCT('All-Servers'!D1046,'All-Servers'!$K1046)</f>
        <v>0</v>
      </c>
      <c r="I1036" s="45">
        <f>PRODUCT('All-Servers'!E1046,'All-Servers'!$K1046)</f>
        <v>0</v>
      </c>
      <c r="J1036" s="45">
        <f>PRODUCT('All-Servers'!F1046,'All-Servers'!$K1046)</f>
        <v>0</v>
      </c>
      <c r="K1036" s="45">
        <f>PRODUCT('All-Servers'!G1046,'All-Servers'!$K1046)</f>
        <v>0</v>
      </c>
    </row>
    <row r="1037" spans="8:11" x14ac:dyDescent="0.2">
      <c r="H1037" s="45">
        <f>PRODUCT('All-Servers'!D1047,'All-Servers'!$K1047)</f>
        <v>0</v>
      </c>
      <c r="I1037" s="45">
        <f>PRODUCT('All-Servers'!E1047,'All-Servers'!$K1047)</f>
        <v>0</v>
      </c>
      <c r="J1037" s="45">
        <f>PRODUCT('All-Servers'!F1047,'All-Servers'!$K1047)</f>
        <v>0</v>
      </c>
      <c r="K1037" s="45">
        <f>PRODUCT('All-Servers'!G1047,'All-Servers'!$K1047)</f>
        <v>0</v>
      </c>
    </row>
    <row r="1038" spans="8:11" x14ac:dyDescent="0.2">
      <c r="H1038" s="45">
        <f>PRODUCT('All-Servers'!D1048,'All-Servers'!$K1048)</f>
        <v>0</v>
      </c>
      <c r="I1038" s="45">
        <f>PRODUCT('All-Servers'!E1048,'All-Servers'!$K1048)</f>
        <v>0</v>
      </c>
      <c r="J1038" s="45">
        <f>PRODUCT('All-Servers'!F1048,'All-Servers'!$K1048)</f>
        <v>0</v>
      </c>
      <c r="K1038" s="45">
        <f>PRODUCT('All-Servers'!G1048,'All-Servers'!$K1048)</f>
        <v>0</v>
      </c>
    </row>
    <row r="1039" spans="8:11" x14ac:dyDescent="0.2">
      <c r="H1039" s="45">
        <f>PRODUCT('All-Servers'!D1049,'All-Servers'!$K1049)</f>
        <v>0</v>
      </c>
      <c r="I1039" s="45">
        <f>PRODUCT('All-Servers'!E1049,'All-Servers'!$K1049)</f>
        <v>0</v>
      </c>
      <c r="J1039" s="45">
        <f>PRODUCT('All-Servers'!F1049,'All-Servers'!$K1049)</f>
        <v>0</v>
      </c>
      <c r="K1039" s="45">
        <f>PRODUCT('All-Servers'!G1049,'All-Servers'!$K1049)</f>
        <v>0</v>
      </c>
    </row>
    <row r="1040" spans="8:11" x14ac:dyDescent="0.2">
      <c r="H1040" s="45">
        <f>PRODUCT('All-Servers'!D1050,'All-Servers'!$K1050)</f>
        <v>0</v>
      </c>
      <c r="I1040" s="45">
        <f>PRODUCT('All-Servers'!E1050,'All-Servers'!$K1050)</f>
        <v>0</v>
      </c>
      <c r="J1040" s="45">
        <f>PRODUCT('All-Servers'!F1050,'All-Servers'!$K1050)</f>
        <v>0</v>
      </c>
      <c r="K1040" s="45">
        <f>PRODUCT('All-Servers'!G1050,'All-Servers'!$K1050)</f>
        <v>0</v>
      </c>
    </row>
    <row r="1041" spans="8:11" x14ac:dyDescent="0.2">
      <c r="H1041" s="45">
        <f>PRODUCT('All-Servers'!D1051,'All-Servers'!$K1051)</f>
        <v>0</v>
      </c>
      <c r="I1041" s="45">
        <f>PRODUCT('All-Servers'!E1051,'All-Servers'!$K1051)</f>
        <v>0</v>
      </c>
      <c r="J1041" s="45">
        <f>PRODUCT('All-Servers'!F1051,'All-Servers'!$K1051)</f>
        <v>0</v>
      </c>
      <c r="K1041" s="45">
        <f>PRODUCT('All-Servers'!G1051,'All-Servers'!$K1051)</f>
        <v>0</v>
      </c>
    </row>
    <row r="1042" spans="8:11" x14ac:dyDescent="0.2">
      <c r="H1042" s="45">
        <f>PRODUCT('All-Servers'!D1052,'All-Servers'!$K1052)</f>
        <v>0</v>
      </c>
      <c r="I1042" s="45">
        <f>PRODUCT('All-Servers'!E1052,'All-Servers'!$K1052)</f>
        <v>0</v>
      </c>
      <c r="J1042" s="45">
        <f>PRODUCT('All-Servers'!F1052,'All-Servers'!$K1052)</f>
        <v>0</v>
      </c>
      <c r="K1042" s="45">
        <f>PRODUCT('All-Servers'!G1052,'All-Servers'!$K1052)</f>
        <v>0</v>
      </c>
    </row>
    <row r="1043" spans="8:11" x14ac:dyDescent="0.2">
      <c r="H1043" s="45">
        <f>PRODUCT('All-Servers'!D1053,'All-Servers'!$K1053)</f>
        <v>0</v>
      </c>
      <c r="I1043" s="45">
        <f>PRODUCT('All-Servers'!E1053,'All-Servers'!$K1053)</f>
        <v>0</v>
      </c>
      <c r="J1043" s="45">
        <f>PRODUCT('All-Servers'!F1053,'All-Servers'!$K1053)</f>
        <v>0</v>
      </c>
      <c r="K1043" s="45">
        <f>PRODUCT('All-Servers'!G1053,'All-Servers'!$K1053)</f>
        <v>0</v>
      </c>
    </row>
    <row r="1044" spans="8:11" x14ac:dyDescent="0.2">
      <c r="H1044" s="45">
        <f>PRODUCT('All-Servers'!D1054,'All-Servers'!$K1054)</f>
        <v>0</v>
      </c>
      <c r="I1044" s="45">
        <f>PRODUCT('All-Servers'!E1054,'All-Servers'!$K1054)</f>
        <v>0</v>
      </c>
      <c r="J1044" s="45">
        <f>PRODUCT('All-Servers'!F1054,'All-Servers'!$K1054)</f>
        <v>0</v>
      </c>
      <c r="K1044" s="45">
        <f>PRODUCT('All-Servers'!G1054,'All-Servers'!$K1054)</f>
        <v>0</v>
      </c>
    </row>
    <row r="1045" spans="8:11" x14ac:dyDescent="0.2">
      <c r="H1045" s="45">
        <f>PRODUCT('All-Servers'!D1055,'All-Servers'!$K1055)</f>
        <v>0</v>
      </c>
      <c r="I1045" s="45">
        <f>PRODUCT('All-Servers'!E1055,'All-Servers'!$K1055)</f>
        <v>0</v>
      </c>
      <c r="J1045" s="45">
        <f>PRODUCT('All-Servers'!F1055,'All-Servers'!$K1055)</f>
        <v>0</v>
      </c>
      <c r="K1045" s="45">
        <f>PRODUCT('All-Servers'!G1055,'All-Servers'!$K1055)</f>
        <v>0</v>
      </c>
    </row>
    <row r="1046" spans="8:11" x14ac:dyDescent="0.2">
      <c r="H1046" s="45">
        <f>PRODUCT('All-Servers'!D1056,'All-Servers'!$K1056)</f>
        <v>0</v>
      </c>
      <c r="I1046" s="45">
        <f>PRODUCT('All-Servers'!E1056,'All-Servers'!$K1056)</f>
        <v>0</v>
      </c>
      <c r="J1046" s="45">
        <f>PRODUCT('All-Servers'!F1056,'All-Servers'!$K1056)</f>
        <v>0</v>
      </c>
      <c r="K1046" s="45">
        <f>PRODUCT('All-Servers'!G1056,'All-Servers'!$K1056)</f>
        <v>0</v>
      </c>
    </row>
    <row r="1047" spans="8:11" x14ac:dyDescent="0.2">
      <c r="H1047" s="45">
        <f>PRODUCT('All-Servers'!D1057,'All-Servers'!$K1057)</f>
        <v>0</v>
      </c>
      <c r="I1047" s="45">
        <f>PRODUCT('All-Servers'!E1057,'All-Servers'!$K1057)</f>
        <v>0</v>
      </c>
      <c r="J1047" s="45">
        <f>PRODUCT('All-Servers'!F1057,'All-Servers'!$K1057)</f>
        <v>0</v>
      </c>
      <c r="K1047" s="45">
        <f>PRODUCT('All-Servers'!G1057,'All-Servers'!$K1057)</f>
        <v>0</v>
      </c>
    </row>
    <row r="1048" spans="8:11" x14ac:dyDescent="0.2">
      <c r="H1048" s="45">
        <f>PRODUCT('All-Servers'!D1058,'All-Servers'!$K1058)</f>
        <v>0</v>
      </c>
      <c r="I1048" s="45">
        <f>PRODUCT('All-Servers'!E1058,'All-Servers'!$K1058)</f>
        <v>0</v>
      </c>
      <c r="J1048" s="45">
        <f>PRODUCT('All-Servers'!F1058,'All-Servers'!$K1058)</f>
        <v>0</v>
      </c>
      <c r="K1048" s="45">
        <f>PRODUCT('All-Servers'!G1058,'All-Servers'!$K1058)</f>
        <v>0</v>
      </c>
    </row>
    <row r="1049" spans="8:11" x14ac:dyDescent="0.2">
      <c r="H1049" s="45">
        <f>PRODUCT('All-Servers'!D1059,'All-Servers'!$K1059)</f>
        <v>0</v>
      </c>
      <c r="I1049" s="45">
        <f>PRODUCT('All-Servers'!E1059,'All-Servers'!$K1059)</f>
        <v>0</v>
      </c>
      <c r="J1049" s="45">
        <f>PRODUCT('All-Servers'!F1059,'All-Servers'!$K1059)</f>
        <v>0</v>
      </c>
      <c r="K1049" s="45">
        <f>PRODUCT('All-Servers'!G1059,'All-Servers'!$K1059)</f>
        <v>0</v>
      </c>
    </row>
    <row r="1050" spans="8:11" x14ac:dyDescent="0.2">
      <c r="H1050" s="45">
        <f>PRODUCT('All-Servers'!D1060,'All-Servers'!$K1060)</f>
        <v>0</v>
      </c>
      <c r="I1050" s="45">
        <f>PRODUCT('All-Servers'!E1060,'All-Servers'!$K1060)</f>
        <v>0</v>
      </c>
      <c r="J1050" s="45">
        <f>PRODUCT('All-Servers'!F1060,'All-Servers'!$K1060)</f>
        <v>0</v>
      </c>
      <c r="K1050" s="45">
        <f>PRODUCT('All-Servers'!G1060,'All-Servers'!$K1060)</f>
        <v>0</v>
      </c>
    </row>
    <row r="1051" spans="8:11" x14ac:dyDescent="0.2">
      <c r="H1051" s="45">
        <f>PRODUCT('All-Servers'!D1061,'All-Servers'!$K1061)</f>
        <v>0</v>
      </c>
      <c r="I1051" s="45">
        <f>PRODUCT('All-Servers'!E1061,'All-Servers'!$K1061)</f>
        <v>0</v>
      </c>
      <c r="J1051" s="45">
        <f>PRODUCT('All-Servers'!F1061,'All-Servers'!$K1061)</f>
        <v>0</v>
      </c>
      <c r="K1051" s="45">
        <f>PRODUCT('All-Servers'!G1061,'All-Servers'!$K1061)</f>
        <v>0</v>
      </c>
    </row>
    <row r="1052" spans="8:11" x14ac:dyDescent="0.2">
      <c r="H1052" s="45">
        <f>PRODUCT('All-Servers'!D1062,'All-Servers'!$K1062)</f>
        <v>0</v>
      </c>
      <c r="I1052" s="45">
        <f>PRODUCT('All-Servers'!E1062,'All-Servers'!$K1062)</f>
        <v>0</v>
      </c>
      <c r="J1052" s="45">
        <f>PRODUCT('All-Servers'!F1062,'All-Servers'!$K1062)</f>
        <v>0</v>
      </c>
      <c r="K1052" s="45">
        <f>PRODUCT('All-Servers'!G1062,'All-Servers'!$K1062)</f>
        <v>0</v>
      </c>
    </row>
    <row r="1053" spans="8:11" x14ac:dyDescent="0.2">
      <c r="H1053" s="45">
        <f>PRODUCT('All-Servers'!D1063,'All-Servers'!$K1063)</f>
        <v>0</v>
      </c>
      <c r="I1053" s="45">
        <f>PRODUCT('All-Servers'!E1063,'All-Servers'!$K1063)</f>
        <v>0</v>
      </c>
      <c r="J1053" s="45">
        <f>PRODUCT('All-Servers'!F1063,'All-Servers'!$K1063)</f>
        <v>0</v>
      </c>
      <c r="K1053" s="45">
        <f>PRODUCT('All-Servers'!G1063,'All-Servers'!$K1063)</f>
        <v>0</v>
      </c>
    </row>
    <row r="1054" spans="8:11" x14ac:dyDescent="0.2">
      <c r="H1054" s="45">
        <f>PRODUCT('All-Servers'!D1064,'All-Servers'!$K1064)</f>
        <v>0</v>
      </c>
      <c r="I1054" s="45">
        <f>PRODUCT('All-Servers'!E1064,'All-Servers'!$K1064)</f>
        <v>0</v>
      </c>
      <c r="J1054" s="45">
        <f>PRODUCT('All-Servers'!F1064,'All-Servers'!$K1064)</f>
        <v>0</v>
      </c>
      <c r="K1054" s="45">
        <f>PRODUCT('All-Servers'!G1064,'All-Servers'!$K1064)</f>
        <v>0</v>
      </c>
    </row>
    <row r="1055" spans="8:11" x14ac:dyDescent="0.2">
      <c r="H1055" s="45">
        <f>PRODUCT('All-Servers'!D1065,'All-Servers'!$K1065)</f>
        <v>0</v>
      </c>
      <c r="I1055" s="45">
        <f>PRODUCT('All-Servers'!E1065,'All-Servers'!$K1065)</f>
        <v>0</v>
      </c>
      <c r="J1055" s="45">
        <f>PRODUCT('All-Servers'!F1065,'All-Servers'!$K1065)</f>
        <v>0</v>
      </c>
      <c r="K1055" s="45">
        <f>PRODUCT('All-Servers'!G1065,'All-Servers'!$K1065)</f>
        <v>0</v>
      </c>
    </row>
    <row r="1056" spans="8:11" x14ac:dyDescent="0.2">
      <c r="H1056" s="45">
        <f>PRODUCT('All-Servers'!D1066,'All-Servers'!$K1066)</f>
        <v>0</v>
      </c>
      <c r="I1056" s="45">
        <f>PRODUCT('All-Servers'!E1066,'All-Servers'!$K1066)</f>
        <v>0</v>
      </c>
      <c r="J1056" s="45">
        <f>PRODUCT('All-Servers'!F1066,'All-Servers'!$K1066)</f>
        <v>0</v>
      </c>
      <c r="K1056" s="45">
        <f>PRODUCT('All-Servers'!G1066,'All-Servers'!$K1066)</f>
        <v>0</v>
      </c>
    </row>
    <row r="1057" spans="8:11" x14ac:dyDescent="0.2">
      <c r="H1057" s="45">
        <f>PRODUCT('All-Servers'!D1067,'All-Servers'!$K1067)</f>
        <v>0</v>
      </c>
      <c r="I1057" s="45">
        <f>PRODUCT('All-Servers'!E1067,'All-Servers'!$K1067)</f>
        <v>0</v>
      </c>
      <c r="J1057" s="45">
        <f>PRODUCT('All-Servers'!F1067,'All-Servers'!$K1067)</f>
        <v>0</v>
      </c>
      <c r="K1057" s="45">
        <f>PRODUCT('All-Servers'!G1067,'All-Servers'!$K1067)</f>
        <v>0</v>
      </c>
    </row>
    <row r="1058" spans="8:11" x14ac:dyDescent="0.2">
      <c r="H1058" s="45">
        <f>PRODUCT('All-Servers'!D1068,'All-Servers'!$K1068)</f>
        <v>0</v>
      </c>
      <c r="I1058" s="45">
        <f>PRODUCT('All-Servers'!E1068,'All-Servers'!$K1068)</f>
        <v>0</v>
      </c>
      <c r="J1058" s="45">
        <f>PRODUCT('All-Servers'!F1068,'All-Servers'!$K1068)</f>
        <v>0</v>
      </c>
      <c r="K1058" s="45">
        <f>PRODUCT('All-Servers'!G1068,'All-Servers'!$K1068)</f>
        <v>0</v>
      </c>
    </row>
    <row r="1059" spans="8:11" x14ac:dyDescent="0.2">
      <c r="H1059" s="45">
        <f>PRODUCT('All-Servers'!D1069,'All-Servers'!$K1069)</f>
        <v>0</v>
      </c>
      <c r="I1059" s="45">
        <f>PRODUCT('All-Servers'!E1069,'All-Servers'!$K1069)</f>
        <v>0</v>
      </c>
      <c r="J1059" s="45">
        <f>PRODUCT('All-Servers'!F1069,'All-Servers'!$K1069)</f>
        <v>0</v>
      </c>
      <c r="K1059" s="45">
        <f>PRODUCT('All-Servers'!G1069,'All-Servers'!$K1069)</f>
        <v>0</v>
      </c>
    </row>
    <row r="1060" spans="8:11" x14ac:dyDescent="0.2">
      <c r="H1060" s="45">
        <f>PRODUCT('All-Servers'!D1070,'All-Servers'!$K1070)</f>
        <v>0</v>
      </c>
      <c r="I1060" s="45">
        <f>PRODUCT('All-Servers'!E1070,'All-Servers'!$K1070)</f>
        <v>0</v>
      </c>
      <c r="J1060" s="45">
        <f>PRODUCT('All-Servers'!F1070,'All-Servers'!$K1070)</f>
        <v>0</v>
      </c>
      <c r="K1060" s="45">
        <f>PRODUCT('All-Servers'!G1070,'All-Servers'!$K1070)</f>
        <v>0</v>
      </c>
    </row>
    <row r="1061" spans="8:11" x14ac:dyDescent="0.2">
      <c r="H1061" s="45">
        <f>PRODUCT('All-Servers'!D1071,'All-Servers'!$K1071)</f>
        <v>0</v>
      </c>
      <c r="I1061" s="45">
        <f>PRODUCT('All-Servers'!E1071,'All-Servers'!$K1071)</f>
        <v>0</v>
      </c>
      <c r="J1061" s="45">
        <f>PRODUCT('All-Servers'!F1071,'All-Servers'!$K1071)</f>
        <v>0</v>
      </c>
      <c r="K1061" s="45">
        <f>PRODUCT('All-Servers'!G1071,'All-Servers'!$K1071)</f>
        <v>0</v>
      </c>
    </row>
    <row r="1062" spans="8:11" x14ac:dyDescent="0.2">
      <c r="H1062" s="45">
        <f>PRODUCT('All-Servers'!D1072,'All-Servers'!$K1072)</f>
        <v>0</v>
      </c>
      <c r="I1062" s="45">
        <f>PRODUCT('All-Servers'!E1072,'All-Servers'!$K1072)</f>
        <v>0</v>
      </c>
      <c r="J1062" s="45">
        <f>PRODUCT('All-Servers'!F1072,'All-Servers'!$K1072)</f>
        <v>0</v>
      </c>
      <c r="K1062" s="45">
        <f>PRODUCT('All-Servers'!G1072,'All-Servers'!$K1072)</f>
        <v>0</v>
      </c>
    </row>
    <row r="1063" spans="8:11" x14ac:dyDescent="0.2">
      <c r="H1063" s="45">
        <f>PRODUCT('All-Servers'!D1073,'All-Servers'!$K1073)</f>
        <v>0</v>
      </c>
      <c r="I1063" s="45">
        <f>PRODUCT('All-Servers'!E1073,'All-Servers'!$K1073)</f>
        <v>0</v>
      </c>
      <c r="J1063" s="45">
        <f>PRODUCT('All-Servers'!F1073,'All-Servers'!$K1073)</f>
        <v>0</v>
      </c>
      <c r="K1063" s="45">
        <f>PRODUCT('All-Servers'!G1073,'All-Servers'!$K1073)</f>
        <v>0</v>
      </c>
    </row>
    <row r="1064" spans="8:11" x14ac:dyDescent="0.2">
      <c r="H1064" s="45">
        <f>PRODUCT('All-Servers'!D1074,'All-Servers'!$K1074)</f>
        <v>0</v>
      </c>
      <c r="I1064" s="45">
        <f>PRODUCT('All-Servers'!E1074,'All-Servers'!$K1074)</f>
        <v>0</v>
      </c>
      <c r="J1064" s="45">
        <f>PRODUCT('All-Servers'!F1074,'All-Servers'!$K1074)</f>
        <v>0</v>
      </c>
      <c r="K1064" s="45">
        <f>PRODUCT('All-Servers'!G1074,'All-Servers'!$K1074)</f>
        <v>0</v>
      </c>
    </row>
    <row r="1065" spans="8:11" x14ac:dyDescent="0.2">
      <c r="H1065" s="45">
        <f>PRODUCT('All-Servers'!D1075,'All-Servers'!$K1075)</f>
        <v>0</v>
      </c>
      <c r="I1065" s="45">
        <f>PRODUCT('All-Servers'!E1075,'All-Servers'!$K1075)</f>
        <v>0</v>
      </c>
      <c r="J1065" s="45">
        <f>PRODUCT('All-Servers'!F1075,'All-Servers'!$K1075)</f>
        <v>0</v>
      </c>
      <c r="K1065" s="45">
        <f>PRODUCT('All-Servers'!G1075,'All-Servers'!$K1075)</f>
        <v>0</v>
      </c>
    </row>
    <row r="1066" spans="8:11" x14ac:dyDescent="0.2">
      <c r="H1066" s="45">
        <f>PRODUCT('All-Servers'!D1076,'All-Servers'!$K1076)</f>
        <v>0</v>
      </c>
      <c r="I1066" s="45">
        <f>PRODUCT('All-Servers'!E1076,'All-Servers'!$K1076)</f>
        <v>0</v>
      </c>
      <c r="J1066" s="45">
        <f>PRODUCT('All-Servers'!F1076,'All-Servers'!$K1076)</f>
        <v>0</v>
      </c>
      <c r="K1066" s="45">
        <f>PRODUCT('All-Servers'!G1076,'All-Servers'!$K1076)</f>
        <v>0</v>
      </c>
    </row>
    <row r="1067" spans="8:11" x14ac:dyDescent="0.2">
      <c r="H1067" s="45">
        <f>PRODUCT('All-Servers'!D1077,'All-Servers'!$K1077)</f>
        <v>0</v>
      </c>
      <c r="I1067" s="45">
        <f>PRODUCT('All-Servers'!E1077,'All-Servers'!$K1077)</f>
        <v>0</v>
      </c>
      <c r="J1067" s="45">
        <f>PRODUCT('All-Servers'!F1077,'All-Servers'!$K1077)</f>
        <v>0</v>
      </c>
      <c r="K1067" s="45">
        <f>PRODUCT('All-Servers'!G1077,'All-Servers'!$K1077)</f>
        <v>0</v>
      </c>
    </row>
    <row r="1068" spans="8:11" x14ac:dyDescent="0.2">
      <c r="H1068" s="45">
        <f>PRODUCT('All-Servers'!D1078,'All-Servers'!$K1078)</f>
        <v>0</v>
      </c>
      <c r="I1068" s="45">
        <f>PRODUCT('All-Servers'!E1078,'All-Servers'!$K1078)</f>
        <v>0</v>
      </c>
      <c r="J1068" s="45">
        <f>PRODUCT('All-Servers'!F1078,'All-Servers'!$K1078)</f>
        <v>0</v>
      </c>
      <c r="K1068" s="45">
        <f>PRODUCT('All-Servers'!G1078,'All-Servers'!$K1078)</f>
        <v>0</v>
      </c>
    </row>
    <row r="1069" spans="8:11" x14ac:dyDescent="0.2">
      <c r="H1069" s="45">
        <f>PRODUCT('All-Servers'!D1079,'All-Servers'!$K1079)</f>
        <v>0</v>
      </c>
      <c r="I1069" s="45">
        <f>PRODUCT('All-Servers'!E1079,'All-Servers'!$K1079)</f>
        <v>0</v>
      </c>
      <c r="J1069" s="45">
        <f>PRODUCT('All-Servers'!F1079,'All-Servers'!$K1079)</f>
        <v>0</v>
      </c>
      <c r="K1069" s="45">
        <f>PRODUCT('All-Servers'!G1079,'All-Servers'!$K1079)</f>
        <v>0</v>
      </c>
    </row>
    <row r="1070" spans="8:11" x14ac:dyDescent="0.2">
      <c r="H1070" s="45">
        <f>PRODUCT('All-Servers'!D1080,'All-Servers'!$K1080)</f>
        <v>0</v>
      </c>
      <c r="I1070" s="45">
        <f>PRODUCT('All-Servers'!E1080,'All-Servers'!$K1080)</f>
        <v>0</v>
      </c>
      <c r="J1070" s="45">
        <f>PRODUCT('All-Servers'!F1080,'All-Servers'!$K1080)</f>
        <v>0</v>
      </c>
      <c r="K1070" s="45">
        <f>PRODUCT('All-Servers'!G1080,'All-Servers'!$K1080)</f>
        <v>0</v>
      </c>
    </row>
    <row r="1071" spans="8:11" x14ac:dyDescent="0.2">
      <c r="H1071" s="45">
        <f>PRODUCT('All-Servers'!D1081,'All-Servers'!$K1081)</f>
        <v>0</v>
      </c>
      <c r="I1071" s="45">
        <f>PRODUCT('All-Servers'!E1081,'All-Servers'!$K1081)</f>
        <v>0</v>
      </c>
      <c r="J1071" s="45">
        <f>PRODUCT('All-Servers'!F1081,'All-Servers'!$K1081)</f>
        <v>0</v>
      </c>
      <c r="K1071" s="45">
        <f>PRODUCT('All-Servers'!G1081,'All-Servers'!$K1081)</f>
        <v>0</v>
      </c>
    </row>
    <row r="1072" spans="8:11" x14ac:dyDescent="0.2">
      <c r="H1072" s="45">
        <f>PRODUCT('All-Servers'!D1082,'All-Servers'!$K1082)</f>
        <v>0</v>
      </c>
      <c r="I1072" s="45">
        <f>PRODUCT('All-Servers'!E1082,'All-Servers'!$K1082)</f>
        <v>0</v>
      </c>
      <c r="J1072" s="45">
        <f>PRODUCT('All-Servers'!F1082,'All-Servers'!$K1082)</f>
        <v>0</v>
      </c>
      <c r="K1072" s="45">
        <f>PRODUCT('All-Servers'!G1082,'All-Servers'!$K1082)</f>
        <v>0</v>
      </c>
    </row>
    <row r="1073" spans="8:11" x14ac:dyDescent="0.2">
      <c r="H1073" s="45">
        <f>PRODUCT('All-Servers'!D1083,'All-Servers'!$K1083)</f>
        <v>0</v>
      </c>
      <c r="I1073" s="45">
        <f>PRODUCT('All-Servers'!E1083,'All-Servers'!$K1083)</f>
        <v>0</v>
      </c>
      <c r="J1073" s="45">
        <f>PRODUCT('All-Servers'!F1083,'All-Servers'!$K1083)</f>
        <v>0</v>
      </c>
      <c r="K1073" s="45">
        <f>PRODUCT('All-Servers'!G1083,'All-Servers'!$K1083)</f>
        <v>0</v>
      </c>
    </row>
    <row r="1074" spans="8:11" x14ac:dyDescent="0.2">
      <c r="H1074" s="45">
        <f>PRODUCT('All-Servers'!D1084,'All-Servers'!$K1084)</f>
        <v>0</v>
      </c>
      <c r="I1074" s="45">
        <f>PRODUCT('All-Servers'!E1084,'All-Servers'!$K1084)</f>
        <v>0</v>
      </c>
      <c r="J1074" s="45">
        <f>PRODUCT('All-Servers'!F1084,'All-Servers'!$K1084)</f>
        <v>0</v>
      </c>
      <c r="K1074" s="45">
        <f>PRODUCT('All-Servers'!G1084,'All-Servers'!$K1084)</f>
        <v>0</v>
      </c>
    </row>
    <row r="1075" spans="8:11" x14ac:dyDescent="0.2">
      <c r="H1075" s="45">
        <f>PRODUCT('All-Servers'!D1085,'All-Servers'!$K1085)</f>
        <v>0</v>
      </c>
      <c r="I1075" s="45">
        <f>PRODUCT('All-Servers'!E1085,'All-Servers'!$K1085)</f>
        <v>0</v>
      </c>
      <c r="J1075" s="45">
        <f>PRODUCT('All-Servers'!F1085,'All-Servers'!$K1085)</f>
        <v>0</v>
      </c>
      <c r="K1075" s="45">
        <f>PRODUCT('All-Servers'!G1085,'All-Servers'!$K1085)</f>
        <v>0</v>
      </c>
    </row>
    <row r="1076" spans="8:11" x14ac:dyDescent="0.2">
      <c r="H1076" s="45">
        <f>PRODUCT('All-Servers'!D1086,'All-Servers'!$K1086)</f>
        <v>0</v>
      </c>
      <c r="I1076" s="45">
        <f>PRODUCT('All-Servers'!E1086,'All-Servers'!$K1086)</f>
        <v>0</v>
      </c>
      <c r="J1076" s="45">
        <f>PRODUCT('All-Servers'!F1086,'All-Servers'!$K1086)</f>
        <v>0</v>
      </c>
      <c r="K1076" s="45">
        <f>PRODUCT('All-Servers'!G1086,'All-Servers'!$K1086)</f>
        <v>0</v>
      </c>
    </row>
    <row r="1077" spans="8:11" x14ac:dyDescent="0.2">
      <c r="H1077" s="45">
        <f>PRODUCT('All-Servers'!D1087,'All-Servers'!$K1087)</f>
        <v>0</v>
      </c>
      <c r="I1077" s="45">
        <f>PRODUCT('All-Servers'!E1087,'All-Servers'!$K1087)</f>
        <v>0</v>
      </c>
      <c r="J1077" s="45">
        <f>PRODUCT('All-Servers'!F1087,'All-Servers'!$K1087)</f>
        <v>0</v>
      </c>
      <c r="K1077" s="45">
        <f>PRODUCT('All-Servers'!G1087,'All-Servers'!$K1087)</f>
        <v>0</v>
      </c>
    </row>
    <row r="1078" spans="8:11" x14ac:dyDescent="0.2">
      <c r="H1078" s="45">
        <f>PRODUCT('All-Servers'!D1088,'All-Servers'!$K1088)</f>
        <v>0</v>
      </c>
      <c r="I1078" s="45">
        <f>PRODUCT('All-Servers'!E1088,'All-Servers'!$K1088)</f>
        <v>0</v>
      </c>
      <c r="J1078" s="45">
        <f>PRODUCT('All-Servers'!F1088,'All-Servers'!$K1088)</f>
        <v>0</v>
      </c>
      <c r="K1078" s="45">
        <f>PRODUCT('All-Servers'!G1088,'All-Servers'!$K1088)</f>
        <v>0</v>
      </c>
    </row>
    <row r="1079" spans="8:11" x14ac:dyDescent="0.2">
      <c r="H1079" s="45">
        <f>PRODUCT('All-Servers'!D1089,'All-Servers'!$K1089)</f>
        <v>0</v>
      </c>
      <c r="I1079" s="45">
        <f>PRODUCT('All-Servers'!E1089,'All-Servers'!$K1089)</f>
        <v>0</v>
      </c>
      <c r="J1079" s="45">
        <f>PRODUCT('All-Servers'!F1089,'All-Servers'!$K1089)</f>
        <v>0</v>
      </c>
      <c r="K1079" s="45">
        <f>PRODUCT('All-Servers'!G1089,'All-Servers'!$K1089)</f>
        <v>0</v>
      </c>
    </row>
    <row r="1080" spans="8:11" x14ac:dyDescent="0.2">
      <c r="H1080" s="45">
        <f>PRODUCT('All-Servers'!D1090,'All-Servers'!$K1090)</f>
        <v>0</v>
      </c>
      <c r="I1080" s="45">
        <f>PRODUCT('All-Servers'!E1090,'All-Servers'!$K1090)</f>
        <v>0</v>
      </c>
      <c r="J1080" s="45">
        <f>PRODUCT('All-Servers'!F1090,'All-Servers'!$K1090)</f>
        <v>0</v>
      </c>
      <c r="K1080" s="45">
        <f>PRODUCT('All-Servers'!G1090,'All-Servers'!$K1090)</f>
        <v>0</v>
      </c>
    </row>
    <row r="1081" spans="8:11" x14ac:dyDescent="0.2">
      <c r="H1081" s="45">
        <f>PRODUCT('All-Servers'!D1091,'All-Servers'!$K1091)</f>
        <v>0</v>
      </c>
      <c r="I1081" s="45">
        <f>PRODUCT('All-Servers'!E1091,'All-Servers'!$K1091)</f>
        <v>0</v>
      </c>
      <c r="J1081" s="45">
        <f>PRODUCT('All-Servers'!F1091,'All-Servers'!$K1091)</f>
        <v>0</v>
      </c>
      <c r="K1081" s="45">
        <f>PRODUCT('All-Servers'!G1091,'All-Servers'!$K1091)</f>
        <v>0</v>
      </c>
    </row>
    <row r="1082" spans="8:11" x14ac:dyDescent="0.2">
      <c r="H1082" s="45">
        <f>PRODUCT('All-Servers'!D1092,'All-Servers'!$K1092)</f>
        <v>0</v>
      </c>
      <c r="I1082" s="45">
        <f>PRODUCT('All-Servers'!E1092,'All-Servers'!$K1092)</f>
        <v>0</v>
      </c>
      <c r="J1082" s="45">
        <f>PRODUCT('All-Servers'!F1092,'All-Servers'!$K1092)</f>
        <v>0</v>
      </c>
      <c r="K1082" s="45">
        <f>PRODUCT('All-Servers'!G1092,'All-Servers'!$K1092)</f>
        <v>0</v>
      </c>
    </row>
    <row r="1083" spans="8:11" x14ac:dyDescent="0.2">
      <c r="H1083" s="45">
        <f>PRODUCT('All-Servers'!D1093,'All-Servers'!$K1093)</f>
        <v>0</v>
      </c>
      <c r="I1083" s="45">
        <f>PRODUCT('All-Servers'!E1093,'All-Servers'!$K1093)</f>
        <v>0</v>
      </c>
      <c r="J1083" s="45">
        <f>PRODUCT('All-Servers'!F1093,'All-Servers'!$K1093)</f>
        <v>0</v>
      </c>
      <c r="K1083" s="45">
        <f>PRODUCT('All-Servers'!G1093,'All-Servers'!$K1093)</f>
        <v>0</v>
      </c>
    </row>
    <row r="1084" spans="8:11" x14ac:dyDescent="0.2">
      <c r="H1084" s="45">
        <f>PRODUCT('All-Servers'!D1094,'All-Servers'!$K1094)</f>
        <v>0</v>
      </c>
      <c r="I1084" s="45">
        <f>PRODUCT('All-Servers'!E1094,'All-Servers'!$K1094)</f>
        <v>0</v>
      </c>
      <c r="J1084" s="45">
        <f>PRODUCT('All-Servers'!F1094,'All-Servers'!$K1094)</f>
        <v>0</v>
      </c>
      <c r="K1084" s="45">
        <f>PRODUCT('All-Servers'!G1094,'All-Servers'!$K1094)</f>
        <v>0</v>
      </c>
    </row>
    <row r="1085" spans="8:11" x14ac:dyDescent="0.2">
      <c r="H1085" s="45">
        <f>PRODUCT('All-Servers'!D1095,'All-Servers'!$K1095)</f>
        <v>0</v>
      </c>
      <c r="I1085" s="45">
        <f>PRODUCT('All-Servers'!E1095,'All-Servers'!$K1095)</f>
        <v>0</v>
      </c>
      <c r="J1085" s="45">
        <f>PRODUCT('All-Servers'!F1095,'All-Servers'!$K1095)</f>
        <v>0</v>
      </c>
      <c r="K1085" s="45">
        <f>PRODUCT('All-Servers'!G1095,'All-Servers'!$K1095)</f>
        <v>0</v>
      </c>
    </row>
    <row r="1086" spans="8:11" x14ac:dyDescent="0.2">
      <c r="H1086" s="45">
        <f>PRODUCT('All-Servers'!D1096,'All-Servers'!$K1096)</f>
        <v>0</v>
      </c>
      <c r="I1086" s="45">
        <f>PRODUCT('All-Servers'!E1096,'All-Servers'!$K1096)</f>
        <v>0</v>
      </c>
      <c r="J1086" s="45">
        <f>PRODUCT('All-Servers'!F1096,'All-Servers'!$K1096)</f>
        <v>0</v>
      </c>
      <c r="K1086" s="45">
        <f>PRODUCT('All-Servers'!G1096,'All-Servers'!$K1096)</f>
        <v>0</v>
      </c>
    </row>
    <row r="1087" spans="8:11" x14ac:dyDescent="0.2">
      <c r="H1087" s="45">
        <f>PRODUCT('All-Servers'!D1097,'All-Servers'!$K1097)</f>
        <v>0</v>
      </c>
      <c r="I1087" s="45">
        <f>PRODUCT('All-Servers'!E1097,'All-Servers'!$K1097)</f>
        <v>0</v>
      </c>
      <c r="J1087" s="45">
        <f>PRODUCT('All-Servers'!F1097,'All-Servers'!$K1097)</f>
        <v>0</v>
      </c>
      <c r="K1087" s="45">
        <f>PRODUCT('All-Servers'!G1097,'All-Servers'!$K1097)</f>
        <v>0</v>
      </c>
    </row>
    <row r="1088" spans="8:11" x14ac:dyDescent="0.2">
      <c r="H1088" s="45">
        <f>PRODUCT('All-Servers'!D1098,'All-Servers'!$K1098)</f>
        <v>0</v>
      </c>
      <c r="I1088" s="45">
        <f>PRODUCT('All-Servers'!E1098,'All-Servers'!$K1098)</f>
        <v>0</v>
      </c>
      <c r="J1088" s="45">
        <f>PRODUCT('All-Servers'!F1098,'All-Servers'!$K1098)</f>
        <v>0</v>
      </c>
      <c r="K1088" s="45">
        <f>PRODUCT('All-Servers'!G1098,'All-Servers'!$K1098)</f>
        <v>0</v>
      </c>
    </row>
    <row r="1089" spans="8:11" x14ac:dyDescent="0.2">
      <c r="H1089" s="45">
        <f>PRODUCT('All-Servers'!D1099,'All-Servers'!$K1099)</f>
        <v>0</v>
      </c>
      <c r="I1089" s="45">
        <f>PRODUCT('All-Servers'!E1099,'All-Servers'!$K1099)</f>
        <v>0</v>
      </c>
      <c r="J1089" s="45">
        <f>PRODUCT('All-Servers'!F1099,'All-Servers'!$K1099)</f>
        <v>0</v>
      </c>
      <c r="K1089" s="45">
        <f>PRODUCT('All-Servers'!G1099,'All-Servers'!$K1099)</f>
        <v>0</v>
      </c>
    </row>
    <row r="1090" spans="8:11" x14ac:dyDescent="0.2">
      <c r="H1090" s="45">
        <f>PRODUCT('All-Servers'!D1100,'All-Servers'!$K1100)</f>
        <v>0</v>
      </c>
      <c r="I1090" s="45">
        <f>PRODUCT('All-Servers'!E1100,'All-Servers'!$K1100)</f>
        <v>0</v>
      </c>
      <c r="J1090" s="45">
        <f>PRODUCT('All-Servers'!F1100,'All-Servers'!$K1100)</f>
        <v>0</v>
      </c>
      <c r="K1090" s="45">
        <f>PRODUCT('All-Servers'!G1100,'All-Servers'!$K1100)</f>
        <v>0</v>
      </c>
    </row>
    <row r="1091" spans="8:11" x14ac:dyDescent="0.2">
      <c r="H1091" s="45">
        <f>PRODUCT('All-Servers'!D1101,'All-Servers'!$K1101)</f>
        <v>0</v>
      </c>
      <c r="I1091" s="45">
        <f>PRODUCT('All-Servers'!E1101,'All-Servers'!$K1101)</f>
        <v>0</v>
      </c>
      <c r="J1091" s="45">
        <f>PRODUCT('All-Servers'!F1101,'All-Servers'!$K1101)</f>
        <v>0</v>
      </c>
      <c r="K1091" s="45">
        <f>PRODUCT('All-Servers'!G1101,'All-Servers'!$K1101)</f>
        <v>0</v>
      </c>
    </row>
    <row r="1092" spans="8:11" x14ac:dyDescent="0.2">
      <c r="H1092" s="45">
        <f>PRODUCT('All-Servers'!D1102,'All-Servers'!$K1102)</f>
        <v>0</v>
      </c>
      <c r="I1092" s="45">
        <f>PRODUCT('All-Servers'!E1102,'All-Servers'!$K1102)</f>
        <v>0</v>
      </c>
      <c r="J1092" s="45">
        <f>PRODUCT('All-Servers'!F1102,'All-Servers'!$K1102)</f>
        <v>0</v>
      </c>
      <c r="K1092" s="45">
        <f>PRODUCT('All-Servers'!G1102,'All-Servers'!$K1102)</f>
        <v>0</v>
      </c>
    </row>
    <row r="1093" spans="8:11" x14ac:dyDescent="0.2">
      <c r="H1093" s="45">
        <f>PRODUCT('All-Servers'!D1103,'All-Servers'!$K1103)</f>
        <v>0</v>
      </c>
      <c r="I1093" s="45">
        <f>PRODUCT('All-Servers'!E1103,'All-Servers'!$K1103)</f>
        <v>0</v>
      </c>
      <c r="J1093" s="45">
        <f>PRODUCT('All-Servers'!F1103,'All-Servers'!$K1103)</f>
        <v>0</v>
      </c>
      <c r="K1093" s="45">
        <f>PRODUCT('All-Servers'!G1103,'All-Servers'!$K1103)</f>
        <v>0</v>
      </c>
    </row>
    <row r="1094" spans="8:11" x14ac:dyDescent="0.2">
      <c r="H1094" s="45">
        <f>PRODUCT('All-Servers'!D1104,'All-Servers'!$K1104)</f>
        <v>0</v>
      </c>
      <c r="I1094" s="45">
        <f>PRODUCT('All-Servers'!E1104,'All-Servers'!$K1104)</f>
        <v>0</v>
      </c>
      <c r="J1094" s="45">
        <f>PRODUCT('All-Servers'!F1104,'All-Servers'!$K1104)</f>
        <v>0</v>
      </c>
      <c r="K1094" s="45">
        <f>PRODUCT('All-Servers'!G1104,'All-Servers'!$K1104)</f>
        <v>0</v>
      </c>
    </row>
    <row r="1095" spans="8:11" x14ac:dyDescent="0.2">
      <c r="H1095" s="45">
        <f>PRODUCT('All-Servers'!D1105,'All-Servers'!$K1105)</f>
        <v>0</v>
      </c>
      <c r="I1095" s="45">
        <f>PRODUCT('All-Servers'!E1105,'All-Servers'!$K1105)</f>
        <v>0</v>
      </c>
      <c r="J1095" s="45">
        <f>PRODUCT('All-Servers'!F1105,'All-Servers'!$K1105)</f>
        <v>0</v>
      </c>
      <c r="K1095" s="45">
        <f>PRODUCT('All-Servers'!G1105,'All-Servers'!$K1105)</f>
        <v>0</v>
      </c>
    </row>
    <row r="1096" spans="8:11" x14ac:dyDescent="0.2">
      <c r="H1096" s="45">
        <f>PRODUCT('All-Servers'!D1106,'All-Servers'!$K1106)</f>
        <v>0</v>
      </c>
      <c r="I1096" s="45">
        <f>PRODUCT('All-Servers'!E1106,'All-Servers'!$K1106)</f>
        <v>0</v>
      </c>
      <c r="J1096" s="45">
        <f>PRODUCT('All-Servers'!F1106,'All-Servers'!$K1106)</f>
        <v>0</v>
      </c>
      <c r="K1096" s="45">
        <f>PRODUCT('All-Servers'!G1106,'All-Servers'!$K1106)</f>
        <v>0</v>
      </c>
    </row>
    <row r="1097" spans="8:11" x14ac:dyDescent="0.2">
      <c r="H1097" s="45">
        <f>PRODUCT('All-Servers'!D1107,'All-Servers'!$K1107)</f>
        <v>0</v>
      </c>
      <c r="I1097" s="45">
        <f>PRODUCT('All-Servers'!E1107,'All-Servers'!$K1107)</f>
        <v>0</v>
      </c>
      <c r="J1097" s="45">
        <f>PRODUCT('All-Servers'!F1107,'All-Servers'!$K1107)</f>
        <v>0</v>
      </c>
      <c r="K1097" s="45">
        <f>PRODUCT('All-Servers'!G1107,'All-Servers'!$K1107)</f>
        <v>0</v>
      </c>
    </row>
    <row r="1098" spans="8:11" x14ac:dyDescent="0.2">
      <c r="H1098" s="45">
        <f>PRODUCT('All-Servers'!D1108,'All-Servers'!$K1108)</f>
        <v>0</v>
      </c>
      <c r="I1098" s="45">
        <f>PRODUCT('All-Servers'!E1108,'All-Servers'!$K1108)</f>
        <v>0</v>
      </c>
      <c r="J1098" s="45">
        <f>PRODUCT('All-Servers'!F1108,'All-Servers'!$K1108)</f>
        <v>0</v>
      </c>
      <c r="K1098" s="45">
        <f>PRODUCT('All-Servers'!G1108,'All-Servers'!$K1108)</f>
        <v>0</v>
      </c>
    </row>
    <row r="1099" spans="8:11" x14ac:dyDescent="0.2">
      <c r="H1099" s="45">
        <f>PRODUCT('All-Servers'!D1109,'All-Servers'!$K1109)</f>
        <v>0</v>
      </c>
      <c r="I1099" s="45">
        <f>PRODUCT('All-Servers'!E1109,'All-Servers'!$K1109)</f>
        <v>0</v>
      </c>
      <c r="J1099" s="45">
        <f>PRODUCT('All-Servers'!F1109,'All-Servers'!$K1109)</f>
        <v>0</v>
      </c>
      <c r="K1099" s="45">
        <f>PRODUCT('All-Servers'!G1109,'All-Servers'!$K1109)</f>
        <v>0</v>
      </c>
    </row>
    <row r="1100" spans="8:11" x14ac:dyDescent="0.2">
      <c r="H1100" s="45">
        <f>PRODUCT('All-Servers'!D1110,'All-Servers'!$K1110)</f>
        <v>0</v>
      </c>
      <c r="I1100" s="45">
        <f>PRODUCT('All-Servers'!E1110,'All-Servers'!$K1110)</f>
        <v>0</v>
      </c>
      <c r="J1100" s="45">
        <f>PRODUCT('All-Servers'!F1110,'All-Servers'!$K1110)</f>
        <v>0</v>
      </c>
      <c r="K1100" s="45">
        <f>PRODUCT('All-Servers'!G1110,'All-Servers'!$K1110)</f>
        <v>0</v>
      </c>
    </row>
    <row r="1101" spans="8:11" x14ac:dyDescent="0.2">
      <c r="H1101" s="45">
        <f>PRODUCT('All-Servers'!D1111,'All-Servers'!$K1111)</f>
        <v>0</v>
      </c>
      <c r="I1101" s="45">
        <f>PRODUCT('All-Servers'!E1111,'All-Servers'!$K1111)</f>
        <v>0</v>
      </c>
      <c r="J1101" s="45">
        <f>PRODUCT('All-Servers'!F1111,'All-Servers'!$K1111)</f>
        <v>0</v>
      </c>
      <c r="K1101" s="45">
        <f>PRODUCT('All-Servers'!G1111,'All-Servers'!$K1111)</f>
        <v>0</v>
      </c>
    </row>
    <row r="1102" spans="8:11" x14ac:dyDescent="0.2">
      <c r="H1102" s="45">
        <f>PRODUCT('All-Servers'!D1112,'All-Servers'!$K1112)</f>
        <v>0</v>
      </c>
      <c r="I1102" s="45">
        <f>PRODUCT('All-Servers'!E1112,'All-Servers'!$K1112)</f>
        <v>0</v>
      </c>
      <c r="J1102" s="45">
        <f>PRODUCT('All-Servers'!F1112,'All-Servers'!$K1112)</f>
        <v>0</v>
      </c>
      <c r="K1102" s="45">
        <f>PRODUCT('All-Servers'!G1112,'All-Servers'!$K1112)</f>
        <v>0</v>
      </c>
    </row>
    <row r="1103" spans="8:11" x14ac:dyDescent="0.2">
      <c r="H1103" s="45">
        <f>PRODUCT('All-Servers'!D1113,'All-Servers'!$K1113)</f>
        <v>0</v>
      </c>
      <c r="I1103" s="45">
        <f>PRODUCT('All-Servers'!E1113,'All-Servers'!$K1113)</f>
        <v>0</v>
      </c>
      <c r="J1103" s="45">
        <f>PRODUCT('All-Servers'!F1113,'All-Servers'!$K1113)</f>
        <v>0</v>
      </c>
      <c r="K1103" s="45">
        <f>PRODUCT('All-Servers'!G1113,'All-Servers'!$K1113)</f>
        <v>0</v>
      </c>
    </row>
    <row r="1104" spans="8:11" x14ac:dyDescent="0.2">
      <c r="H1104" s="45">
        <f>PRODUCT('All-Servers'!D1114,'All-Servers'!$K1114)</f>
        <v>0</v>
      </c>
      <c r="I1104" s="45">
        <f>PRODUCT('All-Servers'!E1114,'All-Servers'!$K1114)</f>
        <v>0</v>
      </c>
      <c r="J1104" s="45">
        <f>PRODUCT('All-Servers'!F1114,'All-Servers'!$K1114)</f>
        <v>0</v>
      </c>
      <c r="K1104" s="45">
        <f>PRODUCT('All-Servers'!G1114,'All-Servers'!$K1114)</f>
        <v>0</v>
      </c>
    </row>
    <row r="1105" spans="8:11" x14ac:dyDescent="0.2">
      <c r="H1105" s="45">
        <f>PRODUCT('All-Servers'!D1115,'All-Servers'!$K1115)</f>
        <v>0</v>
      </c>
      <c r="I1105" s="45">
        <f>PRODUCT('All-Servers'!E1115,'All-Servers'!$K1115)</f>
        <v>0</v>
      </c>
      <c r="J1105" s="45">
        <f>PRODUCT('All-Servers'!F1115,'All-Servers'!$K1115)</f>
        <v>0</v>
      </c>
      <c r="K1105" s="45">
        <f>PRODUCT('All-Servers'!G1115,'All-Servers'!$K1115)</f>
        <v>0</v>
      </c>
    </row>
    <row r="1106" spans="8:11" x14ac:dyDescent="0.2">
      <c r="H1106" s="45">
        <f>PRODUCT('All-Servers'!D1116,'All-Servers'!$K1116)</f>
        <v>0</v>
      </c>
      <c r="I1106" s="45">
        <f>PRODUCT('All-Servers'!E1116,'All-Servers'!$K1116)</f>
        <v>0</v>
      </c>
      <c r="J1106" s="45">
        <f>PRODUCT('All-Servers'!F1116,'All-Servers'!$K1116)</f>
        <v>0</v>
      </c>
      <c r="K1106" s="45">
        <f>PRODUCT('All-Servers'!G1116,'All-Servers'!$K1116)</f>
        <v>0</v>
      </c>
    </row>
    <row r="1107" spans="8:11" x14ac:dyDescent="0.2">
      <c r="H1107" s="45">
        <f>PRODUCT('All-Servers'!D1117,'All-Servers'!$K1117)</f>
        <v>0</v>
      </c>
      <c r="I1107" s="45">
        <f>PRODUCT('All-Servers'!E1117,'All-Servers'!$K1117)</f>
        <v>0</v>
      </c>
      <c r="J1107" s="45">
        <f>PRODUCT('All-Servers'!F1117,'All-Servers'!$K1117)</f>
        <v>0</v>
      </c>
      <c r="K1107" s="45">
        <f>PRODUCT('All-Servers'!G1117,'All-Servers'!$K1117)</f>
        <v>0</v>
      </c>
    </row>
    <row r="1108" spans="8:11" x14ac:dyDescent="0.2">
      <c r="H1108" s="45">
        <f>PRODUCT('All-Servers'!D1118,'All-Servers'!$K1118)</f>
        <v>0</v>
      </c>
      <c r="I1108" s="45">
        <f>PRODUCT('All-Servers'!E1118,'All-Servers'!$K1118)</f>
        <v>0</v>
      </c>
      <c r="J1108" s="45">
        <f>PRODUCT('All-Servers'!F1118,'All-Servers'!$K1118)</f>
        <v>0</v>
      </c>
      <c r="K1108" s="45">
        <f>PRODUCT('All-Servers'!G1118,'All-Servers'!$K1118)</f>
        <v>0</v>
      </c>
    </row>
    <row r="1109" spans="8:11" x14ac:dyDescent="0.2">
      <c r="H1109" s="45">
        <f>PRODUCT('All-Servers'!D1119,'All-Servers'!$K1119)</f>
        <v>0</v>
      </c>
      <c r="I1109" s="45">
        <f>PRODUCT('All-Servers'!E1119,'All-Servers'!$K1119)</f>
        <v>0</v>
      </c>
      <c r="J1109" s="45">
        <f>PRODUCT('All-Servers'!F1119,'All-Servers'!$K1119)</f>
        <v>0</v>
      </c>
      <c r="K1109" s="45">
        <f>PRODUCT('All-Servers'!G1119,'All-Servers'!$K1119)</f>
        <v>0</v>
      </c>
    </row>
    <row r="1110" spans="8:11" x14ac:dyDescent="0.2">
      <c r="H1110" s="45">
        <f>PRODUCT('All-Servers'!D1120,'All-Servers'!$K1120)</f>
        <v>0</v>
      </c>
      <c r="I1110" s="45">
        <f>PRODUCT('All-Servers'!E1120,'All-Servers'!$K1120)</f>
        <v>0</v>
      </c>
      <c r="J1110" s="45">
        <f>PRODUCT('All-Servers'!F1120,'All-Servers'!$K1120)</f>
        <v>0</v>
      </c>
      <c r="K1110" s="45">
        <f>PRODUCT('All-Servers'!G1120,'All-Servers'!$K1120)</f>
        <v>0</v>
      </c>
    </row>
    <row r="1111" spans="8:11" x14ac:dyDescent="0.2">
      <c r="H1111" s="45">
        <f>PRODUCT('All-Servers'!D1121,'All-Servers'!$K1121)</f>
        <v>0</v>
      </c>
      <c r="I1111" s="45">
        <f>PRODUCT('All-Servers'!E1121,'All-Servers'!$K1121)</f>
        <v>0</v>
      </c>
      <c r="J1111" s="45">
        <f>PRODUCT('All-Servers'!F1121,'All-Servers'!$K1121)</f>
        <v>0</v>
      </c>
      <c r="K1111" s="45">
        <f>PRODUCT('All-Servers'!G1121,'All-Servers'!$K1121)</f>
        <v>0</v>
      </c>
    </row>
    <row r="1112" spans="8:11" x14ac:dyDescent="0.2">
      <c r="H1112" s="45">
        <f>PRODUCT('All-Servers'!D1122,'All-Servers'!$K1122)</f>
        <v>0</v>
      </c>
      <c r="I1112" s="45">
        <f>PRODUCT('All-Servers'!E1122,'All-Servers'!$K1122)</f>
        <v>0</v>
      </c>
      <c r="J1112" s="45">
        <f>PRODUCT('All-Servers'!F1122,'All-Servers'!$K1122)</f>
        <v>0</v>
      </c>
      <c r="K1112" s="45">
        <f>PRODUCT('All-Servers'!G1122,'All-Servers'!$K1122)</f>
        <v>0</v>
      </c>
    </row>
    <row r="1113" spans="8:11" x14ac:dyDescent="0.2">
      <c r="H1113" s="45">
        <f>PRODUCT('All-Servers'!D1123,'All-Servers'!$K1123)</f>
        <v>0</v>
      </c>
      <c r="I1113" s="45">
        <f>PRODUCT('All-Servers'!E1123,'All-Servers'!$K1123)</f>
        <v>0</v>
      </c>
      <c r="J1113" s="45">
        <f>PRODUCT('All-Servers'!F1123,'All-Servers'!$K1123)</f>
        <v>0</v>
      </c>
      <c r="K1113" s="45">
        <f>PRODUCT('All-Servers'!G1123,'All-Servers'!$K1123)</f>
        <v>0</v>
      </c>
    </row>
    <row r="1114" spans="8:11" x14ac:dyDescent="0.2">
      <c r="H1114" s="45">
        <f>PRODUCT('All-Servers'!D1124,'All-Servers'!$K1124)</f>
        <v>0</v>
      </c>
      <c r="I1114" s="45">
        <f>PRODUCT('All-Servers'!E1124,'All-Servers'!$K1124)</f>
        <v>0</v>
      </c>
      <c r="J1114" s="45">
        <f>PRODUCT('All-Servers'!F1124,'All-Servers'!$K1124)</f>
        <v>0</v>
      </c>
      <c r="K1114" s="45">
        <f>PRODUCT('All-Servers'!G1124,'All-Servers'!$K1124)</f>
        <v>0</v>
      </c>
    </row>
    <row r="1115" spans="8:11" x14ac:dyDescent="0.2">
      <c r="H1115" s="45">
        <f>PRODUCT('All-Servers'!D1125,'All-Servers'!$K1125)</f>
        <v>0</v>
      </c>
      <c r="I1115" s="45">
        <f>PRODUCT('All-Servers'!E1125,'All-Servers'!$K1125)</f>
        <v>0</v>
      </c>
      <c r="J1115" s="45">
        <f>PRODUCT('All-Servers'!F1125,'All-Servers'!$K1125)</f>
        <v>0</v>
      </c>
      <c r="K1115" s="45">
        <f>PRODUCT('All-Servers'!G1125,'All-Servers'!$K1125)</f>
        <v>0</v>
      </c>
    </row>
    <row r="1116" spans="8:11" x14ac:dyDescent="0.2">
      <c r="H1116" s="45">
        <f>PRODUCT('All-Servers'!D1126,'All-Servers'!$K1126)</f>
        <v>0</v>
      </c>
      <c r="I1116" s="45">
        <f>PRODUCT('All-Servers'!E1126,'All-Servers'!$K1126)</f>
        <v>0</v>
      </c>
      <c r="J1116" s="45">
        <f>PRODUCT('All-Servers'!F1126,'All-Servers'!$K1126)</f>
        <v>0</v>
      </c>
      <c r="K1116" s="45">
        <f>PRODUCT('All-Servers'!G1126,'All-Servers'!$K1126)</f>
        <v>0</v>
      </c>
    </row>
    <row r="1117" spans="8:11" x14ac:dyDescent="0.2">
      <c r="H1117" s="45">
        <f>PRODUCT('All-Servers'!D1127,'All-Servers'!$K1127)</f>
        <v>0</v>
      </c>
      <c r="I1117" s="45">
        <f>PRODUCT('All-Servers'!E1127,'All-Servers'!$K1127)</f>
        <v>0</v>
      </c>
      <c r="J1117" s="45">
        <f>PRODUCT('All-Servers'!F1127,'All-Servers'!$K1127)</f>
        <v>0</v>
      </c>
      <c r="K1117" s="45">
        <f>PRODUCT('All-Servers'!G1127,'All-Servers'!$K1127)</f>
        <v>0</v>
      </c>
    </row>
    <row r="1118" spans="8:11" x14ac:dyDescent="0.2">
      <c r="H1118" s="45">
        <f>PRODUCT('All-Servers'!D1128,'All-Servers'!$K1128)</f>
        <v>0</v>
      </c>
      <c r="I1118" s="45">
        <f>PRODUCT('All-Servers'!E1128,'All-Servers'!$K1128)</f>
        <v>0</v>
      </c>
      <c r="J1118" s="45">
        <f>PRODUCT('All-Servers'!F1128,'All-Servers'!$K1128)</f>
        <v>0</v>
      </c>
      <c r="K1118" s="45">
        <f>PRODUCT('All-Servers'!G1128,'All-Servers'!$K1128)</f>
        <v>0</v>
      </c>
    </row>
    <row r="1119" spans="8:11" x14ac:dyDescent="0.2">
      <c r="H1119" s="45">
        <f>PRODUCT('All-Servers'!D1129,'All-Servers'!$K1129)</f>
        <v>0</v>
      </c>
      <c r="I1119" s="45">
        <f>PRODUCT('All-Servers'!E1129,'All-Servers'!$K1129)</f>
        <v>0</v>
      </c>
      <c r="J1119" s="45">
        <f>PRODUCT('All-Servers'!F1129,'All-Servers'!$K1129)</f>
        <v>0</v>
      </c>
      <c r="K1119" s="45">
        <f>PRODUCT('All-Servers'!G1129,'All-Servers'!$K1129)</f>
        <v>0</v>
      </c>
    </row>
    <row r="1120" spans="8:11" x14ac:dyDescent="0.2">
      <c r="H1120" s="45">
        <f>PRODUCT('All-Servers'!D1130,'All-Servers'!$K1130)</f>
        <v>0</v>
      </c>
      <c r="I1120" s="45">
        <f>PRODUCT('All-Servers'!E1130,'All-Servers'!$K1130)</f>
        <v>0</v>
      </c>
      <c r="J1120" s="45">
        <f>PRODUCT('All-Servers'!F1130,'All-Servers'!$K1130)</f>
        <v>0</v>
      </c>
      <c r="K1120" s="45">
        <f>PRODUCT('All-Servers'!G1130,'All-Servers'!$K1130)</f>
        <v>0</v>
      </c>
    </row>
    <row r="1121" spans="8:11" x14ac:dyDescent="0.2">
      <c r="H1121" s="45">
        <f>PRODUCT('All-Servers'!D1131,'All-Servers'!$K1131)</f>
        <v>0</v>
      </c>
      <c r="I1121" s="45">
        <f>PRODUCT('All-Servers'!E1131,'All-Servers'!$K1131)</f>
        <v>0</v>
      </c>
      <c r="J1121" s="45">
        <f>PRODUCT('All-Servers'!F1131,'All-Servers'!$K1131)</f>
        <v>0</v>
      </c>
      <c r="K1121" s="45">
        <f>PRODUCT('All-Servers'!G1131,'All-Servers'!$K1131)</f>
        <v>0</v>
      </c>
    </row>
    <row r="1122" spans="8:11" x14ac:dyDescent="0.2">
      <c r="H1122" s="45">
        <f>PRODUCT('All-Servers'!D1132,'All-Servers'!$K1132)</f>
        <v>0</v>
      </c>
      <c r="I1122" s="45">
        <f>PRODUCT('All-Servers'!E1132,'All-Servers'!$K1132)</f>
        <v>0</v>
      </c>
      <c r="J1122" s="45">
        <f>PRODUCT('All-Servers'!F1132,'All-Servers'!$K1132)</f>
        <v>0</v>
      </c>
      <c r="K1122" s="45">
        <f>PRODUCT('All-Servers'!G1132,'All-Servers'!$K1132)</f>
        <v>0</v>
      </c>
    </row>
    <row r="1123" spans="8:11" x14ac:dyDescent="0.2">
      <c r="H1123" s="45">
        <f>PRODUCT('All-Servers'!D1133,'All-Servers'!$K1133)</f>
        <v>0</v>
      </c>
      <c r="I1123" s="45">
        <f>PRODUCT('All-Servers'!E1133,'All-Servers'!$K1133)</f>
        <v>0</v>
      </c>
      <c r="J1123" s="45">
        <f>PRODUCT('All-Servers'!F1133,'All-Servers'!$K1133)</f>
        <v>0</v>
      </c>
      <c r="K1123" s="45">
        <f>PRODUCT('All-Servers'!G1133,'All-Servers'!$K1133)</f>
        <v>0</v>
      </c>
    </row>
    <row r="1124" spans="8:11" x14ac:dyDescent="0.2">
      <c r="H1124" s="45">
        <f>PRODUCT('All-Servers'!D1134,'All-Servers'!$K1134)</f>
        <v>0</v>
      </c>
      <c r="I1124" s="45">
        <f>PRODUCT('All-Servers'!E1134,'All-Servers'!$K1134)</f>
        <v>0</v>
      </c>
      <c r="J1124" s="45">
        <f>PRODUCT('All-Servers'!F1134,'All-Servers'!$K1134)</f>
        <v>0</v>
      </c>
      <c r="K1124" s="45">
        <f>PRODUCT('All-Servers'!G1134,'All-Servers'!$K1134)</f>
        <v>0</v>
      </c>
    </row>
    <row r="1125" spans="8:11" x14ac:dyDescent="0.2">
      <c r="H1125" s="45">
        <f>PRODUCT('All-Servers'!D1135,'All-Servers'!$K1135)</f>
        <v>0</v>
      </c>
      <c r="I1125" s="45">
        <f>PRODUCT('All-Servers'!E1135,'All-Servers'!$K1135)</f>
        <v>0</v>
      </c>
      <c r="J1125" s="45">
        <f>PRODUCT('All-Servers'!F1135,'All-Servers'!$K1135)</f>
        <v>0</v>
      </c>
      <c r="K1125" s="45">
        <f>PRODUCT('All-Servers'!G1135,'All-Servers'!$K1135)</f>
        <v>0</v>
      </c>
    </row>
    <row r="1126" spans="8:11" x14ac:dyDescent="0.2">
      <c r="H1126" s="45">
        <f>PRODUCT('All-Servers'!D1136,'All-Servers'!$K1136)</f>
        <v>0</v>
      </c>
      <c r="I1126" s="45">
        <f>PRODUCT('All-Servers'!E1136,'All-Servers'!$K1136)</f>
        <v>0</v>
      </c>
      <c r="J1126" s="45">
        <f>PRODUCT('All-Servers'!F1136,'All-Servers'!$K1136)</f>
        <v>0</v>
      </c>
      <c r="K1126" s="45">
        <f>PRODUCT('All-Servers'!G1136,'All-Servers'!$K1136)</f>
        <v>0</v>
      </c>
    </row>
    <row r="1127" spans="8:11" x14ac:dyDescent="0.2">
      <c r="H1127" s="45">
        <f>PRODUCT('All-Servers'!D1137,'All-Servers'!$K1137)</f>
        <v>0</v>
      </c>
      <c r="I1127" s="45">
        <f>PRODUCT('All-Servers'!E1137,'All-Servers'!$K1137)</f>
        <v>0</v>
      </c>
      <c r="J1127" s="45">
        <f>PRODUCT('All-Servers'!F1137,'All-Servers'!$K1137)</f>
        <v>0</v>
      </c>
      <c r="K1127" s="45">
        <f>PRODUCT('All-Servers'!G1137,'All-Servers'!$K1137)</f>
        <v>0</v>
      </c>
    </row>
    <row r="1128" spans="8:11" x14ac:dyDescent="0.2">
      <c r="H1128" s="45">
        <f>PRODUCT('All-Servers'!D1138,'All-Servers'!$K1138)</f>
        <v>0</v>
      </c>
      <c r="I1128" s="45">
        <f>PRODUCT('All-Servers'!E1138,'All-Servers'!$K1138)</f>
        <v>0</v>
      </c>
      <c r="J1128" s="45">
        <f>PRODUCT('All-Servers'!F1138,'All-Servers'!$K1138)</f>
        <v>0</v>
      </c>
      <c r="K1128" s="45">
        <f>PRODUCT('All-Servers'!G1138,'All-Servers'!$K1138)</f>
        <v>0</v>
      </c>
    </row>
    <row r="1129" spans="8:11" x14ac:dyDescent="0.2">
      <c r="H1129" s="45">
        <f>PRODUCT('All-Servers'!D1139,'All-Servers'!$K1139)</f>
        <v>0</v>
      </c>
      <c r="I1129" s="45">
        <f>PRODUCT('All-Servers'!E1139,'All-Servers'!$K1139)</f>
        <v>0</v>
      </c>
      <c r="J1129" s="45">
        <f>PRODUCT('All-Servers'!F1139,'All-Servers'!$K1139)</f>
        <v>0</v>
      </c>
      <c r="K1129" s="45">
        <f>PRODUCT('All-Servers'!G1139,'All-Servers'!$K1139)</f>
        <v>0</v>
      </c>
    </row>
    <row r="1130" spans="8:11" x14ac:dyDescent="0.2">
      <c r="H1130" s="45">
        <f>PRODUCT('All-Servers'!D1140,'All-Servers'!$K1140)</f>
        <v>0</v>
      </c>
      <c r="I1130" s="45">
        <f>PRODUCT('All-Servers'!E1140,'All-Servers'!$K1140)</f>
        <v>0</v>
      </c>
      <c r="J1130" s="45">
        <f>PRODUCT('All-Servers'!F1140,'All-Servers'!$K1140)</f>
        <v>0</v>
      </c>
      <c r="K1130" s="45">
        <f>PRODUCT('All-Servers'!G1140,'All-Servers'!$K1140)</f>
        <v>0</v>
      </c>
    </row>
    <row r="1131" spans="8:11" x14ac:dyDescent="0.2">
      <c r="H1131" s="45">
        <f>PRODUCT('All-Servers'!D1141,'All-Servers'!$K1141)</f>
        <v>0</v>
      </c>
      <c r="I1131" s="45">
        <f>PRODUCT('All-Servers'!E1141,'All-Servers'!$K1141)</f>
        <v>0</v>
      </c>
      <c r="J1131" s="45">
        <f>PRODUCT('All-Servers'!F1141,'All-Servers'!$K1141)</f>
        <v>0</v>
      </c>
      <c r="K1131" s="45">
        <f>PRODUCT('All-Servers'!G1141,'All-Servers'!$K1141)</f>
        <v>0</v>
      </c>
    </row>
    <row r="1132" spans="8:11" x14ac:dyDescent="0.2">
      <c r="H1132" s="45">
        <f>PRODUCT('All-Servers'!D1142,'All-Servers'!$K1142)</f>
        <v>0</v>
      </c>
      <c r="I1132" s="45">
        <f>PRODUCT('All-Servers'!E1142,'All-Servers'!$K1142)</f>
        <v>0</v>
      </c>
      <c r="J1132" s="45">
        <f>PRODUCT('All-Servers'!F1142,'All-Servers'!$K1142)</f>
        <v>0</v>
      </c>
      <c r="K1132" s="45">
        <f>PRODUCT('All-Servers'!G1142,'All-Servers'!$K1142)</f>
        <v>0</v>
      </c>
    </row>
    <row r="1133" spans="8:11" x14ac:dyDescent="0.2">
      <c r="H1133" s="45">
        <f>PRODUCT('All-Servers'!D1143,'All-Servers'!$K1143)</f>
        <v>0</v>
      </c>
      <c r="I1133" s="45">
        <f>PRODUCT('All-Servers'!E1143,'All-Servers'!$K1143)</f>
        <v>0</v>
      </c>
      <c r="J1133" s="45">
        <f>PRODUCT('All-Servers'!F1143,'All-Servers'!$K1143)</f>
        <v>0</v>
      </c>
      <c r="K1133" s="45">
        <f>PRODUCT('All-Servers'!G1143,'All-Servers'!$K1143)</f>
        <v>0</v>
      </c>
    </row>
    <row r="1134" spans="8:11" x14ac:dyDescent="0.2">
      <c r="H1134" s="45">
        <f>PRODUCT('All-Servers'!D1144,'All-Servers'!$K1144)</f>
        <v>0</v>
      </c>
      <c r="I1134" s="45">
        <f>PRODUCT('All-Servers'!E1144,'All-Servers'!$K1144)</f>
        <v>0</v>
      </c>
      <c r="J1134" s="45">
        <f>PRODUCT('All-Servers'!F1144,'All-Servers'!$K1144)</f>
        <v>0</v>
      </c>
      <c r="K1134" s="45">
        <f>PRODUCT('All-Servers'!G1144,'All-Servers'!$K1144)</f>
        <v>0</v>
      </c>
    </row>
    <row r="1135" spans="8:11" x14ac:dyDescent="0.2">
      <c r="H1135" s="45">
        <f>PRODUCT('All-Servers'!D1145,'All-Servers'!$K1145)</f>
        <v>0</v>
      </c>
      <c r="I1135" s="45">
        <f>PRODUCT('All-Servers'!E1145,'All-Servers'!$K1145)</f>
        <v>0</v>
      </c>
      <c r="J1135" s="45">
        <f>PRODUCT('All-Servers'!F1145,'All-Servers'!$K1145)</f>
        <v>0</v>
      </c>
      <c r="K1135" s="45">
        <f>PRODUCT('All-Servers'!G1145,'All-Servers'!$K1145)</f>
        <v>0</v>
      </c>
    </row>
    <row r="1136" spans="8:11" x14ac:dyDescent="0.2">
      <c r="H1136" s="45">
        <f>PRODUCT('All-Servers'!D1146,'All-Servers'!$K1146)</f>
        <v>0</v>
      </c>
      <c r="I1136" s="45">
        <f>PRODUCT('All-Servers'!E1146,'All-Servers'!$K1146)</f>
        <v>0</v>
      </c>
      <c r="J1136" s="45">
        <f>PRODUCT('All-Servers'!F1146,'All-Servers'!$K1146)</f>
        <v>0</v>
      </c>
      <c r="K1136" s="45">
        <f>PRODUCT('All-Servers'!G1146,'All-Servers'!$K1146)</f>
        <v>0</v>
      </c>
    </row>
    <row r="1137" spans="8:11" x14ac:dyDescent="0.2">
      <c r="H1137" s="45">
        <f>PRODUCT('All-Servers'!D1147,'All-Servers'!$K1147)</f>
        <v>0</v>
      </c>
      <c r="I1137" s="45">
        <f>PRODUCT('All-Servers'!E1147,'All-Servers'!$K1147)</f>
        <v>0</v>
      </c>
      <c r="J1137" s="45">
        <f>PRODUCT('All-Servers'!F1147,'All-Servers'!$K1147)</f>
        <v>0</v>
      </c>
      <c r="K1137" s="45">
        <f>PRODUCT('All-Servers'!G1147,'All-Servers'!$K1147)</f>
        <v>0</v>
      </c>
    </row>
    <row r="1138" spans="8:11" x14ac:dyDescent="0.2">
      <c r="H1138" s="45">
        <f>PRODUCT('All-Servers'!D1148,'All-Servers'!$K1148)</f>
        <v>0</v>
      </c>
      <c r="I1138" s="45">
        <f>PRODUCT('All-Servers'!E1148,'All-Servers'!$K1148)</f>
        <v>0</v>
      </c>
      <c r="J1138" s="45">
        <f>PRODUCT('All-Servers'!F1148,'All-Servers'!$K1148)</f>
        <v>0</v>
      </c>
      <c r="K1138" s="45">
        <f>PRODUCT('All-Servers'!G1148,'All-Servers'!$K1148)</f>
        <v>0</v>
      </c>
    </row>
    <row r="1139" spans="8:11" x14ac:dyDescent="0.2">
      <c r="H1139" s="45">
        <f>PRODUCT('All-Servers'!D1149,'All-Servers'!$K1149)</f>
        <v>0</v>
      </c>
      <c r="I1139" s="45">
        <f>PRODUCT('All-Servers'!E1149,'All-Servers'!$K1149)</f>
        <v>0</v>
      </c>
      <c r="J1139" s="45">
        <f>PRODUCT('All-Servers'!F1149,'All-Servers'!$K1149)</f>
        <v>0</v>
      </c>
      <c r="K1139" s="45">
        <f>PRODUCT('All-Servers'!G1149,'All-Servers'!$K1149)</f>
        <v>0</v>
      </c>
    </row>
    <row r="1140" spans="8:11" x14ac:dyDescent="0.2">
      <c r="H1140" s="45">
        <f>PRODUCT('All-Servers'!D1150,'All-Servers'!$K1150)</f>
        <v>0</v>
      </c>
      <c r="I1140" s="45">
        <f>PRODUCT('All-Servers'!E1150,'All-Servers'!$K1150)</f>
        <v>0</v>
      </c>
      <c r="J1140" s="45">
        <f>PRODUCT('All-Servers'!F1150,'All-Servers'!$K1150)</f>
        <v>0</v>
      </c>
      <c r="K1140" s="45">
        <f>PRODUCT('All-Servers'!G1150,'All-Servers'!$K1150)</f>
        <v>0</v>
      </c>
    </row>
    <row r="1141" spans="8:11" x14ac:dyDescent="0.2">
      <c r="H1141" s="45">
        <f>PRODUCT('All-Servers'!D1151,'All-Servers'!$K1151)</f>
        <v>0</v>
      </c>
      <c r="I1141" s="45">
        <f>PRODUCT('All-Servers'!E1151,'All-Servers'!$K1151)</f>
        <v>0</v>
      </c>
      <c r="J1141" s="45">
        <f>PRODUCT('All-Servers'!F1151,'All-Servers'!$K1151)</f>
        <v>0</v>
      </c>
      <c r="K1141" s="45">
        <f>PRODUCT('All-Servers'!G1151,'All-Servers'!$K1151)</f>
        <v>0</v>
      </c>
    </row>
    <row r="1142" spans="8:11" x14ac:dyDescent="0.2">
      <c r="H1142" s="45">
        <f>PRODUCT('All-Servers'!D1152,'All-Servers'!$K1152)</f>
        <v>0</v>
      </c>
      <c r="I1142" s="45">
        <f>PRODUCT('All-Servers'!E1152,'All-Servers'!$K1152)</f>
        <v>0</v>
      </c>
      <c r="J1142" s="45">
        <f>PRODUCT('All-Servers'!F1152,'All-Servers'!$K1152)</f>
        <v>0</v>
      </c>
      <c r="K1142" s="45">
        <f>PRODUCT('All-Servers'!G1152,'All-Servers'!$K1152)</f>
        <v>0</v>
      </c>
    </row>
    <row r="1143" spans="8:11" x14ac:dyDescent="0.2">
      <c r="H1143" s="45">
        <f>PRODUCT('All-Servers'!D1153,'All-Servers'!$K1153)</f>
        <v>0</v>
      </c>
      <c r="I1143" s="45">
        <f>PRODUCT('All-Servers'!E1153,'All-Servers'!$K1153)</f>
        <v>0</v>
      </c>
      <c r="J1143" s="45">
        <f>PRODUCT('All-Servers'!F1153,'All-Servers'!$K1153)</f>
        <v>0</v>
      </c>
      <c r="K1143" s="45">
        <f>PRODUCT('All-Servers'!G1153,'All-Servers'!$K1153)</f>
        <v>0</v>
      </c>
    </row>
    <row r="1144" spans="8:11" x14ac:dyDescent="0.2">
      <c r="H1144" s="45">
        <f>PRODUCT('All-Servers'!D1154,'All-Servers'!$K1154)</f>
        <v>0</v>
      </c>
      <c r="I1144" s="45">
        <f>PRODUCT('All-Servers'!E1154,'All-Servers'!$K1154)</f>
        <v>0</v>
      </c>
      <c r="J1144" s="45">
        <f>PRODUCT('All-Servers'!F1154,'All-Servers'!$K1154)</f>
        <v>0</v>
      </c>
      <c r="K1144" s="45">
        <f>PRODUCT('All-Servers'!G1154,'All-Servers'!$K1154)</f>
        <v>0</v>
      </c>
    </row>
    <row r="1145" spans="8:11" x14ac:dyDescent="0.2">
      <c r="H1145" s="45">
        <f>PRODUCT('All-Servers'!D1155,'All-Servers'!$K1155)</f>
        <v>0</v>
      </c>
      <c r="I1145" s="45">
        <f>PRODUCT('All-Servers'!E1155,'All-Servers'!$K1155)</f>
        <v>0</v>
      </c>
      <c r="J1145" s="45">
        <f>PRODUCT('All-Servers'!F1155,'All-Servers'!$K1155)</f>
        <v>0</v>
      </c>
      <c r="K1145" s="45">
        <f>PRODUCT('All-Servers'!G1155,'All-Servers'!$K1155)</f>
        <v>0</v>
      </c>
    </row>
    <row r="1146" spans="8:11" x14ac:dyDescent="0.2">
      <c r="H1146" s="45">
        <f>PRODUCT('All-Servers'!D1156,'All-Servers'!$K1156)</f>
        <v>0</v>
      </c>
      <c r="I1146" s="45">
        <f>PRODUCT('All-Servers'!E1156,'All-Servers'!$K1156)</f>
        <v>0</v>
      </c>
      <c r="J1146" s="45">
        <f>PRODUCT('All-Servers'!F1156,'All-Servers'!$K1156)</f>
        <v>0</v>
      </c>
      <c r="K1146" s="45">
        <f>PRODUCT('All-Servers'!G1156,'All-Servers'!$K1156)</f>
        <v>0</v>
      </c>
    </row>
    <row r="1147" spans="8:11" x14ac:dyDescent="0.2">
      <c r="H1147" s="45">
        <f>PRODUCT('All-Servers'!D1157,'All-Servers'!$K1157)</f>
        <v>0</v>
      </c>
      <c r="I1147" s="45">
        <f>PRODUCT('All-Servers'!E1157,'All-Servers'!$K1157)</f>
        <v>0</v>
      </c>
      <c r="J1147" s="45">
        <f>PRODUCT('All-Servers'!F1157,'All-Servers'!$K1157)</f>
        <v>0</v>
      </c>
      <c r="K1147" s="45">
        <f>PRODUCT('All-Servers'!G1157,'All-Servers'!$K1157)</f>
        <v>0</v>
      </c>
    </row>
    <row r="1148" spans="8:11" x14ac:dyDescent="0.2">
      <c r="H1148" s="45">
        <f>PRODUCT('All-Servers'!D1158,'All-Servers'!$K1158)</f>
        <v>0</v>
      </c>
      <c r="I1148" s="45">
        <f>PRODUCT('All-Servers'!E1158,'All-Servers'!$K1158)</f>
        <v>0</v>
      </c>
      <c r="J1148" s="45">
        <f>PRODUCT('All-Servers'!F1158,'All-Servers'!$K1158)</f>
        <v>0</v>
      </c>
      <c r="K1148" s="45">
        <f>PRODUCT('All-Servers'!G1158,'All-Servers'!$K1158)</f>
        <v>0</v>
      </c>
    </row>
    <row r="1149" spans="8:11" x14ac:dyDescent="0.2">
      <c r="H1149" s="45">
        <f>PRODUCT('All-Servers'!D1159,'All-Servers'!$K1159)</f>
        <v>0</v>
      </c>
      <c r="I1149" s="45">
        <f>PRODUCT('All-Servers'!E1159,'All-Servers'!$K1159)</f>
        <v>0</v>
      </c>
      <c r="J1149" s="45">
        <f>PRODUCT('All-Servers'!F1159,'All-Servers'!$K1159)</f>
        <v>0</v>
      </c>
      <c r="K1149" s="45">
        <f>PRODUCT('All-Servers'!G1159,'All-Servers'!$K1159)</f>
        <v>0</v>
      </c>
    </row>
    <row r="1150" spans="8:11" x14ac:dyDescent="0.2">
      <c r="H1150" s="45">
        <f>PRODUCT('All-Servers'!D1160,'All-Servers'!$K1160)</f>
        <v>0</v>
      </c>
      <c r="I1150" s="45">
        <f>PRODUCT('All-Servers'!E1160,'All-Servers'!$K1160)</f>
        <v>0</v>
      </c>
      <c r="J1150" s="45">
        <f>PRODUCT('All-Servers'!F1160,'All-Servers'!$K1160)</f>
        <v>0</v>
      </c>
      <c r="K1150" s="45">
        <f>PRODUCT('All-Servers'!G1160,'All-Servers'!$K1160)</f>
        <v>0</v>
      </c>
    </row>
    <row r="1151" spans="8:11" x14ac:dyDescent="0.2">
      <c r="H1151" s="45">
        <f>PRODUCT('All-Servers'!D1161,'All-Servers'!$K1161)</f>
        <v>0</v>
      </c>
      <c r="I1151" s="45">
        <f>PRODUCT('All-Servers'!E1161,'All-Servers'!$K1161)</f>
        <v>0</v>
      </c>
      <c r="J1151" s="45">
        <f>PRODUCT('All-Servers'!F1161,'All-Servers'!$K1161)</f>
        <v>0</v>
      </c>
      <c r="K1151" s="45">
        <f>PRODUCT('All-Servers'!G1161,'All-Servers'!$K1161)</f>
        <v>0</v>
      </c>
    </row>
    <row r="1152" spans="8:11" x14ac:dyDescent="0.2">
      <c r="H1152" s="45">
        <f>PRODUCT('All-Servers'!D1162,'All-Servers'!$K1162)</f>
        <v>0</v>
      </c>
      <c r="I1152" s="45">
        <f>PRODUCT('All-Servers'!E1162,'All-Servers'!$K1162)</f>
        <v>0</v>
      </c>
      <c r="J1152" s="45">
        <f>PRODUCT('All-Servers'!F1162,'All-Servers'!$K1162)</f>
        <v>0</v>
      </c>
      <c r="K1152" s="45">
        <f>PRODUCT('All-Servers'!G1162,'All-Servers'!$K1162)</f>
        <v>0</v>
      </c>
    </row>
    <row r="1153" spans="8:11" x14ac:dyDescent="0.2">
      <c r="H1153" s="45">
        <f>PRODUCT('All-Servers'!D1163,'All-Servers'!$K1163)</f>
        <v>0</v>
      </c>
      <c r="I1153" s="45">
        <f>PRODUCT('All-Servers'!E1163,'All-Servers'!$K1163)</f>
        <v>0</v>
      </c>
      <c r="J1153" s="45">
        <f>PRODUCT('All-Servers'!F1163,'All-Servers'!$K1163)</f>
        <v>0</v>
      </c>
      <c r="K1153" s="45">
        <f>PRODUCT('All-Servers'!G1163,'All-Servers'!$K1163)</f>
        <v>0</v>
      </c>
    </row>
    <row r="1154" spans="8:11" x14ac:dyDescent="0.2">
      <c r="H1154" s="45">
        <f>PRODUCT('All-Servers'!D1164,'All-Servers'!$K1164)</f>
        <v>0</v>
      </c>
      <c r="I1154" s="45">
        <f>PRODUCT('All-Servers'!E1164,'All-Servers'!$K1164)</f>
        <v>0</v>
      </c>
      <c r="J1154" s="45">
        <f>PRODUCT('All-Servers'!F1164,'All-Servers'!$K1164)</f>
        <v>0</v>
      </c>
      <c r="K1154" s="45">
        <f>PRODUCT('All-Servers'!G1164,'All-Servers'!$K1164)</f>
        <v>0</v>
      </c>
    </row>
    <row r="1155" spans="8:11" x14ac:dyDescent="0.2">
      <c r="H1155" s="45">
        <f>PRODUCT('All-Servers'!D1165,'All-Servers'!$K1165)</f>
        <v>0</v>
      </c>
      <c r="I1155" s="45">
        <f>PRODUCT('All-Servers'!E1165,'All-Servers'!$K1165)</f>
        <v>0</v>
      </c>
      <c r="J1155" s="45">
        <f>PRODUCT('All-Servers'!F1165,'All-Servers'!$K1165)</f>
        <v>0</v>
      </c>
      <c r="K1155" s="45">
        <f>PRODUCT('All-Servers'!G1165,'All-Servers'!$K1165)</f>
        <v>0</v>
      </c>
    </row>
    <row r="1156" spans="8:11" x14ac:dyDescent="0.2">
      <c r="H1156" s="45">
        <f>PRODUCT('All-Servers'!D1166,'All-Servers'!$K1166)</f>
        <v>0</v>
      </c>
      <c r="I1156" s="45">
        <f>PRODUCT('All-Servers'!E1166,'All-Servers'!$K1166)</f>
        <v>0</v>
      </c>
      <c r="J1156" s="45">
        <f>PRODUCT('All-Servers'!F1166,'All-Servers'!$K1166)</f>
        <v>0</v>
      </c>
      <c r="K1156" s="45">
        <f>PRODUCT('All-Servers'!G1166,'All-Servers'!$K1166)</f>
        <v>0</v>
      </c>
    </row>
    <row r="1157" spans="8:11" x14ac:dyDescent="0.2">
      <c r="H1157" s="45">
        <f>PRODUCT('All-Servers'!D1167,'All-Servers'!$K1167)</f>
        <v>0</v>
      </c>
      <c r="I1157" s="45">
        <f>PRODUCT('All-Servers'!E1167,'All-Servers'!$K1167)</f>
        <v>0</v>
      </c>
      <c r="J1157" s="45">
        <f>PRODUCT('All-Servers'!F1167,'All-Servers'!$K1167)</f>
        <v>0</v>
      </c>
      <c r="K1157" s="45">
        <f>PRODUCT('All-Servers'!G1167,'All-Servers'!$K1167)</f>
        <v>0</v>
      </c>
    </row>
    <row r="1158" spans="8:11" x14ac:dyDescent="0.2">
      <c r="H1158" s="45">
        <f>PRODUCT('All-Servers'!D1168,'All-Servers'!$K1168)</f>
        <v>0</v>
      </c>
      <c r="I1158" s="45">
        <f>PRODUCT('All-Servers'!E1168,'All-Servers'!$K1168)</f>
        <v>0</v>
      </c>
      <c r="J1158" s="45">
        <f>PRODUCT('All-Servers'!F1168,'All-Servers'!$K1168)</f>
        <v>0</v>
      </c>
      <c r="K1158" s="45">
        <f>PRODUCT('All-Servers'!G1168,'All-Servers'!$K1168)</f>
        <v>0</v>
      </c>
    </row>
    <row r="1159" spans="8:11" x14ac:dyDescent="0.2">
      <c r="H1159" s="45">
        <f>PRODUCT('All-Servers'!D1169,'All-Servers'!$K1169)</f>
        <v>0</v>
      </c>
      <c r="I1159" s="45">
        <f>PRODUCT('All-Servers'!E1169,'All-Servers'!$K1169)</f>
        <v>0</v>
      </c>
      <c r="J1159" s="45">
        <f>PRODUCT('All-Servers'!F1169,'All-Servers'!$K1169)</f>
        <v>0</v>
      </c>
      <c r="K1159" s="45">
        <f>PRODUCT('All-Servers'!G1169,'All-Servers'!$K1169)</f>
        <v>0</v>
      </c>
    </row>
    <row r="1160" spans="8:11" x14ac:dyDescent="0.2">
      <c r="H1160" s="45">
        <f>PRODUCT('All-Servers'!D1170,'All-Servers'!$K1170)</f>
        <v>0</v>
      </c>
      <c r="I1160" s="45">
        <f>PRODUCT('All-Servers'!E1170,'All-Servers'!$K1170)</f>
        <v>0</v>
      </c>
      <c r="J1160" s="45">
        <f>PRODUCT('All-Servers'!F1170,'All-Servers'!$K1170)</f>
        <v>0</v>
      </c>
      <c r="K1160" s="45">
        <f>PRODUCT('All-Servers'!G1170,'All-Servers'!$K1170)</f>
        <v>0</v>
      </c>
    </row>
    <row r="1161" spans="8:11" x14ac:dyDescent="0.2">
      <c r="H1161" s="45">
        <f>PRODUCT('All-Servers'!D1171,'All-Servers'!$K1171)</f>
        <v>0</v>
      </c>
      <c r="I1161" s="45">
        <f>PRODUCT('All-Servers'!E1171,'All-Servers'!$K1171)</f>
        <v>0</v>
      </c>
      <c r="J1161" s="45">
        <f>PRODUCT('All-Servers'!F1171,'All-Servers'!$K1171)</f>
        <v>0</v>
      </c>
      <c r="K1161" s="45">
        <f>PRODUCT('All-Servers'!G1171,'All-Servers'!$K1171)</f>
        <v>0</v>
      </c>
    </row>
    <row r="1162" spans="8:11" x14ac:dyDescent="0.2">
      <c r="H1162" s="45">
        <f>PRODUCT('All-Servers'!D1172,'All-Servers'!$K1172)</f>
        <v>0</v>
      </c>
      <c r="I1162" s="45">
        <f>PRODUCT('All-Servers'!E1172,'All-Servers'!$K1172)</f>
        <v>0</v>
      </c>
      <c r="J1162" s="45">
        <f>PRODUCT('All-Servers'!F1172,'All-Servers'!$K1172)</f>
        <v>0</v>
      </c>
      <c r="K1162" s="45">
        <f>PRODUCT('All-Servers'!G1172,'All-Servers'!$K1172)</f>
        <v>0</v>
      </c>
    </row>
    <row r="1163" spans="8:11" x14ac:dyDescent="0.2">
      <c r="H1163" s="45">
        <f>PRODUCT('All-Servers'!D1173,'All-Servers'!$K1173)</f>
        <v>0</v>
      </c>
      <c r="I1163" s="45">
        <f>PRODUCT('All-Servers'!E1173,'All-Servers'!$K1173)</f>
        <v>0</v>
      </c>
      <c r="J1163" s="45">
        <f>PRODUCT('All-Servers'!F1173,'All-Servers'!$K1173)</f>
        <v>0</v>
      </c>
      <c r="K1163" s="45">
        <f>PRODUCT('All-Servers'!G1173,'All-Servers'!$K1173)</f>
        <v>0</v>
      </c>
    </row>
    <row r="1164" spans="8:11" x14ac:dyDescent="0.2">
      <c r="H1164" s="45">
        <f>PRODUCT('All-Servers'!D1174,'All-Servers'!$K1174)</f>
        <v>0</v>
      </c>
      <c r="I1164" s="45">
        <f>PRODUCT('All-Servers'!E1174,'All-Servers'!$K1174)</f>
        <v>0</v>
      </c>
      <c r="J1164" s="45">
        <f>PRODUCT('All-Servers'!F1174,'All-Servers'!$K1174)</f>
        <v>0</v>
      </c>
      <c r="K1164" s="45">
        <f>PRODUCT('All-Servers'!G1174,'All-Servers'!$K1174)</f>
        <v>0</v>
      </c>
    </row>
    <row r="1165" spans="8:11" x14ac:dyDescent="0.2">
      <c r="H1165" s="45">
        <f>PRODUCT('All-Servers'!D1175,'All-Servers'!$K1175)</f>
        <v>0</v>
      </c>
      <c r="I1165" s="45">
        <f>PRODUCT('All-Servers'!E1175,'All-Servers'!$K1175)</f>
        <v>0</v>
      </c>
      <c r="J1165" s="45">
        <f>PRODUCT('All-Servers'!F1175,'All-Servers'!$K1175)</f>
        <v>0</v>
      </c>
      <c r="K1165" s="45">
        <f>PRODUCT('All-Servers'!G1175,'All-Servers'!$K1175)</f>
        <v>0</v>
      </c>
    </row>
    <row r="1166" spans="8:11" x14ac:dyDescent="0.2">
      <c r="H1166" s="45">
        <f>PRODUCT('All-Servers'!D1176,'All-Servers'!$K1176)</f>
        <v>0</v>
      </c>
      <c r="I1166" s="45">
        <f>PRODUCT('All-Servers'!E1176,'All-Servers'!$K1176)</f>
        <v>0</v>
      </c>
      <c r="J1166" s="45">
        <f>PRODUCT('All-Servers'!F1176,'All-Servers'!$K1176)</f>
        <v>0</v>
      </c>
      <c r="K1166" s="45">
        <f>PRODUCT('All-Servers'!G1176,'All-Servers'!$K1176)</f>
        <v>0</v>
      </c>
    </row>
    <row r="1167" spans="8:11" x14ac:dyDescent="0.2">
      <c r="H1167" s="45">
        <f>PRODUCT('All-Servers'!D1177,'All-Servers'!$K1177)</f>
        <v>0</v>
      </c>
      <c r="I1167" s="45">
        <f>PRODUCT('All-Servers'!E1177,'All-Servers'!$K1177)</f>
        <v>0</v>
      </c>
      <c r="J1167" s="45">
        <f>PRODUCT('All-Servers'!F1177,'All-Servers'!$K1177)</f>
        <v>0</v>
      </c>
      <c r="K1167" s="45">
        <f>PRODUCT('All-Servers'!G1177,'All-Servers'!$K1177)</f>
        <v>0</v>
      </c>
    </row>
    <row r="1168" spans="8:11" x14ac:dyDescent="0.2">
      <c r="H1168" s="45">
        <f>PRODUCT('All-Servers'!D1178,'All-Servers'!$K1178)</f>
        <v>0</v>
      </c>
      <c r="I1168" s="45">
        <f>PRODUCT('All-Servers'!E1178,'All-Servers'!$K1178)</f>
        <v>0</v>
      </c>
      <c r="J1168" s="45">
        <f>PRODUCT('All-Servers'!F1178,'All-Servers'!$K1178)</f>
        <v>0</v>
      </c>
      <c r="K1168" s="45">
        <f>PRODUCT('All-Servers'!G1178,'All-Servers'!$K1178)</f>
        <v>0</v>
      </c>
    </row>
    <row r="1169" spans="8:11" x14ac:dyDescent="0.2">
      <c r="H1169" s="45">
        <f>PRODUCT('All-Servers'!D1179,'All-Servers'!$K1179)</f>
        <v>0</v>
      </c>
      <c r="I1169" s="45">
        <f>PRODUCT('All-Servers'!E1179,'All-Servers'!$K1179)</f>
        <v>0</v>
      </c>
      <c r="J1169" s="45">
        <f>PRODUCT('All-Servers'!F1179,'All-Servers'!$K1179)</f>
        <v>0</v>
      </c>
      <c r="K1169" s="45">
        <f>PRODUCT('All-Servers'!G1179,'All-Servers'!$K1179)</f>
        <v>0</v>
      </c>
    </row>
    <row r="1170" spans="8:11" x14ac:dyDescent="0.2">
      <c r="H1170" s="45">
        <f>PRODUCT('All-Servers'!D1180,'All-Servers'!$K1180)</f>
        <v>0</v>
      </c>
      <c r="I1170" s="45">
        <f>PRODUCT('All-Servers'!E1180,'All-Servers'!$K1180)</f>
        <v>0</v>
      </c>
      <c r="J1170" s="45">
        <f>PRODUCT('All-Servers'!F1180,'All-Servers'!$K1180)</f>
        <v>0</v>
      </c>
      <c r="K1170" s="45">
        <f>PRODUCT('All-Servers'!G1180,'All-Servers'!$K1180)</f>
        <v>0</v>
      </c>
    </row>
    <row r="1171" spans="8:11" x14ac:dyDescent="0.2">
      <c r="H1171" s="45">
        <f>PRODUCT('All-Servers'!D1181,'All-Servers'!$K1181)</f>
        <v>0</v>
      </c>
      <c r="I1171" s="45">
        <f>PRODUCT('All-Servers'!E1181,'All-Servers'!$K1181)</f>
        <v>0</v>
      </c>
      <c r="J1171" s="45">
        <f>PRODUCT('All-Servers'!F1181,'All-Servers'!$K1181)</f>
        <v>0</v>
      </c>
      <c r="K1171" s="45">
        <f>PRODUCT('All-Servers'!G1181,'All-Servers'!$K1181)</f>
        <v>0</v>
      </c>
    </row>
    <row r="1172" spans="8:11" x14ac:dyDescent="0.2">
      <c r="H1172" s="45">
        <f>PRODUCT('All-Servers'!D1182,'All-Servers'!$K1182)</f>
        <v>0</v>
      </c>
      <c r="I1172" s="45">
        <f>PRODUCT('All-Servers'!E1182,'All-Servers'!$K1182)</f>
        <v>0</v>
      </c>
      <c r="J1172" s="45">
        <f>PRODUCT('All-Servers'!F1182,'All-Servers'!$K1182)</f>
        <v>0</v>
      </c>
      <c r="K1172" s="45">
        <f>PRODUCT('All-Servers'!G1182,'All-Servers'!$K1182)</f>
        <v>0</v>
      </c>
    </row>
    <row r="1173" spans="8:11" x14ac:dyDescent="0.2">
      <c r="H1173" s="45">
        <f>PRODUCT('All-Servers'!D1183,'All-Servers'!$K1183)</f>
        <v>0</v>
      </c>
      <c r="I1173" s="45">
        <f>PRODUCT('All-Servers'!E1183,'All-Servers'!$K1183)</f>
        <v>0</v>
      </c>
      <c r="J1173" s="45">
        <f>PRODUCT('All-Servers'!F1183,'All-Servers'!$K1183)</f>
        <v>0</v>
      </c>
      <c r="K1173" s="45">
        <f>PRODUCT('All-Servers'!G1183,'All-Servers'!$K1183)</f>
        <v>0</v>
      </c>
    </row>
    <row r="1174" spans="8:11" x14ac:dyDescent="0.2">
      <c r="H1174" s="45">
        <f>PRODUCT('All-Servers'!D1184,'All-Servers'!$K1184)</f>
        <v>0</v>
      </c>
      <c r="I1174" s="45">
        <f>PRODUCT('All-Servers'!E1184,'All-Servers'!$K1184)</f>
        <v>0</v>
      </c>
      <c r="J1174" s="45">
        <f>PRODUCT('All-Servers'!F1184,'All-Servers'!$K1184)</f>
        <v>0</v>
      </c>
      <c r="K1174" s="45">
        <f>PRODUCT('All-Servers'!G1184,'All-Servers'!$K1184)</f>
        <v>0</v>
      </c>
    </row>
    <row r="1175" spans="8:11" x14ac:dyDescent="0.2">
      <c r="H1175" s="45">
        <f>PRODUCT('All-Servers'!D1185,'All-Servers'!$K1185)</f>
        <v>0</v>
      </c>
      <c r="I1175" s="45">
        <f>PRODUCT('All-Servers'!E1185,'All-Servers'!$K1185)</f>
        <v>0</v>
      </c>
      <c r="J1175" s="45">
        <f>PRODUCT('All-Servers'!F1185,'All-Servers'!$K1185)</f>
        <v>0</v>
      </c>
      <c r="K1175" s="45">
        <f>PRODUCT('All-Servers'!G1185,'All-Servers'!$K1185)</f>
        <v>0</v>
      </c>
    </row>
    <row r="1176" spans="8:11" x14ac:dyDescent="0.2">
      <c r="H1176" s="45">
        <f>PRODUCT('All-Servers'!D1186,'All-Servers'!$K1186)</f>
        <v>0</v>
      </c>
      <c r="I1176" s="45">
        <f>PRODUCT('All-Servers'!E1186,'All-Servers'!$K1186)</f>
        <v>0</v>
      </c>
      <c r="J1176" s="45">
        <f>PRODUCT('All-Servers'!F1186,'All-Servers'!$K1186)</f>
        <v>0</v>
      </c>
      <c r="K1176" s="45">
        <f>PRODUCT('All-Servers'!G1186,'All-Servers'!$K1186)</f>
        <v>0</v>
      </c>
    </row>
    <row r="1177" spans="8:11" x14ac:dyDescent="0.2">
      <c r="H1177" s="45">
        <f>PRODUCT('All-Servers'!D1187,'All-Servers'!$K1187)</f>
        <v>0</v>
      </c>
      <c r="I1177" s="45">
        <f>PRODUCT('All-Servers'!E1187,'All-Servers'!$K1187)</f>
        <v>0</v>
      </c>
      <c r="J1177" s="45">
        <f>PRODUCT('All-Servers'!F1187,'All-Servers'!$K1187)</f>
        <v>0</v>
      </c>
      <c r="K1177" s="45">
        <f>PRODUCT('All-Servers'!G1187,'All-Servers'!$K1187)</f>
        <v>0</v>
      </c>
    </row>
    <row r="1178" spans="8:11" x14ac:dyDescent="0.2">
      <c r="H1178" s="45">
        <f>PRODUCT('All-Servers'!D1188,'All-Servers'!$K1188)</f>
        <v>0</v>
      </c>
      <c r="I1178" s="45">
        <f>PRODUCT('All-Servers'!E1188,'All-Servers'!$K1188)</f>
        <v>0</v>
      </c>
      <c r="J1178" s="45">
        <f>PRODUCT('All-Servers'!F1188,'All-Servers'!$K1188)</f>
        <v>0</v>
      </c>
      <c r="K1178" s="45">
        <f>PRODUCT('All-Servers'!G1188,'All-Servers'!$K1188)</f>
        <v>0</v>
      </c>
    </row>
    <row r="1179" spans="8:11" x14ac:dyDescent="0.2">
      <c r="H1179" s="45">
        <f>PRODUCT('All-Servers'!D1189,'All-Servers'!$K1189)</f>
        <v>0</v>
      </c>
      <c r="I1179" s="45">
        <f>PRODUCT('All-Servers'!E1189,'All-Servers'!$K1189)</f>
        <v>0</v>
      </c>
      <c r="J1179" s="45">
        <f>PRODUCT('All-Servers'!F1189,'All-Servers'!$K1189)</f>
        <v>0</v>
      </c>
      <c r="K1179" s="45">
        <f>PRODUCT('All-Servers'!G1189,'All-Servers'!$K1189)</f>
        <v>0</v>
      </c>
    </row>
    <row r="1180" spans="8:11" x14ac:dyDescent="0.2">
      <c r="H1180" s="45">
        <f>PRODUCT('All-Servers'!D1190,'All-Servers'!$K1190)</f>
        <v>0</v>
      </c>
      <c r="I1180" s="45">
        <f>PRODUCT('All-Servers'!E1190,'All-Servers'!$K1190)</f>
        <v>0</v>
      </c>
      <c r="J1180" s="45">
        <f>PRODUCT('All-Servers'!F1190,'All-Servers'!$K1190)</f>
        <v>0</v>
      </c>
      <c r="K1180" s="45">
        <f>PRODUCT('All-Servers'!G1190,'All-Servers'!$K1190)</f>
        <v>0</v>
      </c>
    </row>
    <row r="1181" spans="8:11" x14ac:dyDescent="0.2">
      <c r="H1181" s="45">
        <f>PRODUCT('All-Servers'!D1191,'All-Servers'!$K1191)</f>
        <v>0</v>
      </c>
      <c r="I1181" s="45">
        <f>PRODUCT('All-Servers'!E1191,'All-Servers'!$K1191)</f>
        <v>0</v>
      </c>
      <c r="J1181" s="45">
        <f>PRODUCT('All-Servers'!F1191,'All-Servers'!$K1191)</f>
        <v>0</v>
      </c>
      <c r="K1181" s="45">
        <f>PRODUCT('All-Servers'!G1191,'All-Servers'!$K1191)</f>
        <v>0</v>
      </c>
    </row>
    <row r="1182" spans="8:11" x14ac:dyDescent="0.2">
      <c r="H1182" s="45">
        <f>PRODUCT('All-Servers'!D1192,'All-Servers'!$K1192)</f>
        <v>0</v>
      </c>
      <c r="I1182" s="45">
        <f>PRODUCT('All-Servers'!E1192,'All-Servers'!$K1192)</f>
        <v>0</v>
      </c>
      <c r="J1182" s="45">
        <f>PRODUCT('All-Servers'!F1192,'All-Servers'!$K1192)</f>
        <v>0</v>
      </c>
      <c r="K1182" s="45">
        <f>PRODUCT('All-Servers'!G1192,'All-Servers'!$K1192)</f>
        <v>0</v>
      </c>
    </row>
    <row r="1183" spans="8:11" x14ac:dyDescent="0.2">
      <c r="H1183" s="45">
        <f>PRODUCT('All-Servers'!D1193,'All-Servers'!$K1193)</f>
        <v>0</v>
      </c>
      <c r="I1183" s="45">
        <f>PRODUCT('All-Servers'!E1193,'All-Servers'!$K1193)</f>
        <v>0</v>
      </c>
      <c r="J1183" s="45">
        <f>PRODUCT('All-Servers'!F1193,'All-Servers'!$K1193)</f>
        <v>0</v>
      </c>
      <c r="K1183" s="45">
        <f>PRODUCT('All-Servers'!G1193,'All-Servers'!$K1193)</f>
        <v>0</v>
      </c>
    </row>
    <row r="1184" spans="8:11" x14ac:dyDescent="0.2">
      <c r="H1184" s="45">
        <f>PRODUCT('All-Servers'!D1194,'All-Servers'!$K1194)</f>
        <v>0</v>
      </c>
      <c r="I1184" s="45">
        <f>PRODUCT('All-Servers'!E1194,'All-Servers'!$K1194)</f>
        <v>0</v>
      </c>
      <c r="J1184" s="45">
        <f>PRODUCT('All-Servers'!F1194,'All-Servers'!$K1194)</f>
        <v>0</v>
      </c>
      <c r="K1184" s="45">
        <f>PRODUCT('All-Servers'!G1194,'All-Servers'!$K1194)</f>
        <v>0</v>
      </c>
    </row>
    <row r="1185" spans="8:11" x14ac:dyDescent="0.2">
      <c r="H1185" s="45">
        <f>PRODUCT('All-Servers'!D1195,'All-Servers'!$K1195)</f>
        <v>0</v>
      </c>
      <c r="I1185" s="45">
        <f>PRODUCT('All-Servers'!E1195,'All-Servers'!$K1195)</f>
        <v>0</v>
      </c>
      <c r="J1185" s="45">
        <f>PRODUCT('All-Servers'!F1195,'All-Servers'!$K1195)</f>
        <v>0</v>
      </c>
      <c r="K1185" s="45">
        <f>PRODUCT('All-Servers'!G1195,'All-Servers'!$K1195)</f>
        <v>0</v>
      </c>
    </row>
    <row r="1186" spans="8:11" x14ac:dyDescent="0.2">
      <c r="H1186" s="45">
        <f>PRODUCT('All-Servers'!D1196,'All-Servers'!$K1196)</f>
        <v>0</v>
      </c>
      <c r="I1186" s="45">
        <f>PRODUCT('All-Servers'!E1196,'All-Servers'!$K1196)</f>
        <v>0</v>
      </c>
      <c r="J1186" s="45">
        <f>PRODUCT('All-Servers'!F1196,'All-Servers'!$K1196)</f>
        <v>0</v>
      </c>
      <c r="K1186" s="45">
        <f>PRODUCT('All-Servers'!G1196,'All-Servers'!$K1196)</f>
        <v>0</v>
      </c>
    </row>
    <row r="1187" spans="8:11" x14ac:dyDescent="0.2">
      <c r="H1187" s="45">
        <f>PRODUCT('All-Servers'!D1197,'All-Servers'!$K1197)</f>
        <v>0</v>
      </c>
      <c r="I1187" s="45">
        <f>PRODUCT('All-Servers'!E1197,'All-Servers'!$K1197)</f>
        <v>0</v>
      </c>
      <c r="J1187" s="45">
        <f>PRODUCT('All-Servers'!F1197,'All-Servers'!$K1197)</f>
        <v>0</v>
      </c>
      <c r="K1187" s="45">
        <f>PRODUCT('All-Servers'!G1197,'All-Servers'!$K1197)</f>
        <v>0</v>
      </c>
    </row>
    <row r="1188" spans="8:11" x14ac:dyDescent="0.2">
      <c r="H1188" s="45">
        <f>PRODUCT('All-Servers'!D1198,'All-Servers'!$K1198)</f>
        <v>0</v>
      </c>
      <c r="I1188" s="45">
        <f>PRODUCT('All-Servers'!E1198,'All-Servers'!$K1198)</f>
        <v>0</v>
      </c>
      <c r="J1188" s="45">
        <f>PRODUCT('All-Servers'!F1198,'All-Servers'!$K1198)</f>
        <v>0</v>
      </c>
      <c r="K1188" s="45">
        <f>PRODUCT('All-Servers'!G1198,'All-Servers'!$K1198)</f>
        <v>0</v>
      </c>
    </row>
    <row r="1189" spans="8:11" x14ac:dyDescent="0.2">
      <c r="H1189" s="45">
        <f>PRODUCT('All-Servers'!D1199,'All-Servers'!$K1199)</f>
        <v>0</v>
      </c>
      <c r="I1189" s="45">
        <f>PRODUCT('All-Servers'!E1199,'All-Servers'!$K1199)</f>
        <v>0</v>
      </c>
      <c r="J1189" s="45">
        <f>PRODUCT('All-Servers'!F1199,'All-Servers'!$K1199)</f>
        <v>0</v>
      </c>
      <c r="K1189" s="45">
        <f>PRODUCT('All-Servers'!G1199,'All-Servers'!$K1199)</f>
        <v>0</v>
      </c>
    </row>
    <row r="1190" spans="8:11" x14ac:dyDescent="0.2">
      <c r="H1190" s="45">
        <f>PRODUCT('All-Servers'!D1200,'All-Servers'!$K1200)</f>
        <v>0</v>
      </c>
      <c r="I1190" s="45">
        <f>PRODUCT('All-Servers'!E1200,'All-Servers'!$K1200)</f>
        <v>0</v>
      </c>
      <c r="J1190" s="45">
        <f>PRODUCT('All-Servers'!F1200,'All-Servers'!$K1200)</f>
        <v>0</v>
      </c>
      <c r="K1190" s="45">
        <f>PRODUCT('All-Servers'!G1200,'All-Servers'!$K1200)</f>
        <v>0</v>
      </c>
    </row>
    <row r="1191" spans="8:11" x14ac:dyDescent="0.2">
      <c r="H1191" s="45">
        <f>PRODUCT('All-Servers'!D1201,'All-Servers'!$K1201)</f>
        <v>0</v>
      </c>
      <c r="I1191" s="45">
        <f>PRODUCT('All-Servers'!E1201,'All-Servers'!$K1201)</f>
        <v>0</v>
      </c>
      <c r="J1191" s="45">
        <f>PRODUCT('All-Servers'!F1201,'All-Servers'!$K1201)</f>
        <v>0</v>
      </c>
      <c r="K1191" s="45">
        <f>PRODUCT('All-Servers'!G1201,'All-Servers'!$K1201)</f>
        <v>0</v>
      </c>
    </row>
    <row r="1192" spans="8:11" x14ac:dyDescent="0.2">
      <c r="H1192" s="45">
        <f>PRODUCT('All-Servers'!D1202,'All-Servers'!$K1202)</f>
        <v>0</v>
      </c>
      <c r="I1192" s="45">
        <f>PRODUCT('All-Servers'!E1202,'All-Servers'!$K1202)</f>
        <v>0</v>
      </c>
      <c r="J1192" s="45">
        <f>PRODUCT('All-Servers'!F1202,'All-Servers'!$K1202)</f>
        <v>0</v>
      </c>
      <c r="K1192" s="45">
        <f>PRODUCT('All-Servers'!G1202,'All-Servers'!$K1202)</f>
        <v>0</v>
      </c>
    </row>
    <row r="1193" spans="8:11" x14ac:dyDescent="0.2">
      <c r="H1193" s="45">
        <f>PRODUCT('All-Servers'!D1203,'All-Servers'!$K1203)</f>
        <v>0</v>
      </c>
      <c r="I1193" s="45">
        <f>PRODUCT('All-Servers'!E1203,'All-Servers'!$K1203)</f>
        <v>0</v>
      </c>
      <c r="J1193" s="45">
        <f>PRODUCT('All-Servers'!F1203,'All-Servers'!$K1203)</f>
        <v>0</v>
      </c>
      <c r="K1193" s="45">
        <f>PRODUCT('All-Servers'!G1203,'All-Servers'!$K1203)</f>
        <v>0</v>
      </c>
    </row>
    <row r="1194" spans="8:11" x14ac:dyDescent="0.2">
      <c r="H1194" s="45">
        <f>PRODUCT('All-Servers'!D1204,'All-Servers'!$K1204)</f>
        <v>0</v>
      </c>
      <c r="I1194" s="45">
        <f>PRODUCT('All-Servers'!E1204,'All-Servers'!$K1204)</f>
        <v>0</v>
      </c>
      <c r="J1194" s="45">
        <f>PRODUCT('All-Servers'!F1204,'All-Servers'!$K1204)</f>
        <v>0</v>
      </c>
      <c r="K1194" s="45">
        <f>PRODUCT('All-Servers'!G1204,'All-Servers'!$K1204)</f>
        <v>0</v>
      </c>
    </row>
    <row r="1195" spans="8:11" x14ac:dyDescent="0.2">
      <c r="H1195" s="45">
        <f>PRODUCT('All-Servers'!D1205,'All-Servers'!$K1205)</f>
        <v>0</v>
      </c>
      <c r="I1195" s="45">
        <f>PRODUCT('All-Servers'!E1205,'All-Servers'!$K1205)</f>
        <v>0</v>
      </c>
      <c r="J1195" s="45">
        <f>PRODUCT('All-Servers'!F1205,'All-Servers'!$K1205)</f>
        <v>0</v>
      </c>
      <c r="K1195" s="45">
        <f>PRODUCT('All-Servers'!G1205,'All-Servers'!$K1205)</f>
        <v>0</v>
      </c>
    </row>
    <row r="1196" spans="8:11" x14ac:dyDescent="0.2">
      <c r="H1196" s="45">
        <f>PRODUCT('All-Servers'!D1206,'All-Servers'!$K1206)</f>
        <v>0</v>
      </c>
      <c r="I1196" s="45">
        <f>PRODUCT('All-Servers'!E1206,'All-Servers'!$K1206)</f>
        <v>0</v>
      </c>
      <c r="J1196" s="45">
        <f>PRODUCT('All-Servers'!F1206,'All-Servers'!$K1206)</f>
        <v>0</v>
      </c>
      <c r="K1196" s="45">
        <f>PRODUCT('All-Servers'!G1206,'All-Servers'!$K1206)</f>
        <v>0</v>
      </c>
    </row>
    <row r="1197" spans="8:11" x14ac:dyDescent="0.2">
      <c r="H1197" s="45">
        <f>PRODUCT('All-Servers'!D1207,'All-Servers'!$K1207)</f>
        <v>0</v>
      </c>
      <c r="I1197" s="45">
        <f>PRODUCT('All-Servers'!E1207,'All-Servers'!$K1207)</f>
        <v>0</v>
      </c>
      <c r="J1197" s="45">
        <f>PRODUCT('All-Servers'!F1207,'All-Servers'!$K1207)</f>
        <v>0</v>
      </c>
      <c r="K1197" s="45">
        <f>PRODUCT('All-Servers'!G1207,'All-Servers'!$K1207)</f>
        <v>0</v>
      </c>
    </row>
    <row r="1198" spans="8:11" x14ac:dyDescent="0.2">
      <c r="H1198" s="45">
        <f>PRODUCT('All-Servers'!D1208,'All-Servers'!$K1208)</f>
        <v>0</v>
      </c>
      <c r="I1198" s="45">
        <f>PRODUCT('All-Servers'!E1208,'All-Servers'!$K1208)</f>
        <v>0</v>
      </c>
      <c r="J1198" s="45">
        <f>PRODUCT('All-Servers'!F1208,'All-Servers'!$K1208)</f>
        <v>0</v>
      </c>
      <c r="K1198" s="45">
        <f>PRODUCT('All-Servers'!G1208,'All-Servers'!$K1208)</f>
        <v>0</v>
      </c>
    </row>
    <row r="1199" spans="8:11" x14ac:dyDescent="0.2">
      <c r="H1199" s="45">
        <f>PRODUCT('All-Servers'!D1209,'All-Servers'!$K1209)</f>
        <v>0</v>
      </c>
      <c r="I1199" s="45">
        <f>PRODUCT('All-Servers'!E1209,'All-Servers'!$K1209)</f>
        <v>0</v>
      </c>
      <c r="J1199" s="45">
        <f>PRODUCT('All-Servers'!F1209,'All-Servers'!$K1209)</f>
        <v>0</v>
      </c>
      <c r="K1199" s="45">
        <f>PRODUCT('All-Servers'!G1209,'All-Servers'!$K1209)</f>
        <v>0</v>
      </c>
    </row>
    <row r="1200" spans="8:11" x14ac:dyDescent="0.2">
      <c r="H1200" s="45">
        <f>PRODUCT('All-Servers'!D1210,'All-Servers'!$K1210)</f>
        <v>0</v>
      </c>
      <c r="I1200" s="45">
        <f>PRODUCT('All-Servers'!E1210,'All-Servers'!$K1210)</f>
        <v>0</v>
      </c>
      <c r="J1200" s="45">
        <f>PRODUCT('All-Servers'!F1210,'All-Servers'!$K1210)</f>
        <v>0</v>
      </c>
      <c r="K1200" s="45">
        <f>PRODUCT('All-Servers'!G1210,'All-Servers'!$K1210)</f>
        <v>0</v>
      </c>
    </row>
    <row r="1201" spans="8:11" x14ac:dyDescent="0.2">
      <c r="H1201" s="45">
        <f>PRODUCT('All-Servers'!D1211,'All-Servers'!$K1211)</f>
        <v>0</v>
      </c>
      <c r="I1201" s="45">
        <f>PRODUCT('All-Servers'!E1211,'All-Servers'!$K1211)</f>
        <v>0</v>
      </c>
      <c r="J1201" s="45">
        <f>PRODUCT('All-Servers'!F1211,'All-Servers'!$K1211)</f>
        <v>0</v>
      </c>
      <c r="K1201" s="45">
        <f>PRODUCT('All-Servers'!G1211,'All-Servers'!$K1211)</f>
        <v>0</v>
      </c>
    </row>
    <row r="1202" spans="8:11" x14ac:dyDescent="0.2">
      <c r="H1202" s="45">
        <f>PRODUCT('All-Servers'!D1212,'All-Servers'!$K1212)</f>
        <v>0</v>
      </c>
      <c r="I1202" s="45">
        <f>PRODUCT('All-Servers'!E1212,'All-Servers'!$K1212)</f>
        <v>0</v>
      </c>
      <c r="J1202" s="45">
        <f>PRODUCT('All-Servers'!F1212,'All-Servers'!$K1212)</f>
        <v>0</v>
      </c>
      <c r="K1202" s="45">
        <f>PRODUCT('All-Servers'!G1212,'All-Servers'!$K1212)</f>
        <v>0</v>
      </c>
    </row>
    <row r="1203" spans="8:11" x14ac:dyDescent="0.2">
      <c r="H1203" s="45">
        <f>PRODUCT('All-Servers'!D1213,'All-Servers'!$K1213)</f>
        <v>0</v>
      </c>
      <c r="I1203" s="45">
        <f>PRODUCT('All-Servers'!E1213,'All-Servers'!$K1213)</f>
        <v>0</v>
      </c>
      <c r="J1203" s="45">
        <f>PRODUCT('All-Servers'!F1213,'All-Servers'!$K1213)</f>
        <v>0</v>
      </c>
      <c r="K1203" s="45">
        <f>PRODUCT('All-Servers'!G1213,'All-Servers'!$K1213)</f>
        <v>0</v>
      </c>
    </row>
    <row r="1204" spans="8:11" x14ac:dyDescent="0.2">
      <c r="H1204" s="45">
        <f>PRODUCT('All-Servers'!D1214,'All-Servers'!$K1214)</f>
        <v>0</v>
      </c>
      <c r="I1204" s="45">
        <f>PRODUCT('All-Servers'!E1214,'All-Servers'!$K1214)</f>
        <v>0</v>
      </c>
      <c r="J1204" s="45">
        <f>PRODUCT('All-Servers'!F1214,'All-Servers'!$K1214)</f>
        <v>0</v>
      </c>
      <c r="K1204" s="45">
        <f>PRODUCT('All-Servers'!G1214,'All-Servers'!$K1214)</f>
        <v>0</v>
      </c>
    </row>
    <row r="1205" spans="8:11" x14ac:dyDescent="0.2">
      <c r="H1205" s="45">
        <f>PRODUCT('All-Servers'!D1215,'All-Servers'!$K1215)</f>
        <v>0</v>
      </c>
      <c r="I1205" s="45">
        <f>PRODUCT('All-Servers'!E1215,'All-Servers'!$K1215)</f>
        <v>0</v>
      </c>
      <c r="J1205" s="45">
        <f>PRODUCT('All-Servers'!F1215,'All-Servers'!$K1215)</f>
        <v>0</v>
      </c>
      <c r="K1205" s="45">
        <f>PRODUCT('All-Servers'!G1215,'All-Servers'!$K1215)</f>
        <v>0</v>
      </c>
    </row>
    <row r="1206" spans="8:11" x14ac:dyDescent="0.2">
      <c r="H1206" s="45">
        <f>PRODUCT('All-Servers'!D1216,'All-Servers'!$K1216)</f>
        <v>0</v>
      </c>
      <c r="I1206" s="45">
        <f>PRODUCT('All-Servers'!E1216,'All-Servers'!$K1216)</f>
        <v>0</v>
      </c>
      <c r="J1206" s="45">
        <f>PRODUCT('All-Servers'!F1216,'All-Servers'!$K1216)</f>
        <v>0</v>
      </c>
      <c r="K1206" s="45">
        <f>PRODUCT('All-Servers'!G1216,'All-Servers'!$K1216)</f>
        <v>0</v>
      </c>
    </row>
    <row r="1207" spans="8:11" x14ac:dyDescent="0.2">
      <c r="H1207" s="45">
        <f>PRODUCT('All-Servers'!D1217,'All-Servers'!$K1217)</f>
        <v>0</v>
      </c>
      <c r="I1207" s="45">
        <f>PRODUCT('All-Servers'!E1217,'All-Servers'!$K1217)</f>
        <v>0</v>
      </c>
      <c r="J1207" s="45">
        <f>PRODUCT('All-Servers'!F1217,'All-Servers'!$K1217)</f>
        <v>0</v>
      </c>
      <c r="K1207" s="45">
        <f>PRODUCT('All-Servers'!G1217,'All-Servers'!$K1217)</f>
        <v>0</v>
      </c>
    </row>
    <row r="1208" spans="8:11" x14ac:dyDescent="0.2">
      <c r="H1208" s="45">
        <f>PRODUCT('All-Servers'!D1218,'All-Servers'!$K1218)</f>
        <v>0</v>
      </c>
      <c r="I1208" s="45">
        <f>PRODUCT('All-Servers'!E1218,'All-Servers'!$K1218)</f>
        <v>0</v>
      </c>
      <c r="J1208" s="45">
        <f>PRODUCT('All-Servers'!F1218,'All-Servers'!$K1218)</f>
        <v>0</v>
      </c>
      <c r="K1208" s="45">
        <f>PRODUCT('All-Servers'!G1218,'All-Servers'!$K1218)</f>
        <v>0</v>
      </c>
    </row>
    <row r="1209" spans="8:11" x14ac:dyDescent="0.2">
      <c r="H1209" s="45">
        <f>PRODUCT('All-Servers'!D1219,'All-Servers'!$K1219)</f>
        <v>0</v>
      </c>
      <c r="I1209" s="45">
        <f>PRODUCT('All-Servers'!E1219,'All-Servers'!$K1219)</f>
        <v>0</v>
      </c>
      <c r="J1209" s="45">
        <f>PRODUCT('All-Servers'!F1219,'All-Servers'!$K1219)</f>
        <v>0</v>
      </c>
      <c r="K1209" s="45">
        <f>PRODUCT('All-Servers'!G1219,'All-Servers'!$K1219)</f>
        <v>0</v>
      </c>
    </row>
    <row r="1210" spans="8:11" x14ac:dyDescent="0.2">
      <c r="H1210" s="45">
        <f>PRODUCT('All-Servers'!D1220,'All-Servers'!$K1220)</f>
        <v>0</v>
      </c>
      <c r="I1210" s="45">
        <f>PRODUCT('All-Servers'!E1220,'All-Servers'!$K1220)</f>
        <v>0</v>
      </c>
      <c r="J1210" s="45">
        <f>PRODUCT('All-Servers'!F1220,'All-Servers'!$K1220)</f>
        <v>0</v>
      </c>
      <c r="K1210" s="45">
        <f>PRODUCT('All-Servers'!G1220,'All-Servers'!$K1220)</f>
        <v>0</v>
      </c>
    </row>
    <row r="1211" spans="8:11" x14ac:dyDescent="0.2">
      <c r="H1211" s="45">
        <f>PRODUCT('All-Servers'!D1221,'All-Servers'!$K1221)</f>
        <v>0</v>
      </c>
      <c r="I1211" s="45">
        <f>PRODUCT('All-Servers'!E1221,'All-Servers'!$K1221)</f>
        <v>0</v>
      </c>
      <c r="J1211" s="45">
        <f>PRODUCT('All-Servers'!F1221,'All-Servers'!$K1221)</f>
        <v>0</v>
      </c>
      <c r="K1211" s="45">
        <f>PRODUCT('All-Servers'!G1221,'All-Servers'!$K1221)</f>
        <v>0</v>
      </c>
    </row>
    <row r="1212" spans="8:11" x14ac:dyDescent="0.2">
      <c r="H1212" s="45">
        <f>PRODUCT('All-Servers'!D1222,'All-Servers'!$K1222)</f>
        <v>0</v>
      </c>
      <c r="I1212" s="45">
        <f>PRODUCT('All-Servers'!E1222,'All-Servers'!$K1222)</f>
        <v>0</v>
      </c>
      <c r="J1212" s="45">
        <f>PRODUCT('All-Servers'!F1222,'All-Servers'!$K1222)</f>
        <v>0</v>
      </c>
      <c r="K1212" s="45">
        <f>PRODUCT('All-Servers'!G1222,'All-Servers'!$K1222)</f>
        <v>0</v>
      </c>
    </row>
    <row r="1213" spans="8:11" x14ac:dyDescent="0.2">
      <c r="H1213" s="45">
        <f>PRODUCT('All-Servers'!D1223,'All-Servers'!$K1223)</f>
        <v>0</v>
      </c>
      <c r="I1213" s="45">
        <f>PRODUCT('All-Servers'!E1223,'All-Servers'!$K1223)</f>
        <v>0</v>
      </c>
      <c r="J1213" s="45">
        <f>PRODUCT('All-Servers'!F1223,'All-Servers'!$K1223)</f>
        <v>0</v>
      </c>
      <c r="K1213" s="45">
        <f>PRODUCT('All-Servers'!G1223,'All-Servers'!$K1223)</f>
        <v>0</v>
      </c>
    </row>
    <row r="1214" spans="8:11" x14ac:dyDescent="0.2">
      <c r="H1214" s="45">
        <f>PRODUCT('All-Servers'!D1224,'All-Servers'!$K1224)</f>
        <v>0</v>
      </c>
      <c r="I1214" s="45">
        <f>PRODUCT('All-Servers'!E1224,'All-Servers'!$K1224)</f>
        <v>0</v>
      </c>
      <c r="J1214" s="45">
        <f>PRODUCT('All-Servers'!F1224,'All-Servers'!$K1224)</f>
        <v>0</v>
      </c>
      <c r="K1214" s="45">
        <f>PRODUCT('All-Servers'!G1224,'All-Servers'!$K1224)</f>
        <v>0</v>
      </c>
    </row>
    <row r="1215" spans="8:11" x14ac:dyDescent="0.2">
      <c r="H1215" s="45">
        <f>PRODUCT('All-Servers'!D1225,'All-Servers'!$K1225)</f>
        <v>0</v>
      </c>
      <c r="I1215" s="45">
        <f>PRODUCT('All-Servers'!E1225,'All-Servers'!$K1225)</f>
        <v>0</v>
      </c>
      <c r="J1215" s="45">
        <f>PRODUCT('All-Servers'!F1225,'All-Servers'!$K1225)</f>
        <v>0</v>
      </c>
      <c r="K1215" s="45">
        <f>PRODUCT('All-Servers'!G1225,'All-Servers'!$K1225)</f>
        <v>0</v>
      </c>
    </row>
    <row r="1216" spans="8:11" x14ac:dyDescent="0.2">
      <c r="H1216" s="45">
        <f>PRODUCT('All-Servers'!D1226,'All-Servers'!$K1226)</f>
        <v>0</v>
      </c>
      <c r="I1216" s="45">
        <f>PRODUCT('All-Servers'!E1226,'All-Servers'!$K1226)</f>
        <v>0</v>
      </c>
      <c r="J1216" s="45">
        <f>PRODUCT('All-Servers'!F1226,'All-Servers'!$K1226)</f>
        <v>0</v>
      </c>
      <c r="K1216" s="45">
        <f>PRODUCT('All-Servers'!G1226,'All-Servers'!$K1226)</f>
        <v>0</v>
      </c>
    </row>
    <row r="1217" spans="8:11" x14ac:dyDescent="0.2">
      <c r="H1217" s="45">
        <f>PRODUCT('All-Servers'!D1227,'All-Servers'!$K1227)</f>
        <v>0</v>
      </c>
      <c r="I1217" s="45">
        <f>PRODUCT('All-Servers'!E1227,'All-Servers'!$K1227)</f>
        <v>0</v>
      </c>
      <c r="J1217" s="45">
        <f>PRODUCT('All-Servers'!F1227,'All-Servers'!$K1227)</f>
        <v>0</v>
      </c>
      <c r="K1217" s="45">
        <f>PRODUCT('All-Servers'!G1227,'All-Servers'!$K1227)</f>
        <v>0</v>
      </c>
    </row>
    <row r="1218" spans="8:11" x14ac:dyDescent="0.2">
      <c r="H1218" s="45">
        <f>PRODUCT('All-Servers'!D1228,'All-Servers'!$K1228)</f>
        <v>0</v>
      </c>
      <c r="I1218" s="45">
        <f>PRODUCT('All-Servers'!E1228,'All-Servers'!$K1228)</f>
        <v>0</v>
      </c>
      <c r="J1218" s="45">
        <f>PRODUCT('All-Servers'!F1228,'All-Servers'!$K1228)</f>
        <v>0</v>
      </c>
      <c r="K1218" s="45">
        <f>PRODUCT('All-Servers'!G1228,'All-Servers'!$K1228)</f>
        <v>0</v>
      </c>
    </row>
    <row r="1219" spans="8:11" x14ac:dyDescent="0.2">
      <c r="H1219" s="45">
        <f>PRODUCT('All-Servers'!D1229,'All-Servers'!$K1229)</f>
        <v>0</v>
      </c>
      <c r="I1219" s="45">
        <f>PRODUCT('All-Servers'!E1229,'All-Servers'!$K1229)</f>
        <v>0</v>
      </c>
      <c r="J1219" s="45">
        <f>PRODUCT('All-Servers'!F1229,'All-Servers'!$K1229)</f>
        <v>0</v>
      </c>
      <c r="K1219" s="45">
        <f>PRODUCT('All-Servers'!G1229,'All-Servers'!$K1229)</f>
        <v>0</v>
      </c>
    </row>
    <row r="1220" spans="8:11" x14ac:dyDescent="0.2">
      <c r="H1220" s="45">
        <f>PRODUCT('All-Servers'!D1230,'All-Servers'!$K1230)</f>
        <v>0</v>
      </c>
      <c r="I1220" s="45">
        <f>PRODUCT('All-Servers'!E1230,'All-Servers'!$K1230)</f>
        <v>0</v>
      </c>
      <c r="J1220" s="45">
        <f>PRODUCT('All-Servers'!F1230,'All-Servers'!$K1230)</f>
        <v>0</v>
      </c>
      <c r="K1220" s="45">
        <f>PRODUCT('All-Servers'!G1230,'All-Servers'!$K1230)</f>
        <v>0</v>
      </c>
    </row>
    <row r="1221" spans="8:11" x14ac:dyDescent="0.2">
      <c r="H1221" s="45">
        <f>PRODUCT('All-Servers'!D1231,'All-Servers'!$K1231)</f>
        <v>0</v>
      </c>
      <c r="I1221" s="45">
        <f>PRODUCT('All-Servers'!E1231,'All-Servers'!$K1231)</f>
        <v>0</v>
      </c>
      <c r="J1221" s="45">
        <f>PRODUCT('All-Servers'!F1231,'All-Servers'!$K1231)</f>
        <v>0</v>
      </c>
      <c r="K1221" s="45">
        <f>PRODUCT('All-Servers'!G1231,'All-Servers'!$K1231)</f>
        <v>0</v>
      </c>
    </row>
    <row r="1222" spans="8:11" x14ac:dyDescent="0.2">
      <c r="H1222" s="45">
        <f>PRODUCT('All-Servers'!D1232,'All-Servers'!$K1232)</f>
        <v>0</v>
      </c>
      <c r="I1222" s="45">
        <f>PRODUCT('All-Servers'!E1232,'All-Servers'!$K1232)</f>
        <v>0</v>
      </c>
      <c r="J1222" s="45">
        <f>PRODUCT('All-Servers'!F1232,'All-Servers'!$K1232)</f>
        <v>0</v>
      </c>
      <c r="K1222" s="45">
        <f>PRODUCT('All-Servers'!G1232,'All-Servers'!$K1232)</f>
        <v>0</v>
      </c>
    </row>
    <row r="1223" spans="8:11" x14ac:dyDescent="0.2">
      <c r="H1223" s="45">
        <f>PRODUCT('All-Servers'!D1233,'All-Servers'!$K1233)</f>
        <v>0</v>
      </c>
      <c r="I1223" s="45">
        <f>PRODUCT('All-Servers'!E1233,'All-Servers'!$K1233)</f>
        <v>0</v>
      </c>
      <c r="J1223" s="45">
        <f>PRODUCT('All-Servers'!F1233,'All-Servers'!$K1233)</f>
        <v>0</v>
      </c>
      <c r="K1223" s="45">
        <f>PRODUCT('All-Servers'!G1233,'All-Servers'!$K1233)</f>
        <v>0</v>
      </c>
    </row>
    <row r="1224" spans="8:11" x14ac:dyDescent="0.2">
      <c r="H1224" s="45">
        <f>PRODUCT('All-Servers'!D1234,'All-Servers'!$K1234)</f>
        <v>0</v>
      </c>
      <c r="I1224" s="45">
        <f>PRODUCT('All-Servers'!E1234,'All-Servers'!$K1234)</f>
        <v>0</v>
      </c>
      <c r="J1224" s="45">
        <f>PRODUCT('All-Servers'!F1234,'All-Servers'!$K1234)</f>
        <v>0</v>
      </c>
      <c r="K1224" s="45">
        <f>PRODUCT('All-Servers'!G1234,'All-Servers'!$K1234)</f>
        <v>0</v>
      </c>
    </row>
    <row r="1225" spans="8:11" x14ac:dyDescent="0.2">
      <c r="H1225" s="45">
        <f>PRODUCT('All-Servers'!D1235,'All-Servers'!$K1235)</f>
        <v>0</v>
      </c>
      <c r="I1225" s="45">
        <f>PRODUCT('All-Servers'!E1235,'All-Servers'!$K1235)</f>
        <v>0</v>
      </c>
      <c r="J1225" s="45">
        <f>PRODUCT('All-Servers'!F1235,'All-Servers'!$K1235)</f>
        <v>0</v>
      </c>
      <c r="K1225" s="45">
        <f>PRODUCT('All-Servers'!G1235,'All-Servers'!$K1235)</f>
        <v>0</v>
      </c>
    </row>
    <row r="1226" spans="8:11" x14ac:dyDescent="0.2">
      <c r="H1226" s="45">
        <f>PRODUCT('All-Servers'!D1236,'All-Servers'!$K1236)</f>
        <v>0</v>
      </c>
      <c r="I1226" s="45">
        <f>PRODUCT('All-Servers'!E1236,'All-Servers'!$K1236)</f>
        <v>0</v>
      </c>
      <c r="J1226" s="45">
        <f>PRODUCT('All-Servers'!F1236,'All-Servers'!$K1236)</f>
        <v>0</v>
      </c>
      <c r="K1226" s="45">
        <f>PRODUCT('All-Servers'!G1236,'All-Servers'!$K1236)</f>
        <v>0</v>
      </c>
    </row>
    <row r="1227" spans="8:11" x14ac:dyDescent="0.2">
      <c r="H1227" s="45">
        <f>PRODUCT('All-Servers'!D1237,'All-Servers'!$K1237)</f>
        <v>0</v>
      </c>
      <c r="I1227" s="45">
        <f>PRODUCT('All-Servers'!E1237,'All-Servers'!$K1237)</f>
        <v>0</v>
      </c>
      <c r="J1227" s="45">
        <f>PRODUCT('All-Servers'!F1237,'All-Servers'!$K1237)</f>
        <v>0</v>
      </c>
      <c r="K1227" s="45">
        <f>PRODUCT('All-Servers'!G1237,'All-Servers'!$K1237)</f>
        <v>0</v>
      </c>
    </row>
    <row r="1228" spans="8:11" x14ac:dyDescent="0.2">
      <c r="H1228" s="45">
        <f>PRODUCT('All-Servers'!D1238,'All-Servers'!$K1238)</f>
        <v>0</v>
      </c>
      <c r="I1228" s="45">
        <f>PRODUCT('All-Servers'!E1238,'All-Servers'!$K1238)</f>
        <v>0</v>
      </c>
      <c r="J1228" s="45">
        <f>PRODUCT('All-Servers'!F1238,'All-Servers'!$K1238)</f>
        <v>0</v>
      </c>
      <c r="K1228" s="45">
        <f>PRODUCT('All-Servers'!G1238,'All-Servers'!$K1238)</f>
        <v>0</v>
      </c>
    </row>
    <row r="1229" spans="8:11" x14ac:dyDescent="0.2">
      <c r="H1229" s="45">
        <f>PRODUCT('All-Servers'!D1239,'All-Servers'!$K1239)</f>
        <v>0</v>
      </c>
      <c r="I1229" s="45">
        <f>PRODUCT('All-Servers'!E1239,'All-Servers'!$K1239)</f>
        <v>0</v>
      </c>
      <c r="J1229" s="45">
        <f>PRODUCT('All-Servers'!F1239,'All-Servers'!$K1239)</f>
        <v>0</v>
      </c>
      <c r="K1229" s="45">
        <f>PRODUCT('All-Servers'!G1239,'All-Servers'!$K1239)</f>
        <v>0</v>
      </c>
    </row>
    <row r="1230" spans="8:11" x14ac:dyDescent="0.2">
      <c r="H1230" s="45">
        <f>PRODUCT('All-Servers'!D1240,'All-Servers'!$K1240)</f>
        <v>0</v>
      </c>
      <c r="I1230" s="45">
        <f>PRODUCT('All-Servers'!E1240,'All-Servers'!$K1240)</f>
        <v>0</v>
      </c>
      <c r="J1230" s="45">
        <f>PRODUCT('All-Servers'!F1240,'All-Servers'!$K1240)</f>
        <v>0</v>
      </c>
      <c r="K1230" s="45">
        <f>PRODUCT('All-Servers'!G1240,'All-Servers'!$K1240)</f>
        <v>0</v>
      </c>
    </row>
    <row r="1231" spans="8:11" x14ac:dyDescent="0.2">
      <c r="H1231" s="45">
        <f>PRODUCT('All-Servers'!D1241,'All-Servers'!$K1241)</f>
        <v>0</v>
      </c>
      <c r="I1231" s="45">
        <f>PRODUCT('All-Servers'!E1241,'All-Servers'!$K1241)</f>
        <v>0</v>
      </c>
      <c r="J1231" s="45">
        <f>PRODUCT('All-Servers'!F1241,'All-Servers'!$K1241)</f>
        <v>0</v>
      </c>
      <c r="K1231" s="45">
        <f>PRODUCT('All-Servers'!G1241,'All-Servers'!$K1241)</f>
        <v>0</v>
      </c>
    </row>
    <row r="1232" spans="8:11" x14ac:dyDescent="0.2">
      <c r="H1232" s="45">
        <f>PRODUCT('All-Servers'!D1242,'All-Servers'!$K1242)</f>
        <v>0</v>
      </c>
      <c r="I1232" s="45">
        <f>PRODUCT('All-Servers'!E1242,'All-Servers'!$K1242)</f>
        <v>0</v>
      </c>
      <c r="J1232" s="45">
        <f>PRODUCT('All-Servers'!F1242,'All-Servers'!$K1242)</f>
        <v>0</v>
      </c>
      <c r="K1232" s="45">
        <f>PRODUCT('All-Servers'!G1242,'All-Servers'!$K1242)</f>
        <v>0</v>
      </c>
    </row>
    <row r="1233" spans="8:11" x14ac:dyDescent="0.2">
      <c r="H1233" s="45">
        <f>PRODUCT('All-Servers'!D1243,'All-Servers'!$K1243)</f>
        <v>0</v>
      </c>
      <c r="I1233" s="45">
        <f>PRODUCT('All-Servers'!E1243,'All-Servers'!$K1243)</f>
        <v>0</v>
      </c>
      <c r="J1233" s="45">
        <f>PRODUCT('All-Servers'!F1243,'All-Servers'!$K1243)</f>
        <v>0</v>
      </c>
      <c r="K1233" s="45">
        <f>PRODUCT('All-Servers'!G1243,'All-Servers'!$K1243)</f>
        <v>0</v>
      </c>
    </row>
    <row r="1234" spans="8:11" x14ac:dyDescent="0.2">
      <c r="H1234" s="45">
        <f>PRODUCT('All-Servers'!D1244,'All-Servers'!$K1244)</f>
        <v>0</v>
      </c>
      <c r="I1234" s="45">
        <f>PRODUCT('All-Servers'!E1244,'All-Servers'!$K1244)</f>
        <v>0</v>
      </c>
      <c r="J1234" s="45">
        <f>PRODUCT('All-Servers'!F1244,'All-Servers'!$K1244)</f>
        <v>0</v>
      </c>
      <c r="K1234" s="45">
        <f>PRODUCT('All-Servers'!G1244,'All-Servers'!$K1244)</f>
        <v>0</v>
      </c>
    </row>
    <row r="1235" spans="8:11" x14ac:dyDescent="0.2">
      <c r="H1235" s="45">
        <f>PRODUCT('All-Servers'!D1245,'All-Servers'!$K1245)</f>
        <v>0</v>
      </c>
      <c r="I1235" s="45">
        <f>PRODUCT('All-Servers'!E1245,'All-Servers'!$K1245)</f>
        <v>0</v>
      </c>
      <c r="J1235" s="45">
        <f>PRODUCT('All-Servers'!F1245,'All-Servers'!$K1245)</f>
        <v>0</v>
      </c>
      <c r="K1235" s="45">
        <f>PRODUCT('All-Servers'!G1245,'All-Servers'!$K1245)</f>
        <v>0</v>
      </c>
    </row>
    <row r="1236" spans="8:11" x14ac:dyDescent="0.2">
      <c r="H1236" s="45">
        <f>PRODUCT('All-Servers'!D1246,'All-Servers'!$K1246)</f>
        <v>0</v>
      </c>
      <c r="I1236" s="45">
        <f>PRODUCT('All-Servers'!E1246,'All-Servers'!$K1246)</f>
        <v>0</v>
      </c>
      <c r="J1236" s="45">
        <f>PRODUCT('All-Servers'!F1246,'All-Servers'!$K1246)</f>
        <v>0</v>
      </c>
      <c r="K1236" s="45">
        <f>PRODUCT('All-Servers'!G1246,'All-Servers'!$K1246)</f>
        <v>0</v>
      </c>
    </row>
    <row r="1237" spans="8:11" x14ac:dyDescent="0.2">
      <c r="H1237" s="45">
        <f>PRODUCT('All-Servers'!D1247,'All-Servers'!$K1247)</f>
        <v>0</v>
      </c>
      <c r="I1237" s="45">
        <f>PRODUCT('All-Servers'!E1247,'All-Servers'!$K1247)</f>
        <v>0</v>
      </c>
      <c r="J1237" s="45">
        <f>PRODUCT('All-Servers'!F1247,'All-Servers'!$K1247)</f>
        <v>0</v>
      </c>
      <c r="K1237" s="45">
        <f>PRODUCT('All-Servers'!G1247,'All-Servers'!$K1247)</f>
        <v>0</v>
      </c>
    </row>
    <row r="1238" spans="8:11" x14ac:dyDescent="0.2">
      <c r="H1238" s="45">
        <f>PRODUCT('All-Servers'!D1248,'All-Servers'!$K1248)</f>
        <v>0</v>
      </c>
      <c r="I1238" s="45">
        <f>PRODUCT('All-Servers'!E1248,'All-Servers'!$K1248)</f>
        <v>0</v>
      </c>
      <c r="J1238" s="45">
        <f>PRODUCT('All-Servers'!F1248,'All-Servers'!$K1248)</f>
        <v>0</v>
      </c>
      <c r="K1238" s="45">
        <f>PRODUCT('All-Servers'!G1248,'All-Servers'!$K1248)</f>
        <v>0</v>
      </c>
    </row>
    <row r="1239" spans="8:11" x14ac:dyDescent="0.2">
      <c r="H1239" s="45">
        <f>PRODUCT('All-Servers'!D1249,'All-Servers'!$K1249)</f>
        <v>0</v>
      </c>
      <c r="I1239" s="45">
        <f>PRODUCT('All-Servers'!E1249,'All-Servers'!$K1249)</f>
        <v>0</v>
      </c>
      <c r="J1239" s="45">
        <f>PRODUCT('All-Servers'!F1249,'All-Servers'!$K1249)</f>
        <v>0</v>
      </c>
      <c r="K1239" s="45">
        <f>PRODUCT('All-Servers'!G1249,'All-Servers'!$K1249)</f>
        <v>0</v>
      </c>
    </row>
    <row r="1240" spans="8:11" x14ac:dyDescent="0.2">
      <c r="H1240" s="45">
        <f>PRODUCT('All-Servers'!D1250,'All-Servers'!$K1250)</f>
        <v>0</v>
      </c>
      <c r="I1240" s="45">
        <f>PRODUCT('All-Servers'!E1250,'All-Servers'!$K1250)</f>
        <v>0</v>
      </c>
      <c r="J1240" s="45">
        <f>PRODUCT('All-Servers'!F1250,'All-Servers'!$K1250)</f>
        <v>0</v>
      </c>
      <c r="K1240" s="45">
        <f>PRODUCT('All-Servers'!G1250,'All-Servers'!$K1250)</f>
        <v>0</v>
      </c>
    </row>
    <row r="1241" spans="8:11" x14ac:dyDescent="0.2">
      <c r="H1241" s="45">
        <f>PRODUCT('All-Servers'!D1251,'All-Servers'!$K1251)</f>
        <v>0</v>
      </c>
      <c r="I1241" s="45">
        <f>PRODUCT('All-Servers'!E1251,'All-Servers'!$K1251)</f>
        <v>0</v>
      </c>
      <c r="J1241" s="45">
        <f>PRODUCT('All-Servers'!F1251,'All-Servers'!$K1251)</f>
        <v>0</v>
      </c>
      <c r="K1241" s="45">
        <f>PRODUCT('All-Servers'!G1251,'All-Servers'!$K1251)</f>
        <v>0</v>
      </c>
    </row>
    <row r="1242" spans="8:11" x14ac:dyDescent="0.2">
      <c r="H1242" s="45">
        <f>PRODUCT('All-Servers'!D1252,'All-Servers'!$K1252)</f>
        <v>0</v>
      </c>
      <c r="I1242" s="45">
        <f>PRODUCT('All-Servers'!E1252,'All-Servers'!$K1252)</f>
        <v>0</v>
      </c>
      <c r="J1242" s="45">
        <f>PRODUCT('All-Servers'!F1252,'All-Servers'!$K1252)</f>
        <v>0</v>
      </c>
      <c r="K1242" s="45">
        <f>PRODUCT('All-Servers'!G1252,'All-Servers'!$K1252)</f>
        <v>0</v>
      </c>
    </row>
    <row r="1243" spans="8:11" x14ac:dyDescent="0.2">
      <c r="H1243" s="45">
        <f>PRODUCT('All-Servers'!D1253,'All-Servers'!$K1253)</f>
        <v>0</v>
      </c>
      <c r="I1243" s="45">
        <f>PRODUCT('All-Servers'!E1253,'All-Servers'!$K1253)</f>
        <v>0</v>
      </c>
      <c r="J1243" s="45">
        <f>PRODUCT('All-Servers'!F1253,'All-Servers'!$K1253)</f>
        <v>0</v>
      </c>
      <c r="K1243" s="45">
        <f>PRODUCT('All-Servers'!G1253,'All-Servers'!$K1253)</f>
        <v>0</v>
      </c>
    </row>
    <row r="1244" spans="8:11" x14ac:dyDescent="0.2">
      <c r="H1244" s="45">
        <f>PRODUCT('All-Servers'!D1254,'All-Servers'!$K1254)</f>
        <v>0</v>
      </c>
      <c r="I1244" s="45">
        <f>PRODUCT('All-Servers'!E1254,'All-Servers'!$K1254)</f>
        <v>0</v>
      </c>
      <c r="J1244" s="45">
        <f>PRODUCT('All-Servers'!F1254,'All-Servers'!$K1254)</f>
        <v>0</v>
      </c>
      <c r="K1244" s="45">
        <f>PRODUCT('All-Servers'!G1254,'All-Servers'!$K1254)</f>
        <v>0</v>
      </c>
    </row>
    <row r="1245" spans="8:11" x14ac:dyDescent="0.2">
      <c r="H1245" s="45">
        <f>PRODUCT('All-Servers'!D1255,'All-Servers'!$K1255)</f>
        <v>0</v>
      </c>
      <c r="I1245" s="45">
        <f>PRODUCT('All-Servers'!E1255,'All-Servers'!$K1255)</f>
        <v>0</v>
      </c>
      <c r="J1245" s="45">
        <f>PRODUCT('All-Servers'!F1255,'All-Servers'!$K1255)</f>
        <v>0</v>
      </c>
      <c r="K1245" s="45">
        <f>PRODUCT('All-Servers'!G1255,'All-Servers'!$K1255)</f>
        <v>0</v>
      </c>
    </row>
    <row r="1246" spans="8:11" x14ac:dyDescent="0.2">
      <c r="H1246" s="45">
        <f>PRODUCT('All-Servers'!D1256,'All-Servers'!$K1256)</f>
        <v>0</v>
      </c>
      <c r="I1246" s="45">
        <f>PRODUCT('All-Servers'!E1256,'All-Servers'!$K1256)</f>
        <v>0</v>
      </c>
      <c r="J1246" s="45">
        <f>PRODUCT('All-Servers'!F1256,'All-Servers'!$K1256)</f>
        <v>0</v>
      </c>
      <c r="K1246" s="45">
        <f>PRODUCT('All-Servers'!G1256,'All-Servers'!$K1256)</f>
        <v>0</v>
      </c>
    </row>
    <row r="1247" spans="8:11" x14ac:dyDescent="0.2">
      <c r="H1247" s="45">
        <f>PRODUCT('All-Servers'!D1257,'All-Servers'!$K1257)</f>
        <v>0</v>
      </c>
      <c r="I1247" s="45">
        <f>PRODUCT('All-Servers'!E1257,'All-Servers'!$K1257)</f>
        <v>0</v>
      </c>
      <c r="J1247" s="45">
        <f>PRODUCT('All-Servers'!F1257,'All-Servers'!$K1257)</f>
        <v>0</v>
      </c>
      <c r="K1247" s="45">
        <f>PRODUCT('All-Servers'!G1257,'All-Servers'!$K1257)</f>
        <v>0</v>
      </c>
    </row>
    <row r="1248" spans="8:11" x14ac:dyDescent="0.2">
      <c r="H1248" s="45">
        <f>PRODUCT('All-Servers'!D1258,'All-Servers'!$K1258)</f>
        <v>0</v>
      </c>
      <c r="I1248" s="45">
        <f>PRODUCT('All-Servers'!E1258,'All-Servers'!$K1258)</f>
        <v>0</v>
      </c>
      <c r="J1248" s="45">
        <f>PRODUCT('All-Servers'!F1258,'All-Servers'!$K1258)</f>
        <v>0</v>
      </c>
      <c r="K1248" s="45">
        <f>PRODUCT('All-Servers'!G1258,'All-Servers'!$K1258)</f>
        <v>0</v>
      </c>
    </row>
    <row r="1249" spans="8:11" x14ac:dyDescent="0.2">
      <c r="H1249" s="45">
        <f>PRODUCT('All-Servers'!D1259,'All-Servers'!$K1259)</f>
        <v>0</v>
      </c>
      <c r="I1249" s="45">
        <f>PRODUCT('All-Servers'!E1259,'All-Servers'!$K1259)</f>
        <v>0</v>
      </c>
      <c r="J1249" s="45">
        <f>PRODUCT('All-Servers'!F1259,'All-Servers'!$K1259)</f>
        <v>0</v>
      </c>
      <c r="K1249" s="45">
        <f>PRODUCT('All-Servers'!G1259,'All-Servers'!$K1259)</f>
        <v>0</v>
      </c>
    </row>
    <row r="1250" spans="8:11" x14ac:dyDescent="0.2">
      <c r="H1250" s="45">
        <f>PRODUCT('All-Servers'!D1260,'All-Servers'!$K1260)</f>
        <v>0</v>
      </c>
      <c r="I1250" s="45">
        <f>PRODUCT('All-Servers'!E1260,'All-Servers'!$K1260)</f>
        <v>0</v>
      </c>
      <c r="J1250" s="45">
        <f>PRODUCT('All-Servers'!F1260,'All-Servers'!$K1260)</f>
        <v>0</v>
      </c>
      <c r="K1250" s="45">
        <f>PRODUCT('All-Servers'!G1260,'All-Servers'!$K1260)</f>
        <v>0</v>
      </c>
    </row>
    <row r="1251" spans="8:11" x14ac:dyDescent="0.2">
      <c r="H1251" s="45">
        <f>PRODUCT('All-Servers'!D1261,'All-Servers'!$K1261)</f>
        <v>0</v>
      </c>
      <c r="I1251" s="45">
        <f>PRODUCT('All-Servers'!E1261,'All-Servers'!$K1261)</f>
        <v>0</v>
      </c>
      <c r="J1251" s="45">
        <f>PRODUCT('All-Servers'!F1261,'All-Servers'!$K1261)</f>
        <v>0</v>
      </c>
      <c r="K1251" s="45">
        <f>PRODUCT('All-Servers'!G1261,'All-Servers'!$K1261)</f>
        <v>0</v>
      </c>
    </row>
    <row r="1252" spans="8:11" x14ac:dyDescent="0.2">
      <c r="H1252" s="45">
        <f>PRODUCT('All-Servers'!D1262,'All-Servers'!$K1262)</f>
        <v>0</v>
      </c>
      <c r="I1252" s="45">
        <f>PRODUCT('All-Servers'!E1262,'All-Servers'!$K1262)</f>
        <v>0</v>
      </c>
      <c r="J1252" s="45">
        <f>PRODUCT('All-Servers'!F1262,'All-Servers'!$K1262)</f>
        <v>0</v>
      </c>
      <c r="K1252" s="45">
        <f>PRODUCT('All-Servers'!G1262,'All-Servers'!$K1262)</f>
        <v>0</v>
      </c>
    </row>
    <row r="1253" spans="8:11" x14ac:dyDescent="0.2">
      <c r="H1253" s="45">
        <f>PRODUCT('All-Servers'!D1263,'All-Servers'!$K1263)</f>
        <v>0</v>
      </c>
      <c r="I1253" s="45">
        <f>PRODUCT('All-Servers'!E1263,'All-Servers'!$K1263)</f>
        <v>0</v>
      </c>
      <c r="J1253" s="45">
        <f>PRODUCT('All-Servers'!F1263,'All-Servers'!$K1263)</f>
        <v>0</v>
      </c>
      <c r="K1253" s="45">
        <f>PRODUCT('All-Servers'!G1263,'All-Servers'!$K1263)</f>
        <v>0</v>
      </c>
    </row>
    <row r="1254" spans="8:11" x14ac:dyDescent="0.2">
      <c r="H1254" s="45">
        <f>PRODUCT('All-Servers'!D1264,'All-Servers'!$K1264)</f>
        <v>0</v>
      </c>
      <c r="I1254" s="45">
        <f>PRODUCT('All-Servers'!E1264,'All-Servers'!$K1264)</f>
        <v>0</v>
      </c>
      <c r="J1254" s="45">
        <f>PRODUCT('All-Servers'!F1264,'All-Servers'!$K1264)</f>
        <v>0</v>
      </c>
      <c r="K1254" s="45">
        <f>PRODUCT('All-Servers'!G1264,'All-Servers'!$K1264)</f>
        <v>0</v>
      </c>
    </row>
    <row r="1255" spans="8:11" x14ac:dyDescent="0.2">
      <c r="H1255" s="45">
        <f>PRODUCT('All-Servers'!D1265,'All-Servers'!$K1265)</f>
        <v>0</v>
      </c>
      <c r="I1255" s="45">
        <f>PRODUCT('All-Servers'!E1265,'All-Servers'!$K1265)</f>
        <v>0</v>
      </c>
      <c r="J1255" s="45">
        <f>PRODUCT('All-Servers'!F1265,'All-Servers'!$K1265)</f>
        <v>0</v>
      </c>
      <c r="K1255" s="45">
        <f>PRODUCT('All-Servers'!G1265,'All-Servers'!$K1265)</f>
        <v>0</v>
      </c>
    </row>
    <row r="1256" spans="8:11" x14ac:dyDescent="0.2">
      <c r="H1256" s="45">
        <f>PRODUCT('All-Servers'!D1266,'All-Servers'!$K1266)</f>
        <v>0</v>
      </c>
      <c r="I1256" s="45">
        <f>PRODUCT('All-Servers'!E1266,'All-Servers'!$K1266)</f>
        <v>0</v>
      </c>
      <c r="J1256" s="45">
        <f>PRODUCT('All-Servers'!F1266,'All-Servers'!$K1266)</f>
        <v>0</v>
      </c>
      <c r="K1256" s="45">
        <f>PRODUCT('All-Servers'!G1266,'All-Servers'!$K1266)</f>
        <v>0</v>
      </c>
    </row>
    <row r="1257" spans="8:11" x14ac:dyDescent="0.2">
      <c r="H1257" s="45">
        <f>PRODUCT('All-Servers'!D1267,'All-Servers'!$K1267)</f>
        <v>0</v>
      </c>
      <c r="I1257" s="45">
        <f>PRODUCT('All-Servers'!E1267,'All-Servers'!$K1267)</f>
        <v>0</v>
      </c>
      <c r="J1257" s="45">
        <f>PRODUCT('All-Servers'!F1267,'All-Servers'!$K1267)</f>
        <v>0</v>
      </c>
      <c r="K1257" s="45">
        <f>PRODUCT('All-Servers'!G1267,'All-Servers'!$K1267)</f>
        <v>0</v>
      </c>
    </row>
    <row r="1258" spans="8:11" x14ac:dyDescent="0.2">
      <c r="H1258" s="45">
        <f>PRODUCT('All-Servers'!D1268,'All-Servers'!$K1268)</f>
        <v>0</v>
      </c>
      <c r="I1258" s="45">
        <f>PRODUCT('All-Servers'!E1268,'All-Servers'!$K1268)</f>
        <v>0</v>
      </c>
      <c r="J1258" s="45">
        <f>PRODUCT('All-Servers'!F1268,'All-Servers'!$K1268)</f>
        <v>0</v>
      </c>
      <c r="K1258" s="45">
        <f>PRODUCT('All-Servers'!G1268,'All-Servers'!$K1268)</f>
        <v>0</v>
      </c>
    </row>
    <row r="1259" spans="8:11" x14ac:dyDescent="0.2">
      <c r="H1259" s="45">
        <f>PRODUCT('All-Servers'!D1269,'All-Servers'!$K1269)</f>
        <v>0</v>
      </c>
      <c r="I1259" s="45">
        <f>PRODUCT('All-Servers'!E1269,'All-Servers'!$K1269)</f>
        <v>0</v>
      </c>
      <c r="J1259" s="45">
        <f>PRODUCT('All-Servers'!F1269,'All-Servers'!$K1269)</f>
        <v>0</v>
      </c>
      <c r="K1259" s="45">
        <f>PRODUCT('All-Servers'!G1269,'All-Servers'!$K1269)</f>
        <v>0</v>
      </c>
    </row>
    <row r="1260" spans="8:11" x14ac:dyDescent="0.2">
      <c r="H1260" s="45">
        <f>PRODUCT('All-Servers'!D1270,'All-Servers'!$K1270)</f>
        <v>0</v>
      </c>
      <c r="I1260" s="45">
        <f>PRODUCT('All-Servers'!E1270,'All-Servers'!$K1270)</f>
        <v>0</v>
      </c>
      <c r="J1260" s="45">
        <f>PRODUCT('All-Servers'!F1270,'All-Servers'!$K1270)</f>
        <v>0</v>
      </c>
      <c r="K1260" s="45">
        <f>PRODUCT('All-Servers'!G1270,'All-Servers'!$K1270)</f>
        <v>0</v>
      </c>
    </row>
    <row r="1261" spans="8:11" x14ac:dyDescent="0.2">
      <c r="H1261" s="45">
        <f>PRODUCT('All-Servers'!D1271,'All-Servers'!$K1271)</f>
        <v>0</v>
      </c>
      <c r="I1261" s="45">
        <f>PRODUCT('All-Servers'!E1271,'All-Servers'!$K1271)</f>
        <v>0</v>
      </c>
      <c r="J1261" s="45">
        <f>PRODUCT('All-Servers'!F1271,'All-Servers'!$K1271)</f>
        <v>0</v>
      </c>
      <c r="K1261" s="45">
        <f>PRODUCT('All-Servers'!G1271,'All-Servers'!$K1271)</f>
        <v>0</v>
      </c>
    </row>
    <row r="1262" spans="8:11" x14ac:dyDescent="0.2">
      <c r="H1262" s="45">
        <f>PRODUCT('All-Servers'!D1272,'All-Servers'!$K1272)</f>
        <v>0</v>
      </c>
      <c r="I1262" s="45">
        <f>PRODUCT('All-Servers'!E1272,'All-Servers'!$K1272)</f>
        <v>0</v>
      </c>
      <c r="J1262" s="45">
        <f>PRODUCT('All-Servers'!F1272,'All-Servers'!$K1272)</f>
        <v>0</v>
      </c>
      <c r="K1262" s="45">
        <f>PRODUCT('All-Servers'!G1272,'All-Servers'!$K1272)</f>
        <v>0</v>
      </c>
    </row>
    <row r="1263" spans="8:11" x14ac:dyDescent="0.2">
      <c r="H1263" s="45">
        <f>PRODUCT('All-Servers'!D1273,'All-Servers'!$K1273)</f>
        <v>0</v>
      </c>
      <c r="I1263" s="45">
        <f>PRODUCT('All-Servers'!E1273,'All-Servers'!$K1273)</f>
        <v>0</v>
      </c>
      <c r="J1263" s="45">
        <f>PRODUCT('All-Servers'!F1273,'All-Servers'!$K1273)</f>
        <v>0</v>
      </c>
      <c r="K1263" s="45">
        <f>PRODUCT('All-Servers'!G1273,'All-Servers'!$K1273)</f>
        <v>0</v>
      </c>
    </row>
    <row r="1264" spans="8:11" x14ac:dyDescent="0.2">
      <c r="H1264" s="45">
        <f>PRODUCT('All-Servers'!D1274,'All-Servers'!$K1274)</f>
        <v>0</v>
      </c>
      <c r="I1264" s="45">
        <f>PRODUCT('All-Servers'!E1274,'All-Servers'!$K1274)</f>
        <v>0</v>
      </c>
      <c r="J1264" s="45">
        <f>PRODUCT('All-Servers'!F1274,'All-Servers'!$K1274)</f>
        <v>0</v>
      </c>
      <c r="K1264" s="45">
        <f>PRODUCT('All-Servers'!G1274,'All-Servers'!$K1274)</f>
        <v>0</v>
      </c>
    </row>
    <row r="1265" spans="8:11" x14ac:dyDescent="0.2">
      <c r="H1265" s="45">
        <f>PRODUCT('All-Servers'!D1275,'All-Servers'!$K1275)</f>
        <v>0</v>
      </c>
      <c r="I1265" s="45">
        <f>PRODUCT('All-Servers'!E1275,'All-Servers'!$K1275)</f>
        <v>0</v>
      </c>
      <c r="J1265" s="45">
        <f>PRODUCT('All-Servers'!F1275,'All-Servers'!$K1275)</f>
        <v>0</v>
      </c>
      <c r="K1265" s="45">
        <f>PRODUCT('All-Servers'!G1275,'All-Servers'!$K1275)</f>
        <v>0</v>
      </c>
    </row>
    <row r="1266" spans="8:11" x14ac:dyDescent="0.2">
      <c r="H1266" s="45">
        <f>PRODUCT('All-Servers'!D1276,'All-Servers'!$K1276)</f>
        <v>0</v>
      </c>
      <c r="I1266" s="45">
        <f>PRODUCT('All-Servers'!E1276,'All-Servers'!$K1276)</f>
        <v>0</v>
      </c>
      <c r="J1266" s="45">
        <f>PRODUCT('All-Servers'!F1276,'All-Servers'!$K1276)</f>
        <v>0</v>
      </c>
      <c r="K1266" s="45">
        <f>PRODUCT('All-Servers'!G1276,'All-Servers'!$K1276)</f>
        <v>0</v>
      </c>
    </row>
    <row r="1267" spans="8:11" x14ac:dyDescent="0.2">
      <c r="H1267" s="45">
        <f>PRODUCT('All-Servers'!D1277,'All-Servers'!$K1277)</f>
        <v>0</v>
      </c>
      <c r="I1267" s="45">
        <f>PRODUCT('All-Servers'!E1277,'All-Servers'!$K1277)</f>
        <v>0</v>
      </c>
      <c r="J1267" s="45">
        <f>PRODUCT('All-Servers'!F1277,'All-Servers'!$K1277)</f>
        <v>0</v>
      </c>
      <c r="K1267" s="45">
        <f>PRODUCT('All-Servers'!G1277,'All-Servers'!$K1277)</f>
        <v>0</v>
      </c>
    </row>
    <row r="1268" spans="8:11" x14ac:dyDescent="0.2">
      <c r="H1268" s="45">
        <f>PRODUCT('All-Servers'!D1278,'All-Servers'!$K1278)</f>
        <v>0</v>
      </c>
      <c r="I1268" s="45">
        <f>PRODUCT('All-Servers'!E1278,'All-Servers'!$K1278)</f>
        <v>0</v>
      </c>
      <c r="J1268" s="45">
        <f>PRODUCT('All-Servers'!F1278,'All-Servers'!$K1278)</f>
        <v>0</v>
      </c>
      <c r="K1268" s="45">
        <f>PRODUCT('All-Servers'!G1278,'All-Servers'!$K1278)</f>
        <v>0</v>
      </c>
    </row>
    <row r="1269" spans="8:11" x14ac:dyDescent="0.2">
      <c r="H1269" s="45">
        <f>PRODUCT('All-Servers'!D1279,'All-Servers'!$K1279)</f>
        <v>0</v>
      </c>
      <c r="I1269" s="45">
        <f>PRODUCT('All-Servers'!E1279,'All-Servers'!$K1279)</f>
        <v>0</v>
      </c>
      <c r="J1269" s="45">
        <f>PRODUCT('All-Servers'!F1279,'All-Servers'!$K1279)</f>
        <v>0</v>
      </c>
      <c r="K1269" s="45">
        <f>PRODUCT('All-Servers'!G1279,'All-Servers'!$K1279)</f>
        <v>0</v>
      </c>
    </row>
    <row r="1270" spans="8:11" x14ac:dyDescent="0.2">
      <c r="H1270" s="45">
        <f>PRODUCT('All-Servers'!D1280,'All-Servers'!$K1280)</f>
        <v>0</v>
      </c>
      <c r="I1270" s="45">
        <f>PRODUCT('All-Servers'!E1280,'All-Servers'!$K1280)</f>
        <v>0</v>
      </c>
      <c r="J1270" s="45">
        <f>PRODUCT('All-Servers'!F1280,'All-Servers'!$K1280)</f>
        <v>0</v>
      </c>
      <c r="K1270" s="45">
        <f>PRODUCT('All-Servers'!G1280,'All-Servers'!$K1280)</f>
        <v>0</v>
      </c>
    </row>
    <row r="1271" spans="8:11" x14ac:dyDescent="0.2">
      <c r="H1271" s="45">
        <f>PRODUCT('All-Servers'!D1281,'All-Servers'!$K1281)</f>
        <v>0</v>
      </c>
      <c r="I1271" s="45">
        <f>PRODUCT('All-Servers'!E1281,'All-Servers'!$K1281)</f>
        <v>0</v>
      </c>
      <c r="J1271" s="45">
        <f>PRODUCT('All-Servers'!F1281,'All-Servers'!$K1281)</f>
        <v>0</v>
      </c>
      <c r="K1271" s="45">
        <f>PRODUCT('All-Servers'!G1281,'All-Servers'!$K1281)</f>
        <v>0</v>
      </c>
    </row>
    <row r="1272" spans="8:11" x14ac:dyDescent="0.2">
      <c r="H1272" s="45">
        <f>PRODUCT('All-Servers'!D1282,'All-Servers'!$K1282)</f>
        <v>0</v>
      </c>
      <c r="I1272" s="45">
        <f>PRODUCT('All-Servers'!E1282,'All-Servers'!$K1282)</f>
        <v>0</v>
      </c>
      <c r="J1272" s="45">
        <f>PRODUCT('All-Servers'!F1282,'All-Servers'!$K1282)</f>
        <v>0</v>
      </c>
      <c r="K1272" s="45">
        <f>PRODUCT('All-Servers'!G1282,'All-Servers'!$K1282)</f>
        <v>0</v>
      </c>
    </row>
    <row r="1273" spans="8:11" x14ac:dyDescent="0.2">
      <c r="H1273" s="45">
        <f>PRODUCT('All-Servers'!D1283,'All-Servers'!$K1283)</f>
        <v>0</v>
      </c>
      <c r="I1273" s="45">
        <f>PRODUCT('All-Servers'!E1283,'All-Servers'!$K1283)</f>
        <v>0</v>
      </c>
      <c r="J1273" s="45">
        <f>PRODUCT('All-Servers'!F1283,'All-Servers'!$K1283)</f>
        <v>0</v>
      </c>
      <c r="K1273" s="45">
        <f>PRODUCT('All-Servers'!G1283,'All-Servers'!$K1283)</f>
        <v>0</v>
      </c>
    </row>
    <row r="1274" spans="8:11" x14ac:dyDescent="0.2">
      <c r="H1274" s="45">
        <f>PRODUCT('All-Servers'!D1284,'All-Servers'!$K1284)</f>
        <v>0</v>
      </c>
      <c r="I1274" s="45">
        <f>PRODUCT('All-Servers'!E1284,'All-Servers'!$K1284)</f>
        <v>0</v>
      </c>
      <c r="J1274" s="45">
        <f>PRODUCT('All-Servers'!F1284,'All-Servers'!$K1284)</f>
        <v>0</v>
      </c>
      <c r="K1274" s="45">
        <f>PRODUCT('All-Servers'!G1284,'All-Servers'!$K1284)</f>
        <v>0</v>
      </c>
    </row>
    <row r="1275" spans="8:11" x14ac:dyDescent="0.2">
      <c r="H1275" s="45">
        <f>PRODUCT('All-Servers'!D1285,'All-Servers'!$K1285)</f>
        <v>0</v>
      </c>
      <c r="I1275" s="45">
        <f>PRODUCT('All-Servers'!E1285,'All-Servers'!$K1285)</f>
        <v>0</v>
      </c>
      <c r="J1275" s="45">
        <f>PRODUCT('All-Servers'!F1285,'All-Servers'!$K1285)</f>
        <v>0</v>
      </c>
      <c r="K1275" s="45">
        <f>PRODUCT('All-Servers'!G1285,'All-Servers'!$K1285)</f>
        <v>0</v>
      </c>
    </row>
    <row r="1276" spans="8:11" x14ac:dyDescent="0.2">
      <c r="H1276" s="45">
        <f>PRODUCT('All-Servers'!D1286,'All-Servers'!$K1286)</f>
        <v>0</v>
      </c>
      <c r="I1276" s="45">
        <f>PRODUCT('All-Servers'!E1286,'All-Servers'!$K1286)</f>
        <v>0</v>
      </c>
      <c r="J1276" s="45">
        <f>PRODUCT('All-Servers'!F1286,'All-Servers'!$K1286)</f>
        <v>0</v>
      </c>
      <c r="K1276" s="45">
        <f>PRODUCT('All-Servers'!G1286,'All-Servers'!$K1286)</f>
        <v>0</v>
      </c>
    </row>
    <row r="1277" spans="8:11" x14ac:dyDescent="0.2">
      <c r="H1277" s="45">
        <f>PRODUCT('All-Servers'!D1287,'All-Servers'!$K1287)</f>
        <v>0</v>
      </c>
      <c r="I1277" s="45">
        <f>PRODUCT('All-Servers'!E1287,'All-Servers'!$K1287)</f>
        <v>0</v>
      </c>
      <c r="J1277" s="45">
        <f>PRODUCT('All-Servers'!F1287,'All-Servers'!$K1287)</f>
        <v>0</v>
      </c>
      <c r="K1277" s="45">
        <f>PRODUCT('All-Servers'!G1287,'All-Servers'!$K1287)</f>
        <v>0</v>
      </c>
    </row>
    <row r="1278" spans="8:11" x14ac:dyDescent="0.2">
      <c r="H1278" s="45">
        <f>PRODUCT('All-Servers'!D1288,'All-Servers'!$K1288)</f>
        <v>0</v>
      </c>
      <c r="I1278" s="45">
        <f>PRODUCT('All-Servers'!E1288,'All-Servers'!$K1288)</f>
        <v>0</v>
      </c>
      <c r="J1278" s="45">
        <f>PRODUCT('All-Servers'!F1288,'All-Servers'!$K1288)</f>
        <v>0</v>
      </c>
      <c r="K1278" s="45">
        <f>PRODUCT('All-Servers'!G1288,'All-Servers'!$K1288)</f>
        <v>0</v>
      </c>
    </row>
    <row r="1279" spans="8:11" x14ac:dyDescent="0.2">
      <c r="H1279" s="45">
        <f>PRODUCT('All-Servers'!D1289,'All-Servers'!$K1289)</f>
        <v>0</v>
      </c>
      <c r="I1279" s="45">
        <f>PRODUCT('All-Servers'!E1289,'All-Servers'!$K1289)</f>
        <v>0</v>
      </c>
      <c r="J1279" s="45">
        <f>PRODUCT('All-Servers'!F1289,'All-Servers'!$K1289)</f>
        <v>0</v>
      </c>
      <c r="K1279" s="45">
        <f>PRODUCT('All-Servers'!G1289,'All-Servers'!$K1289)</f>
        <v>0</v>
      </c>
    </row>
    <row r="1280" spans="8:11" x14ac:dyDescent="0.2">
      <c r="H1280" s="45">
        <f>PRODUCT('All-Servers'!D1290,'All-Servers'!$K1290)</f>
        <v>0</v>
      </c>
      <c r="I1280" s="45">
        <f>PRODUCT('All-Servers'!E1290,'All-Servers'!$K1290)</f>
        <v>0</v>
      </c>
      <c r="J1280" s="45">
        <f>PRODUCT('All-Servers'!F1290,'All-Servers'!$K1290)</f>
        <v>0</v>
      </c>
      <c r="K1280" s="45">
        <f>PRODUCT('All-Servers'!G1290,'All-Servers'!$K1290)</f>
        <v>0</v>
      </c>
    </row>
    <row r="1281" spans="8:11" x14ac:dyDescent="0.2">
      <c r="H1281" s="45">
        <f>PRODUCT('All-Servers'!D1291,'All-Servers'!$K1291)</f>
        <v>0</v>
      </c>
      <c r="I1281" s="45">
        <f>PRODUCT('All-Servers'!E1291,'All-Servers'!$K1291)</f>
        <v>0</v>
      </c>
      <c r="J1281" s="45">
        <f>PRODUCT('All-Servers'!F1291,'All-Servers'!$K1291)</f>
        <v>0</v>
      </c>
      <c r="K1281" s="45">
        <f>PRODUCT('All-Servers'!G1291,'All-Servers'!$K1291)</f>
        <v>0</v>
      </c>
    </row>
    <row r="1282" spans="8:11" x14ac:dyDescent="0.2">
      <c r="H1282" s="45">
        <f>PRODUCT('All-Servers'!D1292,'All-Servers'!$K1292)</f>
        <v>0</v>
      </c>
      <c r="I1282" s="45">
        <f>PRODUCT('All-Servers'!E1292,'All-Servers'!$K1292)</f>
        <v>0</v>
      </c>
      <c r="J1282" s="45">
        <f>PRODUCT('All-Servers'!F1292,'All-Servers'!$K1292)</f>
        <v>0</v>
      </c>
      <c r="K1282" s="45">
        <f>PRODUCT('All-Servers'!G1292,'All-Servers'!$K1292)</f>
        <v>0</v>
      </c>
    </row>
    <row r="1283" spans="8:11" x14ac:dyDescent="0.2">
      <c r="H1283" s="45">
        <f>PRODUCT('All-Servers'!D1293,'All-Servers'!$K1293)</f>
        <v>0</v>
      </c>
      <c r="I1283" s="45">
        <f>PRODUCT('All-Servers'!E1293,'All-Servers'!$K1293)</f>
        <v>0</v>
      </c>
      <c r="J1283" s="45">
        <f>PRODUCT('All-Servers'!F1293,'All-Servers'!$K1293)</f>
        <v>0</v>
      </c>
      <c r="K1283" s="45">
        <f>PRODUCT('All-Servers'!G1293,'All-Servers'!$K1293)</f>
        <v>0</v>
      </c>
    </row>
    <row r="1284" spans="8:11" x14ac:dyDescent="0.2">
      <c r="H1284" s="45">
        <f>PRODUCT('All-Servers'!D1294,'All-Servers'!$K1294)</f>
        <v>0</v>
      </c>
      <c r="I1284" s="45">
        <f>PRODUCT('All-Servers'!E1294,'All-Servers'!$K1294)</f>
        <v>0</v>
      </c>
      <c r="J1284" s="45">
        <f>PRODUCT('All-Servers'!F1294,'All-Servers'!$K1294)</f>
        <v>0</v>
      </c>
      <c r="K1284" s="45">
        <f>PRODUCT('All-Servers'!G1294,'All-Servers'!$K1294)</f>
        <v>0</v>
      </c>
    </row>
    <row r="1285" spans="8:11" x14ac:dyDescent="0.2">
      <c r="H1285" s="45">
        <f>PRODUCT('All-Servers'!D1295,'All-Servers'!$K1295)</f>
        <v>0</v>
      </c>
      <c r="I1285" s="45">
        <f>PRODUCT('All-Servers'!E1295,'All-Servers'!$K1295)</f>
        <v>0</v>
      </c>
      <c r="J1285" s="45">
        <f>PRODUCT('All-Servers'!F1295,'All-Servers'!$K1295)</f>
        <v>0</v>
      </c>
      <c r="K1285" s="45">
        <f>PRODUCT('All-Servers'!G1295,'All-Servers'!$K1295)</f>
        <v>0</v>
      </c>
    </row>
    <row r="1286" spans="8:11" x14ac:dyDescent="0.2">
      <c r="H1286" s="45">
        <f>PRODUCT('All-Servers'!D1296,'All-Servers'!$K1296)</f>
        <v>0</v>
      </c>
      <c r="I1286" s="45">
        <f>PRODUCT('All-Servers'!E1296,'All-Servers'!$K1296)</f>
        <v>0</v>
      </c>
      <c r="J1286" s="45">
        <f>PRODUCT('All-Servers'!F1296,'All-Servers'!$K1296)</f>
        <v>0</v>
      </c>
      <c r="K1286" s="45">
        <f>PRODUCT('All-Servers'!G1296,'All-Servers'!$K1296)</f>
        <v>0</v>
      </c>
    </row>
    <row r="1287" spans="8:11" x14ac:dyDescent="0.2">
      <c r="H1287" s="45">
        <f>PRODUCT('All-Servers'!D1297,'All-Servers'!$K1297)</f>
        <v>0</v>
      </c>
      <c r="I1287" s="45">
        <f>PRODUCT('All-Servers'!E1297,'All-Servers'!$K1297)</f>
        <v>0</v>
      </c>
      <c r="J1287" s="45">
        <f>PRODUCT('All-Servers'!F1297,'All-Servers'!$K1297)</f>
        <v>0</v>
      </c>
      <c r="K1287" s="45">
        <f>PRODUCT('All-Servers'!G1297,'All-Servers'!$K1297)</f>
        <v>0</v>
      </c>
    </row>
    <row r="1288" spans="8:11" x14ac:dyDescent="0.2">
      <c r="H1288" s="45">
        <f>PRODUCT('All-Servers'!D1298,'All-Servers'!$K1298)</f>
        <v>0</v>
      </c>
      <c r="I1288" s="45">
        <f>PRODUCT('All-Servers'!E1298,'All-Servers'!$K1298)</f>
        <v>0</v>
      </c>
      <c r="J1288" s="45">
        <f>PRODUCT('All-Servers'!F1298,'All-Servers'!$K1298)</f>
        <v>0</v>
      </c>
      <c r="K1288" s="45">
        <f>PRODUCT('All-Servers'!G1298,'All-Servers'!$K1298)</f>
        <v>0</v>
      </c>
    </row>
    <row r="1289" spans="8:11" x14ac:dyDescent="0.2">
      <c r="H1289" s="45">
        <f>PRODUCT('All-Servers'!D1299,'All-Servers'!$K1299)</f>
        <v>0</v>
      </c>
      <c r="I1289" s="45">
        <f>PRODUCT('All-Servers'!E1299,'All-Servers'!$K1299)</f>
        <v>0</v>
      </c>
      <c r="J1289" s="45">
        <f>PRODUCT('All-Servers'!F1299,'All-Servers'!$K1299)</f>
        <v>0</v>
      </c>
      <c r="K1289" s="45">
        <f>PRODUCT('All-Servers'!G1299,'All-Servers'!$K1299)</f>
        <v>0</v>
      </c>
    </row>
    <row r="1290" spans="8:11" x14ac:dyDescent="0.2">
      <c r="H1290" s="45">
        <f>PRODUCT('All-Servers'!D1300,'All-Servers'!$K1300)</f>
        <v>0</v>
      </c>
      <c r="I1290" s="45">
        <f>PRODUCT('All-Servers'!E1300,'All-Servers'!$K1300)</f>
        <v>0</v>
      </c>
      <c r="J1290" s="45">
        <f>PRODUCT('All-Servers'!F1300,'All-Servers'!$K1300)</f>
        <v>0</v>
      </c>
      <c r="K1290" s="45">
        <f>PRODUCT('All-Servers'!G1300,'All-Servers'!$K1300)</f>
        <v>0</v>
      </c>
    </row>
    <row r="1291" spans="8:11" x14ac:dyDescent="0.2">
      <c r="H1291" s="45">
        <f>PRODUCT('All-Servers'!D1301,'All-Servers'!$K1301)</f>
        <v>0</v>
      </c>
      <c r="I1291" s="45">
        <f>PRODUCT('All-Servers'!E1301,'All-Servers'!$K1301)</f>
        <v>0</v>
      </c>
      <c r="J1291" s="45">
        <f>PRODUCT('All-Servers'!F1301,'All-Servers'!$K1301)</f>
        <v>0</v>
      </c>
      <c r="K1291" s="45">
        <f>PRODUCT('All-Servers'!G1301,'All-Servers'!$K1301)</f>
        <v>0</v>
      </c>
    </row>
    <row r="1292" spans="8:11" x14ac:dyDescent="0.2">
      <c r="H1292" s="45">
        <f>PRODUCT('All-Servers'!D1302,'All-Servers'!$K1302)</f>
        <v>0</v>
      </c>
      <c r="I1292" s="45">
        <f>PRODUCT('All-Servers'!E1302,'All-Servers'!$K1302)</f>
        <v>0</v>
      </c>
      <c r="J1292" s="45">
        <f>PRODUCT('All-Servers'!F1302,'All-Servers'!$K1302)</f>
        <v>0</v>
      </c>
      <c r="K1292" s="45">
        <f>PRODUCT('All-Servers'!G1302,'All-Servers'!$K1302)</f>
        <v>0</v>
      </c>
    </row>
    <row r="1293" spans="8:11" x14ac:dyDescent="0.2">
      <c r="H1293" s="45">
        <f>PRODUCT('All-Servers'!D1303,'All-Servers'!$K1303)</f>
        <v>0</v>
      </c>
      <c r="I1293" s="45">
        <f>PRODUCT('All-Servers'!E1303,'All-Servers'!$K1303)</f>
        <v>0</v>
      </c>
      <c r="J1293" s="45">
        <f>PRODUCT('All-Servers'!F1303,'All-Servers'!$K1303)</f>
        <v>0</v>
      </c>
      <c r="K1293" s="45">
        <f>PRODUCT('All-Servers'!G1303,'All-Servers'!$K1303)</f>
        <v>0</v>
      </c>
    </row>
    <row r="1294" spans="8:11" x14ac:dyDescent="0.2">
      <c r="H1294" s="45">
        <f>PRODUCT('All-Servers'!D1304,'All-Servers'!$K1304)</f>
        <v>0</v>
      </c>
      <c r="I1294" s="45">
        <f>PRODUCT('All-Servers'!E1304,'All-Servers'!$K1304)</f>
        <v>0</v>
      </c>
      <c r="J1294" s="45">
        <f>PRODUCT('All-Servers'!F1304,'All-Servers'!$K1304)</f>
        <v>0</v>
      </c>
      <c r="K1294" s="45">
        <f>PRODUCT('All-Servers'!G1304,'All-Servers'!$K1304)</f>
        <v>0</v>
      </c>
    </row>
    <row r="1295" spans="8:11" x14ac:dyDescent="0.2">
      <c r="H1295" s="45">
        <f>PRODUCT('All-Servers'!D1305,'All-Servers'!$K1305)</f>
        <v>0</v>
      </c>
      <c r="I1295" s="45">
        <f>PRODUCT('All-Servers'!E1305,'All-Servers'!$K1305)</f>
        <v>0</v>
      </c>
      <c r="J1295" s="45">
        <f>PRODUCT('All-Servers'!F1305,'All-Servers'!$K1305)</f>
        <v>0</v>
      </c>
      <c r="K1295" s="45">
        <f>PRODUCT('All-Servers'!G1305,'All-Servers'!$K1305)</f>
        <v>0</v>
      </c>
    </row>
    <row r="1296" spans="8:11" x14ac:dyDescent="0.2">
      <c r="H1296" s="45">
        <f>PRODUCT('All-Servers'!D1306,'All-Servers'!$K1306)</f>
        <v>0</v>
      </c>
      <c r="I1296" s="45">
        <f>PRODUCT('All-Servers'!E1306,'All-Servers'!$K1306)</f>
        <v>0</v>
      </c>
      <c r="J1296" s="45">
        <f>PRODUCT('All-Servers'!F1306,'All-Servers'!$K1306)</f>
        <v>0</v>
      </c>
      <c r="K1296" s="45">
        <f>PRODUCT('All-Servers'!G1306,'All-Servers'!$K1306)</f>
        <v>0</v>
      </c>
    </row>
    <row r="1297" spans="8:11" x14ac:dyDescent="0.2">
      <c r="H1297" s="45">
        <f>PRODUCT('All-Servers'!D1307,'All-Servers'!$K1307)</f>
        <v>0</v>
      </c>
      <c r="I1297" s="45">
        <f>PRODUCT('All-Servers'!E1307,'All-Servers'!$K1307)</f>
        <v>0</v>
      </c>
      <c r="J1297" s="45">
        <f>PRODUCT('All-Servers'!F1307,'All-Servers'!$K1307)</f>
        <v>0</v>
      </c>
      <c r="K1297" s="45">
        <f>PRODUCT('All-Servers'!G1307,'All-Servers'!$K1307)</f>
        <v>0</v>
      </c>
    </row>
    <row r="1298" spans="8:11" x14ac:dyDescent="0.2">
      <c r="H1298" s="45">
        <f>PRODUCT('All-Servers'!D1308,'All-Servers'!$K1308)</f>
        <v>0</v>
      </c>
      <c r="I1298" s="45">
        <f>PRODUCT('All-Servers'!E1308,'All-Servers'!$K1308)</f>
        <v>0</v>
      </c>
      <c r="J1298" s="45">
        <f>PRODUCT('All-Servers'!F1308,'All-Servers'!$K1308)</f>
        <v>0</v>
      </c>
      <c r="K1298" s="45">
        <f>PRODUCT('All-Servers'!G1308,'All-Servers'!$K1308)</f>
        <v>0</v>
      </c>
    </row>
    <row r="1299" spans="8:11" x14ac:dyDescent="0.2">
      <c r="H1299" s="45">
        <f>PRODUCT('All-Servers'!D1309,'All-Servers'!$K1309)</f>
        <v>0</v>
      </c>
      <c r="I1299" s="45">
        <f>PRODUCT('All-Servers'!E1309,'All-Servers'!$K1309)</f>
        <v>0</v>
      </c>
      <c r="J1299" s="45">
        <f>PRODUCT('All-Servers'!F1309,'All-Servers'!$K1309)</f>
        <v>0</v>
      </c>
      <c r="K1299" s="45">
        <f>PRODUCT('All-Servers'!G1309,'All-Servers'!$K1309)</f>
        <v>0</v>
      </c>
    </row>
    <row r="1300" spans="8:11" x14ac:dyDescent="0.2">
      <c r="H1300" s="45">
        <f>PRODUCT('All-Servers'!D1310,'All-Servers'!$K1310)</f>
        <v>0</v>
      </c>
      <c r="I1300" s="45">
        <f>PRODUCT('All-Servers'!E1310,'All-Servers'!$K1310)</f>
        <v>0</v>
      </c>
      <c r="J1300" s="45">
        <f>PRODUCT('All-Servers'!F1310,'All-Servers'!$K1310)</f>
        <v>0</v>
      </c>
      <c r="K1300" s="45">
        <f>PRODUCT('All-Servers'!G1310,'All-Servers'!$K1310)</f>
        <v>0</v>
      </c>
    </row>
    <row r="1301" spans="8:11" x14ac:dyDescent="0.2">
      <c r="H1301" s="45">
        <f>PRODUCT('All-Servers'!D1311,'All-Servers'!$K1311)</f>
        <v>0</v>
      </c>
      <c r="I1301" s="45">
        <f>PRODUCT('All-Servers'!E1311,'All-Servers'!$K1311)</f>
        <v>0</v>
      </c>
      <c r="J1301" s="45">
        <f>PRODUCT('All-Servers'!F1311,'All-Servers'!$K1311)</f>
        <v>0</v>
      </c>
      <c r="K1301" s="45">
        <f>PRODUCT('All-Servers'!G1311,'All-Servers'!$K1311)</f>
        <v>0</v>
      </c>
    </row>
    <row r="1302" spans="8:11" x14ac:dyDescent="0.2">
      <c r="H1302" s="45">
        <f>PRODUCT('All-Servers'!D1312,'All-Servers'!$K1312)</f>
        <v>0</v>
      </c>
      <c r="I1302" s="45">
        <f>PRODUCT('All-Servers'!E1312,'All-Servers'!$K1312)</f>
        <v>0</v>
      </c>
      <c r="J1302" s="45">
        <f>PRODUCT('All-Servers'!F1312,'All-Servers'!$K1312)</f>
        <v>0</v>
      </c>
      <c r="K1302" s="45">
        <f>PRODUCT('All-Servers'!G1312,'All-Servers'!$K1312)</f>
        <v>0</v>
      </c>
    </row>
    <row r="1303" spans="8:11" x14ac:dyDescent="0.2">
      <c r="H1303" s="45">
        <f>PRODUCT('All-Servers'!D1313,'All-Servers'!$K1313)</f>
        <v>0</v>
      </c>
      <c r="I1303" s="45">
        <f>PRODUCT('All-Servers'!E1313,'All-Servers'!$K1313)</f>
        <v>0</v>
      </c>
      <c r="J1303" s="45">
        <f>PRODUCT('All-Servers'!F1313,'All-Servers'!$K1313)</f>
        <v>0</v>
      </c>
      <c r="K1303" s="45">
        <f>PRODUCT('All-Servers'!G1313,'All-Servers'!$K1313)</f>
        <v>0</v>
      </c>
    </row>
    <row r="1304" spans="8:11" x14ac:dyDescent="0.2">
      <c r="H1304" s="45">
        <f>PRODUCT('All-Servers'!D1314,'All-Servers'!$K1314)</f>
        <v>0</v>
      </c>
      <c r="I1304" s="45">
        <f>PRODUCT('All-Servers'!E1314,'All-Servers'!$K1314)</f>
        <v>0</v>
      </c>
      <c r="J1304" s="45">
        <f>PRODUCT('All-Servers'!F1314,'All-Servers'!$K1314)</f>
        <v>0</v>
      </c>
      <c r="K1304" s="45">
        <f>PRODUCT('All-Servers'!G1314,'All-Servers'!$K1314)</f>
        <v>0</v>
      </c>
    </row>
    <row r="1305" spans="8:11" x14ac:dyDescent="0.2">
      <c r="H1305" s="45">
        <f>PRODUCT('All-Servers'!D1315,'All-Servers'!$K1315)</f>
        <v>0</v>
      </c>
      <c r="I1305" s="45">
        <f>PRODUCT('All-Servers'!E1315,'All-Servers'!$K1315)</f>
        <v>0</v>
      </c>
      <c r="J1305" s="45">
        <f>PRODUCT('All-Servers'!F1315,'All-Servers'!$K1315)</f>
        <v>0</v>
      </c>
      <c r="K1305" s="45">
        <f>PRODUCT('All-Servers'!G1315,'All-Servers'!$K1315)</f>
        <v>0</v>
      </c>
    </row>
    <row r="1306" spans="8:11" x14ac:dyDescent="0.2">
      <c r="H1306" s="45">
        <f>PRODUCT('All-Servers'!D1316,'All-Servers'!$K1316)</f>
        <v>0</v>
      </c>
      <c r="I1306" s="45">
        <f>PRODUCT('All-Servers'!E1316,'All-Servers'!$K1316)</f>
        <v>0</v>
      </c>
      <c r="J1306" s="45">
        <f>PRODUCT('All-Servers'!F1316,'All-Servers'!$K1316)</f>
        <v>0</v>
      </c>
      <c r="K1306" s="45">
        <f>PRODUCT('All-Servers'!G1316,'All-Servers'!$K1316)</f>
        <v>0</v>
      </c>
    </row>
    <row r="1307" spans="8:11" x14ac:dyDescent="0.2">
      <c r="H1307" s="45">
        <f>PRODUCT('All-Servers'!D1317,'All-Servers'!$K1317)</f>
        <v>0</v>
      </c>
      <c r="I1307" s="45">
        <f>PRODUCT('All-Servers'!E1317,'All-Servers'!$K1317)</f>
        <v>0</v>
      </c>
      <c r="J1307" s="45">
        <f>PRODUCT('All-Servers'!F1317,'All-Servers'!$K1317)</f>
        <v>0</v>
      </c>
      <c r="K1307" s="45">
        <f>PRODUCT('All-Servers'!G1317,'All-Servers'!$K1317)</f>
        <v>0</v>
      </c>
    </row>
    <row r="1308" spans="8:11" x14ac:dyDescent="0.2">
      <c r="H1308" s="45">
        <f>PRODUCT('All-Servers'!D1318,'All-Servers'!$K1318)</f>
        <v>0</v>
      </c>
      <c r="I1308" s="45">
        <f>PRODUCT('All-Servers'!E1318,'All-Servers'!$K1318)</f>
        <v>0</v>
      </c>
      <c r="J1308" s="45">
        <f>PRODUCT('All-Servers'!F1318,'All-Servers'!$K1318)</f>
        <v>0</v>
      </c>
      <c r="K1308" s="45">
        <f>PRODUCT('All-Servers'!G1318,'All-Servers'!$K1318)</f>
        <v>0</v>
      </c>
    </row>
    <row r="1309" spans="8:11" x14ac:dyDescent="0.2">
      <c r="H1309" s="45">
        <f>PRODUCT('All-Servers'!D1319,'All-Servers'!$K1319)</f>
        <v>0</v>
      </c>
      <c r="I1309" s="45">
        <f>PRODUCT('All-Servers'!E1319,'All-Servers'!$K1319)</f>
        <v>0</v>
      </c>
      <c r="J1309" s="45">
        <f>PRODUCT('All-Servers'!F1319,'All-Servers'!$K1319)</f>
        <v>0</v>
      </c>
      <c r="K1309" s="45">
        <f>PRODUCT('All-Servers'!G1319,'All-Servers'!$K1319)</f>
        <v>0</v>
      </c>
    </row>
    <row r="1310" spans="8:11" x14ac:dyDescent="0.2">
      <c r="H1310" s="45">
        <f>PRODUCT('All-Servers'!D1320,'All-Servers'!$K1320)</f>
        <v>0</v>
      </c>
      <c r="I1310" s="45">
        <f>PRODUCT('All-Servers'!E1320,'All-Servers'!$K1320)</f>
        <v>0</v>
      </c>
      <c r="J1310" s="45">
        <f>PRODUCT('All-Servers'!F1320,'All-Servers'!$K1320)</f>
        <v>0</v>
      </c>
      <c r="K1310" s="45">
        <f>PRODUCT('All-Servers'!G1320,'All-Servers'!$K1320)</f>
        <v>0</v>
      </c>
    </row>
    <row r="1311" spans="8:11" x14ac:dyDescent="0.2">
      <c r="H1311" s="45">
        <f>PRODUCT('All-Servers'!D1321,'All-Servers'!$K1321)</f>
        <v>0</v>
      </c>
      <c r="I1311" s="45">
        <f>PRODUCT('All-Servers'!E1321,'All-Servers'!$K1321)</f>
        <v>0</v>
      </c>
      <c r="J1311" s="45">
        <f>PRODUCT('All-Servers'!F1321,'All-Servers'!$K1321)</f>
        <v>0</v>
      </c>
      <c r="K1311" s="45">
        <f>PRODUCT('All-Servers'!G1321,'All-Servers'!$K1321)</f>
        <v>0</v>
      </c>
    </row>
    <row r="1312" spans="8:11" x14ac:dyDescent="0.2">
      <c r="H1312" s="45">
        <f>PRODUCT('All-Servers'!D1322,'All-Servers'!$K1322)</f>
        <v>0</v>
      </c>
      <c r="I1312" s="45">
        <f>PRODUCT('All-Servers'!E1322,'All-Servers'!$K1322)</f>
        <v>0</v>
      </c>
      <c r="J1312" s="45">
        <f>PRODUCT('All-Servers'!F1322,'All-Servers'!$K1322)</f>
        <v>0</v>
      </c>
      <c r="K1312" s="45">
        <f>PRODUCT('All-Servers'!G1322,'All-Servers'!$K1322)</f>
        <v>0</v>
      </c>
    </row>
    <row r="1313" spans="8:11" x14ac:dyDescent="0.2">
      <c r="H1313" s="45">
        <f>PRODUCT('All-Servers'!D1323,'All-Servers'!$K1323)</f>
        <v>0</v>
      </c>
      <c r="I1313" s="45">
        <f>PRODUCT('All-Servers'!E1323,'All-Servers'!$K1323)</f>
        <v>0</v>
      </c>
      <c r="J1313" s="45">
        <f>PRODUCT('All-Servers'!F1323,'All-Servers'!$K1323)</f>
        <v>0</v>
      </c>
      <c r="K1313" s="45">
        <f>PRODUCT('All-Servers'!G1323,'All-Servers'!$K1323)</f>
        <v>0</v>
      </c>
    </row>
    <row r="1314" spans="8:11" x14ac:dyDescent="0.2">
      <c r="H1314" s="45">
        <f>PRODUCT('All-Servers'!D1324,'All-Servers'!$K1324)</f>
        <v>0</v>
      </c>
      <c r="I1314" s="45">
        <f>PRODUCT('All-Servers'!E1324,'All-Servers'!$K1324)</f>
        <v>0</v>
      </c>
      <c r="J1314" s="45">
        <f>PRODUCT('All-Servers'!F1324,'All-Servers'!$K1324)</f>
        <v>0</v>
      </c>
      <c r="K1314" s="45">
        <f>PRODUCT('All-Servers'!G1324,'All-Servers'!$K1324)</f>
        <v>0</v>
      </c>
    </row>
    <row r="1315" spans="8:11" x14ac:dyDescent="0.2">
      <c r="H1315" s="45">
        <f>PRODUCT('All-Servers'!D1325,'All-Servers'!$K1325)</f>
        <v>0</v>
      </c>
      <c r="I1315" s="45">
        <f>PRODUCT('All-Servers'!E1325,'All-Servers'!$K1325)</f>
        <v>0</v>
      </c>
      <c r="J1315" s="45">
        <f>PRODUCT('All-Servers'!F1325,'All-Servers'!$K1325)</f>
        <v>0</v>
      </c>
      <c r="K1315" s="45">
        <f>PRODUCT('All-Servers'!G1325,'All-Servers'!$K1325)</f>
        <v>0</v>
      </c>
    </row>
    <row r="1316" spans="8:11" x14ac:dyDescent="0.2">
      <c r="H1316" s="45">
        <f>PRODUCT('All-Servers'!D1326,'All-Servers'!$K1326)</f>
        <v>0</v>
      </c>
      <c r="I1316" s="45">
        <f>PRODUCT('All-Servers'!E1326,'All-Servers'!$K1326)</f>
        <v>0</v>
      </c>
      <c r="J1316" s="45">
        <f>PRODUCT('All-Servers'!F1326,'All-Servers'!$K1326)</f>
        <v>0</v>
      </c>
      <c r="K1316" s="45">
        <f>PRODUCT('All-Servers'!G1326,'All-Servers'!$K1326)</f>
        <v>0</v>
      </c>
    </row>
    <row r="1317" spans="8:11" x14ac:dyDescent="0.2">
      <c r="H1317" s="45">
        <f>PRODUCT('All-Servers'!D1327,'All-Servers'!$K1327)</f>
        <v>0</v>
      </c>
      <c r="I1317" s="45">
        <f>PRODUCT('All-Servers'!E1327,'All-Servers'!$K1327)</f>
        <v>0</v>
      </c>
      <c r="J1317" s="45">
        <f>PRODUCT('All-Servers'!F1327,'All-Servers'!$K1327)</f>
        <v>0</v>
      </c>
      <c r="K1317" s="45">
        <f>PRODUCT('All-Servers'!G1327,'All-Servers'!$K1327)</f>
        <v>0</v>
      </c>
    </row>
    <row r="1318" spans="8:11" x14ac:dyDescent="0.2">
      <c r="H1318" s="45">
        <f>PRODUCT('All-Servers'!D1328,'All-Servers'!$K1328)</f>
        <v>0</v>
      </c>
      <c r="I1318" s="45">
        <f>PRODUCT('All-Servers'!E1328,'All-Servers'!$K1328)</f>
        <v>0</v>
      </c>
      <c r="J1318" s="45">
        <f>PRODUCT('All-Servers'!F1328,'All-Servers'!$K1328)</f>
        <v>0</v>
      </c>
      <c r="K1318" s="45">
        <f>PRODUCT('All-Servers'!G1328,'All-Servers'!$K1328)</f>
        <v>0</v>
      </c>
    </row>
    <row r="1319" spans="8:11" x14ac:dyDescent="0.2">
      <c r="H1319" s="45">
        <f>PRODUCT('All-Servers'!D1329,'All-Servers'!$K1329)</f>
        <v>0</v>
      </c>
      <c r="I1319" s="45">
        <f>PRODUCT('All-Servers'!E1329,'All-Servers'!$K1329)</f>
        <v>0</v>
      </c>
      <c r="J1319" s="45">
        <f>PRODUCT('All-Servers'!F1329,'All-Servers'!$K1329)</f>
        <v>0</v>
      </c>
      <c r="K1319" s="45">
        <f>PRODUCT('All-Servers'!G1329,'All-Servers'!$K1329)</f>
        <v>0</v>
      </c>
    </row>
    <row r="1320" spans="8:11" x14ac:dyDescent="0.2">
      <c r="H1320" s="45">
        <f>PRODUCT('All-Servers'!D1330,'All-Servers'!$K1330)</f>
        <v>0</v>
      </c>
      <c r="I1320" s="45">
        <f>PRODUCT('All-Servers'!E1330,'All-Servers'!$K1330)</f>
        <v>0</v>
      </c>
      <c r="J1320" s="45">
        <f>PRODUCT('All-Servers'!F1330,'All-Servers'!$K1330)</f>
        <v>0</v>
      </c>
      <c r="K1320" s="45">
        <f>PRODUCT('All-Servers'!G1330,'All-Servers'!$K1330)</f>
        <v>0</v>
      </c>
    </row>
    <row r="1321" spans="8:11" x14ac:dyDescent="0.2">
      <c r="H1321" s="45">
        <f>PRODUCT('All-Servers'!D1331,'All-Servers'!$K1331)</f>
        <v>0</v>
      </c>
      <c r="I1321" s="45">
        <f>PRODUCT('All-Servers'!E1331,'All-Servers'!$K1331)</f>
        <v>0</v>
      </c>
      <c r="J1321" s="45">
        <f>PRODUCT('All-Servers'!F1331,'All-Servers'!$K1331)</f>
        <v>0</v>
      </c>
      <c r="K1321" s="45">
        <f>PRODUCT('All-Servers'!G1331,'All-Servers'!$K1331)</f>
        <v>0</v>
      </c>
    </row>
    <row r="1322" spans="8:11" x14ac:dyDescent="0.2">
      <c r="H1322" s="45">
        <f>PRODUCT('All-Servers'!D1332,'All-Servers'!$K1332)</f>
        <v>0</v>
      </c>
      <c r="I1322" s="45">
        <f>PRODUCT('All-Servers'!E1332,'All-Servers'!$K1332)</f>
        <v>0</v>
      </c>
      <c r="J1322" s="45">
        <f>PRODUCT('All-Servers'!F1332,'All-Servers'!$K1332)</f>
        <v>0</v>
      </c>
      <c r="K1322" s="45">
        <f>PRODUCT('All-Servers'!G1332,'All-Servers'!$K1332)</f>
        <v>0</v>
      </c>
    </row>
    <row r="1323" spans="8:11" x14ac:dyDescent="0.2">
      <c r="H1323" s="45">
        <f>PRODUCT('All-Servers'!D1333,'All-Servers'!$K1333)</f>
        <v>0</v>
      </c>
      <c r="I1323" s="45">
        <f>PRODUCT('All-Servers'!E1333,'All-Servers'!$K1333)</f>
        <v>0</v>
      </c>
      <c r="J1323" s="45">
        <f>PRODUCT('All-Servers'!F1333,'All-Servers'!$K1333)</f>
        <v>0</v>
      </c>
      <c r="K1323" s="45">
        <f>PRODUCT('All-Servers'!G1333,'All-Servers'!$K1333)</f>
        <v>0</v>
      </c>
    </row>
    <row r="1324" spans="8:11" x14ac:dyDescent="0.2">
      <c r="H1324" s="45">
        <f>PRODUCT('All-Servers'!D1334,'All-Servers'!$K1334)</f>
        <v>0</v>
      </c>
      <c r="I1324" s="45">
        <f>PRODUCT('All-Servers'!E1334,'All-Servers'!$K1334)</f>
        <v>0</v>
      </c>
      <c r="J1324" s="45">
        <f>PRODUCT('All-Servers'!F1334,'All-Servers'!$K1334)</f>
        <v>0</v>
      </c>
      <c r="K1324" s="45">
        <f>PRODUCT('All-Servers'!G1334,'All-Servers'!$K1334)</f>
        <v>0</v>
      </c>
    </row>
    <row r="1325" spans="8:11" x14ac:dyDescent="0.2">
      <c r="H1325" s="45">
        <f>PRODUCT('All-Servers'!D1335,'All-Servers'!$K1335)</f>
        <v>0</v>
      </c>
      <c r="I1325" s="45">
        <f>PRODUCT('All-Servers'!E1335,'All-Servers'!$K1335)</f>
        <v>0</v>
      </c>
      <c r="J1325" s="45">
        <f>PRODUCT('All-Servers'!F1335,'All-Servers'!$K1335)</f>
        <v>0</v>
      </c>
      <c r="K1325" s="45">
        <f>PRODUCT('All-Servers'!G1335,'All-Servers'!$K1335)</f>
        <v>0</v>
      </c>
    </row>
    <row r="1326" spans="8:11" x14ac:dyDescent="0.2">
      <c r="H1326" s="45">
        <f>PRODUCT('All-Servers'!D1336,'All-Servers'!$K1336)</f>
        <v>0</v>
      </c>
      <c r="I1326" s="45">
        <f>PRODUCT('All-Servers'!E1336,'All-Servers'!$K1336)</f>
        <v>0</v>
      </c>
      <c r="J1326" s="45">
        <f>PRODUCT('All-Servers'!F1336,'All-Servers'!$K1336)</f>
        <v>0</v>
      </c>
      <c r="K1326" s="45">
        <f>PRODUCT('All-Servers'!G1336,'All-Servers'!$K1336)</f>
        <v>0</v>
      </c>
    </row>
    <row r="1327" spans="8:11" x14ac:dyDescent="0.2">
      <c r="H1327" s="45">
        <f>PRODUCT('All-Servers'!D1337,'All-Servers'!$K1337)</f>
        <v>0</v>
      </c>
      <c r="I1327" s="45">
        <f>PRODUCT('All-Servers'!E1337,'All-Servers'!$K1337)</f>
        <v>0</v>
      </c>
      <c r="J1327" s="45">
        <f>PRODUCT('All-Servers'!F1337,'All-Servers'!$K1337)</f>
        <v>0</v>
      </c>
      <c r="K1327" s="45">
        <f>PRODUCT('All-Servers'!G1337,'All-Servers'!$K1337)</f>
        <v>0</v>
      </c>
    </row>
    <row r="1328" spans="8:11" x14ac:dyDescent="0.2">
      <c r="H1328" s="45">
        <f>PRODUCT('All-Servers'!D1338,'All-Servers'!$K1338)</f>
        <v>0</v>
      </c>
      <c r="I1328" s="45">
        <f>PRODUCT('All-Servers'!E1338,'All-Servers'!$K1338)</f>
        <v>0</v>
      </c>
      <c r="J1328" s="45">
        <f>PRODUCT('All-Servers'!F1338,'All-Servers'!$K1338)</f>
        <v>0</v>
      </c>
      <c r="K1328" s="45">
        <f>PRODUCT('All-Servers'!G1338,'All-Servers'!$K1338)</f>
        <v>0</v>
      </c>
    </row>
    <row r="1329" spans="8:11" x14ac:dyDescent="0.2">
      <c r="H1329" s="45">
        <f>PRODUCT('All-Servers'!D1339,'All-Servers'!$K1339)</f>
        <v>0</v>
      </c>
      <c r="I1329" s="45">
        <f>PRODUCT('All-Servers'!E1339,'All-Servers'!$K1339)</f>
        <v>0</v>
      </c>
      <c r="J1329" s="45">
        <f>PRODUCT('All-Servers'!F1339,'All-Servers'!$K1339)</f>
        <v>0</v>
      </c>
      <c r="K1329" s="45">
        <f>PRODUCT('All-Servers'!G1339,'All-Servers'!$K1339)</f>
        <v>0</v>
      </c>
    </row>
    <row r="1330" spans="8:11" x14ac:dyDescent="0.2">
      <c r="H1330" s="45">
        <f>PRODUCT('All-Servers'!D1340,'All-Servers'!$K1340)</f>
        <v>0</v>
      </c>
      <c r="I1330" s="45">
        <f>PRODUCT('All-Servers'!E1340,'All-Servers'!$K1340)</f>
        <v>0</v>
      </c>
      <c r="J1330" s="45">
        <f>PRODUCT('All-Servers'!F1340,'All-Servers'!$K1340)</f>
        <v>0</v>
      </c>
      <c r="K1330" s="45">
        <f>PRODUCT('All-Servers'!G1340,'All-Servers'!$K1340)</f>
        <v>0</v>
      </c>
    </row>
    <row r="1331" spans="8:11" x14ac:dyDescent="0.2">
      <c r="H1331" s="45">
        <f>PRODUCT('All-Servers'!D1341,'All-Servers'!$K1341)</f>
        <v>0</v>
      </c>
      <c r="I1331" s="45">
        <f>PRODUCT('All-Servers'!E1341,'All-Servers'!$K1341)</f>
        <v>0</v>
      </c>
      <c r="J1331" s="45">
        <f>PRODUCT('All-Servers'!F1341,'All-Servers'!$K1341)</f>
        <v>0</v>
      </c>
      <c r="K1331" s="45">
        <f>PRODUCT('All-Servers'!G1341,'All-Servers'!$K1341)</f>
        <v>0</v>
      </c>
    </row>
    <row r="1332" spans="8:11" x14ac:dyDescent="0.2">
      <c r="H1332" s="45">
        <f>PRODUCT('All-Servers'!D1342,'All-Servers'!$K1342)</f>
        <v>0</v>
      </c>
      <c r="I1332" s="45">
        <f>PRODUCT('All-Servers'!E1342,'All-Servers'!$K1342)</f>
        <v>0</v>
      </c>
      <c r="J1332" s="45">
        <f>PRODUCT('All-Servers'!F1342,'All-Servers'!$K1342)</f>
        <v>0</v>
      </c>
      <c r="K1332" s="45">
        <f>PRODUCT('All-Servers'!G1342,'All-Servers'!$K1342)</f>
        <v>0</v>
      </c>
    </row>
    <row r="1333" spans="8:11" x14ac:dyDescent="0.2">
      <c r="H1333" s="45">
        <f>PRODUCT('All-Servers'!D1343,'All-Servers'!$K1343)</f>
        <v>0</v>
      </c>
      <c r="I1333" s="45">
        <f>PRODUCT('All-Servers'!E1343,'All-Servers'!$K1343)</f>
        <v>0</v>
      </c>
      <c r="J1333" s="45">
        <f>PRODUCT('All-Servers'!F1343,'All-Servers'!$K1343)</f>
        <v>0</v>
      </c>
      <c r="K1333" s="45">
        <f>PRODUCT('All-Servers'!G1343,'All-Servers'!$K1343)</f>
        <v>0</v>
      </c>
    </row>
    <row r="1334" spans="8:11" x14ac:dyDescent="0.2">
      <c r="H1334" s="45">
        <f>PRODUCT('All-Servers'!D1344,'All-Servers'!$K1344)</f>
        <v>0</v>
      </c>
      <c r="I1334" s="45">
        <f>PRODUCT('All-Servers'!E1344,'All-Servers'!$K1344)</f>
        <v>0</v>
      </c>
      <c r="J1334" s="45">
        <f>PRODUCT('All-Servers'!F1344,'All-Servers'!$K1344)</f>
        <v>0</v>
      </c>
      <c r="K1334" s="45">
        <f>PRODUCT('All-Servers'!G1344,'All-Servers'!$K1344)</f>
        <v>0</v>
      </c>
    </row>
    <row r="1335" spans="8:11" x14ac:dyDescent="0.2">
      <c r="H1335" s="45">
        <f>PRODUCT('All-Servers'!D1345,'All-Servers'!$K1345)</f>
        <v>0</v>
      </c>
      <c r="I1335" s="45">
        <f>PRODUCT('All-Servers'!E1345,'All-Servers'!$K1345)</f>
        <v>0</v>
      </c>
      <c r="J1335" s="45">
        <f>PRODUCT('All-Servers'!F1345,'All-Servers'!$K1345)</f>
        <v>0</v>
      </c>
      <c r="K1335" s="45">
        <f>PRODUCT('All-Servers'!G1345,'All-Servers'!$K1345)</f>
        <v>0</v>
      </c>
    </row>
    <row r="1336" spans="8:11" x14ac:dyDescent="0.2">
      <c r="H1336" s="45">
        <f>PRODUCT('All-Servers'!D1346,'All-Servers'!$K1346)</f>
        <v>0</v>
      </c>
      <c r="I1336" s="45">
        <f>PRODUCT('All-Servers'!E1346,'All-Servers'!$K1346)</f>
        <v>0</v>
      </c>
      <c r="J1336" s="45">
        <f>PRODUCT('All-Servers'!F1346,'All-Servers'!$K1346)</f>
        <v>0</v>
      </c>
      <c r="K1336" s="45">
        <f>PRODUCT('All-Servers'!G1346,'All-Servers'!$K1346)</f>
        <v>0</v>
      </c>
    </row>
    <row r="1337" spans="8:11" x14ac:dyDescent="0.2">
      <c r="H1337" s="45">
        <f>PRODUCT('All-Servers'!D1347,'All-Servers'!$K1347)</f>
        <v>0</v>
      </c>
      <c r="I1337" s="45">
        <f>PRODUCT('All-Servers'!E1347,'All-Servers'!$K1347)</f>
        <v>0</v>
      </c>
      <c r="J1337" s="45">
        <f>PRODUCT('All-Servers'!F1347,'All-Servers'!$K1347)</f>
        <v>0</v>
      </c>
      <c r="K1337" s="45">
        <f>PRODUCT('All-Servers'!G1347,'All-Servers'!$K1347)</f>
        <v>0</v>
      </c>
    </row>
    <row r="1338" spans="8:11" x14ac:dyDescent="0.2">
      <c r="H1338" s="45">
        <f>PRODUCT('All-Servers'!D1348,'All-Servers'!$K1348)</f>
        <v>0</v>
      </c>
      <c r="I1338" s="45">
        <f>PRODUCT('All-Servers'!E1348,'All-Servers'!$K1348)</f>
        <v>0</v>
      </c>
      <c r="J1338" s="45">
        <f>PRODUCT('All-Servers'!F1348,'All-Servers'!$K1348)</f>
        <v>0</v>
      </c>
      <c r="K1338" s="45">
        <f>PRODUCT('All-Servers'!G1348,'All-Servers'!$K1348)</f>
        <v>0</v>
      </c>
    </row>
    <row r="1339" spans="8:11" x14ac:dyDescent="0.2">
      <c r="H1339" s="45">
        <f>PRODUCT('All-Servers'!D1349,'All-Servers'!$K1349)</f>
        <v>0</v>
      </c>
      <c r="I1339" s="45">
        <f>PRODUCT('All-Servers'!E1349,'All-Servers'!$K1349)</f>
        <v>0</v>
      </c>
      <c r="J1339" s="45">
        <f>PRODUCT('All-Servers'!F1349,'All-Servers'!$K1349)</f>
        <v>0</v>
      </c>
      <c r="K1339" s="45">
        <f>PRODUCT('All-Servers'!G1349,'All-Servers'!$K1349)</f>
        <v>0</v>
      </c>
    </row>
    <row r="1340" spans="8:11" x14ac:dyDescent="0.2">
      <c r="H1340" s="45">
        <f>PRODUCT('All-Servers'!D1350,'All-Servers'!$K1350)</f>
        <v>0</v>
      </c>
      <c r="I1340" s="45">
        <f>PRODUCT('All-Servers'!E1350,'All-Servers'!$K1350)</f>
        <v>0</v>
      </c>
      <c r="J1340" s="45">
        <f>PRODUCT('All-Servers'!F1350,'All-Servers'!$K1350)</f>
        <v>0</v>
      </c>
      <c r="K1340" s="45">
        <f>PRODUCT('All-Servers'!G1350,'All-Servers'!$K1350)</f>
        <v>0</v>
      </c>
    </row>
    <row r="1341" spans="8:11" x14ac:dyDescent="0.2">
      <c r="H1341" s="45">
        <f>PRODUCT('All-Servers'!D1351,'All-Servers'!$K1351)</f>
        <v>0</v>
      </c>
      <c r="I1341" s="45">
        <f>PRODUCT('All-Servers'!E1351,'All-Servers'!$K1351)</f>
        <v>0</v>
      </c>
      <c r="J1341" s="45">
        <f>PRODUCT('All-Servers'!F1351,'All-Servers'!$K1351)</f>
        <v>0</v>
      </c>
      <c r="K1341" s="45">
        <f>PRODUCT('All-Servers'!G1351,'All-Servers'!$K1351)</f>
        <v>0</v>
      </c>
    </row>
    <row r="1342" spans="8:11" x14ac:dyDescent="0.2">
      <c r="H1342" s="45">
        <f>PRODUCT('All-Servers'!D1352,'All-Servers'!$K1352)</f>
        <v>0</v>
      </c>
      <c r="I1342" s="45">
        <f>PRODUCT('All-Servers'!E1352,'All-Servers'!$K1352)</f>
        <v>0</v>
      </c>
      <c r="J1342" s="45">
        <f>PRODUCT('All-Servers'!F1352,'All-Servers'!$K1352)</f>
        <v>0</v>
      </c>
      <c r="K1342" s="45">
        <f>PRODUCT('All-Servers'!G1352,'All-Servers'!$K1352)</f>
        <v>0</v>
      </c>
    </row>
    <row r="1343" spans="8:11" x14ac:dyDescent="0.2">
      <c r="H1343" s="45">
        <f>PRODUCT('All-Servers'!D1353,'All-Servers'!$K1353)</f>
        <v>0</v>
      </c>
      <c r="I1343" s="45">
        <f>PRODUCT('All-Servers'!E1353,'All-Servers'!$K1353)</f>
        <v>0</v>
      </c>
      <c r="J1343" s="45">
        <f>PRODUCT('All-Servers'!F1353,'All-Servers'!$K1353)</f>
        <v>0</v>
      </c>
      <c r="K1343" s="45">
        <f>PRODUCT('All-Servers'!G1353,'All-Servers'!$K1353)</f>
        <v>0</v>
      </c>
    </row>
    <row r="1344" spans="8:11" x14ac:dyDescent="0.2">
      <c r="H1344" s="45">
        <f>PRODUCT('All-Servers'!D1354,'All-Servers'!$K1354)</f>
        <v>0</v>
      </c>
      <c r="I1344" s="45">
        <f>PRODUCT('All-Servers'!E1354,'All-Servers'!$K1354)</f>
        <v>0</v>
      </c>
      <c r="J1344" s="45">
        <f>PRODUCT('All-Servers'!F1354,'All-Servers'!$K1354)</f>
        <v>0</v>
      </c>
      <c r="K1344" s="45">
        <f>PRODUCT('All-Servers'!G1354,'All-Servers'!$K1354)</f>
        <v>0</v>
      </c>
    </row>
    <row r="1345" spans="8:11" x14ac:dyDescent="0.2">
      <c r="H1345" s="45">
        <f>PRODUCT('All-Servers'!D1355,'All-Servers'!$K1355)</f>
        <v>0</v>
      </c>
      <c r="I1345" s="45">
        <f>PRODUCT('All-Servers'!E1355,'All-Servers'!$K1355)</f>
        <v>0</v>
      </c>
      <c r="J1345" s="45">
        <f>PRODUCT('All-Servers'!F1355,'All-Servers'!$K1355)</f>
        <v>0</v>
      </c>
      <c r="K1345" s="45">
        <f>PRODUCT('All-Servers'!G1355,'All-Servers'!$K1355)</f>
        <v>0</v>
      </c>
    </row>
    <row r="1346" spans="8:11" x14ac:dyDescent="0.2">
      <c r="H1346" s="45">
        <f>PRODUCT('All-Servers'!D1356,'All-Servers'!$K1356)</f>
        <v>0</v>
      </c>
      <c r="I1346" s="45">
        <f>PRODUCT('All-Servers'!E1356,'All-Servers'!$K1356)</f>
        <v>0</v>
      </c>
      <c r="J1346" s="45">
        <f>PRODUCT('All-Servers'!F1356,'All-Servers'!$K1356)</f>
        <v>0</v>
      </c>
      <c r="K1346" s="45">
        <f>PRODUCT('All-Servers'!G1356,'All-Servers'!$K1356)</f>
        <v>0</v>
      </c>
    </row>
    <row r="1347" spans="8:11" x14ac:dyDescent="0.2">
      <c r="H1347" s="45">
        <f>PRODUCT('All-Servers'!D1357,'All-Servers'!$K1357)</f>
        <v>0</v>
      </c>
      <c r="I1347" s="45">
        <f>PRODUCT('All-Servers'!E1357,'All-Servers'!$K1357)</f>
        <v>0</v>
      </c>
      <c r="J1347" s="45">
        <f>PRODUCT('All-Servers'!F1357,'All-Servers'!$K1357)</f>
        <v>0</v>
      </c>
      <c r="K1347" s="45">
        <f>PRODUCT('All-Servers'!G1357,'All-Servers'!$K1357)</f>
        <v>0</v>
      </c>
    </row>
    <row r="1348" spans="8:11" x14ac:dyDescent="0.2">
      <c r="H1348" s="45">
        <f>PRODUCT('All-Servers'!D1358,'All-Servers'!$K1358)</f>
        <v>0</v>
      </c>
      <c r="I1348" s="45">
        <f>PRODUCT('All-Servers'!E1358,'All-Servers'!$K1358)</f>
        <v>0</v>
      </c>
      <c r="J1348" s="45">
        <f>PRODUCT('All-Servers'!F1358,'All-Servers'!$K1358)</f>
        <v>0</v>
      </c>
      <c r="K1348" s="45">
        <f>PRODUCT('All-Servers'!G1358,'All-Servers'!$K1358)</f>
        <v>0</v>
      </c>
    </row>
    <row r="1349" spans="8:11" x14ac:dyDescent="0.2">
      <c r="H1349" s="45">
        <f>PRODUCT('All-Servers'!D1359,'All-Servers'!$K1359)</f>
        <v>0</v>
      </c>
      <c r="I1349" s="45">
        <f>PRODUCT('All-Servers'!E1359,'All-Servers'!$K1359)</f>
        <v>0</v>
      </c>
      <c r="J1349" s="45">
        <f>PRODUCT('All-Servers'!F1359,'All-Servers'!$K1359)</f>
        <v>0</v>
      </c>
      <c r="K1349" s="45">
        <f>PRODUCT('All-Servers'!G1359,'All-Servers'!$K1359)</f>
        <v>0</v>
      </c>
    </row>
    <row r="1350" spans="8:11" x14ac:dyDescent="0.2">
      <c r="H1350" s="45">
        <f>PRODUCT('All-Servers'!D1360,'All-Servers'!$K1360)</f>
        <v>0</v>
      </c>
      <c r="I1350" s="45">
        <f>PRODUCT('All-Servers'!E1360,'All-Servers'!$K1360)</f>
        <v>0</v>
      </c>
      <c r="J1350" s="45">
        <f>PRODUCT('All-Servers'!F1360,'All-Servers'!$K1360)</f>
        <v>0</v>
      </c>
      <c r="K1350" s="45">
        <f>PRODUCT('All-Servers'!G1360,'All-Servers'!$K1360)</f>
        <v>0</v>
      </c>
    </row>
    <row r="1351" spans="8:11" x14ac:dyDescent="0.2">
      <c r="H1351" s="45">
        <f>PRODUCT('All-Servers'!D1361,'All-Servers'!$K1361)</f>
        <v>0</v>
      </c>
      <c r="I1351" s="45">
        <f>PRODUCT('All-Servers'!E1361,'All-Servers'!$K1361)</f>
        <v>0</v>
      </c>
      <c r="J1351" s="45">
        <f>PRODUCT('All-Servers'!F1361,'All-Servers'!$K1361)</f>
        <v>0</v>
      </c>
      <c r="K1351" s="45">
        <f>PRODUCT('All-Servers'!G1361,'All-Servers'!$K1361)</f>
        <v>0</v>
      </c>
    </row>
    <row r="1352" spans="8:11" x14ac:dyDescent="0.2">
      <c r="H1352" s="45">
        <f>PRODUCT('All-Servers'!D1362,'All-Servers'!$K1362)</f>
        <v>0</v>
      </c>
      <c r="I1352" s="45">
        <f>PRODUCT('All-Servers'!E1362,'All-Servers'!$K1362)</f>
        <v>0</v>
      </c>
      <c r="J1352" s="45">
        <f>PRODUCT('All-Servers'!F1362,'All-Servers'!$K1362)</f>
        <v>0</v>
      </c>
      <c r="K1352" s="45">
        <f>PRODUCT('All-Servers'!G1362,'All-Servers'!$K1362)</f>
        <v>0</v>
      </c>
    </row>
    <row r="1353" spans="8:11" x14ac:dyDescent="0.2">
      <c r="H1353" s="45">
        <f>PRODUCT('All-Servers'!D1363,'All-Servers'!$K1363)</f>
        <v>0</v>
      </c>
      <c r="I1353" s="45">
        <f>PRODUCT('All-Servers'!E1363,'All-Servers'!$K1363)</f>
        <v>0</v>
      </c>
      <c r="J1353" s="45">
        <f>PRODUCT('All-Servers'!F1363,'All-Servers'!$K1363)</f>
        <v>0</v>
      </c>
      <c r="K1353" s="45">
        <f>PRODUCT('All-Servers'!G1363,'All-Servers'!$K1363)</f>
        <v>0</v>
      </c>
    </row>
    <row r="1354" spans="8:11" x14ac:dyDescent="0.2">
      <c r="H1354" s="45">
        <f>PRODUCT('All-Servers'!D1364,'All-Servers'!$K1364)</f>
        <v>0</v>
      </c>
      <c r="I1354" s="45">
        <f>PRODUCT('All-Servers'!E1364,'All-Servers'!$K1364)</f>
        <v>0</v>
      </c>
      <c r="J1354" s="45">
        <f>PRODUCT('All-Servers'!F1364,'All-Servers'!$K1364)</f>
        <v>0</v>
      </c>
      <c r="K1354" s="45">
        <f>PRODUCT('All-Servers'!G1364,'All-Servers'!$K1364)</f>
        <v>0</v>
      </c>
    </row>
    <row r="1355" spans="8:11" x14ac:dyDescent="0.2">
      <c r="H1355" s="45">
        <f>PRODUCT('All-Servers'!D1365,'All-Servers'!$K1365)</f>
        <v>0</v>
      </c>
      <c r="I1355" s="45">
        <f>PRODUCT('All-Servers'!E1365,'All-Servers'!$K1365)</f>
        <v>0</v>
      </c>
      <c r="J1355" s="45">
        <f>PRODUCT('All-Servers'!F1365,'All-Servers'!$K1365)</f>
        <v>0</v>
      </c>
      <c r="K1355" s="45">
        <f>PRODUCT('All-Servers'!G1365,'All-Servers'!$K1365)</f>
        <v>0</v>
      </c>
    </row>
    <row r="1356" spans="8:11" x14ac:dyDescent="0.2">
      <c r="H1356" s="45">
        <f>PRODUCT('All-Servers'!D1366,'All-Servers'!$K1366)</f>
        <v>0</v>
      </c>
      <c r="I1356" s="45">
        <f>PRODUCT('All-Servers'!E1366,'All-Servers'!$K1366)</f>
        <v>0</v>
      </c>
      <c r="J1356" s="45">
        <f>PRODUCT('All-Servers'!F1366,'All-Servers'!$K1366)</f>
        <v>0</v>
      </c>
      <c r="K1356" s="45">
        <f>PRODUCT('All-Servers'!G1366,'All-Servers'!$K1366)</f>
        <v>0</v>
      </c>
    </row>
    <row r="1357" spans="8:11" x14ac:dyDescent="0.2">
      <c r="H1357" s="45">
        <f>PRODUCT('All-Servers'!D1367,'All-Servers'!$K1367)</f>
        <v>0</v>
      </c>
      <c r="I1357" s="45">
        <f>PRODUCT('All-Servers'!E1367,'All-Servers'!$K1367)</f>
        <v>0</v>
      </c>
      <c r="J1357" s="45">
        <f>PRODUCT('All-Servers'!F1367,'All-Servers'!$K1367)</f>
        <v>0</v>
      </c>
      <c r="K1357" s="45">
        <f>PRODUCT('All-Servers'!G1367,'All-Servers'!$K1367)</f>
        <v>0</v>
      </c>
    </row>
    <row r="1358" spans="8:11" x14ac:dyDescent="0.2">
      <c r="H1358" s="45">
        <f>PRODUCT('All-Servers'!D1368,'All-Servers'!$K1368)</f>
        <v>0</v>
      </c>
      <c r="I1358" s="45">
        <f>PRODUCT('All-Servers'!E1368,'All-Servers'!$K1368)</f>
        <v>0</v>
      </c>
      <c r="J1358" s="45">
        <f>PRODUCT('All-Servers'!F1368,'All-Servers'!$K1368)</f>
        <v>0</v>
      </c>
      <c r="K1358" s="45">
        <f>PRODUCT('All-Servers'!G1368,'All-Servers'!$K1368)</f>
        <v>0</v>
      </c>
    </row>
    <row r="1359" spans="8:11" x14ac:dyDescent="0.2">
      <c r="H1359" s="45">
        <f>PRODUCT('All-Servers'!D1369,'All-Servers'!$K1369)</f>
        <v>0</v>
      </c>
      <c r="I1359" s="45">
        <f>PRODUCT('All-Servers'!E1369,'All-Servers'!$K1369)</f>
        <v>0</v>
      </c>
      <c r="J1359" s="45">
        <f>PRODUCT('All-Servers'!F1369,'All-Servers'!$K1369)</f>
        <v>0</v>
      </c>
      <c r="K1359" s="45">
        <f>PRODUCT('All-Servers'!G1369,'All-Servers'!$K1369)</f>
        <v>0</v>
      </c>
    </row>
    <row r="1360" spans="8:11" x14ac:dyDescent="0.2">
      <c r="H1360" s="45">
        <f>PRODUCT('All-Servers'!D1370,'All-Servers'!$K1370)</f>
        <v>0</v>
      </c>
      <c r="I1360" s="45">
        <f>PRODUCT('All-Servers'!E1370,'All-Servers'!$K1370)</f>
        <v>0</v>
      </c>
      <c r="J1360" s="45">
        <f>PRODUCT('All-Servers'!F1370,'All-Servers'!$K1370)</f>
        <v>0</v>
      </c>
      <c r="K1360" s="45">
        <f>PRODUCT('All-Servers'!G1370,'All-Servers'!$K1370)</f>
        <v>0</v>
      </c>
    </row>
    <row r="1361" spans="8:11" x14ac:dyDescent="0.2">
      <c r="H1361" s="45">
        <f>PRODUCT('All-Servers'!D1371,'All-Servers'!$K1371)</f>
        <v>0</v>
      </c>
      <c r="I1361" s="45">
        <f>PRODUCT('All-Servers'!E1371,'All-Servers'!$K1371)</f>
        <v>0</v>
      </c>
      <c r="J1361" s="45">
        <f>PRODUCT('All-Servers'!F1371,'All-Servers'!$K1371)</f>
        <v>0</v>
      </c>
      <c r="K1361" s="45">
        <f>PRODUCT('All-Servers'!G1371,'All-Servers'!$K1371)</f>
        <v>0</v>
      </c>
    </row>
    <row r="1362" spans="8:11" x14ac:dyDescent="0.2">
      <c r="H1362" s="45">
        <f>PRODUCT('All-Servers'!D1372,'All-Servers'!$K1372)</f>
        <v>0</v>
      </c>
      <c r="I1362" s="45">
        <f>PRODUCT('All-Servers'!E1372,'All-Servers'!$K1372)</f>
        <v>0</v>
      </c>
      <c r="J1362" s="45">
        <f>PRODUCT('All-Servers'!F1372,'All-Servers'!$K1372)</f>
        <v>0</v>
      </c>
      <c r="K1362" s="45">
        <f>PRODUCT('All-Servers'!G1372,'All-Servers'!$K1372)</f>
        <v>0</v>
      </c>
    </row>
    <row r="1363" spans="8:11" x14ac:dyDescent="0.2">
      <c r="H1363" s="45">
        <f>PRODUCT('All-Servers'!D1373,'All-Servers'!$K1373)</f>
        <v>0</v>
      </c>
      <c r="I1363" s="45">
        <f>PRODUCT('All-Servers'!E1373,'All-Servers'!$K1373)</f>
        <v>0</v>
      </c>
      <c r="J1363" s="45">
        <f>PRODUCT('All-Servers'!F1373,'All-Servers'!$K1373)</f>
        <v>0</v>
      </c>
      <c r="K1363" s="45">
        <f>PRODUCT('All-Servers'!G1373,'All-Servers'!$K1373)</f>
        <v>0</v>
      </c>
    </row>
    <row r="1364" spans="8:11" x14ac:dyDescent="0.2">
      <c r="H1364" s="45">
        <f>PRODUCT('All-Servers'!D1374,'All-Servers'!$K1374)</f>
        <v>0</v>
      </c>
      <c r="I1364" s="45">
        <f>PRODUCT('All-Servers'!E1374,'All-Servers'!$K1374)</f>
        <v>0</v>
      </c>
      <c r="J1364" s="45">
        <f>PRODUCT('All-Servers'!F1374,'All-Servers'!$K1374)</f>
        <v>0</v>
      </c>
      <c r="K1364" s="45">
        <f>PRODUCT('All-Servers'!G1374,'All-Servers'!$K1374)</f>
        <v>0</v>
      </c>
    </row>
    <row r="1365" spans="8:11" x14ac:dyDescent="0.2">
      <c r="H1365" s="45">
        <f>PRODUCT('All-Servers'!D1375,'All-Servers'!$K1375)</f>
        <v>0</v>
      </c>
      <c r="I1365" s="45">
        <f>PRODUCT('All-Servers'!E1375,'All-Servers'!$K1375)</f>
        <v>0</v>
      </c>
      <c r="J1365" s="45">
        <f>PRODUCT('All-Servers'!F1375,'All-Servers'!$K1375)</f>
        <v>0</v>
      </c>
      <c r="K1365" s="45">
        <f>PRODUCT('All-Servers'!G1375,'All-Servers'!$K1375)</f>
        <v>0</v>
      </c>
    </row>
    <row r="1366" spans="8:11" x14ac:dyDescent="0.2">
      <c r="H1366" s="45">
        <f>PRODUCT('All-Servers'!D1376,'All-Servers'!$K1376)</f>
        <v>0</v>
      </c>
      <c r="I1366" s="45">
        <f>PRODUCT('All-Servers'!E1376,'All-Servers'!$K1376)</f>
        <v>0</v>
      </c>
      <c r="J1366" s="45">
        <f>PRODUCT('All-Servers'!F1376,'All-Servers'!$K1376)</f>
        <v>0</v>
      </c>
      <c r="K1366" s="45">
        <f>PRODUCT('All-Servers'!G1376,'All-Servers'!$K1376)</f>
        <v>0</v>
      </c>
    </row>
    <row r="1367" spans="8:11" x14ac:dyDescent="0.2">
      <c r="H1367" s="45">
        <f>PRODUCT('All-Servers'!D1377,'All-Servers'!$K1377)</f>
        <v>0</v>
      </c>
      <c r="I1367" s="45">
        <f>PRODUCT('All-Servers'!E1377,'All-Servers'!$K1377)</f>
        <v>0</v>
      </c>
      <c r="J1367" s="45">
        <f>PRODUCT('All-Servers'!F1377,'All-Servers'!$K1377)</f>
        <v>0</v>
      </c>
      <c r="K1367" s="45">
        <f>PRODUCT('All-Servers'!G1377,'All-Servers'!$K1377)</f>
        <v>0</v>
      </c>
    </row>
    <row r="1368" spans="8:11" x14ac:dyDescent="0.2">
      <c r="H1368" s="45">
        <f>PRODUCT('All-Servers'!D1378,'All-Servers'!$K1378)</f>
        <v>0</v>
      </c>
      <c r="I1368" s="45">
        <f>PRODUCT('All-Servers'!E1378,'All-Servers'!$K1378)</f>
        <v>0</v>
      </c>
      <c r="J1368" s="45">
        <f>PRODUCT('All-Servers'!F1378,'All-Servers'!$K1378)</f>
        <v>0</v>
      </c>
      <c r="K1368" s="45">
        <f>PRODUCT('All-Servers'!G1378,'All-Servers'!$K1378)</f>
        <v>0</v>
      </c>
    </row>
    <row r="1369" spans="8:11" x14ac:dyDescent="0.2">
      <c r="H1369" s="45">
        <f>PRODUCT('All-Servers'!D1379,'All-Servers'!$K1379)</f>
        <v>0</v>
      </c>
      <c r="I1369" s="45">
        <f>PRODUCT('All-Servers'!E1379,'All-Servers'!$K1379)</f>
        <v>0</v>
      </c>
      <c r="J1369" s="45">
        <f>PRODUCT('All-Servers'!F1379,'All-Servers'!$K1379)</f>
        <v>0</v>
      </c>
      <c r="K1369" s="45">
        <f>PRODUCT('All-Servers'!G1379,'All-Servers'!$K1379)</f>
        <v>0</v>
      </c>
    </row>
    <row r="1370" spans="8:11" x14ac:dyDescent="0.2">
      <c r="H1370" s="45">
        <f>PRODUCT('All-Servers'!D1380,'All-Servers'!$K1380)</f>
        <v>0</v>
      </c>
      <c r="I1370" s="45">
        <f>PRODUCT('All-Servers'!E1380,'All-Servers'!$K1380)</f>
        <v>0</v>
      </c>
      <c r="J1370" s="45">
        <f>PRODUCT('All-Servers'!F1380,'All-Servers'!$K1380)</f>
        <v>0</v>
      </c>
      <c r="K1370" s="45">
        <f>PRODUCT('All-Servers'!G1380,'All-Servers'!$K1380)</f>
        <v>0</v>
      </c>
    </row>
    <row r="1371" spans="8:11" x14ac:dyDescent="0.2">
      <c r="H1371" s="45">
        <f>PRODUCT('All-Servers'!D1381,'All-Servers'!$K1381)</f>
        <v>0</v>
      </c>
      <c r="I1371" s="45">
        <f>PRODUCT('All-Servers'!E1381,'All-Servers'!$K1381)</f>
        <v>0</v>
      </c>
      <c r="J1371" s="45">
        <f>PRODUCT('All-Servers'!F1381,'All-Servers'!$K1381)</f>
        <v>0</v>
      </c>
      <c r="K1371" s="45">
        <f>PRODUCT('All-Servers'!G1381,'All-Servers'!$K1381)</f>
        <v>0</v>
      </c>
    </row>
    <row r="1372" spans="8:11" x14ac:dyDescent="0.2">
      <c r="H1372" s="45">
        <f>PRODUCT('All-Servers'!D1382,'All-Servers'!$K1382)</f>
        <v>0</v>
      </c>
      <c r="I1372" s="45">
        <f>PRODUCT('All-Servers'!E1382,'All-Servers'!$K1382)</f>
        <v>0</v>
      </c>
      <c r="J1372" s="45">
        <f>PRODUCT('All-Servers'!F1382,'All-Servers'!$K1382)</f>
        <v>0</v>
      </c>
      <c r="K1372" s="45">
        <f>PRODUCT('All-Servers'!G1382,'All-Servers'!$K1382)</f>
        <v>0</v>
      </c>
    </row>
    <row r="1373" spans="8:11" x14ac:dyDescent="0.2">
      <c r="H1373" s="45">
        <f>PRODUCT('All-Servers'!D1383,'All-Servers'!$K1383)</f>
        <v>0</v>
      </c>
      <c r="I1373" s="45">
        <f>PRODUCT('All-Servers'!E1383,'All-Servers'!$K1383)</f>
        <v>0</v>
      </c>
      <c r="J1373" s="45">
        <f>PRODUCT('All-Servers'!F1383,'All-Servers'!$K1383)</f>
        <v>0</v>
      </c>
      <c r="K1373" s="45">
        <f>PRODUCT('All-Servers'!G1383,'All-Servers'!$K1383)</f>
        <v>0</v>
      </c>
    </row>
    <row r="1374" spans="8:11" x14ac:dyDescent="0.2">
      <c r="H1374" s="45">
        <f>PRODUCT('All-Servers'!D1384,'All-Servers'!$K1384)</f>
        <v>0</v>
      </c>
      <c r="I1374" s="45">
        <f>PRODUCT('All-Servers'!E1384,'All-Servers'!$K1384)</f>
        <v>0</v>
      </c>
      <c r="J1374" s="45">
        <f>PRODUCT('All-Servers'!F1384,'All-Servers'!$K1384)</f>
        <v>0</v>
      </c>
      <c r="K1374" s="45">
        <f>PRODUCT('All-Servers'!G1384,'All-Servers'!$K1384)</f>
        <v>0</v>
      </c>
    </row>
    <row r="1375" spans="8:11" x14ac:dyDescent="0.2">
      <c r="H1375" s="45">
        <f>PRODUCT('All-Servers'!D1385,'All-Servers'!$K1385)</f>
        <v>0</v>
      </c>
      <c r="I1375" s="45">
        <f>PRODUCT('All-Servers'!E1385,'All-Servers'!$K1385)</f>
        <v>0</v>
      </c>
      <c r="J1375" s="45">
        <f>PRODUCT('All-Servers'!F1385,'All-Servers'!$K1385)</f>
        <v>0</v>
      </c>
      <c r="K1375" s="45">
        <f>PRODUCT('All-Servers'!G1385,'All-Servers'!$K1385)</f>
        <v>0</v>
      </c>
    </row>
    <row r="1376" spans="8:11" x14ac:dyDescent="0.2">
      <c r="H1376" s="45">
        <f>PRODUCT('All-Servers'!D1386,'All-Servers'!$K1386)</f>
        <v>0</v>
      </c>
      <c r="I1376" s="45">
        <f>PRODUCT('All-Servers'!E1386,'All-Servers'!$K1386)</f>
        <v>0</v>
      </c>
      <c r="J1376" s="45">
        <f>PRODUCT('All-Servers'!F1386,'All-Servers'!$K1386)</f>
        <v>0</v>
      </c>
      <c r="K1376" s="45">
        <f>PRODUCT('All-Servers'!G1386,'All-Servers'!$K1386)</f>
        <v>0</v>
      </c>
    </row>
    <row r="1377" spans="8:11" x14ac:dyDescent="0.2">
      <c r="H1377" s="45">
        <f>PRODUCT('All-Servers'!D1387,'All-Servers'!$K1387)</f>
        <v>0</v>
      </c>
      <c r="I1377" s="45">
        <f>PRODUCT('All-Servers'!E1387,'All-Servers'!$K1387)</f>
        <v>0</v>
      </c>
      <c r="J1377" s="45">
        <f>PRODUCT('All-Servers'!F1387,'All-Servers'!$K1387)</f>
        <v>0</v>
      </c>
      <c r="K1377" s="45">
        <f>PRODUCT('All-Servers'!G1387,'All-Servers'!$K1387)</f>
        <v>0</v>
      </c>
    </row>
    <row r="1378" spans="8:11" x14ac:dyDescent="0.2">
      <c r="H1378" s="45">
        <f>PRODUCT('All-Servers'!D1388,'All-Servers'!$K1388)</f>
        <v>0</v>
      </c>
      <c r="I1378" s="45">
        <f>PRODUCT('All-Servers'!E1388,'All-Servers'!$K1388)</f>
        <v>0</v>
      </c>
      <c r="J1378" s="45">
        <f>PRODUCT('All-Servers'!F1388,'All-Servers'!$K1388)</f>
        <v>0</v>
      </c>
      <c r="K1378" s="45">
        <f>PRODUCT('All-Servers'!G1388,'All-Servers'!$K1388)</f>
        <v>0</v>
      </c>
    </row>
    <row r="1379" spans="8:11" x14ac:dyDescent="0.2">
      <c r="H1379" s="45">
        <f>PRODUCT('All-Servers'!D1389,'All-Servers'!$K1389)</f>
        <v>0</v>
      </c>
      <c r="I1379" s="45">
        <f>PRODUCT('All-Servers'!E1389,'All-Servers'!$K1389)</f>
        <v>0</v>
      </c>
      <c r="J1379" s="45">
        <f>PRODUCT('All-Servers'!F1389,'All-Servers'!$K1389)</f>
        <v>0</v>
      </c>
      <c r="K1379" s="45">
        <f>PRODUCT('All-Servers'!G1389,'All-Servers'!$K1389)</f>
        <v>0</v>
      </c>
    </row>
    <row r="1380" spans="8:11" x14ac:dyDescent="0.2">
      <c r="H1380" s="45">
        <f>PRODUCT('All-Servers'!D1390,'All-Servers'!$K1390)</f>
        <v>0</v>
      </c>
      <c r="I1380" s="45">
        <f>PRODUCT('All-Servers'!E1390,'All-Servers'!$K1390)</f>
        <v>0</v>
      </c>
      <c r="J1380" s="45">
        <f>PRODUCT('All-Servers'!F1390,'All-Servers'!$K1390)</f>
        <v>0</v>
      </c>
      <c r="K1380" s="45">
        <f>PRODUCT('All-Servers'!G1390,'All-Servers'!$K1390)</f>
        <v>0</v>
      </c>
    </row>
    <row r="1381" spans="8:11" x14ac:dyDescent="0.2">
      <c r="H1381" s="45">
        <f>PRODUCT('All-Servers'!D1391,'All-Servers'!$K1391)</f>
        <v>0</v>
      </c>
      <c r="I1381" s="45">
        <f>PRODUCT('All-Servers'!E1391,'All-Servers'!$K1391)</f>
        <v>0</v>
      </c>
      <c r="J1381" s="45">
        <f>PRODUCT('All-Servers'!F1391,'All-Servers'!$K1391)</f>
        <v>0</v>
      </c>
      <c r="K1381" s="45">
        <f>PRODUCT('All-Servers'!G1391,'All-Servers'!$K1391)</f>
        <v>0</v>
      </c>
    </row>
    <row r="1382" spans="8:11" x14ac:dyDescent="0.2">
      <c r="H1382" s="45">
        <f>PRODUCT('All-Servers'!D1392,'All-Servers'!$K1392)</f>
        <v>0</v>
      </c>
      <c r="I1382" s="45">
        <f>PRODUCT('All-Servers'!E1392,'All-Servers'!$K1392)</f>
        <v>0</v>
      </c>
      <c r="J1382" s="45">
        <f>PRODUCT('All-Servers'!F1392,'All-Servers'!$K1392)</f>
        <v>0</v>
      </c>
      <c r="K1382" s="45">
        <f>PRODUCT('All-Servers'!G1392,'All-Servers'!$K1392)</f>
        <v>0</v>
      </c>
    </row>
    <row r="1383" spans="8:11" x14ac:dyDescent="0.2">
      <c r="H1383" s="45">
        <f>PRODUCT('All-Servers'!D1393,'All-Servers'!$K1393)</f>
        <v>0</v>
      </c>
      <c r="I1383" s="45">
        <f>PRODUCT('All-Servers'!E1393,'All-Servers'!$K1393)</f>
        <v>0</v>
      </c>
      <c r="J1383" s="45">
        <f>PRODUCT('All-Servers'!F1393,'All-Servers'!$K1393)</f>
        <v>0</v>
      </c>
      <c r="K1383" s="45">
        <f>PRODUCT('All-Servers'!G1393,'All-Servers'!$K1393)</f>
        <v>0</v>
      </c>
    </row>
    <row r="1384" spans="8:11" x14ac:dyDescent="0.2">
      <c r="H1384" s="45">
        <f>PRODUCT('All-Servers'!D1394,'All-Servers'!$K1394)</f>
        <v>0</v>
      </c>
      <c r="I1384" s="45">
        <f>PRODUCT('All-Servers'!E1394,'All-Servers'!$K1394)</f>
        <v>0</v>
      </c>
      <c r="J1384" s="45">
        <f>PRODUCT('All-Servers'!F1394,'All-Servers'!$K1394)</f>
        <v>0</v>
      </c>
      <c r="K1384" s="45">
        <f>PRODUCT('All-Servers'!G1394,'All-Servers'!$K1394)</f>
        <v>0</v>
      </c>
    </row>
    <row r="1385" spans="8:11" x14ac:dyDescent="0.2">
      <c r="H1385" s="45">
        <f>PRODUCT('All-Servers'!D1395,'All-Servers'!$K1395)</f>
        <v>0</v>
      </c>
      <c r="I1385" s="45">
        <f>PRODUCT('All-Servers'!E1395,'All-Servers'!$K1395)</f>
        <v>0</v>
      </c>
      <c r="J1385" s="45">
        <f>PRODUCT('All-Servers'!F1395,'All-Servers'!$K1395)</f>
        <v>0</v>
      </c>
      <c r="K1385" s="45">
        <f>PRODUCT('All-Servers'!G1395,'All-Servers'!$K1395)</f>
        <v>0</v>
      </c>
    </row>
    <row r="1386" spans="8:11" x14ac:dyDescent="0.2">
      <c r="H1386" s="45">
        <f>PRODUCT('All-Servers'!D1396,'All-Servers'!$K1396)</f>
        <v>0</v>
      </c>
      <c r="I1386" s="45">
        <f>PRODUCT('All-Servers'!E1396,'All-Servers'!$K1396)</f>
        <v>0</v>
      </c>
      <c r="J1386" s="45">
        <f>PRODUCT('All-Servers'!F1396,'All-Servers'!$K1396)</f>
        <v>0</v>
      </c>
      <c r="K1386" s="45">
        <f>PRODUCT('All-Servers'!G1396,'All-Servers'!$K1396)</f>
        <v>0</v>
      </c>
    </row>
    <row r="1387" spans="8:11" x14ac:dyDescent="0.2">
      <c r="H1387" s="45">
        <f>PRODUCT('All-Servers'!D1397,'All-Servers'!$K1397)</f>
        <v>0</v>
      </c>
      <c r="I1387" s="45">
        <f>PRODUCT('All-Servers'!E1397,'All-Servers'!$K1397)</f>
        <v>0</v>
      </c>
      <c r="J1387" s="45">
        <f>PRODUCT('All-Servers'!F1397,'All-Servers'!$K1397)</f>
        <v>0</v>
      </c>
      <c r="K1387" s="45">
        <f>PRODUCT('All-Servers'!G1397,'All-Servers'!$K1397)</f>
        <v>0</v>
      </c>
    </row>
    <row r="1388" spans="8:11" x14ac:dyDescent="0.2">
      <c r="H1388" s="45">
        <f>PRODUCT('All-Servers'!D1398,'All-Servers'!$K1398)</f>
        <v>0</v>
      </c>
      <c r="I1388" s="45">
        <f>PRODUCT('All-Servers'!E1398,'All-Servers'!$K1398)</f>
        <v>0</v>
      </c>
      <c r="J1388" s="45">
        <f>PRODUCT('All-Servers'!F1398,'All-Servers'!$K1398)</f>
        <v>0</v>
      </c>
      <c r="K1388" s="45">
        <f>PRODUCT('All-Servers'!G1398,'All-Servers'!$K1398)</f>
        <v>0</v>
      </c>
    </row>
    <row r="1389" spans="8:11" x14ac:dyDescent="0.2">
      <c r="H1389" s="45">
        <f>PRODUCT('All-Servers'!D1399,'All-Servers'!$K1399)</f>
        <v>0</v>
      </c>
      <c r="I1389" s="45">
        <f>PRODUCT('All-Servers'!E1399,'All-Servers'!$K1399)</f>
        <v>0</v>
      </c>
      <c r="J1389" s="45">
        <f>PRODUCT('All-Servers'!F1399,'All-Servers'!$K1399)</f>
        <v>0</v>
      </c>
      <c r="K1389" s="45">
        <f>PRODUCT('All-Servers'!G1399,'All-Servers'!$K1399)</f>
        <v>0</v>
      </c>
    </row>
    <row r="1390" spans="8:11" x14ac:dyDescent="0.2">
      <c r="H1390" s="45">
        <f>PRODUCT('All-Servers'!D1400,'All-Servers'!$K1400)</f>
        <v>0</v>
      </c>
      <c r="I1390" s="45">
        <f>PRODUCT('All-Servers'!E1400,'All-Servers'!$K1400)</f>
        <v>0</v>
      </c>
      <c r="J1390" s="45">
        <f>PRODUCT('All-Servers'!F1400,'All-Servers'!$K1400)</f>
        <v>0</v>
      </c>
      <c r="K1390" s="45">
        <f>PRODUCT('All-Servers'!G1400,'All-Servers'!$K1400)</f>
        <v>0</v>
      </c>
    </row>
    <row r="1391" spans="8:11" x14ac:dyDescent="0.2">
      <c r="H1391" s="45">
        <f>PRODUCT('All-Servers'!D1401,'All-Servers'!$K1401)</f>
        <v>0</v>
      </c>
      <c r="I1391" s="45">
        <f>PRODUCT('All-Servers'!E1401,'All-Servers'!$K1401)</f>
        <v>0</v>
      </c>
      <c r="J1391" s="45">
        <f>PRODUCT('All-Servers'!F1401,'All-Servers'!$K1401)</f>
        <v>0</v>
      </c>
      <c r="K1391" s="45">
        <f>PRODUCT('All-Servers'!G1401,'All-Servers'!$K1401)</f>
        <v>0</v>
      </c>
    </row>
    <row r="1392" spans="8:11" x14ac:dyDescent="0.2">
      <c r="H1392" s="45">
        <f>PRODUCT('All-Servers'!D1402,'All-Servers'!$K1402)</f>
        <v>0</v>
      </c>
      <c r="I1392" s="45">
        <f>PRODUCT('All-Servers'!E1402,'All-Servers'!$K1402)</f>
        <v>0</v>
      </c>
      <c r="J1392" s="45">
        <f>PRODUCT('All-Servers'!F1402,'All-Servers'!$K1402)</f>
        <v>0</v>
      </c>
      <c r="K1392" s="45">
        <f>PRODUCT('All-Servers'!G1402,'All-Servers'!$K1402)</f>
        <v>0</v>
      </c>
    </row>
    <row r="1393" spans="8:11" x14ac:dyDescent="0.2">
      <c r="H1393" s="45">
        <f>PRODUCT('All-Servers'!D1403,'All-Servers'!$K1403)</f>
        <v>0</v>
      </c>
      <c r="I1393" s="45">
        <f>PRODUCT('All-Servers'!E1403,'All-Servers'!$K1403)</f>
        <v>0</v>
      </c>
      <c r="J1393" s="45">
        <f>PRODUCT('All-Servers'!F1403,'All-Servers'!$K1403)</f>
        <v>0</v>
      </c>
      <c r="K1393" s="45">
        <f>PRODUCT('All-Servers'!G1403,'All-Servers'!$K1403)</f>
        <v>0</v>
      </c>
    </row>
    <row r="1394" spans="8:11" x14ac:dyDescent="0.2">
      <c r="H1394" s="45">
        <f>PRODUCT('All-Servers'!D1404,'All-Servers'!$K1404)</f>
        <v>0</v>
      </c>
      <c r="I1394" s="45">
        <f>PRODUCT('All-Servers'!E1404,'All-Servers'!$K1404)</f>
        <v>0</v>
      </c>
      <c r="J1394" s="45">
        <f>PRODUCT('All-Servers'!F1404,'All-Servers'!$K1404)</f>
        <v>0</v>
      </c>
      <c r="K1394" s="45">
        <f>PRODUCT('All-Servers'!G1404,'All-Servers'!$K1404)</f>
        <v>0</v>
      </c>
    </row>
    <row r="1395" spans="8:11" x14ac:dyDescent="0.2">
      <c r="H1395" s="45">
        <f>PRODUCT('All-Servers'!D1405,'All-Servers'!$K1405)</f>
        <v>0</v>
      </c>
      <c r="I1395" s="45">
        <f>PRODUCT('All-Servers'!E1405,'All-Servers'!$K1405)</f>
        <v>0</v>
      </c>
      <c r="J1395" s="45">
        <f>PRODUCT('All-Servers'!F1405,'All-Servers'!$K1405)</f>
        <v>0</v>
      </c>
      <c r="K1395" s="45">
        <f>PRODUCT('All-Servers'!G1405,'All-Servers'!$K1405)</f>
        <v>0</v>
      </c>
    </row>
    <row r="1396" spans="8:11" x14ac:dyDescent="0.2">
      <c r="H1396" s="45">
        <f>PRODUCT('All-Servers'!D1406,'All-Servers'!$K1406)</f>
        <v>0</v>
      </c>
      <c r="I1396" s="45">
        <f>PRODUCT('All-Servers'!E1406,'All-Servers'!$K1406)</f>
        <v>0</v>
      </c>
      <c r="J1396" s="45">
        <f>PRODUCT('All-Servers'!F1406,'All-Servers'!$K1406)</f>
        <v>0</v>
      </c>
      <c r="K1396" s="45">
        <f>PRODUCT('All-Servers'!G1406,'All-Servers'!$K1406)</f>
        <v>0</v>
      </c>
    </row>
    <row r="1397" spans="8:11" x14ac:dyDescent="0.2">
      <c r="H1397" s="45">
        <f>PRODUCT('All-Servers'!D1407,'All-Servers'!$K1407)</f>
        <v>0</v>
      </c>
      <c r="I1397" s="45">
        <f>PRODUCT('All-Servers'!E1407,'All-Servers'!$K1407)</f>
        <v>0</v>
      </c>
      <c r="J1397" s="45">
        <f>PRODUCT('All-Servers'!F1407,'All-Servers'!$K1407)</f>
        <v>0</v>
      </c>
      <c r="K1397" s="45">
        <f>PRODUCT('All-Servers'!G1407,'All-Servers'!$K1407)</f>
        <v>0</v>
      </c>
    </row>
    <row r="1398" spans="8:11" x14ac:dyDescent="0.2">
      <c r="H1398" s="45">
        <f>PRODUCT('All-Servers'!D1408,'All-Servers'!$K1408)</f>
        <v>0</v>
      </c>
      <c r="I1398" s="45">
        <f>PRODUCT('All-Servers'!E1408,'All-Servers'!$K1408)</f>
        <v>0</v>
      </c>
      <c r="J1398" s="45">
        <f>PRODUCT('All-Servers'!F1408,'All-Servers'!$K1408)</f>
        <v>0</v>
      </c>
      <c r="K1398" s="45">
        <f>PRODUCT('All-Servers'!G1408,'All-Servers'!$K1408)</f>
        <v>0</v>
      </c>
    </row>
    <row r="1399" spans="8:11" x14ac:dyDescent="0.2">
      <c r="H1399" s="45">
        <f>PRODUCT('All-Servers'!D1409,'All-Servers'!$K1409)</f>
        <v>0</v>
      </c>
      <c r="I1399" s="45">
        <f>PRODUCT('All-Servers'!E1409,'All-Servers'!$K1409)</f>
        <v>0</v>
      </c>
      <c r="J1399" s="45">
        <f>PRODUCT('All-Servers'!F1409,'All-Servers'!$K1409)</f>
        <v>0</v>
      </c>
      <c r="K1399" s="45">
        <f>PRODUCT('All-Servers'!G1409,'All-Servers'!$K1409)</f>
        <v>0</v>
      </c>
    </row>
    <row r="1400" spans="8:11" x14ac:dyDescent="0.2">
      <c r="H1400" s="45">
        <f>PRODUCT('All-Servers'!D1410,'All-Servers'!$K1410)</f>
        <v>0</v>
      </c>
      <c r="I1400" s="45">
        <f>PRODUCT('All-Servers'!E1410,'All-Servers'!$K1410)</f>
        <v>0</v>
      </c>
      <c r="J1400" s="45">
        <f>PRODUCT('All-Servers'!F1410,'All-Servers'!$K1410)</f>
        <v>0</v>
      </c>
      <c r="K1400" s="45">
        <f>PRODUCT('All-Servers'!G1410,'All-Servers'!$K1410)</f>
        <v>0</v>
      </c>
    </row>
    <row r="1401" spans="8:11" x14ac:dyDescent="0.2">
      <c r="H1401" s="45">
        <f>PRODUCT('All-Servers'!D1411,'All-Servers'!$K1411)</f>
        <v>0</v>
      </c>
      <c r="I1401" s="45">
        <f>PRODUCT('All-Servers'!E1411,'All-Servers'!$K1411)</f>
        <v>0</v>
      </c>
      <c r="J1401" s="45">
        <f>PRODUCT('All-Servers'!F1411,'All-Servers'!$K1411)</f>
        <v>0</v>
      </c>
      <c r="K1401" s="45">
        <f>PRODUCT('All-Servers'!G1411,'All-Servers'!$K1411)</f>
        <v>0</v>
      </c>
    </row>
    <row r="1402" spans="8:11" x14ac:dyDescent="0.2">
      <c r="H1402" s="45">
        <f>PRODUCT('All-Servers'!D1412,'All-Servers'!$K1412)</f>
        <v>0</v>
      </c>
      <c r="I1402" s="45">
        <f>PRODUCT('All-Servers'!E1412,'All-Servers'!$K1412)</f>
        <v>0</v>
      </c>
      <c r="J1402" s="45">
        <f>PRODUCT('All-Servers'!F1412,'All-Servers'!$K1412)</f>
        <v>0</v>
      </c>
      <c r="K1402" s="45">
        <f>PRODUCT('All-Servers'!G1412,'All-Servers'!$K1412)</f>
        <v>0</v>
      </c>
    </row>
    <row r="1403" spans="8:11" x14ac:dyDescent="0.2">
      <c r="H1403" s="45">
        <f>PRODUCT('All-Servers'!D1413,'All-Servers'!$K1413)</f>
        <v>0</v>
      </c>
      <c r="I1403" s="45">
        <f>PRODUCT('All-Servers'!E1413,'All-Servers'!$K1413)</f>
        <v>0</v>
      </c>
      <c r="J1403" s="45">
        <f>PRODUCT('All-Servers'!F1413,'All-Servers'!$K1413)</f>
        <v>0</v>
      </c>
      <c r="K1403" s="45">
        <f>PRODUCT('All-Servers'!G1413,'All-Servers'!$K1413)</f>
        <v>0</v>
      </c>
    </row>
    <row r="1404" spans="8:11" x14ac:dyDescent="0.2">
      <c r="H1404" s="45">
        <f>PRODUCT('All-Servers'!D1414,'All-Servers'!$K1414)</f>
        <v>0</v>
      </c>
      <c r="I1404" s="45">
        <f>PRODUCT('All-Servers'!E1414,'All-Servers'!$K1414)</f>
        <v>0</v>
      </c>
      <c r="J1404" s="45">
        <f>PRODUCT('All-Servers'!F1414,'All-Servers'!$K1414)</f>
        <v>0</v>
      </c>
      <c r="K1404" s="45">
        <f>PRODUCT('All-Servers'!G1414,'All-Servers'!$K1414)</f>
        <v>0</v>
      </c>
    </row>
    <row r="1405" spans="8:11" x14ac:dyDescent="0.2">
      <c r="H1405" s="45">
        <f>PRODUCT('All-Servers'!D1415,'All-Servers'!$K1415)</f>
        <v>0</v>
      </c>
      <c r="I1405" s="45">
        <f>PRODUCT('All-Servers'!E1415,'All-Servers'!$K1415)</f>
        <v>0</v>
      </c>
      <c r="J1405" s="45">
        <f>PRODUCT('All-Servers'!F1415,'All-Servers'!$K1415)</f>
        <v>0</v>
      </c>
      <c r="K1405" s="45">
        <f>PRODUCT('All-Servers'!G1415,'All-Servers'!$K1415)</f>
        <v>0</v>
      </c>
    </row>
    <row r="1406" spans="8:11" x14ac:dyDescent="0.2">
      <c r="H1406" s="45">
        <f>PRODUCT('All-Servers'!D1416,'All-Servers'!$K1416)</f>
        <v>0</v>
      </c>
      <c r="I1406" s="45">
        <f>PRODUCT('All-Servers'!E1416,'All-Servers'!$K1416)</f>
        <v>0</v>
      </c>
      <c r="J1406" s="45">
        <f>PRODUCT('All-Servers'!F1416,'All-Servers'!$K1416)</f>
        <v>0</v>
      </c>
      <c r="K1406" s="45">
        <f>PRODUCT('All-Servers'!G1416,'All-Servers'!$K1416)</f>
        <v>0</v>
      </c>
    </row>
    <row r="1407" spans="8:11" x14ac:dyDescent="0.2">
      <c r="H1407" s="45">
        <f>PRODUCT('All-Servers'!D1417,'All-Servers'!$K1417)</f>
        <v>0</v>
      </c>
      <c r="I1407" s="45">
        <f>PRODUCT('All-Servers'!E1417,'All-Servers'!$K1417)</f>
        <v>0</v>
      </c>
      <c r="J1407" s="45">
        <f>PRODUCT('All-Servers'!F1417,'All-Servers'!$K1417)</f>
        <v>0</v>
      </c>
      <c r="K1407" s="45">
        <f>PRODUCT('All-Servers'!G1417,'All-Servers'!$K1417)</f>
        <v>0</v>
      </c>
    </row>
    <row r="1408" spans="8:11" x14ac:dyDescent="0.2">
      <c r="H1408" s="45">
        <f>PRODUCT('All-Servers'!D1418,'All-Servers'!$K1418)</f>
        <v>0</v>
      </c>
      <c r="I1408" s="45">
        <f>PRODUCT('All-Servers'!E1418,'All-Servers'!$K1418)</f>
        <v>0</v>
      </c>
      <c r="J1408" s="45">
        <f>PRODUCT('All-Servers'!F1418,'All-Servers'!$K1418)</f>
        <v>0</v>
      </c>
      <c r="K1408" s="45">
        <f>PRODUCT('All-Servers'!G1418,'All-Servers'!$K1418)</f>
        <v>0</v>
      </c>
    </row>
    <row r="1409" spans="8:11" x14ac:dyDescent="0.2">
      <c r="H1409" s="45">
        <f>PRODUCT('All-Servers'!D1419,'All-Servers'!$K1419)</f>
        <v>0</v>
      </c>
      <c r="I1409" s="45">
        <f>PRODUCT('All-Servers'!E1419,'All-Servers'!$K1419)</f>
        <v>0</v>
      </c>
      <c r="J1409" s="45">
        <f>PRODUCT('All-Servers'!F1419,'All-Servers'!$K1419)</f>
        <v>0</v>
      </c>
      <c r="K1409" s="45">
        <f>PRODUCT('All-Servers'!G1419,'All-Servers'!$K1419)</f>
        <v>0</v>
      </c>
    </row>
    <row r="1410" spans="8:11" x14ac:dyDescent="0.2">
      <c r="H1410" s="45">
        <f>PRODUCT('All-Servers'!D1420,'All-Servers'!$K1420)</f>
        <v>0</v>
      </c>
      <c r="I1410" s="45">
        <f>PRODUCT('All-Servers'!E1420,'All-Servers'!$K1420)</f>
        <v>0</v>
      </c>
      <c r="J1410" s="45">
        <f>PRODUCT('All-Servers'!F1420,'All-Servers'!$K1420)</f>
        <v>0</v>
      </c>
      <c r="K1410" s="45">
        <f>PRODUCT('All-Servers'!G1420,'All-Servers'!$K1420)</f>
        <v>0</v>
      </c>
    </row>
    <row r="1411" spans="8:11" x14ac:dyDescent="0.2">
      <c r="H1411" s="45">
        <f>PRODUCT('All-Servers'!D1421,'All-Servers'!$K1421)</f>
        <v>0</v>
      </c>
      <c r="I1411" s="45">
        <f>PRODUCT('All-Servers'!E1421,'All-Servers'!$K1421)</f>
        <v>0</v>
      </c>
      <c r="J1411" s="45">
        <f>PRODUCT('All-Servers'!F1421,'All-Servers'!$K1421)</f>
        <v>0</v>
      </c>
      <c r="K1411" s="45">
        <f>PRODUCT('All-Servers'!G1421,'All-Servers'!$K1421)</f>
        <v>0</v>
      </c>
    </row>
    <row r="1412" spans="8:11" x14ac:dyDescent="0.2">
      <c r="H1412" s="45">
        <f>PRODUCT('All-Servers'!D1422,'All-Servers'!$K1422)</f>
        <v>0</v>
      </c>
      <c r="I1412" s="45">
        <f>PRODUCT('All-Servers'!E1422,'All-Servers'!$K1422)</f>
        <v>0</v>
      </c>
      <c r="J1412" s="45">
        <f>PRODUCT('All-Servers'!F1422,'All-Servers'!$K1422)</f>
        <v>0</v>
      </c>
      <c r="K1412" s="45">
        <f>PRODUCT('All-Servers'!G1422,'All-Servers'!$K1422)</f>
        <v>0</v>
      </c>
    </row>
    <row r="1413" spans="8:11" x14ac:dyDescent="0.2">
      <c r="H1413" s="45">
        <f>PRODUCT('All-Servers'!D1423,'All-Servers'!$K1423)</f>
        <v>0</v>
      </c>
      <c r="I1413" s="45">
        <f>PRODUCT('All-Servers'!E1423,'All-Servers'!$K1423)</f>
        <v>0</v>
      </c>
      <c r="J1413" s="45">
        <f>PRODUCT('All-Servers'!F1423,'All-Servers'!$K1423)</f>
        <v>0</v>
      </c>
      <c r="K1413" s="45">
        <f>PRODUCT('All-Servers'!G1423,'All-Servers'!$K1423)</f>
        <v>0</v>
      </c>
    </row>
    <row r="1414" spans="8:11" x14ac:dyDescent="0.2">
      <c r="H1414" s="45">
        <f>PRODUCT('All-Servers'!D1424,'All-Servers'!$K1424)</f>
        <v>0</v>
      </c>
      <c r="I1414" s="45">
        <f>PRODUCT('All-Servers'!E1424,'All-Servers'!$K1424)</f>
        <v>0</v>
      </c>
      <c r="J1414" s="45">
        <f>PRODUCT('All-Servers'!F1424,'All-Servers'!$K1424)</f>
        <v>0</v>
      </c>
      <c r="K1414" s="45">
        <f>PRODUCT('All-Servers'!G1424,'All-Servers'!$K1424)</f>
        <v>0</v>
      </c>
    </row>
    <row r="1415" spans="8:11" x14ac:dyDescent="0.2">
      <c r="H1415" s="45">
        <f>PRODUCT('All-Servers'!D1425,'All-Servers'!$K1425)</f>
        <v>0</v>
      </c>
      <c r="I1415" s="45">
        <f>PRODUCT('All-Servers'!E1425,'All-Servers'!$K1425)</f>
        <v>0</v>
      </c>
      <c r="J1415" s="45">
        <f>PRODUCT('All-Servers'!F1425,'All-Servers'!$K1425)</f>
        <v>0</v>
      </c>
      <c r="K1415" s="45">
        <f>PRODUCT('All-Servers'!G1425,'All-Servers'!$K1425)</f>
        <v>0</v>
      </c>
    </row>
    <row r="1416" spans="8:11" x14ac:dyDescent="0.2">
      <c r="H1416" s="45">
        <f>PRODUCT('All-Servers'!D1426,'All-Servers'!$K1426)</f>
        <v>0</v>
      </c>
      <c r="I1416" s="45">
        <f>PRODUCT('All-Servers'!E1426,'All-Servers'!$K1426)</f>
        <v>0</v>
      </c>
      <c r="J1416" s="45">
        <f>PRODUCT('All-Servers'!F1426,'All-Servers'!$K1426)</f>
        <v>0</v>
      </c>
      <c r="K1416" s="45">
        <f>PRODUCT('All-Servers'!G1426,'All-Servers'!$K1426)</f>
        <v>0</v>
      </c>
    </row>
    <row r="1417" spans="8:11" x14ac:dyDescent="0.2">
      <c r="H1417" s="45">
        <f>PRODUCT('All-Servers'!D1427,'All-Servers'!$K1427)</f>
        <v>0</v>
      </c>
      <c r="I1417" s="45">
        <f>PRODUCT('All-Servers'!E1427,'All-Servers'!$K1427)</f>
        <v>0</v>
      </c>
      <c r="J1417" s="45">
        <f>PRODUCT('All-Servers'!F1427,'All-Servers'!$K1427)</f>
        <v>0</v>
      </c>
      <c r="K1417" s="45">
        <f>PRODUCT('All-Servers'!G1427,'All-Servers'!$K1427)</f>
        <v>0</v>
      </c>
    </row>
    <row r="1418" spans="8:11" x14ac:dyDescent="0.2">
      <c r="H1418" s="45">
        <f>PRODUCT('All-Servers'!D1428,'All-Servers'!$K1428)</f>
        <v>0</v>
      </c>
      <c r="I1418" s="45">
        <f>PRODUCT('All-Servers'!E1428,'All-Servers'!$K1428)</f>
        <v>0</v>
      </c>
      <c r="J1418" s="45">
        <f>PRODUCT('All-Servers'!F1428,'All-Servers'!$K1428)</f>
        <v>0</v>
      </c>
      <c r="K1418" s="45">
        <f>PRODUCT('All-Servers'!G1428,'All-Servers'!$K1428)</f>
        <v>0</v>
      </c>
    </row>
    <row r="1419" spans="8:11" x14ac:dyDescent="0.2">
      <c r="H1419" s="45">
        <f>PRODUCT('All-Servers'!D1429,'All-Servers'!$K1429)</f>
        <v>0</v>
      </c>
      <c r="I1419" s="45">
        <f>PRODUCT('All-Servers'!E1429,'All-Servers'!$K1429)</f>
        <v>0</v>
      </c>
      <c r="J1419" s="45">
        <f>PRODUCT('All-Servers'!F1429,'All-Servers'!$K1429)</f>
        <v>0</v>
      </c>
      <c r="K1419" s="45">
        <f>PRODUCT('All-Servers'!G1429,'All-Servers'!$K1429)</f>
        <v>0</v>
      </c>
    </row>
    <row r="1420" spans="8:11" x14ac:dyDescent="0.2">
      <c r="H1420" s="45">
        <f>PRODUCT('All-Servers'!D1430,'All-Servers'!$K1430)</f>
        <v>0</v>
      </c>
      <c r="I1420" s="45">
        <f>PRODUCT('All-Servers'!E1430,'All-Servers'!$K1430)</f>
        <v>0</v>
      </c>
      <c r="J1420" s="45">
        <f>PRODUCT('All-Servers'!F1430,'All-Servers'!$K1430)</f>
        <v>0</v>
      </c>
      <c r="K1420" s="45">
        <f>PRODUCT('All-Servers'!G1430,'All-Servers'!$K1430)</f>
        <v>0</v>
      </c>
    </row>
    <row r="1421" spans="8:11" x14ac:dyDescent="0.2">
      <c r="H1421" s="45">
        <f>PRODUCT('All-Servers'!D1431,'All-Servers'!$K1431)</f>
        <v>0</v>
      </c>
      <c r="I1421" s="45">
        <f>PRODUCT('All-Servers'!E1431,'All-Servers'!$K1431)</f>
        <v>0</v>
      </c>
      <c r="J1421" s="45">
        <f>PRODUCT('All-Servers'!F1431,'All-Servers'!$K1431)</f>
        <v>0</v>
      </c>
      <c r="K1421" s="45">
        <f>PRODUCT('All-Servers'!G1431,'All-Servers'!$K1431)</f>
        <v>0</v>
      </c>
    </row>
    <row r="1422" spans="8:11" x14ac:dyDescent="0.2">
      <c r="H1422" s="45">
        <f>PRODUCT('All-Servers'!D1432,'All-Servers'!$K1432)</f>
        <v>0</v>
      </c>
      <c r="I1422" s="45">
        <f>PRODUCT('All-Servers'!E1432,'All-Servers'!$K1432)</f>
        <v>0</v>
      </c>
      <c r="J1422" s="45">
        <f>PRODUCT('All-Servers'!F1432,'All-Servers'!$K1432)</f>
        <v>0</v>
      </c>
      <c r="K1422" s="45">
        <f>PRODUCT('All-Servers'!G1432,'All-Servers'!$K1432)</f>
        <v>0</v>
      </c>
    </row>
    <row r="1423" spans="8:11" x14ac:dyDescent="0.2">
      <c r="H1423" s="45">
        <f>PRODUCT('All-Servers'!D1433,'All-Servers'!$K1433)</f>
        <v>0</v>
      </c>
      <c r="I1423" s="45">
        <f>PRODUCT('All-Servers'!E1433,'All-Servers'!$K1433)</f>
        <v>0</v>
      </c>
      <c r="J1423" s="45">
        <f>PRODUCT('All-Servers'!F1433,'All-Servers'!$K1433)</f>
        <v>0</v>
      </c>
      <c r="K1423" s="45">
        <f>PRODUCT('All-Servers'!G1433,'All-Servers'!$K1433)</f>
        <v>0</v>
      </c>
    </row>
    <row r="1424" spans="8:11" x14ac:dyDescent="0.2">
      <c r="H1424" s="45">
        <f>PRODUCT('All-Servers'!D1434,'All-Servers'!$K1434)</f>
        <v>0</v>
      </c>
      <c r="I1424" s="45">
        <f>PRODUCT('All-Servers'!E1434,'All-Servers'!$K1434)</f>
        <v>0</v>
      </c>
      <c r="J1424" s="45">
        <f>PRODUCT('All-Servers'!F1434,'All-Servers'!$K1434)</f>
        <v>0</v>
      </c>
      <c r="K1424" s="45">
        <f>PRODUCT('All-Servers'!G1434,'All-Servers'!$K1434)</f>
        <v>0</v>
      </c>
    </row>
    <row r="1425" spans="8:11" x14ac:dyDescent="0.2">
      <c r="H1425" s="45">
        <f>PRODUCT('All-Servers'!D1435,'All-Servers'!$K1435)</f>
        <v>0</v>
      </c>
      <c r="I1425" s="45">
        <f>PRODUCT('All-Servers'!E1435,'All-Servers'!$K1435)</f>
        <v>0</v>
      </c>
      <c r="J1425" s="45">
        <f>PRODUCT('All-Servers'!F1435,'All-Servers'!$K1435)</f>
        <v>0</v>
      </c>
      <c r="K1425" s="45">
        <f>PRODUCT('All-Servers'!G1435,'All-Servers'!$K1435)</f>
        <v>0</v>
      </c>
    </row>
    <row r="1426" spans="8:11" x14ac:dyDescent="0.2">
      <c r="H1426" s="45">
        <f>PRODUCT('All-Servers'!D1436,'All-Servers'!$K1436)</f>
        <v>0</v>
      </c>
      <c r="I1426" s="45">
        <f>PRODUCT('All-Servers'!E1436,'All-Servers'!$K1436)</f>
        <v>0</v>
      </c>
      <c r="J1426" s="45">
        <f>PRODUCT('All-Servers'!F1436,'All-Servers'!$K1436)</f>
        <v>0</v>
      </c>
      <c r="K1426" s="45">
        <f>PRODUCT('All-Servers'!G1436,'All-Servers'!$K1436)</f>
        <v>0</v>
      </c>
    </row>
    <row r="1427" spans="8:11" x14ac:dyDescent="0.2">
      <c r="H1427" s="45">
        <f>PRODUCT('All-Servers'!D1437,'All-Servers'!$K1437)</f>
        <v>0</v>
      </c>
      <c r="I1427" s="45">
        <f>PRODUCT('All-Servers'!E1437,'All-Servers'!$K1437)</f>
        <v>0</v>
      </c>
      <c r="J1427" s="45">
        <f>PRODUCT('All-Servers'!F1437,'All-Servers'!$K1437)</f>
        <v>0</v>
      </c>
      <c r="K1427" s="45">
        <f>PRODUCT('All-Servers'!G1437,'All-Servers'!$K1437)</f>
        <v>0</v>
      </c>
    </row>
    <row r="1428" spans="8:11" x14ac:dyDescent="0.2">
      <c r="H1428" s="45">
        <f>PRODUCT('All-Servers'!D1438,'All-Servers'!$K1438)</f>
        <v>0</v>
      </c>
      <c r="I1428" s="45">
        <f>PRODUCT('All-Servers'!E1438,'All-Servers'!$K1438)</f>
        <v>0</v>
      </c>
      <c r="J1428" s="45">
        <f>PRODUCT('All-Servers'!F1438,'All-Servers'!$K1438)</f>
        <v>0</v>
      </c>
      <c r="K1428" s="45">
        <f>PRODUCT('All-Servers'!G1438,'All-Servers'!$K1438)</f>
        <v>0</v>
      </c>
    </row>
    <row r="1429" spans="8:11" x14ac:dyDescent="0.2">
      <c r="H1429" s="45">
        <f>PRODUCT('All-Servers'!D1439,'All-Servers'!$K1439)</f>
        <v>0</v>
      </c>
      <c r="I1429" s="45">
        <f>PRODUCT('All-Servers'!E1439,'All-Servers'!$K1439)</f>
        <v>0</v>
      </c>
      <c r="J1429" s="45">
        <f>PRODUCT('All-Servers'!F1439,'All-Servers'!$K1439)</f>
        <v>0</v>
      </c>
      <c r="K1429" s="45">
        <f>PRODUCT('All-Servers'!G1439,'All-Servers'!$K1439)</f>
        <v>0</v>
      </c>
    </row>
    <row r="1430" spans="8:11" x14ac:dyDescent="0.2">
      <c r="H1430" s="45">
        <f>PRODUCT('All-Servers'!D1440,'All-Servers'!$K1440)</f>
        <v>0</v>
      </c>
      <c r="I1430" s="45">
        <f>PRODUCT('All-Servers'!E1440,'All-Servers'!$K1440)</f>
        <v>0</v>
      </c>
      <c r="J1430" s="45">
        <f>PRODUCT('All-Servers'!F1440,'All-Servers'!$K1440)</f>
        <v>0</v>
      </c>
      <c r="K1430" s="45">
        <f>PRODUCT('All-Servers'!G1440,'All-Servers'!$K1440)</f>
        <v>0</v>
      </c>
    </row>
    <row r="1431" spans="8:11" x14ac:dyDescent="0.2">
      <c r="H1431" s="45">
        <f>PRODUCT('All-Servers'!D1441,'All-Servers'!$K1441)</f>
        <v>0</v>
      </c>
      <c r="I1431" s="45">
        <f>PRODUCT('All-Servers'!E1441,'All-Servers'!$K1441)</f>
        <v>0</v>
      </c>
      <c r="J1431" s="45">
        <f>PRODUCT('All-Servers'!F1441,'All-Servers'!$K1441)</f>
        <v>0</v>
      </c>
      <c r="K1431" s="45">
        <f>PRODUCT('All-Servers'!G1441,'All-Servers'!$K1441)</f>
        <v>0</v>
      </c>
    </row>
    <row r="1432" spans="8:11" x14ac:dyDescent="0.2">
      <c r="H1432" s="45">
        <f>PRODUCT('All-Servers'!D1442,'All-Servers'!$K1442)</f>
        <v>0</v>
      </c>
      <c r="I1432" s="45">
        <f>PRODUCT('All-Servers'!E1442,'All-Servers'!$K1442)</f>
        <v>0</v>
      </c>
      <c r="J1432" s="45">
        <f>PRODUCT('All-Servers'!F1442,'All-Servers'!$K1442)</f>
        <v>0</v>
      </c>
      <c r="K1432" s="45">
        <f>PRODUCT('All-Servers'!G1442,'All-Servers'!$K1442)</f>
        <v>0</v>
      </c>
    </row>
    <row r="1433" spans="8:11" x14ac:dyDescent="0.2">
      <c r="H1433" s="45">
        <f>PRODUCT('All-Servers'!D1443,'All-Servers'!$K1443)</f>
        <v>0</v>
      </c>
      <c r="I1433" s="45">
        <f>PRODUCT('All-Servers'!E1443,'All-Servers'!$K1443)</f>
        <v>0</v>
      </c>
      <c r="J1433" s="45">
        <f>PRODUCT('All-Servers'!F1443,'All-Servers'!$K1443)</f>
        <v>0</v>
      </c>
      <c r="K1433" s="45">
        <f>PRODUCT('All-Servers'!G1443,'All-Servers'!$K1443)</f>
        <v>0</v>
      </c>
    </row>
    <row r="1434" spans="8:11" x14ac:dyDescent="0.2">
      <c r="H1434" s="45">
        <f>PRODUCT('All-Servers'!D1444,'All-Servers'!$K1444)</f>
        <v>0</v>
      </c>
      <c r="I1434" s="45">
        <f>PRODUCT('All-Servers'!E1444,'All-Servers'!$K1444)</f>
        <v>0</v>
      </c>
      <c r="J1434" s="45">
        <f>PRODUCT('All-Servers'!F1444,'All-Servers'!$K1444)</f>
        <v>0</v>
      </c>
      <c r="K1434" s="45">
        <f>PRODUCT('All-Servers'!G1444,'All-Servers'!$K1444)</f>
        <v>0</v>
      </c>
    </row>
    <row r="1435" spans="8:11" x14ac:dyDescent="0.2">
      <c r="H1435" s="45">
        <f>PRODUCT('All-Servers'!D1445,'All-Servers'!$K1445)</f>
        <v>0</v>
      </c>
      <c r="I1435" s="45">
        <f>PRODUCT('All-Servers'!E1445,'All-Servers'!$K1445)</f>
        <v>0</v>
      </c>
      <c r="J1435" s="45">
        <f>PRODUCT('All-Servers'!F1445,'All-Servers'!$K1445)</f>
        <v>0</v>
      </c>
      <c r="K1435" s="45">
        <f>PRODUCT('All-Servers'!G1445,'All-Servers'!$K1445)</f>
        <v>0</v>
      </c>
    </row>
    <row r="1436" spans="8:11" x14ac:dyDescent="0.2">
      <c r="H1436" s="45">
        <f>PRODUCT('All-Servers'!D1446,'All-Servers'!$K1446)</f>
        <v>0</v>
      </c>
      <c r="I1436" s="45">
        <f>PRODUCT('All-Servers'!E1446,'All-Servers'!$K1446)</f>
        <v>0</v>
      </c>
      <c r="J1436" s="45">
        <f>PRODUCT('All-Servers'!F1446,'All-Servers'!$K1446)</f>
        <v>0</v>
      </c>
      <c r="K1436" s="45">
        <f>PRODUCT('All-Servers'!G1446,'All-Servers'!$K1446)</f>
        <v>0</v>
      </c>
    </row>
    <row r="1437" spans="8:11" x14ac:dyDescent="0.2">
      <c r="H1437" s="45">
        <f>PRODUCT('All-Servers'!D1447,'All-Servers'!$K1447)</f>
        <v>0</v>
      </c>
      <c r="I1437" s="45">
        <f>PRODUCT('All-Servers'!E1447,'All-Servers'!$K1447)</f>
        <v>0</v>
      </c>
      <c r="J1437" s="45">
        <f>PRODUCT('All-Servers'!F1447,'All-Servers'!$K1447)</f>
        <v>0</v>
      </c>
      <c r="K1437" s="45">
        <f>PRODUCT('All-Servers'!G1447,'All-Servers'!$K1447)</f>
        <v>0</v>
      </c>
    </row>
    <row r="1438" spans="8:11" x14ac:dyDescent="0.2">
      <c r="H1438" s="45">
        <f>PRODUCT('All-Servers'!D1448,'All-Servers'!$K1448)</f>
        <v>0</v>
      </c>
      <c r="I1438" s="45">
        <f>PRODUCT('All-Servers'!E1448,'All-Servers'!$K1448)</f>
        <v>0</v>
      </c>
      <c r="J1438" s="45">
        <f>PRODUCT('All-Servers'!F1448,'All-Servers'!$K1448)</f>
        <v>0</v>
      </c>
      <c r="K1438" s="45">
        <f>PRODUCT('All-Servers'!G1448,'All-Servers'!$K1448)</f>
        <v>0</v>
      </c>
    </row>
    <row r="1439" spans="8:11" x14ac:dyDescent="0.2">
      <c r="H1439" s="45">
        <f>PRODUCT('All-Servers'!D1449,'All-Servers'!$K1449)</f>
        <v>0</v>
      </c>
      <c r="I1439" s="45">
        <f>PRODUCT('All-Servers'!E1449,'All-Servers'!$K1449)</f>
        <v>0</v>
      </c>
      <c r="J1439" s="45">
        <f>PRODUCT('All-Servers'!F1449,'All-Servers'!$K1449)</f>
        <v>0</v>
      </c>
      <c r="K1439" s="45">
        <f>PRODUCT('All-Servers'!G1449,'All-Servers'!$K1449)</f>
        <v>0</v>
      </c>
    </row>
    <row r="1440" spans="8:11" x14ac:dyDescent="0.2">
      <c r="H1440" s="45">
        <f>PRODUCT('All-Servers'!D1450,'All-Servers'!$K1450)</f>
        <v>0</v>
      </c>
      <c r="I1440" s="45">
        <f>PRODUCT('All-Servers'!E1450,'All-Servers'!$K1450)</f>
        <v>0</v>
      </c>
      <c r="J1440" s="45">
        <f>PRODUCT('All-Servers'!F1450,'All-Servers'!$K1450)</f>
        <v>0</v>
      </c>
      <c r="K1440" s="45">
        <f>PRODUCT('All-Servers'!G1450,'All-Servers'!$K1450)</f>
        <v>0</v>
      </c>
    </row>
    <row r="1441" spans="8:11" x14ac:dyDescent="0.2">
      <c r="H1441" s="45">
        <f>PRODUCT('All-Servers'!D1451,'All-Servers'!$K1451)</f>
        <v>0</v>
      </c>
      <c r="I1441" s="45">
        <f>PRODUCT('All-Servers'!E1451,'All-Servers'!$K1451)</f>
        <v>0</v>
      </c>
      <c r="J1441" s="45">
        <f>PRODUCT('All-Servers'!F1451,'All-Servers'!$K1451)</f>
        <v>0</v>
      </c>
      <c r="K1441" s="45">
        <f>PRODUCT('All-Servers'!G1451,'All-Servers'!$K1451)</f>
        <v>0</v>
      </c>
    </row>
    <row r="1442" spans="8:11" x14ac:dyDescent="0.2">
      <c r="H1442" s="45">
        <f>PRODUCT('All-Servers'!D1452,'All-Servers'!$K1452)</f>
        <v>0</v>
      </c>
      <c r="I1442" s="45">
        <f>PRODUCT('All-Servers'!E1452,'All-Servers'!$K1452)</f>
        <v>0</v>
      </c>
      <c r="J1442" s="45">
        <f>PRODUCT('All-Servers'!F1452,'All-Servers'!$K1452)</f>
        <v>0</v>
      </c>
      <c r="K1442" s="45">
        <f>PRODUCT('All-Servers'!G1452,'All-Servers'!$K1452)</f>
        <v>0</v>
      </c>
    </row>
    <row r="1443" spans="8:11" x14ac:dyDescent="0.2">
      <c r="H1443" s="45">
        <f>PRODUCT('All-Servers'!D1453,'All-Servers'!$K1453)</f>
        <v>0</v>
      </c>
      <c r="I1443" s="45">
        <f>PRODUCT('All-Servers'!E1453,'All-Servers'!$K1453)</f>
        <v>0</v>
      </c>
      <c r="J1443" s="45">
        <f>PRODUCT('All-Servers'!F1453,'All-Servers'!$K1453)</f>
        <v>0</v>
      </c>
      <c r="K1443" s="45">
        <f>PRODUCT('All-Servers'!G1453,'All-Servers'!$K1453)</f>
        <v>0</v>
      </c>
    </row>
    <row r="1444" spans="8:11" x14ac:dyDescent="0.2">
      <c r="H1444" s="45">
        <f>PRODUCT('All-Servers'!D1454,'All-Servers'!$K1454)</f>
        <v>0</v>
      </c>
      <c r="I1444" s="45">
        <f>PRODUCT('All-Servers'!E1454,'All-Servers'!$K1454)</f>
        <v>0</v>
      </c>
      <c r="J1444" s="45">
        <f>PRODUCT('All-Servers'!F1454,'All-Servers'!$K1454)</f>
        <v>0</v>
      </c>
      <c r="K1444" s="45">
        <f>PRODUCT('All-Servers'!G1454,'All-Servers'!$K1454)</f>
        <v>0</v>
      </c>
    </row>
    <row r="1445" spans="8:11" x14ac:dyDescent="0.2">
      <c r="H1445" s="45">
        <f>PRODUCT('All-Servers'!D1455,'All-Servers'!$K1455)</f>
        <v>0</v>
      </c>
      <c r="I1445" s="45">
        <f>PRODUCT('All-Servers'!E1455,'All-Servers'!$K1455)</f>
        <v>0</v>
      </c>
      <c r="J1445" s="45">
        <f>PRODUCT('All-Servers'!F1455,'All-Servers'!$K1455)</f>
        <v>0</v>
      </c>
      <c r="K1445" s="45">
        <f>PRODUCT('All-Servers'!G1455,'All-Servers'!$K1455)</f>
        <v>0</v>
      </c>
    </row>
    <row r="1446" spans="8:11" x14ac:dyDescent="0.2">
      <c r="H1446" s="45">
        <f>PRODUCT('All-Servers'!D1456,'All-Servers'!$K1456)</f>
        <v>0</v>
      </c>
      <c r="I1446" s="45">
        <f>PRODUCT('All-Servers'!E1456,'All-Servers'!$K1456)</f>
        <v>0</v>
      </c>
      <c r="J1446" s="45">
        <f>PRODUCT('All-Servers'!F1456,'All-Servers'!$K1456)</f>
        <v>0</v>
      </c>
      <c r="K1446" s="45">
        <f>PRODUCT('All-Servers'!G1456,'All-Servers'!$K1456)</f>
        <v>0</v>
      </c>
    </row>
    <row r="1447" spans="8:11" x14ac:dyDescent="0.2">
      <c r="H1447" s="45">
        <f>PRODUCT('All-Servers'!D1457,'All-Servers'!$K1457)</f>
        <v>0</v>
      </c>
      <c r="I1447" s="45">
        <f>PRODUCT('All-Servers'!E1457,'All-Servers'!$K1457)</f>
        <v>0</v>
      </c>
      <c r="J1447" s="45">
        <f>PRODUCT('All-Servers'!F1457,'All-Servers'!$K1457)</f>
        <v>0</v>
      </c>
      <c r="K1447" s="45">
        <f>PRODUCT('All-Servers'!G1457,'All-Servers'!$K1457)</f>
        <v>0</v>
      </c>
    </row>
    <row r="1448" spans="8:11" x14ac:dyDescent="0.2">
      <c r="H1448" s="45">
        <f>PRODUCT('All-Servers'!D1458,'All-Servers'!$K1458)</f>
        <v>0</v>
      </c>
      <c r="I1448" s="45">
        <f>PRODUCT('All-Servers'!E1458,'All-Servers'!$K1458)</f>
        <v>0</v>
      </c>
      <c r="J1448" s="45">
        <f>PRODUCT('All-Servers'!F1458,'All-Servers'!$K1458)</f>
        <v>0</v>
      </c>
      <c r="K1448" s="45">
        <f>PRODUCT('All-Servers'!G1458,'All-Servers'!$K1458)</f>
        <v>0</v>
      </c>
    </row>
    <row r="1449" spans="8:11" x14ac:dyDescent="0.2">
      <c r="H1449" s="45">
        <f>PRODUCT('All-Servers'!D1459,'All-Servers'!$K1459)</f>
        <v>0</v>
      </c>
      <c r="I1449" s="45">
        <f>PRODUCT('All-Servers'!E1459,'All-Servers'!$K1459)</f>
        <v>0</v>
      </c>
      <c r="J1449" s="45">
        <f>PRODUCT('All-Servers'!F1459,'All-Servers'!$K1459)</f>
        <v>0</v>
      </c>
      <c r="K1449" s="45">
        <f>PRODUCT('All-Servers'!G1459,'All-Servers'!$K1459)</f>
        <v>0</v>
      </c>
    </row>
    <row r="1450" spans="8:11" x14ac:dyDescent="0.2">
      <c r="H1450" s="45">
        <f>PRODUCT('All-Servers'!D1460,'All-Servers'!$K1460)</f>
        <v>0</v>
      </c>
      <c r="I1450" s="45">
        <f>PRODUCT('All-Servers'!E1460,'All-Servers'!$K1460)</f>
        <v>0</v>
      </c>
      <c r="J1450" s="45">
        <f>PRODUCT('All-Servers'!F1460,'All-Servers'!$K1460)</f>
        <v>0</v>
      </c>
      <c r="K1450" s="45">
        <f>PRODUCT('All-Servers'!G1460,'All-Servers'!$K1460)</f>
        <v>0</v>
      </c>
    </row>
    <row r="1451" spans="8:11" x14ac:dyDescent="0.2">
      <c r="H1451" s="45">
        <f>PRODUCT('All-Servers'!D1461,'All-Servers'!$K1461)</f>
        <v>0</v>
      </c>
      <c r="I1451" s="45">
        <f>PRODUCT('All-Servers'!E1461,'All-Servers'!$K1461)</f>
        <v>0</v>
      </c>
      <c r="J1451" s="45">
        <f>PRODUCT('All-Servers'!F1461,'All-Servers'!$K1461)</f>
        <v>0</v>
      </c>
      <c r="K1451" s="45">
        <f>PRODUCT('All-Servers'!G1461,'All-Servers'!$K1461)</f>
        <v>0</v>
      </c>
    </row>
    <row r="1452" spans="8:11" x14ac:dyDescent="0.2">
      <c r="H1452" s="45">
        <f>PRODUCT('All-Servers'!D1462,'All-Servers'!$K1462)</f>
        <v>0</v>
      </c>
      <c r="I1452" s="45">
        <f>PRODUCT('All-Servers'!E1462,'All-Servers'!$K1462)</f>
        <v>0</v>
      </c>
      <c r="J1452" s="45">
        <f>PRODUCT('All-Servers'!F1462,'All-Servers'!$K1462)</f>
        <v>0</v>
      </c>
      <c r="K1452" s="45">
        <f>PRODUCT('All-Servers'!G1462,'All-Servers'!$K1462)</f>
        <v>0</v>
      </c>
    </row>
    <row r="1453" spans="8:11" x14ac:dyDescent="0.2">
      <c r="H1453" s="45">
        <f>PRODUCT('All-Servers'!D1463,'All-Servers'!$K1463)</f>
        <v>0</v>
      </c>
      <c r="I1453" s="45">
        <f>PRODUCT('All-Servers'!E1463,'All-Servers'!$K1463)</f>
        <v>0</v>
      </c>
      <c r="J1453" s="45">
        <f>PRODUCT('All-Servers'!F1463,'All-Servers'!$K1463)</f>
        <v>0</v>
      </c>
      <c r="K1453" s="45">
        <f>PRODUCT('All-Servers'!G1463,'All-Servers'!$K1463)</f>
        <v>0</v>
      </c>
    </row>
    <row r="1454" spans="8:11" x14ac:dyDescent="0.2">
      <c r="H1454" s="45">
        <f>PRODUCT('All-Servers'!D1464,'All-Servers'!$K1464)</f>
        <v>0</v>
      </c>
      <c r="I1454" s="45">
        <f>PRODUCT('All-Servers'!E1464,'All-Servers'!$K1464)</f>
        <v>0</v>
      </c>
      <c r="J1454" s="45">
        <f>PRODUCT('All-Servers'!F1464,'All-Servers'!$K1464)</f>
        <v>0</v>
      </c>
      <c r="K1454" s="45">
        <f>PRODUCT('All-Servers'!G1464,'All-Servers'!$K1464)</f>
        <v>0</v>
      </c>
    </row>
    <row r="1455" spans="8:11" x14ac:dyDescent="0.2">
      <c r="H1455" s="45">
        <f>PRODUCT('All-Servers'!D1465,'All-Servers'!$K1465)</f>
        <v>0</v>
      </c>
      <c r="I1455" s="45">
        <f>PRODUCT('All-Servers'!E1465,'All-Servers'!$K1465)</f>
        <v>0</v>
      </c>
      <c r="J1455" s="45">
        <f>PRODUCT('All-Servers'!F1465,'All-Servers'!$K1465)</f>
        <v>0</v>
      </c>
      <c r="K1455" s="45">
        <f>PRODUCT('All-Servers'!G1465,'All-Servers'!$K1465)</f>
        <v>0</v>
      </c>
    </row>
    <row r="1456" spans="8:11" x14ac:dyDescent="0.2">
      <c r="H1456" s="45">
        <f>PRODUCT('All-Servers'!D1466,'All-Servers'!$K1466)</f>
        <v>0</v>
      </c>
      <c r="I1456" s="45">
        <f>PRODUCT('All-Servers'!E1466,'All-Servers'!$K1466)</f>
        <v>0</v>
      </c>
      <c r="J1456" s="45">
        <f>PRODUCT('All-Servers'!F1466,'All-Servers'!$K1466)</f>
        <v>0</v>
      </c>
      <c r="K1456" s="45">
        <f>PRODUCT('All-Servers'!G1466,'All-Servers'!$K1466)</f>
        <v>0</v>
      </c>
    </row>
    <row r="1457" spans="8:11" x14ac:dyDescent="0.2">
      <c r="H1457" s="45">
        <f>PRODUCT('All-Servers'!D1467,'All-Servers'!$K1467)</f>
        <v>0</v>
      </c>
      <c r="I1457" s="45">
        <f>PRODUCT('All-Servers'!E1467,'All-Servers'!$K1467)</f>
        <v>0</v>
      </c>
      <c r="J1457" s="45">
        <f>PRODUCT('All-Servers'!F1467,'All-Servers'!$K1467)</f>
        <v>0</v>
      </c>
      <c r="K1457" s="45">
        <f>PRODUCT('All-Servers'!G1467,'All-Servers'!$K1467)</f>
        <v>0</v>
      </c>
    </row>
    <row r="1458" spans="8:11" x14ac:dyDescent="0.2">
      <c r="H1458" s="45">
        <f>PRODUCT('All-Servers'!D1468,'All-Servers'!$K1468)</f>
        <v>0</v>
      </c>
      <c r="I1458" s="45">
        <f>PRODUCT('All-Servers'!E1468,'All-Servers'!$K1468)</f>
        <v>0</v>
      </c>
      <c r="J1458" s="45">
        <f>PRODUCT('All-Servers'!F1468,'All-Servers'!$K1468)</f>
        <v>0</v>
      </c>
      <c r="K1458" s="45">
        <f>PRODUCT('All-Servers'!G1468,'All-Servers'!$K1468)</f>
        <v>0</v>
      </c>
    </row>
    <row r="1459" spans="8:11" x14ac:dyDescent="0.2">
      <c r="H1459" s="45">
        <f>PRODUCT('All-Servers'!D1469,'All-Servers'!$K1469)</f>
        <v>0</v>
      </c>
      <c r="I1459" s="45">
        <f>PRODUCT('All-Servers'!E1469,'All-Servers'!$K1469)</f>
        <v>0</v>
      </c>
      <c r="J1459" s="45">
        <f>PRODUCT('All-Servers'!F1469,'All-Servers'!$K1469)</f>
        <v>0</v>
      </c>
      <c r="K1459" s="45">
        <f>PRODUCT('All-Servers'!G1469,'All-Servers'!$K1469)</f>
        <v>0</v>
      </c>
    </row>
    <row r="1460" spans="8:11" x14ac:dyDescent="0.2">
      <c r="H1460" s="45">
        <f>PRODUCT('All-Servers'!D1470,'All-Servers'!$K1470)</f>
        <v>0</v>
      </c>
      <c r="I1460" s="45">
        <f>PRODUCT('All-Servers'!E1470,'All-Servers'!$K1470)</f>
        <v>0</v>
      </c>
      <c r="J1460" s="45">
        <f>PRODUCT('All-Servers'!F1470,'All-Servers'!$K1470)</f>
        <v>0</v>
      </c>
      <c r="K1460" s="45">
        <f>PRODUCT('All-Servers'!G1470,'All-Servers'!$K1470)</f>
        <v>0</v>
      </c>
    </row>
    <row r="1461" spans="8:11" x14ac:dyDescent="0.2">
      <c r="H1461" s="45">
        <f>PRODUCT('All-Servers'!D1471,'All-Servers'!$K1471)</f>
        <v>0</v>
      </c>
      <c r="I1461" s="45">
        <f>PRODUCT('All-Servers'!E1471,'All-Servers'!$K1471)</f>
        <v>0</v>
      </c>
      <c r="J1461" s="45">
        <f>PRODUCT('All-Servers'!F1471,'All-Servers'!$K1471)</f>
        <v>0</v>
      </c>
      <c r="K1461" s="45">
        <f>PRODUCT('All-Servers'!G1471,'All-Servers'!$K1471)</f>
        <v>0</v>
      </c>
    </row>
    <row r="1462" spans="8:11" x14ac:dyDescent="0.2">
      <c r="H1462" s="45">
        <f>PRODUCT('All-Servers'!D1472,'All-Servers'!$K1472)</f>
        <v>0</v>
      </c>
      <c r="I1462" s="45">
        <f>PRODUCT('All-Servers'!E1472,'All-Servers'!$K1472)</f>
        <v>0</v>
      </c>
      <c r="J1462" s="45">
        <f>PRODUCT('All-Servers'!F1472,'All-Servers'!$K1472)</f>
        <v>0</v>
      </c>
      <c r="K1462" s="45">
        <f>PRODUCT('All-Servers'!G1472,'All-Servers'!$K1472)</f>
        <v>0</v>
      </c>
    </row>
    <row r="1463" spans="8:11" x14ac:dyDescent="0.2">
      <c r="H1463" s="45">
        <f>PRODUCT('All-Servers'!D1473,'All-Servers'!$K1473)</f>
        <v>0</v>
      </c>
      <c r="I1463" s="45">
        <f>PRODUCT('All-Servers'!E1473,'All-Servers'!$K1473)</f>
        <v>0</v>
      </c>
      <c r="J1463" s="45">
        <f>PRODUCT('All-Servers'!F1473,'All-Servers'!$K1473)</f>
        <v>0</v>
      </c>
      <c r="K1463" s="45">
        <f>PRODUCT('All-Servers'!G1473,'All-Servers'!$K1473)</f>
        <v>0</v>
      </c>
    </row>
    <row r="1464" spans="8:11" x14ac:dyDescent="0.2">
      <c r="H1464" s="45">
        <f>PRODUCT('All-Servers'!D1474,'All-Servers'!$K1474)</f>
        <v>0</v>
      </c>
      <c r="I1464" s="45">
        <f>PRODUCT('All-Servers'!E1474,'All-Servers'!$K1474)</f>
        <v>0</v>
      </c>
      <c r="J1464" s="45">
        <f>PRODUCT('All-Servers'!F1474,'All-Servers'!$K1474)</f>
        <v>0</v>
      </c>
      <c r="K1464" s="45">
        <f>PRODUCT('All-Servers'!G1474,'All-Servers'!$K1474)</f>
        <v>0</v>
      </c>
    </row>
    <row r="1465" spans="8:11" x14ac:dyDescent="0.2">
      <c r="H1465" s="45">
        <f>PRODUCT('All-Servers'!D1475,'All-Servers'!$K1475)</f>
        <v>0</v>
      </c>
      <c r="I1465" s="45">
        <f>PRODUCT('All-Servers'!E1475,'All-Servers'!$K1475)</f>
        <v>0</v>
      </c>
      <c r="J1465" s="45">
        <f>PRODUCT('All-Servers'!F1475,'All-Servers'!$K1475)</f>
        <v>0</v>
      </c>
      <c r="K1465" s="45">
        <f>PRODUCT('All-Servers'!G1475,'All-Servers'!$K1475)</f>
        <v>0</v>
      </c>
    </row>
    <row r="1466" spans="8:11" x14ac:dyDescent="0.2">
      <c r="H1466" s="45">
        <f>PRODUCT('All-Servers'!D1476,'All-Servers'!$K1476)</f>
        <v>0</v>
      </c>
      <c r="I1466" s="45">
        <f>PRODUCT('All-Servers'!E1476,'All-Servers'!$K1476)</f>
        <v>0</v>
      </c>
      <c r="J1466" s="45">
        <f>PRODUCT('All-Servers'!F1476,'All-Servers'!$K1476)</f>
        <v>0</v>
      </c>
      <c r="K1466" s="45">
        <f>PRODUCT('All-Servers'!G1476,'All-Servers'!$K1476)</f>
        <v>0</v>
      </c>
    </row>
    <row r="1467" spans="8:11" x14ac:dyDescent="0.2">
      <c r="H1467" s="45">
        <f>PRODUCT('All-Servers'!D1477,'All-Servers'!$K1477)</f>
        <v>0</v>
      </c>
      <c r="I1467" s="45">
        <f>PRODUCT('All-Servers'!E1477,'All-Servers'!$K1477)</f>
        <v>0</v>
      </c>
      <c r="J1467" s="45">
        <f>PRODUCT('All-Servers'!F1477,'All-Servers'!$K1477)</f>
        <v>0</v>
      </c>
      <c r="K1467" s="45">
        <f>PRODUCT('All-Servers'!G1477,'All-Servers'!$K1477)</f>
        <v>0</v>
      </c>
    </row>
    <row r="1468" spans="8:11" x14ac:dyDescent="0.2">
      <c r="H1468" s="45">
        <f>PRODUCT('All-Servers'!D1478,'All-Servers'!$K1478)</f>
        <v>0</v>
      </c>
      <c r="I1468" s="45">
        <f>PRODUCT('All-Servers'!E1478,'All-Servers'!$K1478)</f>
        <v>0</v>
      </c>
      <c r="J1468" s="45">
        <f>PRODUCT('All-Servers'!F1478,'All-Servers'!$K1478)</f>
        <v>0</v>
      </c>
      <c r="K1468" s="45">
        <f>PRODUCT('All-Servers'!G1478,'All-Servers'!$K1478)</f>
        <v>0</v>
      </c>
    </row>
    <row r="1469" spans="8:11" x14ac:dyDescent="0.2">
      <c r="H1469" s="45">
        <f>PRODUCT('All-Servers'!D1479,'All-Servers'!$K1479)</f>
        <v>0</v>
      </c>
      <c r="I1469" s="45">
        <f>PRODUCT('All-Servers'!E1479,'All-Servers'!$K1479)</f>
        <v>0</v>
      </c>
      <c r="J1469" s="45">
        <f>PRODUCT('All-Servers'!F1479,'All-Servers'!$K1479)</f>
        <v>0</v>
      </c>
      <c r="K1469" s="45">
        <f>PRODUCT('All-Servers'!G1479,'All-Servers'!$K1479)</f>
        <v>0</v>
      </c>
    </row>
    <row r="1470" spans="8:11" x14ac:dyDescent="0.2">
      <c r="H1470" s="45">
        <f>PRODUCT('All-Servers'!D1480,'All-Servers'!$K1480)</f>
        <v>0</v>
      </c>
      <c r="I1470" s="45">
        <f>PRODUCT('All-Servers'!E1480,'All-Servers'!$K1480)</f>
        <v>0</v>
      </c>
      <c r="J1470" s="45">
        <f>PRODUCT('All-Servers'!F1480,'All-Servers'!$K1480)</f>
        <v>0</v>
      </c>
      <c r="K1470" s="45">
        <f>PRODUCT('All-Servers'!G1480,'All-Servers'!$K1480)</f>
        <v>0</v>
      </c>
    </row>
    <row r="1471" spans="8:11" x14ac:dyDescent="0.2">
      <c r="H1471" s="45">
        <f>PRODUCT('All-Servers'!D1481,'All-Servers'!$K1481)</f>
        <v>0</v>
      </c>
      <c r="I1471" s="45">
        <f>PRODUCT('All-Servers'!E1481,'All-Servers'!$K1481)</f>
        <v>0</v>
      </c>
      <c r="J1471" s="45">
        <f>PRODUCT('All-Servers'!F1481,'All-Servers'!$K1481)</f>
        <v>0</v>
      </c>
      <c r="K1471" s="45">
        <f>PRODUCT('All-Servers'!G1481,'All-Servers'!$K1481)</f>
        <v>0</v>
      </c>
    </row>
    <row r="1472" spans="8:11" x14ac:dyDescent="0.2">
      <c r="H1472" s="45">
        <f>PRODUCT('All-Servers'!D1482,'All-Servers'!$K1482)</f>
        <v>0</v>
      </c>
      <c r="I1472" s="45">
        <f>PRODUCT('All-Servers'!E1482,'All-Servers'!$K1482)</f>
        <v>0</v>
      </c>
      <c r="J1472" s="45">
        <f>PRODUCT('All-Servers'!F1482,'All-Servers'!$K1482)</f>
        <v>0</v>
      </c>
      <c r="K1472" s="45">
        <f>PRODUCT('All-Servers'!G1482,'All-Servers'!$K1482)</f>
        <v>0</v>
      </c>
    </row>
    <row r="1473" spans="8:11" x14ac:dyDescent="0.2">
      <c r="H1473" s="45">
        <f>PRODUCT('All-Servers'!D1483,'All-Servers'!$K1483)</f>
        <v>0</v>
      </c>
      <c r="I1473" s="45">
        <f>PRODUCT('All-Servers'!E1483,'All-Servers'!$K1483)</f>
        <v>0</v>
      </c>
      <c r="J1473" s="45">
        <f>PRODUCT('All-Servers'!F1483,'All-Servers'!$K1483)</f>
        <v>0</v>
      </c>
      <c r="K1473" s="45">
        <f>PRODUCT('All-Servers'!G1483,'All-Servers'!$K1483)</f>
        <v>0</v>
      </c>
    </row>
    <row r="1474" spans="8:11" x14ac:dyDescent="0.2">
      <c r="H1474" s="45">
        <f>PRODUCT('All-Servers'!D1484,'All-Servers'!$K1484)</f>
        <v>0</v>
      </c>
      <c r="I1474" s="45">
        <f>PRODUCT('All-Servers'!E1484,'All-Servers'!$K1484)</f>
        <v>0</v>
      </c>
      <c r="J1474" s="45">
        <f>PRODUCT('All-Servers'!F1484,'All-Servers'!$K1484)</f>
        <v>0</v>
      </c>
      <c r="K1474" s="45">
        <f>PRODUCT('All-Servers'!G1484,'All-Servers'!$K1484)</f>
        <v>0</v>
      </c>
    </row>
    <row r="1475" spans="8:11" x14ac:dyDescent="0.2">
      <c r="H1475" s="45">
        <f>PRODUCT('All-Servers'!D1485,'All-Servers'!$K1485)</f>
        <v>0</v>
      </c>
      <c r="I1475" s="45">
        <f>PRODUCT('All-Servers'!E1485,'All-Servers'!$K1485)</f>
        <v>0</v>
      </c>
      <c r="J1475" s="45">
        <f>PRODUCT('All-Servers'!F1485,'All-Servers'!$K1485)</f>
        <v>0</v>
      </c>
      <c r="K1475" s="45">
        <f>PRODUCT('All-Servers'!G1485,'All-Servers'!$K1485)</f>
        <v>0</v>
      </c>
    </row>
    <row r="1476" spans="8:11" x14ac:dyDescent="0.2">
      <c r="H1476" s="45">
        <f>PRODUCT('All-Servers'!D1486,'All-Servers'!$K1486)</f>
        <v>0</v>
      </c>
      <c r="I1476" s="45">
        <f>PRODUCT('All-Servers'!E1486,'All-Servers'!$K1486)</f>
        <v>0</v>
      </c>
      <c r="J1476" s="45">
        <f>PRODUCT('All-Servers'!F1486,'All-Servers'!$K1486)</f>
        <v>0</v>
      </c>
      <c r="K1476" s="45">
        <f>PRODUCT('All-Servers'!G1486,'All-Servers'!$K1486)</f>
        <v>0</v>
      </c>
    </row>
    <row r="1477" spans="8:11" x14ac:dyDescent="0.2">
      <c r="H1477" s="45">
        <f>PRODUCT('All-Servers'!D1487,'All-Servers'!$K1487)</f>
        <v>0</v>
      </c>
      <c r="I1477" s="45">
        <f>PRODUCT('All-Servers'!E1487,'All-Servers'!$K1487)</f>
        <v>0</v>
      </c>
      <c r="J1477" s="45">
        <f>PRODUCT('All-Servers'!F1487,'All-Servers'!$K1487)</f>
        <v>0</v>
      </c>
      <c r="K1477" s="45">
        <f>PRODUCT('All-Servers'!G1487,'All-Servers'!$K1487)</f>
        <v>0</v>
      </c>
    </row>
    <row r="1478" spans="8:11" x14ac:dyDescent="0.2">
      <c r="H1478" s="45">
        <f>PRODUCT('All-Servers'!D1488,'All-Servers'!$K1488)</f>
        <v>0</v>
      </c>
      <c r="I1478" s="45">
        <f>PRODUCT('All-Servers'!E1488,'All-Servers'!$K1488)</f>
        <v>0</v>
      </c>
      <c r="J1478" s="45">
        <f>PRODUCT('All-Servers'!F1488,'All-Servers'!$K1488)</f>
        <v>0</v>
      </c>
      <c r="K1478" s="45">
        <f>PRODUCT('All-Servers'!G1488,'All-Servers'!$K1488)</f>
        <v>0</v>
      </c>
    </row>
    <row r="1479" spans="8:11" x14ac:dyDescent="0.2">
      <c r="H1479" s="45">
        <f>PRODUCT('All-Servers'!D1489,'All-Servers'!$K1489)</f>
        <v>0</v>
      </c>
      <c r="I1479" s="45">
        <f>PRODUCT('All-Servers'!E1489,'All-Servers'!$K1489)</f>
        <v>0</v>
      </c>
      <c r="J1479" s="45">
        <f>PRODUCT('All-Servers'!F1489,'All-Servers'!$K1489)</f>
        <v>0</v>
      </c>
      <c r="K1479" s="45">
        <f>PRODUCT('All-Servers'!G1489,'All-Servers'!$K1489)</f>
        <v>0</v>
      </c>
    </row>
    <row r="1480" spans="8:11" x14ac:dyDescent="0.2">
      <c r="H1480" s="45">
        <f>PRODUCT('All-Servers'!D1490,'All-Servers'!$K1490)</f>
        <v>0</v>
      </c>
      <c r="I1480" s="45">
        <f>PRODUCT('All-Servers'!E1490,'All-Servers'!$K1490)</f>
        <v>0</v>
      </c>
      <c r="J1480" s="45">
        <f>PRODUCT('All-Servers'!F1490,'All-Servers'!$K1490)</f>
        <v>0</v>
      </c>
      <c r="K1480" s="45">
        <f>PRODUCT('All-Servers'!G1490,'All-Servers'!$K1490)</f>
        <v>0</v>
      </c>
    </row>
    <row r="1481" spans="8:11" x14ac:dyDescent="0.2">
      <c r="H1481" s="45">
        <f>PRODUCT('All-Servers'!D1491,'All-Servers'!$K1491)</f>
        <v>0</v>
      </c>
      <c r="I1481" s="45">
        <f>PRODUCT('All-Servers'!E1491,'All-Servers'!$K1491)</f>
        <v>0</v>
      </c>
      <c r="J1481" s="45">
        <f>PRODUCT('All-Servers'!F1491,'All-Servers'!$K1491)</f>
        <v>0</v>
      </c>
      <c r="K1481" s="45">
        <f>PRODUCT('All-Servers'!G1491,'All-Servers'!$K1491)</f>
        <v>0</v>
      </c>
    </row>
    <row r="1482" spans="8:11" x14ac:dyDescent="0.2">
      <c r="H1482" s="45">
        <f>PRODUCT('All-Servers'!D1492,'All-Servers'!$K1492)</f>
        <v>0</v>
      </c>
      <c r="I1482" s="45">
        <f>PRODUCT('All-Servers'!E1492,'All-Servers'!$K1492)</f>
        <v>0</v>
      </c>
      <c r="J1482" s="45">
        <f>PRODUCT('All-Servers'!F1492,'All-Servers'!$K1492)</f>
        <v>0</v>
      </c>
      <c r="K1482" s="45">
        <f>PRODUCT('All-Servers'!G1492,'All-Servers'!$K1492)</f>
        <v>0</v>
      </c>
    </row>
    <row r="1483" spans="8:11" x14ac:dyDescent="0.2">
      <c r="H1483" s="45">
        <f>PRODUCT('All-Servers'!D1493,'All-Servers'!$K1493)</f>
        <v>0</v>
      </c>
      <c r="I1483" s="45">
        <f>PRODUCT('All-Servers'!E1493,'All-Servers'!$K1493)</f>
        <v>0</v>
      </c>
      <c r="J1483" s="45">
        <f>PRODUCT('All-Servers'!F1493,'All-Servers'!$K1493)</f>
        <v>0</v>
      </c>
      <c r="K1483" s="45">
        <f>PRODUCT('All-Servers'!G1493,'All-Servers'!$K1493)</f>
        <v>0</v>
      </c>
    </row>
    <row r="1484" spans="8:11" x14ac:dyDescent="0.2">
      <c r="H1484" s="45">
        <f>PRODUCT('All-Servers'!D1494,'All-Servers'!$K1494)</f>
        <v>0</v>
      </c>
      <c r="I1484" s="45">
        <f>PRODUCT('All-Servers'!E1494,'All-Servers'!$K1494)</f>
        <v>0</v>
      </c>
      <c r="J1484" s="45">
        <f>PRODUCT('All-Servers'!F1494,'All-Servers'!$K1494)</f>
        <v>0</v>
      </c>
      <c r="K1484" s="45">
        <f>PRODUCT('All-Servers'!G1494,'All-Servers'!$K1494)</f>
        <v>0</v>
      </c>
    </row>
    <row r="1485" spans="8:11" x14ac:dyDescent="0.2">
      <c r="H1485" s="45">
        <f>PRODUCT('All-Servers'!D1495,'All-Servers'!$K1495)</f>
        <v>0</v>
      </c>
      <c r="I1485" s="45">
        <f>PRODUCT('All-Servers'!E1495,'All-Servers'!$K1495)</f>
        <v>0</v>
      </c>
      <c r="J1485" s="45">
        <f>PRODUCT('All-Servers'!F1495,'All-Servers'!$K1495)</f>
        <v>0</v>
      </c>
      <c r="K1485" s="45">
        <f>PRODUCT('All-Servers'!G1495,'All-Servers'!$K1495)</f>
        <v>0</v>
      </c>
    </row>
    <row r="1486" spans="8:11" x14ac:dyDescent="0.2">
      <c r="H1486" s="45">
        <f>PRODUCT('All-Servers'!D1496,'All-Servers'!$K1496)</f>
        <v>0</v>
      </c>
      <c r="I1486" s="45">
        <f>PRODUCT('All-Servers'!E1496,'All-Servers'!$K1496)</f>
        <v>0</v>
      </c>
      <c r="J1486" s="45">
        <f>PRODUCT('All-Servers'!F1496,'All-Servers'!$K1496)</f>
        <v>0</v>
      </c>
      <c r="K1486" s="45">
        <f>PRODUCT('All-Servers'!G1496,'All-Servers'!$K1496)</f>
        <v>0</v>
      </c>
    </row>
    <row r="1487" spans="8:11" x14ac:dyDescent="0.2">
      <c r="H1487" s="45">
        <f>PRODUCT('All-Servers'!D1497,'All-Servers'!$K1497)</f>
        <v>0</v>
      </c>
      <c r="I1487" s="45">
        <f>PRODUCT('All-Servers'!E1497,'All-Servers'!$K1497)</f>
        <v>0</v>
      </c>
      <c r="J1487" s="45">
        <f>PRODUCT('All-Servers'!F1497,'All-Servers'!$K1497)</f>
        <v>0</v>
      </c>
      <c r="K1487" s="45">
        <f>PRODUCT('All-Servers'!G1497,'All-Servers'!$K1497)</f>
        <v>0</v>
      </c>
    </row>
    <row r="1488" spans="8:11" x14ac:dyDescent="0.2">
      <c r="H1488" s="45">
        <f>PRODUCT('All-Servers'!D1498,'All-Servers'!$K1498)</f>
        <v>0</v>
      </c>
      <c r="I1488" s="45">
        <f>PRODUCT('All-Servers'!E1498,'All-Servers'!$K1498)</f>
        <v>0</v>
      </c>
      <c r="J1488" s="45">
        <f>PRODUCT('All-Servers'!F1498,'All-Servers'!$K1498)</f>
        <v>0</v>
      </c>
      <c r="K1488" s="45">
        <f>PRODUCT('All-Servers'!G1498,'All-Servers'!$K1498)</f>
        <v>0</v>
      </c>
    </row>
    <row r="1489" spans="8:11" x14ac:dyDescent="0.2">
      <c r="H1489" s="45">
        <f>PRODUCT('All-Servers'!D1499,'All-Servers'!$K1499)</f>
        <v>0</v>
      </c>
      <c r="I1489" s="45">
        <f>PRODUCT('All-Servers'!E1499,'All-Servers'!$K1499)</f>
        <v>0</v>
      </c>
      <c r="J1489" s="45">
        <f>PRODUCT('All-Servers'!F1499,'All-Servers'!$K1499)</f>
        <v>0</v>
      </c>
      <c r="K1489" s="45">
        <f>PRODUCT('All-Servers'!G1499,'All-Servers'!$K1499)</f>
        <v>0</v>
      </c>
    </row>
    <row r="1490" spans="8:11" x14ac:dyDescent="0.2">
      <c r="H1490" s="45">
        <f>PRODUCT('All-Servers'!D1500,'All-Servers'!$K1500)</f>
        <v>0</v>
      </c>
      <c r="I1490" s="45">
        <f>PRODUCT('All-Servers'!E1500,'All-Servers'!$K1500)</f>
        <v>0</v>
      </c>
      <c r="J1490" s="45">
        <f>PRODUCT('All-Servers'!F1500,'All-Servers'!$K1500)</f>
        <v>0</v>
      </c>
      <c r="K1490" s="45">
        <f>PRODUCT('All-Servers'!G1500,'All-Servers'!$K1500)</f>
        <v>0</v>
      </c>
    </row>
    <row r="1491" spans="8:11" x14ac:dyDescent="0.2">
      <c r="H1491" s="45">
        <f>PRODUCT('All-Servers'!D1501,'All-Servers'!$K1501)</f>
        <v>0</v>
      </c>
      <c r="I1491" s="45">
        <f>PRODUCT('All-Servers'!E1501,'All-Servers'!$K1501)</f>
        <v>0</v>
      </c>
      <c r="J1491" s="45">
        <f>PRODUCT('All-Servers'!F1501,'All-Servers'!$K1501)</f>
        <v>0</v>
      </c>
      <c r="K1491" s="45">
        <f>PRODUCT('All-Servers'!G1501,'All-Servers'!$K1501)</f>
        <v>0</v>
      </c>
    </row>
    <row r="1492" spans="8:11" x14ac:dyDescent="0.2">
      <c r="H1492" s="45">
        <f>PRODUCT('All-Servers'!D1502,'All-Servers'!$K1502)</f>
        <v>0</v>
      </c>
      <c r="I1492" s="45">
        <f>PRODUCT('All-Servers'!E1502,'All-Servers'!$K1502)</f>
        <v>0</v>
      </c>
      <c r="J1492" s="45">
        <f>PRODUCT('All-Servers'!F1502,'All-Servers'!$K1502)</f>
        <v>0</v>
      </c>
      <c r="K1492" s="45">
        <f>PRODUCT('All-Servers'!G1502,'All-Servers'!$K1502)</f>
        <v>0</v>
      </c>
    </row>
    <row r="1493" spans="8:11" x14ac:dyDescent="0.2">
      <c r="H1493" s="45">
        <f>PRODUCT('All-Servers'!D1503,'All-Servers'!$K1503)</f>
        <v>0</v>
      </c>
      <c r="I1493" s="45">
        <f>PRODUCT('All-Servers'!E1503,'All-Servers'!$K1503)</f>
        <v>0</v>
      </c>
      <c r="J1493" s="45">
        <f>PRODUCT('All-Servers'!F1503,'All-Servers'!$K1503)</f>
        <v>0</v>
      </c>
      <c r="K1493" s="45">
        <f>PRODUCT('All-Servers'!G1503,'All-Servers'!$K1503)</f>
        <v>0</v>
      </c>
    </row>
    <row r="1494" spans="8:11" x14ac:dyDescent="0.2">
      <c r="H1494" s="45">
        <f>PRODUCT('All-Servers'!D1504,'All-Servers'!$K1504)</f>
        <v>0</v>
      </c>
      <c r="I1494" s="45">
        <f>PRODUCT('All-Servers'!E1504,'All-Servers'!$K1504)</f>
        <v>0</v>
      </c>
      <c r="J1494" s="45">
        <f>PRODUCT('All-Servers'!F1504,'All-Servers'!$K1504)</f>
        <v>0</v>
      </c>
      <c r="K1494" s="45">
        <f>PRODUCT('All-Servers'!G1504,'All-Servers'!$K1504)</f>
        <v>0</v>
      </c>
    </row>
    <row r="1495" spans="8:11" x14ac:dyDescent="0.2">
      <c r="H1495" s="45">
        <f>PRODUCT('All-Servers'!D1505,'All-Servers'!$K1505)</f>
        <v>0</v>
      </c>
      <c r="I1495" s="45">
        <f>PRODUCT('All-Servers'!E1505,'All-Servers'!$K1505)</f>
        <v>0</v>
      </c>
      <c r="J1495" s="45">
        <f>PRODUCT('All-Servers'!F1505,'All-Servers'!$K1505)</f>
        <v>0</v>
      </c>
      <c r="K1495" s="45">
        <f>PRODUCT('All-Servers'!G1505,'All-Servers'!$K1505)</f>
        <v>0</v>
      </c>
    </row>
    <row r="1496" spans="8:11" x14ac:dyDescent="0.2">
      <c r="H1496" s="45">
        <f>PRODUCT('All-Servers'!D1506,'All-Servers'!$K1506)</f>
        <v>0</v>
      </c>
      <c r="I1496" s="45">
        <f>PRODUCT('All-Servers'!E1506,'All-Servers'!$K1506)</f>
        <v>0</v>
      </c>
      <c r="J1496" s="45">
        <f>PRODUCT('All-Servers'!F1506,'All-Servers'!$K1506)</f>
        <v>0</v>
      </c>
      <c r="K1496" s="45">
        <f>PRODUCT('All-Servers'!G1506,'All-Servers'!$K1506)</f>
        <v>0</v>
      </c>
    </row>
    <row r="1497" spans="8:11" x14ac:dyDescent="0.2">
      <c r="H1497" s="45">
        <f>PRODUCT('All-Servers'!D1507,'All-Servers'!$K1507)</f>
        <v>0</v>
      </c>
      <c r="I1497" s="45">
        <f>PRODUCT('All-Servers'!E1507,'All-Servers'!$K1507)</f>
        <v>0</v>
      </c>
      <c r="J1497" s="45">
        <f>PRODUCT('All-Servers'!F1507,'All-Servers'!$K1507)</f>
        <v>0</v>
      </c>
      <c r="K1497" s="45">
        <f>PRODUCT('All-Servers'!G1507,'All-Servers'!$K1507)</f>
        <v>0</v>
      </c>
    </row>
    <row r="1498" spans="8:11" x14ac:dyDescent="0.2">
      <c r="H1498" s="45">
        <f>PRODUCT('All-Servers'!D1508,'All-Servers'!$K1508)</f>
        <v>0</v>
      </c>
      <c r="I1498" s="45">
        <f>PRODUCT('All-Servers'!E1508,'All-Servers'!$K1508)</f>
        <v>0</v>
      </c>
      <c r="J1498" s="45">
        <f>PRODUCT('All-Servers'!F1508,'All-Servers'!$K1508)</f>
        <v>0</v>
      </c>
      <c r="K1498" s="45">
        <f>PRODUCT('All-Servers'!G1508,'All-Servers'!$K1508)</f>
        <v>0</v>
      </c>
    </row>
    <row r="1499" spans="8:11" x14ac:dyDescent="0.2">
      <c r="H1499" s="45">
        <f>PRODUCT('All-Servers'!D1509,'All-Servers'!$K1509)</f>
        <v>0</v>
      </c>
      <c r="I1499" s="45">
        <f>PRODUCT('All-Servers'!E1509,'All-Servers'!$K1509)</f>
        <v>0</v>
      </c>
      <c r="J1499" s="45">
        <f>PRODUCT('All-Servers'!F1509,'All-Servers'!$K1509)</f>
        <v>0</v>
      </c>
      <c r="K1499" s="45">
        <f>PRODUCT('All-Servers'!G1509,'All-Servers'!$K1509)</f>
        <v>0</v>
      </c>
    </row>
    <row r="1500" spans="8:11" x14ac:dyDescent="0.2">
      <c r="H1500" s="45">
        <f>PRODUCT('All-Servers'!D1510,'All-Servers'!$K1510)</f>
        <v>0</v>
      </c>
      <c r="I1500" s="45">
        <f>PRODUCT('All-Servers'!E1510,'All-Servers'!$K1510)</f>
        <v>0</v>
      </c>
      <c r="J1500" s="45">
        <f>PRODUCT('All-Servers'!F1510,'All-Servers'!$K1510)</f>
        <v>0</v>
      </c>
      <c r="K1500" s="45">
        <f>PRODUCT('All-Servers'!G1510,'All-Servers'!$K1510)</f>
        <v>0</v>
      </c>
    </row>
    <row r="1501" spans="8:11" x14ac:dyDescent="0.2">
      <c r="H1501" s="45">
        <f>PRODUCT('All-Servers'!D1511,'All-Servers'!$K1511)</f>
        <v>0</v>
      </c>
      <c r="I1501" s="45">
        <f>PRODUCT('All-Servers'!E1511,'All-Servers'!$K1511)</f>
        <v>0</v>
      </c>
      <c r="J1501" s="45">
        <f>PRODUCT('All-Servers'!F1511,'All-Servers'!$K1511)</f>
        <v>0</v>
      </c>
      <c r="K1501" s="45">
        <f>PRODUCT('All-Servers'!G1511,'All-Servers'!$K1511)</f>
        <v>0</v>
      </c>
    </row>
    <row r="1502" spans="8:11" x14ac:dyDescent="0.2">
      <c r="H1502" s="45">
        <f>PRODUCT('All-Servers'!D1512,'All-Servers'!$K1512)</f>
        <v>0</v>
      </c>
      <c r="I1502" s="45">
        <f>PRODUCT('All-Servers'!E1512,'All-Servers'!$K1512)</f>
        <v>0</v>
      </c>
      <c r="J1502" s="45">
        <f>PRODUCT('All-Servers'!F1512,'All-Servers'!$K1512)</f>
        <v>0</v>
      </c>
      <c r="K1502" s="45">
        <f>PRODUCT('All-Servers'!G1512,'All-Servers'!$K1512)</f>
        <v>0</v>
      </c>
    </row>
  </sheetData>
  <phoneticPr fontId="31" type="noConversion"/>
  <pageMargins left="0.7" right="0.7" top="0.75" bottom="0.75" header="0.3" footer="0.3"/>
  <pageSetup orientation="portrait" horizontalDpi="4294967292" verticalDpi="429496729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2" tint="-0.249977111117893"/>
  </sheetPr>
  <dimension ref="A1:I22"/>
  <sheetViews>
    <sheetView workbookViewId="0">
      <selection activeCell="D21" sqref="D21"/>
    </sheetView>
  </sheetViews>
  <sheetFormatPr baseColWidth="10" defaultRowHeight="16" x14ac:dyDescent="0.2"/>
  <cols>
    <col min="1" max="1" width="13.6640625" style="90" bestFit="1" customWidth="1"/>
    <col min="2" max="2" width="15.6640625" style="90" bestFit="1" customWidth="1"/>
    <col min="3" max="3" width="10.1640625" style="90" bestFit="1" customWidth="1"/>
    <col min="4" max="4" width="9.6640625" style="90" bestFit="1" customWidth="1"/>
    <col min="5" max="5" width="9.33203125" style="90" bestFit="1" customWidth="1"/>
    <col min="6" max="6" width="9.6640625" style="90" bestFit="1" customWidth="1"/>
    <col min="7" max="7" width="5.6640625" style="90" bestFit="1" customWidth="1"/>
    <col min="8" max="8" width="7.83203125" style="90" bestFit="1" customWidth="1"/>
    <col min="9" max="9" width="10" style="90" bestFit="1" customWidth="1"/>
    <col min="10" max="16384" width="10.83203125" style="90"/>
  </cols>
  <sheetData>
    <row r="1" spans="1:9" ht="26" x14ac:dyDescent="0.2">
      <c r="A1" s="91" t="s">
        <v>134</v>
      </c>
      <c r="B1" s="91" t="s">
        <v>83</v>
      </c>
      <c r="C1" s="91" t="s">
        <v>84</v>
      </c>
      <c r="D1" s="91" t="s">
        <v>85</v>
      </c>
      <c r="E1" s="91" t="s">
        <v>86</v>
      </c>
      <c r="F1" s="91" t="s">
        <v>87</v>
      </c>
      <c r="G1" s="91" t="s">
        <v>75</v>
      </c>
      <c r="H1" s="91" t="s">
        <v>88</v>
      </c>
      <c r="I1" s="91" t="s">
        <v>89</v>
      </c>
    </row>
    <row r="2" spans="1:9" x14ac:dyDescent="0.2">
      <c r="A2" s="92" t="str">
        <f t="shared" ref="A2:A22" si="0">C2 &amp; " (" &amp;G2 &amp; ")"</f>
        <v>E5-2623 v3 (4)</v>
      </c>
      <c r="B2" s="92" t="s">
        <v>127</v>
      </c>
      <c r="C2" s="92" t="s">
        <v>128</v>
      </c>
      <c r="D2" s="92">
        <v>3</v>
      </c>
      <c r="E2" s="92">
        <v>105</v>
      </c>
      <c r="F2" s="92">
        <v>10</v>
      </c>
      <c r="G2" s="92">
        <v>4</v>
      </c>
      <c r="H2" s="92" t="s">
        <v>120</v>
      </c>
      <c r="I2" s="92">
        <v>1866</v>
      </c>
    </row>
    <row r="3" spans="1:9" x14ac:dyDescent="0.2">
      <c r="A3" s="92" t="str">
        <f t="shared" si="0"/>
        <v>E5-2637 v3 (4)</v>
      </c>
      <c r="B3" s="92" t="s">
        <v>121</v>
      </c>
      <c r="C3" s="92" t="s">
        <v>122</v>
      </c>
      <c r="D3" s="92">
        <v>3.5</v>
      </c>
      <c r="E3" s="92">
        <v>135</v>
      </c>
      <c r="F3" s="92">
        <v>15</v>
      </c>
      <c r="G3" s="92">
        <v>4</v>
      </c>
      <c r="H3" s="92" t="s">
        <v>92</v>
      </c>
      <c r="I3" s="92">
        <v>2133</v>
      </c>
    </row>
    <row r="4" spans="1:9" x14ac:dyDescent="0.2">
      <c r="A4" s="92" t="str">
        <f t="shared" si="0"/>
        <v>E5-2609 v3 (6)</v>
      </c>
      <c r="B4" s="92" t="s">
        <v>133</v>
      </c>
      <c r="C4" s="92" t="s">
        <v>131</v>
      </c>
      <c r="D4" s="92">
        <v>1.9</v>
      </c>
      <c r="E4" s="92">
        <v>85</v>
      </c>
      <c r="F4" s="92">
        <v>15</v>
      </c>
      <c r="G4" s="92">
        <v>6</v>
      </c>
      <c r="H4" s="92" t="s">
        <v>132</v>
      </c>
      <c r="I4" s="92">
        <v>1600</v>
      </c>
    </row>
    <row r="5" spans="1:9" x14ac:dyDescent="0.2">
      <c r="A5" s="92" t="str">
        <f t="shared" si="0"/>
        <v>E5-2620 v3 (6)</v>
      </c>
      <c r="B5" s="92" t="s">
        <v>129</v>
      </c>
      <c r="C5" s="92" t="s">
        <v>130</v>
      </c>
      <c r="D5" s="92">
        <v>2.4</v>
      </c>
      <c r="E5" s="92">
        <v>85</v>
      </c>
      <c r="F5" s="92">
        <v>15</v>
      </c>
      <c r="G5" s="92">
        <v>6</v>
      </c>
      <c r="H5" s="92" t="s">
        <v>120</v>
      </c>
      <c r="I5" s="92">
        <v>1866</v>
      </c>
    </row>
    <row r="6" spans="1:9" x14ac:dyDescent="0.2">
      <c r="A6" s="92" t="str">
        <f t="shared" si="0"/>
        <v>E5-2643 v3 (6)</v>
      </c>
      <c r="B6" s="92" t="s">
        <v>116</v>
      </c>
      <c r="C6" s="92" t="s">
        <v>117</v>
      </c>
      <c r="D6" s="92">
        <v>3.4</v>
      </c>
      <c r="E6" s="92">
        <v>135</v>
      </c>
      <c r="F6" s="92">
        <v>20</v>
      </c>
      <c r="G6" s="92">
        <v>6</v>
      </c>
      <c r="H6" s="92" t="s">
        <v>92</v>
      </c>
      <c r="I6" s="92">
        <v>2133</v>
      </c>
    </row>
    <row r="7" spans="1:9" x14ac:dyDescent="0.2">
      <c r="A7" s="92" t="str">
        <f t="shared" si="0"/>
        <v>E5-2630L v3 (8)</v>
      </c>
      <c r="B7" s="92" t="s">
        <v>125</v>
      </c>
      <c r="C7" s="92" t="s">
        <v>126</v>
      </c>
      <c r="D7" s="92">
        <v>1.8</v>
      </c>
      <c r="E7" s="92">
        <v>55</v>
      </c>
      <c r="F7" s="92">
        <v>20</v>
      </c>
      <c r="G7" s="92">
        <v>8</v>
      </c>
      <c r="H7" s="92" t="s">
        <v>120</v>
      </c>
      <c r="I7" s="92">
        <v>1866</v>
      </c>
    </row>
    <row r="8" spans="1:9" x14ac:dyDescent="0.2">
      <c r="A8" s="92" t="str">
        <f t="shared" si="0"/>
        <v>E5-2630 v3 (8)</v>
      </c>
      <c r="B8" s="92" t="s">
        <v>123</v>
      </c>
      <c r="C8" s="92" t="s">
        <v>124</v>
      </c>
      <c r="D8" s="92">
        <v>2.4</v>
      </c>
      <c r="E8" s="92">
        <v>85</v>
      </c>
      <c r="F8" s="92">
        <v>20</v>
      </c>
      <c r="G8" s="92">
        <v>8</v>
      </c>
      <c r="H8" s="92" t="s">
        <v>120</v>
      </c>
      <c r="I8" s="92">
        <v>1866</v>
      </c>
    </row>
    <row r="9" spans="1:9" x14ac:dyDescent="0.2">
      <c r="A9" s="92" t="str">
        <f t="shared" si="0"/>
        <v>E5-2640 v3 (8)</v>
      </c>
      <c r="B9" s="92" t="s">
        <v>118</v>
      </c>
      <c r="C9" s="92" t="s">
        <v>119</v>
      </c>
      <c r="D9" s="92">
        <v>2.6</v>
      </c>
      <c r="E9" s="92">
        <v>90</v>
      </c>
      <c r="F9" s="92">
        <v>20</v>
      </c>
      <c r="G9" s="92">
        <v>8</v>
      </c>
      <c r="H9" s="92" t="s">
        <v>120</v>
      </c>
      <c r="I9" s="92">
        <v>1866</v>
      </c>
    </row>
    <row r="10" spans="1:9" x14ac:dyDescent="0.2">
      <c r="A10" s="92" t="str">
        <f t="shared" si="0"/>
        <v>E5-2667 v3 (8)</v>
      </c>
      <c r="B10" s="92" t="s">
        <v>106</v>
      </c>
      <c r="C10" s="92" t="s">
        <v>107</v>
      </c>
      <c r="D10" s="92">
        <v>3.2</v>
      </c>
      <c r="E10" s="92">
        <v>135</v>
      </c>
      <c r="F10" s="92">
        <v>20</v>
      </c>
      <c r="G10" s="92">
        <v>8</v>
      </c>
      <c r="H10" s="92" t="s">
        <v>92</v>
      </c>
      <c r="I10" s="92">
        <v>2133</v>
      </c>
    </row>
    <row r="11" spans="1:9" x14ac:dyDescent="0.2">
      <c r="A11" s="92" t="str">
        <f t="shared" si="0"/>
        <v>E5-2650 v3 (10)</v>
      </c>
      <c r="B11" s="92" t="s">
        <v>112</v>
      </c>
      <c r="C11" s="92" t="s">
        <v>113</v>
      </c>
      <c r="D11" s="92">
        <v>2.2999999999999998</v>
      </c>
      <c r="E11" s="92">
        <v>105</v>
      </c>
      <c r="F11" s="92">
        <v>25</v>
      </c>
      <c r="G11" s="92">
        <v>10</v>
      </c>
      <c r="H11" s="92" t="s">
        <v>92</v>
      </c>
      <c r="I11" s="92">
        <v>2133</v>
      </c>
    </row>
    <row r="12" spans="1:9" x14ac:dyDescent="0.2">
      <c r="A12" s="92" t="str">
        <f t="shared" si="0"/>
        <v>E5-2660 v3 (10)</v>
      </c>
      <c r="B12" s="92" t="s">
        <v>108</v>
      </c>
      <c r="C12" s="92" t="s">
        <v>109</v>
      </c>
      <c r="D12" s="92">
        <v>2.6</v>
      </c>
      <c r="E12" s="92">
        <v>105</v>
      </c>
      <c r="F12" s="92">
        <v>25</v>
      </c>
      <c r="G12" s="92">
        <v>10</v>
      </c>
      <c r="H12" s="92" t="s">
        <v>92</v>
      </c>
      <c r="I12" s="92">
        <v>2133</v>
      </c>
    </row>
    <row r="13" spans="1:9" x14ac:dyDescent="0.2">
      <c r="A13" s="92" t="str">
        <f t="shared" si="0"/>
        <v>E5-2650L v3 (12)</v>
      </c>
      <c r="B13" s="92" t="s">
        <v>114</v>
      </c>
      <c r="C13" s="92" t="s">
        <v>115</v>
      </c>
      <c r="D13" s="92">
        <v>1.8</v>
      </c>
      <c r="E13" s="92">
        <v>65</v>
      </c>
      <c r="F13" s="92">
        <v>30</v>
      </c>
      <c r="G13" s="92">
        <v>12</v>
      </c>
      <c r="H13" s="92" t="s">
        <v>92</v>
      </c>
      <c r="I13" s="92">
        <v>1866</v>
      </c>
    </row>
    <row r="14" spans="1:9" x14ac:dyDescent="0.2">
      <c r="A14" s="92" t="str">
        <f t="shared" si="0"/>
        <v>E5-2658 v3 (12)</v>
      </c>
      <c r="B14" s="92" t="s">
        <v>110</v>
      </c>
      <c r="C14" s="92" t="s">
        <v>111</v>
      </c>
      <c r="D14" s="92">
        <v>2.2000000000000002</v>
      </c>
      <c r="E14" s="92">
        <v>105</v>
      </c>
      <c r="F14" s="92">
        <v>30</v>
      </c>
      <c r="G14" s="92">
        <v>12</v>
      </c>
      <c r="H14" s="92" t="s">
        <v>92</v>
      </c>
      <c r="I14" s="92">
        <v>2133</v>
      </c>
    </row>
    <row r="15" spans="1:9" x14ac:dyDescent="0.2">
      <c r="A15" s="92" t="str">
        <f t="shared" si="0"/>
        <v>E5-2670 v3 (12)</v>
      </c>
      <c r="B15" s="92" t="s">
        <v>104</v>
      </c>
      <c r="C15" s="92" t="s">
        <v>105</v>
      </c>
      <c r="D15" s="92">
        <v>2.2999999999999998</v>
      </c>
      <c r="E15" s="92">
        <v>120</v>
      </c>
      <c r="F15" s="92">
        <v>30</v>
      </c>
      <c r="G15" s="92">
        <v>12</v>
      </c>
      <c r="H15" s="92" t="s">
        <v>92</v>
      </c>
      <c r="I15" s="92">
        <v>2133</v>
      </c>
    </row>
    <row r="16" spans="1:9" x14ac:dyDescent="0.2">
      <c r="A16" s="92" t="str">
        <f t="shared" si="0"/>
        <v>E5-2680 v3 (12)</v>
      </c>
      <c r="B16" s="92" t="s">
        <v>102</v>
      </c>
      <c r="C16" s="92" t="s">
        <v>103</v>
      </c>
      <c r="D16" s="92">
        <v>2.5</v>
      </c>
      <c r="E16" s="92">
        <v>120</v>
      </c>
      <c r="F16" s="92">
        <v>30</v>
      </c>
      <c r="G16" s="92">
        <v>12</v>
      </c>
      <c r="H16" s="92" t="s">
        <v>92</v>
      </c>
      <c r="I16" s="92">
        <v>2133</v>
      </c>
    </row>
    <row r="17" spans="1:9" x14ac:dyDescent="0.2">
      <c r="A17" s="92" t="str">
        <f t="shared" si="0"/>
        <v>E5-2690 v3 (12)</v>
      </c>
      <c r="B17" s="92" t="s">
        <v>99</v>
      </c>
      <c r="C17" s="92" t="s">
        <v>76</v>
      </c>
      <c r="D17" s="92">
        <v>2.6</v>
      </c>
      <c r="E17" s="92">
        <v>135</v>
      </c>
      <c r="F17" s="92">
        <v>30</v>
      </c>
      <c r="G17" s="92">
        <v>12</v>
      </c>
      <c r="H17" s="92" t="s">
        <v>92</v>
      </c>
      <c r="I17" s="92">
        <v>2133</v>
      </c>
    </row>
    <row r="18" spans="1:9" x14ac:dyDescent="0.2">
      <c r="A18" s="92" t="str">
        <f t="shared" si="0"/>
        <v>E5-2683 v3 (14)</v>
      </c>
      <c r="B18" s="92" t="s">
        <v>100</v>
      </c>
      <c r="C18" s="92" t="s">
        <v>101</v>
      </c>
      <c r="D18" s="92">
        <v>2</v>
      </c>
      <c r="E18" s="92">
        <v>120</v>
      </c>
      <c r="F18" s="92">
        <v>35</v>
      </c>
      <c r="G18" s="92">
        <v>14</v>
      </c>
      <c r="H18" s="92" t="s">
        <v>92</v>
      </c>
      <c r="I18" s="92">
        <v>2133</v>
      </c>
    </row>
    <row r="19" spans="1:9" x14ac:dyDescent="0.2">
      <c r="A19" s="92" t="str">
        <f t="shared" si="0"/>
        <v>E5-2695 v3 (14)</v>
      </c>
      <c r="B19" s="92" t="s">
        <v>97</v>
      </c>
      <c r="C19" s="92" t="s">
        <v>98</v>
      </c>
      <c r="D19" s="92">
        <v>2.2999999999999998</v>
      </c>
      <c r="E19" s="92">
        <v>120</v>
      </c>
      <c r="F19" s="92">
        <v>35</v>
      </c>
      <c r="G19" s="92">
        <v>14</v>
      </c>
      <c r="H19" s="92" t="s">
        <v>92</v>
      </c>
      <c r="I19" s="92">
        <v>2133</v>
      </c>
    </row>
    <row r="20" spans="1:9" x14ac:dyDescent="0.2">
      <c r="A20" s="92" t="str">
        <f t="shared" si="0"/>
        <v>E5-2697 v3 (14)</v>
      </c>
      <c r="B20" s="92" t="s">
        <v>95</v>
      </c>
      <c r="C20" s="92" t="s">
        <v>96</v>
      </c>
      <c r="D20" s="92">
        <v>2.6</v>
      </c>
      <c r="E20" s="92">
        <v>145</v>
      </c>
      <c r="F20" s="92">
        <v>35</v>
      </c>
      <c r="G20" s="92">
        <v>14</v>
      </c>
      <c r="H20" s="92" t="s">
        <v>92</v>
      </c>
      <c r="I20" s="92">
        <v>2133</v>
      </c>
    </row>
    <row r="21" spans="1:9" x14ac:dyDescent="0.2">
      <c r="A21" s="92" t="str">
        <f t="shared" si="0"/>
        <v>E5-2698 v3 (16)</v>
      </c>
      <c r="B21" s="92" t="s">
        <v>93</v>
      </c>
      <c r="C21" s="92" t="s">
        <v>94</v>
      </c>
      <c r="D21" s="92">
        <v>2.2999999999999998</v>
      </c>
      <c r="E21" s="92">
        <v>135</v>
      </c>
      <c r="F21" s="92">
        <v>40</v>
      </c>
      <c r="G21" s="92">
        <v>16</v>
      </c>
      <c r="H21" s="92" t="s">
        <v>92</v>
      </c>
      <c r="I21" s="92">
        <v>2133</v>
      </c>
    </row>
    <row r="22" spans="1:9" x14ac:dyDescent="0.2">
      <c r="A22" s="92" t="str">
        <f t="shared" si="0"/>
        <v>E5-2699 v3 (18)</v>
      </c>
      <c r="B22" s="93" t="s">
        <v>90</v>
      </c>
      <c r="C22" s="93" t="s">
        <v>91</v>
      </c>
      <c r="D22" s="93">
        <v>2.2999999999999998</v>
      </c>
      <c r="E22" s="93">
        <v>145</v>
      </c>
      <c r="F22" s="93">
        <v>45</v>
      </c>
      <c r="G22" s="93">
        <v>18</v>
      </c>
      <c r="H22" s="93" t="s">
        <v>92</v>
      </c>
      <c r="I22" s="93">
        <v>2133</v>
      </c>
    </row>
  </sheetData>
  <sortState ref="B2:J22">
    <sortCondition ref="G2:G22"/>
    <sortCondition ref="D2:D22"/>
  </sortState>
  <pageMargins left="0.75" right="0.75" top="1" bottom="1" header="0.5" footer="0.5"/>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theme="2" tint="-0.249977111117893"/>
  </sheetPr>
  <dimension ref="A1:I28"/>
  <sheetViews>
    <sheetView workbookViewId="0">
      <selection activeCell="B46" sqref="B46"/>
    </sheetView>
  </sheetViews>
  <sheetFormatPr baseColWidth="10" defaultRowHeight="16" x14ac:dyDescent="0.2"/>
  <cols>
    <col min="1" max="1" width="13.6640625" style="90" bestFit="1" customWidth="1"/>
    <col min="2" max="2" width="15.6640625" style="90" bestFit="1" customWidth="1"/>
    <col min="3" max="3" width="10.83203125" style="90"/>
    <col min="4" max="4" width="11" style="90" customWidth="1"/>
    <col min="5" max="16384" width="10.83203125" style="90"/>
  </cols>
  <sheetData>
    <row r="1" spans="1:9" x14ac:dyDescent="0.2">
      <c r="A1" s="91" t="s">
        <v>183</v>
      </c>
      <c r="B1" s="91" t="s">
        <v>180</v>
      </c>
      <c r="C1" s="91" t="s">
        <v>182</v>
      </c>
      <c r="D1" s="91" t="s">
        <v>181</v>
      </c>
    </row>
    <row r="2" spans="1:9" x14ac:dyDescent="0.2">
      <c r="A2" s="92">
        <f>(B2*C2)</f>
        <v>64</v>
      </c>
      <c r="B2" s="92">
        <v>8</v>
      </c>
      <c r="C2" s="92">
        <v>8</v>
      </c>
      <c r="D2" s="92">
        <v>2133</v>
      </c>
    </row>
    <row r="3" spans="1:9" x14ac:dyDescent="0.2">
      <c r="A3" s="92">
        <f t="shared" ref="A3:A10" si="0">(B3*C3)</f>
        <v>96</v>
      </c>
      <c r="B3" s="92">
        <v>6</v>
      </c>
      <c r="C3" s="92">
        <v>16</v>
      </c>
      <c r="D3" s="92">
        <v>2133</v>
      </c>
    </row>
    <row r="4" spans="1:9" x14ac:dyDescent="0.2">
      <c r="A4" s="92">
        <f t="shared" si="0"/>
        <v>128</v>
      </c>
      <c r="B4" s="92">
        <v>16</v>
      </c>
      <c r="C4" s="92">
        <v>8</v>
      </c>
      <c r="D4" s="92">
        <v>2133</v>
      </c>
    </row>
    <row r="5" spans="1:9" x14ac:dyDescent="0.2">
      <c r="A5" s="92">
        <f t="shared" si="0"/>
        <v>192</v>
      </c>
      <c r="B5" s="92">
        <v>12</v>
      </c>
      <c r="C5" s="92">
        <v>16</v>
      </c>
      <c r="D5" s="92">
        <v>2133</v>
      </c>
    </row>
    <row r="6" spans="1:9" x14ac:dyDescent="0.2">
      <c r="A6" s="92">
        <f t="shared" si="0"/>
        <v>256</v>
      </c>
      <c r="B6" s="92">
        <v>16</v>
      </c>
      <c r="C6" s="92">
        <v>16</v>
      </c>
      <c r="D6" s="92">
        <v>2133</v>
      </c>
    </row>
    <row r="7" spans="1:9" x14ac:dyDescent="0.2">
      <c r="A7" s="92">
        <f t="shared" si="0"/>
        <v>384</v>
      </c>
      <c r="B7" s="92">
        <v>24</v>
      </c>
      <c r="C7" s="92">
        <v>16</v>
      </c>
      <c r="D7" s="92">
        <v>1866</v>
      </c>
    </row>
    <row r="8" spans="1:9" x14ac:dyDescent="0.2">
      <c r="A8" s="92">
        <f t="shared" si="0"/>
        <v>512</v>
      </c>
      <c r="B8" s="92">
        <v>16</v>
      </c>
      <c r="C8" s="92">
        <v>32</v>
      </c>
      <c r="D8" s="92">
        <v>2133</v>
      </c>
    </row>
    <row r="9" spans="1:9" x14ac:dyDescent="0.2">
      <c r="A9" s="92">
        <f t="shared" si="0"/>
        <v>768</v>
      </c>
      <c r="B9" s="92">
        <v>24</v>
      </c>
      <c r="C9" s="92">
        <v>32</v>
      </c>
      <c r="D9" s="92">
        <v>1866</v>
      </c>
    </row>
    <row r="10" spans="1:9" x14ac:dyDescent="0.2">
      <c r="A10" s="92">
        <f t="shared" si="0"/>
        <v>1536</v>
      </c>
      <c r="B10" s="92">
        <v>24</v>
      </c>
      <c r="C10" s="92">
        <v>64</v>
      </c>
      <c r="D10" s="92">
        <v>1600</v>
      </c>
    </row>
    <row r="11" spans="1:9" ht="17" thickBot="1" x14ac:dyDescent="0.25"/>
    <row r="12" spans="1:9" ht="18" x14ac:dyDescent="0.2">
      <c r="A12" s="95"/>
      <c r="B12" s="387" t="s">
        <v>148</v>
      </c>
      <c r="C12" s="388"/>
      <c r="D12" s="389"/>
      <c r="E12" s="387" t="s">
        <v>149</v>
      </c>
      <c r="F12" s="388"/>
      <c r="G12" s="389"/>
      <c r="H12" s="98"/>
      <c r="I12" s="101"/>
    </row>
    <row r="13" spans="1:9" ht="27" thickBot="1" x14ac:dyDescent="0.25">
      <c r="A13" s="96" t="s">
        <v>147</v>
      </c>
      <c r="B13" s="390"/>
      <c r="C13" s="391"/>
      <c r="D13" s="392"/>
      <c r="E13" s="390"/>
      <c r="F13" s="391"/>
      <c r="G13" s="392"/>
      <c r="H13" s="99" t="s">
        <v>150</v>
      </c>
      <c r="I13" s="102"/>
    </row>
    <row r="14" spans="1:9" ht="53" thickBot="1" x14ac:dyDescent="0.25">
      <c r="A14" s="97"/>
      <c r="B14" s="100" t="s">
        <v>153</v>
      </c>
      <c r="C14" s="104" t="s">
        <v>154</v>
      </c>
      <c r="D14" s="104" t="s">
        <v>155</v>
      </c>
      <c r="E14" s="100" t="s">
        <v>156</v>
      </c>
      <c r="F14" s="100" t="s">
        <v>157</v>
      </c>
      <c r="G14" s="100" t="s">
        <v>158</v>
      </c>
      <c r="H14" s="100" t="s">
        <v>151</v>
      </c>
      <c r="I14" s="103" t="s">
        <v>152</v>
      </c>
    </row>
    <row r="15" spans="1:9" ht="17" thickBot="1" x14ac:dyDescent="0.25">
      <c r="A15" s="105" t="s">
        <v>159</v>
      </c>
      <c r="B15" s="106" t="s">
        <v>160</v>
      </c>
      <c r="C15" s="107" t="s">
        <v>161</v>
      </c>
      <c r="D15" s="107" t="s">
        <v>161</v>
      </c>
      <c r="E15" s="108" t="s">
        <v>160</v>
      </c>
      <c r="F15" s="107" t="s">
        <v>161</v>
      </c>
      <c r="G15" s="107" t="s">
        <v>161</v>
      </c>
      <c r="H15" s="106">
        <v>2133</v>
      </c>
      <c r="I15" s="107">
        <v>8</v>
      </c>
    </row>
    <row r="16" spans="1:9" ht="17" thickBot="1" x14ac:dyDescent="0.25">
      <c r="A16" s="385" t="s">
        <v>162</v>
      </c>
      <c r="B16" s="109" t="s">
        <v>163</v>
      </c>
      <c r="C16" s="110" t="s">
        <v>164</v>
      </c>
      <c r="D16" s="111" t="s">
        <v>165</v>
      </c>
      <c r="E16" s="110" t="s">
        <v>166</v>
      </c>
      <c r="F16" s="109" t="s">
        <v>164</v>
      </c>
      <c r="G16" s="111" t="s">
        <v>165</v>
      </c>
      <c r="H16" s="109">
        <v>2133</v>
      </c>
      <c r="I16" s="111">
        <v>12</v>
      </c>
    </row>
    <row r="17" spans="1:9" ht="17" thickBot="1" x14ac:dyDescent="0.25">
      <c r="A17" s="386"/>
      <c r="B17" s="110" t="s">
        <v>167</v>
      </c>
      <c r="C17" s="111" t="s">
        <v>161</v>
      </c>
      <c r="D17" s="111" t="s">
        <v>161</v>
      </c>
      <c r="E17" s="110" t="s">
        <v>167</v>
      </c>
      <c r="F17" s="111" t="s">
        <v>161</v>
      </c>
      <c r="G17" s="111" t="s">
        <v>161</v>
      </c>
      <c r="H17" s="109">
        <v>2133</v>
      </c>
      <c r="I17" s="111">
        <v>6</v>
      </c>
    </row>
    <row r="18" spans="1:9" ht="17" thickBot="1" x14ac:dyDescent="0.25">
      <c r="A18" s="385" t="s">
        <v>168</v>
      </c>
      <c r="B18" s="106" t="s">
        <v>160</v>
      </c>
      <c r="C18" s="106" t="s">
        <v>160</v>
      </c>
      <c r="D18" s="107" t="s">
        <v>161</v>
      </c>
      <c r="E18" s="108" t="s">
        <v>160</v>
      </c>
      <c r="F18" s="106" t="s">
        <v>160</v>
      </c>
      <c r="G18" s="107" t="s">
        <v>161</v>
      </c>
      <c r="H18" s="106">
        <v>2133</v>
      </c>
      <c r="I18" s="107">
        <v>16</v>
      </c>
    </row>
    <row r="19" spans="1:9" ht="17" thickBot="1" x14ac:dyDescent="0.25">
      <c r="A19" s="386"/>
      <c r="B19" s="108" t="s">
        <v>169</v>
      </c>
      <c r="C19" s="107" t="s">
        <v>161</v>
      </c>
      <c r="D19" s="107" t="s">
        <v>161</v>
      </c>
      <c r="E19" s="108" t="s">
        <v>169</v>
      </c>
      <c r="F19" s="107" t="s">
        <v>161</v>
      </c>
      <c r="G19" s="107" t="s">
        <v>161</v>
      </c>
      <c r="H19" s="106">
        <v>2133</v>
      </c>
      <c r="I19" s="107">
        <v>8</v>
      </c>
    </row>
    <row r="20" spans="1:9" ht="17" thickBot="1" x14ac:dyDescent="0.25">
      <c r="A20" s="385" t="s">
        <v>170</v>
      </c>
      <c r="B20" s="109" t="s">
        <v>160</v>
      </c>
      <c r="C20" s="109" t="s">
        <v>160</v>
      </c>
      <c r="D20" s="109" t="s">
        <v>160</v>
      </c>
      <c r="E20" s="110" t="s">
        <v>160</v>
      </c>
      <c r="F20" s="109" t="s">
        <v>160</v>
      </c>
      <c r="G20" s="109" t="s">
        <v>160</v>
      </c>
      <c r="H20" s="109">
        <v>1600</v>
      </c>
      <c r="I20" s="111">
        <v>24</v>
      </c>
    </row>
    <row r="21" spans="1:9" ht="17" thickBot="1" x14ac:dyDescent="0.25">
      <c r="A21" s="393"/>
      <c r="B21" s="110" t="s">
        <v>171</v>
      </c>
      <c r="C21" s="110" t="s">
        <v>172</v>
      </c>
      <c r="D21" s="111" t="s">
        <v>165</v>
      </c>
      <c r="E21" s="110" t="s">
        <v>171</v>
      </c>
      <c r="F21" s="110" t="s">
        <v>172</v>
      </c>
      <c r="G21" s="111" t="s">
        <v>165</v>
      </c>
      <c r="H21" s="109">
        <v>2133</v>
      </c>
      <c r="I21" s="111">
        <v>12</v>
      </c>
    </row>
    <row r="22" spans="1:9" ht="17" thickBot="1" x14ac:dyDescent="0.25">
      <c r="A22" s="386"/>
      <c r="B22" s="108" t="s">
        <v>169</v>
      </c>
      <c r="C22" s="106" t="s">
        <v>160</v>
      </c>
      <c r="D22" s="107" t="s">
        <v>161</v>
      </c>
      <c r="E22" s="108" t="s">
        <v>169</v>
      </c>
      <c r="F22" s="106" t="s">
        <v>160</v>
      </c>
      <c r="G22" s="107" t="s">
        <v>161</v>
      </c>
      <c r="H22" s="106">
        <v>2133</v>
      </c>
      <c r="I22" s="107">
        <v>16</v>
      </c>
    </row>
    <row r="23" spans="1:9" ht="17" thickBot="1" x14ac:dyDescent="0.25">
      <c r="A23" s="385" t="s">
        <v>173</v>
      </c>
      <c r="B23" s="108" t="s">
        <v>169</v>
      </c>
      <c r="C23" s="108" t="s">
        <v>169</v>
      </c>
      <c r="D23" s="107" t="s">
        <v>161</v>
      </c>
      <c r="E23" s="108" t="s">
        <v>169</v>
      </c>
      <c r="F23" s="108" t="s">
        <v>169</v>
      </c>
      <c r="G23" s="107" t="s">
        <v>161</v>
      </c>
      <c r="H23" s="106">
        <v>2133</v>
      </c>
      <c r="I23" s="107">
        <v>16</v>
      </c>
    </row>
    <row r="24" spans="1:9" ht="17" thickBot="1" x14ac:dyDescent="0.25">
      <c r="A24" s="386"/>
      <c r="B24" s="108" t="s">
        <v>174</v>
      </c>
      <c r="C24" s="107" t="s">
        <v>161</v>
      </c>
      <c r="D24" s="107" t="s">
        <v>161</v>
      </c>
      <c r="E24" s="108" t="s">
        <v>174</v>
      </c>
      <c r="F24" s="107" t="s">
        <v>161</v>
      </c>
      <c r="G24" s="107" t="s">
        <v>161</v>
      </c>
      <c r="H24" s="106">
        <v>2133</v>
      </c>
      <c r="I24" s="107">
        <v>8</v>
      </c>
    </row>
    <row r="25" spans="1:9" ht="17" thickBot="1" x14ac:dyDescent="0.25">
      <c r="A25" s="105" t="s">
        <v>175</v>
      </c>
      <c r="B25" s="110" t="s">
        <v>169</v>
      </c>
      <c r="C25" s="110" t="s">
        <v>169</v>
      </c>
      <c r="D25" s="110" t="s">
        <v>169</v>
      </c>
      <c r="E25" s="110" t="s">
        <v>169</v>
      </c>
      <c r="F25" s="110" t="s">
        <v>169</v>
      </c>
      <c r="G25" s="110" t="s">
        <v>169</v>
      </c>
      <c r="H25" s="109">
        <v>1866</v>
      </c>
      <c r="I25" s="111">
        <v>24</v>
      </c>
    </row>
    <row r="26" spans="1:9" ht="17" thickBot="1" x14ac:dyDescent="0.25">
      <c r="A26" s="105" t="s">
        <v>176</v>
      </c>
      <c r="B26" s="108" t="s">
        <v>174</v>
      </c>
      <c r="C26" s="108" t="s">
        <v>174</v>
      </c>
      <c r="D26" s="107" t="s">
        <v>161</v>
      </c>
      <c r="E26" s="108" t="s">
        <v>174</v>
      </c>
      <c r="F26" s="108" t="s">
        <v>174</v>
      </c>
      <c r="G26" s="107" t="s">
        <v>161</v>
      </c>
      <c r="H26" s="106">
        <v>2133</v>
      </c>
      <c r="I26" s="107">
        <v>16</v>
      </c>
    </row>
    <row r="27" spans="1:9" ht="17" thickBot="1" x14ac:dyDescent="0.25">
      <c r="A27" s="105" t="s">
        <v>177</v>
      </c>
      <c r="B27" s="110" t="s">
        <v>174</v>
      </c>
      <c r="C27" s="110" t="s">
        <v>174</v>
      </c>
      <c r="D27" s="110" t="s">
        <v>174</v>
      </c>
      <c r="E27" s="110" t="s">
        <v>174</v>
      </c>
      <c r="F27" s="110" t="s">
        <v>174</v>
      </c>
      <c r="G27" s="110" t="s">
        <v>174</v>
      </c>
      <c r="H27" s="109">
        <v>1866</v>
      </c>
      <c r="I27" s="111">
        <v>24</v>
      </c>
    </row>
    <row r="28" spans="1:9" ht="17" thickBot="1" x14ac:dyDescent="0.25">
      <c r="A28" s="105" t="s">
        <v>178</v>
      </c>
      <c r="B28" s="110" t="s">
        <v>179</v>
      </c>
      <c r="C28" s="110" t="s">
        <v>179</v>
      </c>
      <c r="D28" s="110" t="s">
        <v>179</v>
      </c>
      <c r="E28" s="110" t="s">
        <v>179</v>
      </c>
      <c r="F28" s="110" t="s">
        <v>179</v>
      </c>
      <c r="G28" s="110" t="s">
        <v>179</v>
      </c>
      <c r="H28" s="109">
        <v>1600</v>
      </c>
      <c r="I28" s="111">
        <v>24</v>
      </c>
    </row>
  </sheetData>
  <mergeCells count="6">
    <mergeCell ref="A23:A24"/>
    <mergeCell ref="B12:D13"/>
    <mergeCell ref="E12:G13"/>
    <mergeCell ref="A16:A17"/>
    <mergeCell ref="A18:A19"/>
    <mergeCell ref="A20:A22"/>
  </mergeCells>
  <pageMargins left="0.75" right="0.75" top="1" bottom="1" header="0.5" footer="0.5"/>
  <pageSetup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2" tint="-0.249977111117893"/>
  </sheetPr>
  <dimension ref="A1:I76"/>
  <sheetViews>
    <sheetView zoomScale="110" zoomScaleNormal="110" zoomScalePageLayoutView="110" workbookViewId="0">
      <selection activeCell="I18" sqref="I18"/>
    </sheetView>
  </sheetViews>
  <sheetFormatPr baseColWidth="10" defaultColWidth="28.33203125" defaultRowHeight="16" x14ac:dyDescent="0.2"/>
  <cols>
    <col min="1" max="1" width="29.1640625" style="86" bestFit="1" customWidth="1"/>
    <col min="2" max="2" width="28.33203125" style="86"/>
    <col min="3" max="3" width="9.6640625" style="86" bestFit="1" customWidth="1"/>
    <col min="4" max="4" width="8.6640625" style="86" bestFit="1" customWidth="1"/>
    <col min="5" max="6" width="8.1640625" style="86" bestFit="1" customWidth="1"/>
    <col min="7" max="7" width="9.6640625" style="86" bestFit="1" customWidth="1"/>
    <col min="8" max="8" width="19.1640625" style="86" bestFit="1" customWidth="1"/>
    <col min="9" max="9" width="8" style="86" bestFit="1" customWidth="1"/>
    <col min="10" max="16384" width="28.33203125" style="86"/>
  </cols>
  <sheetData>
    <row r="1" spans="1:9" x14ac:dyDescent="0.2">
      <c r="A1" s="113" t="s">
        <v>223</v>
      </c>
      <c r="B1" s="113" t="s">
        <v>284</v>
      </c>
      <c r="C1" s="113" t="s">
        <v>77</v>
      </c>
      <c r="D1" s="113" t="s">
        <v>5</v>
      </c>
      <c r="E1" s="113" t="s">
        <v>222</v>
      </c>
      <c r="F1" s="112" t="s">
        <v>7</v>
      </c>
      <c r="G1" s="113" t="s">
        <v>187</v>
      </c>
      <c r="H1" s="113" t="s">
        <v>283</v>
      </c>
      <c r="I1" s="113" t="s">
        <v>188</v>
      </c>
    </row>
    <row r="2" spans="1:9" x14ac:dyDescent="0.2">
      <c r="A2" s="85" t="str">
        <f>$F2 &amp; " GB " &amp; $G2 &amp; " " &amp; $E2 &amp; " " &amp; $H2 &amp; "G " &amp; $D2 &amp; " " &amp; $C2</f>
        <v>1024 GB 7.2K SAS 6G Spindle LFF</v>
      </c>
      <c r="B2" s="92">
        <v>3.5</v>
      </c>
      <c r="C2" s="92" t="s">
        <v>220</v>
      </c>
      <c r="D2" s="92" t="s">
        <v>282</v>
      </c>
      <c r="E2" s="114" t="s">
        <v>195</v>
      </c>
      <c r="F2" s="114">
        <v>1024</v>
      </c>
      <c r="G2" s="114" t="s">
        <v>321</v>
      </c>
      <c r="H2" s="114">
        <v>6</v>
      </c>
      <c r="I2" s="114">
        <v>100</v>
      </c>
    </row>
    <row r="3" spans="1:9" x14ac:dyDescent="0.2">
      <c r="A3" s="85" t="str">
        <f t="shared" ref="A3:A26" si="0">$F3 &amp; " GB " &amp; $G3 &amp; " " &amp; $E3 &amp; " " &amp; $H3 &amp; "G " &amp; $D3 &amp; " " &amp; $C3</f>
        <v>2048 GB 7.2K SAS 6G Spindle LFF</v>
      </c>
      <c r="B3" s="92">
        <v>3.5</v>
      </c>
      <c r="C3" s="92" t="s">
        <v>220</v>
      </c>
      <c r="D3" s="92" t="s">
        <v>282</v>
      </c>
      <c r="E3" s="114" t="s">
        <v>195</v>
      </c>
      <c r="F3" s="114">
        <v>2048</v>
      </c>
      <c r="G3" s="114" t="s">
        <v>321</v>
      </c>
      <c r="H3" s="114">
        <v>6</v>
      </c>
      <c r="I3" s="114">
        <v>100</v>
      </c>
    </row>
    <row r="4" spans="1:9" x14ac:dyDescent="0.2">
      <c r="A4" s="85" t="str">
        <f t="shared" si="0"/>
        <v>3072 GB 7.2K SAS 6G Spindle LFF</v>
      </c>
      <c r="B4" s="92">
        <v>3.5</v>
      </c>
      <c r="C4" s="92" t="s">
        <v>220</v>
      </c>
      <c r="D4" s="92" t="s">
        <v>282</v>
      </c>
      <c r="E4" s="114" t="s">
        <v>195</v>
      </c>
      <c r="F4" s="114">
        <v>3072</v>
      </c>
      <c r="G4" s="114" t="s">
        <v>321</v>
      </c>
      <c r="H4" s="114">
        <v>6</v>
      </c>
      <c r="I4" s="114">
        <v>100</v>
      </c>
    </row>
    <row r="5" spans="1:9" x14ac:dyDescent="0.2">
      <c r="A5" s="85" t="str">
        <f t="shared" si="0"/>
        <v>4096 GB 7.2K SAS 6G Spindle LFF</v>
      </c>
      <c r="B5" s="92">
        <v>3.5</v>
      </c>
      <c r="C5" s="92" t="s">
        <v>220</v>
      </c>
      <c r="D5" s="92" t="s">
        <v>282</v>
      </c>
      <c r="E5" s="114" t="s">
        <v>195</v>
      </c>
      <c r="F5" s="114">
        <v>4096</v>
      </c>
      <c r="G5" s="114" t="s">
        <v>321</v>
      </c>
      <c r="H5" s="114">
        <v>6</v>
      </c>
      <c r="I5" s="114">
        <v>100</v>
      </c>
    </row>
    <row r="6" spans="1:9" x14ac:dyDescent="0.2">
      <c r="A6" s="85" t="str">
        <f t="shared" si="0"/>
        <v>6144 GB 7.2K SAS 12G Spindle LFF</v>
      </c>
      <c r="B6" s="92">
        <v>3.5</v>
      </c>
      <c r="C6" s="92" t="s">
        <v>220</v>
      </c>
      <c r="D6" s="92" t="s">
        <v>282</v>
      </c>
      <c r="E6" s="114" t="s">
        <v>195</v>
      </c>
      <c r="F6" s="114">
        <v>6144</v>
      </c>
      <c r="G6" s="114" t="s">
        <v>321</v>
      </c>
      <c r="H6" s="114">
        <v>12</v>
      </c>
      <c r="I6" s="114">
        <v>100</v>
      </c>
    </row>
    <row r="7" spans="1:9" x14ac:dyDescent="0.2">
      <c r="A7" s="85" t="str">
        <f t="shared" si="0"/>
        <v>600 GB 15K SAS 6G Spindle SFF</v>
      </c>
      <c r="B7" s="92">
        <v>2.5</v>
      </c>
      <c r="C7" s="92" t="s">
        <v>221</v>
      </c>
      <c r="D7" s="92" t="s">
        <v>282</v>
      </c>
      <c r="E7" s="92" t="s">
        <v>195</v>
      </c>
      <c r="F7" s="92">
        <v>600</v>
      </c>
      <c r="G7" s="114" t="s">
        <v>322</v>
      </c>
      <c r="H7" s="114">
        <v>6</v>
      </c>
      <c r="I7" s="114">
        <v>210</v>
      </c>
    </row>
    <row r="8" spans="1:9" x14ac:dyDescent="0.2">
      <c r="A8" s="85" t="str">
        <f t="shared" si="0"/>
        <v>450 GB 15K SAS 6G Spindle SFF</v>
      </c>
      <c r="B8" s="92">
        <v>2.5</v>
      </c>
      <c r="C8" s="92" t="s">
        <v>221</v>
      </c>
      <c r="D8" s="92" t="s">
        <v>282</v>
      </c>
      <c r="E8" s="92" t="s">
        <v>195</v>
      </c>
      <c r="F8" s="92">
        <v>450</v>
      </c>
      <c r="G8" s="114" t="s">
        <v>322</v>
      </c>
      <c r="H8" s="114">
        <v>6</v>
      </c>
      <c r="I8" s="114">
        <v>210</v>
      </c>
    </row>
    <row r="9" spans="1:9" x14ac:dyDescent="0.2">
      <c r="A9" s="85" t="str">
        <f t="shared" si="0"/>
        <v>300 GB 15K SAS 6G Spindle SFF</v>
      </c>
      <c r="B9" s="92">
        <v>2.5</v>
      </c>
      <c r="C9" s="92" t="s">
        <v>221</v>
      </c>
      <c r="D9" s="92" t="s">
        <v>282</v>
      </c>
      <c r="E9" s="92" t="s">
        <v>195</v>
      </c>
      <c r="F9" s="92">
        <v>300</v>
      </c>
      <c r="G9" s="114" t="s">
        <v>322</v>
      </c>
      <c r="H9" s="114">
        <v>6</v>
      </c>
      <c r="I9" s="114">
        <v>210</v>
      </c>
    </row>
    <row r="10" spans="1:9" x14ac:dyDescent="0.2">
      <c r="A10" s="85" t="str">
        <f t="shared" si="0"/>
        <v>1844 GB 10K SAS 12G Spindle SFF</v>
      </c>
      <c r="B10" s="92">
        <v>2.5</v>
      </c>
      <c r="C10" s="92" t="s">
        <v>221</v>
      </c>
      <c r="D10" s="92" t="s">
        <v>282</v>
      </c>
      <c r="E10" s="92" t="s">
        <v>195</v>
      </c>
      <c r="F10" s="92">
        <v>1844</v>
      </c>
      <c r="G10" s="114" t="s">
        <v>323</v>
      </c>
      <c r="H10" s="114">
        <v>12</v>
      </c>
      <c r="I10" s="114">
        <v>170</v>
      </c>
    </row>
    <row r="11" spans="1:9" x14ac:dyDescent="0.2">
      <c r="A11" s="85" t="str">
        <f t="shared" si="0"/>
        <v>1288 GB 10K SAS 6G Spindle SFF</v>
      </c>
      <c r="B11" s="92">
        <v>2.5</v>
      </c>
      <c r="C11" s="92" t="s">
        <v>221</v>
      </c>
      <c r="D11" s="92" t="s">
        <v>282</v>
      </c>
      <c r="E11" s="92" t="s">
        <v>195</v>
      </c>
      <c r="F11" s="92">
        <v>1288</v>
      </c>
      <c r="G11" s="114" t="s">
        <v>323</v>
      </c>
      <c r="H11" s="114">
        <v>6</v>
      </c>
      <c r="I11" s="114">
        <v>170</v>
      </c>
    </row>
    <row r="12" spans="1:9" x14ac:dyDescent="0.2">
      <c r="A12" s="85" t="str">
        <f t="shared" si="0"/>
        <v>600 GB 10K SAS 12G Spindle SFF</v>
      </c>
      <c r="B12" s="92">
        <v>2.5</v>
      </c>
      <c r="C12" s="92" t="s">
        <v>221</v>
      </c>
      <c r="D12" s="92" t="s">
        <v>282</v>
      </c>
      <c r="E12" s="92" t="s">
        <v>195</v>
      </c>
      <c r="F12" s="92">
        <v>600</v>
      </c>
      <c r="G12" s="114" t="s">
        <v>323</v>
      </c>
      <c r="H12" s="114">
        <v>12</v>
      </c>
      <c r="I12" s="114">
        <v>170</v>
      </c>
    </row>
    <row r="13" spans="1:9" x14ac:dyDescent="0.2">
      <c r="A13" s="85" t="str">
        <f t="shared" si="0"/>
        <v>900 GB 10K SAS 6G Spindle SFF</v>
      </c>
      <c r="B13" s="92">
        <v>2.5</v>
      </c>
      <c r="C13" s="92" t="s">
        <v>221</v>
      </c>
      <c r="D13" s="92" t="s">
        <v>282</v>
      </c>
      <c r="E13" s="92" t="s">
        <v>195</v>
      </c>
      <c r="F13" s="92">
        <v>900</v>
      </c>
      <c r="G13" s="114" t="s">
        <v>323</v>
      </c>
      <c r="H13" s="114">
        <v>6</v>
      </c>
      <c r="I13" s="114">
        <v>170</v>
      </c>
    </row>
    <row r="14" spans="1:9" x14ac:dyDescent="0.2">
      <c r="A14" s="85" t="str">
        <f t="shared" si="0"/>
        <v>600 GB 10K SAS 6G Spindle SFF</v>
      </c>
      <c r="B14" s="92">
        <v>2.5</v>
      </c>
      <c r="C14" s="92" t="s">
        <v>221</v>
      </c>
      <c r="D14" s="92" t="s">
        <v>282</v>
      </c>
      <c r="E14" s="92" t="s">
        <v>195</v>
      </c>
      <c r="F14" s="92">
        <v>600</v>
      </c>
      <c r="G14" s="114" t="s">
        <v>323</v>
      </c>
      <c r="H14" s="114">
        <v>6</v>
      </c>
      <c r="I14" s="114">
        <v>170</v>
      </c>
    </row>
    <row r="15" spans="1:9" x14ac:dyDescent="0.2">
      <c r="A15" s="85" t="str">
        <f t="shared" si="0"/>
        <v>300 GB 10K SAS 6G Spindle SFF</v>
      </c>
      <c r="B15" s="92">
        <v>2.5</v>
      </c>
      <c r="C15" s="92" t="s">
        <v>221</v>
      </c>
      <c r="D15" s="92" t="s">
        <v>282</v>
      </c>
      <c r="E15" s="92" t="s">
        <v>195</v>
      </c>
      <c r="F15" s="92">
        <v>300</v>
      </c>
      <c r="G15" s="114" t="s">
        <v>323</v>
      </c>
      <c r="H15" s="114">
        <v>6</v>
      </c>
      <c r="I15" s="114">
        <v>170</v>
      </c>
    </row>
    <row r="16" spans="1:9" x14ac:dyDescent="0.2">
      <c r="A16" s="85" t="str">
        <f t="shared" si="0"/>
        <v>1024 GB 7.2K SAS 6G Spindle SFF</v>
      </c>
      <c r="B16" s="92">
        <v>2.5</v>
      </c>
      <c r="C16" s="92" t="s">
        <v>221</v>
      </c>
      <c r="D16" s="92" t="s">
        <v>282</v>
      </c>
      <c r="E16" s="92" t="s">
        <v>195</v>
      </c>
      <c r="F16" s="92">
        <v>1024</v>
      </c>
      <c r="G16" s="114" t="s">
        <v>321</v>
      </c>
      <c r="H16" s="114">
        <v>6</v>
      </c>
      <c r="I16" s="114">
        <v>100</v>
      </c>
    </row>
    <row r="17" spans="1:9" x14ac:dyDescent="0.2">
      <c r="A17" s="85" t="str">
        <f t="shared" si="0"/>
        <v>1024 GB 7.2K SATA 6G Spindle SFF</v>
      </c>
      <c r="B17" s="92">
        <v>2.5</v>
      </c>
      <c r="C17" s="92" t="s">
        <v>221</v>
      </c>
      <c r="D17" s="92" t="s">
        <v>282</v>
      </c>
      <c r="E17" s="92" t="s">
        <v>212</v>
      </c>
      <c r="F17" s="92">
        <v>1024</v>
      </c>
      <c r="G17" s="114" t="s">
        <v>321</v>
      </c>
      <c r="H17" s="114">
        <v>6</v>
      </c>
      <c r="I17" s="114">
        <v>100</v>
      </c>
    </row>
    <row r="18" spans="1:9" x14ac:dyDescent="0.2">
      <c r="A18" s="85" t="str">
        <f t="shared" si="0"/>
        <v>1638 GB  SAS 12G SSD SFF</v>
      </c>
      <c r="B18" s="92">
        <v>2.5</v>
      </c>
      <c r="C18" s="92" t="s">
        <v>221</v>
      </c>
      <c r="D18" s="92" t="s">
        <v>6</v>
      </c>
      <c r="E18" s="92" t="s">
        <v>195</v>
      </c>
      <c r="F18" s="92">
        <v>1638</v>
      </c>
      <c r="G18" s="114"/>
      <c r="H18" s="114">
        <v>12</v>
      </c>
      <c r="I18" s="114">
        <v>20000</v>
      </c>
    </row>
    <row r="19" spans="1:9" x14ac:dyDescent="0.2">
      <c r="A19" s="85" t="str">
        <f t="shared" si="0"/>
        <v>800 GB  SAS 6G SSD SFF</v>
      </c>
      <c r="B19" s="92">
        <v>2.5</v>
      </c>
      <c r="C19" s="92" t="s">
        <v>221</v>
      </c>
      <c r="D19" s="92" t="s">
        <v>6</v>
      </c>
      <c r="E19" s="92" t="s">
        <v>195</v>
      </c>
      <c r="F19" s="92">
        <v>800</v>
      </c>
      <c r="G19" s="114"/>
      <c r="H19" s="114">
        <v>6</v>
      </c>
      <c r="I19" s="114">
        <v>20000</v>
      </c>
    </row>
    <row r="20" spans="1:9" x14ac:dyDescent="0.2">
      <c r="A20" s="85" t="str">
        <f t="shared" si="0"/>
        <v>400 GB  SAS 12G SSD SFF</v>
      </c>
      <c r="B20" s="92">
        <v>2.5</v>
      </c>
      <c r="C20" s="92" t="s">
        <v>221</v>
      </c>
      <c r="D20" s="92" t="s">
        <v>6</v>
      </c>
      <c r="E20" s="92" t="s">
        <v>195</v>
      </c>
      <c r="F20" s="92">
        <v>400</v>
      </c>
      <c r="G20" s="114"/>
      <c r="H20" s="114">
        <v>12</v>
      </c>
      <c r="I20" s="114">
        <v>20000</v>
      </c>
    </row>
    <row r="21" spans="1:9" x14ac:dyDescent="0.2">
      <c r="A21" s="85" t="str">
        <f t="shared" si="0"/>
        <v>400 GB  SAS 6G SSD SFF</v>
      </c>
      <c r="B21" s="92">
        <v>2.5</v>
      </c>
      <c r="C21" s="92" t="s">
        <v>221</v>
      </c>
      <c r="D21" s="92" t="s">
        <v>6</v>
      </c>
      <c r="E21" s="92" t="s">
        <v>195</v>
      </c>
      <c r="F21" s="92">
        <v>400</v>
      </c>
      <c r="G21" s="114"/>
      <c r="H21" s="114">
        <v>6</v>
      </c>
      <c r="I21" s="114">
        <v>20000</v>
      </c>
    </row>
    <row r="22" spans="1:9" x14ac:dyDescent="0.2">
      <c r="A22" s="85" t="str">
        <f t="shared" si="0"/>
        <v>200 GB  SAS 6G SSD SFF</v>
      </c>
      <c r="B22" s="92">
        <v>2.5</v>
      </c>
      <c r="C22" s="92" t="s">
        <v>221</v>
      </c>
      <c r="D22" s="92" t="s">
        <v>6</v>
      </c>
      <c r="E22" s="92" t="s">
        <v>195</v>
      </c>
      <c r="F22" s="92">
        <v>200</v>
      </c>
      <c r="G22" s="114"/>
      <c r="H22" s="114">
        <v>6</v>
      </c>
      <c r="I22" s="114">
        <v>20000</v>
      </c>
    </row>
    <row r="23" spans="1:9" x14ac:dyDescent="0.2">
      <c r="A23" s="85" t="str">
        <f t="shared" si="0"/>
        <v>960 GB  SATA 6G SSD SFF</v>
      </c>
      <c r="B23" s="92">
        <v>2.5</v>
      </c>
      <c r="C23" s="92" t="s">
        <v>221</v>
      </c>
      <c r="D23" s="92" t="s">
        <v>6</v>
      </c>
      <c r="E23" s="92" t="s">
        <v>212</v>
      </c>
      <c r="F23" s="92">
        <v>960</v>
      </c>
      <c r="G23" s="114"/>
      <c r="H23" s="85">
        <v>6</v>
      </c>
      <c r="I23" s="85">
        <v>5000</v>
      </c>
    </row>
    <row r="24" spans="1:9" x14ac:dyDescent="0.2">
      <c r="A24" s="85" t="str">
        <f t="shared" si="0"/>
        <v>480 GB  SATA 6G SSD SFF</v>
      </c>
      <c r="B24" s="92">
        <v>2.5</v>
      </c>
      <c r="C24" s="92" t="s">
        <v>221</v>
      </c>
      <c r="D24" s="92" t="s">
        <v>6</v>
      </c>
      <c r="E24" s="92" t="s">
        <v>212</v>
      </c>
      <c r="F24" s="92">
        <v>480</v>
      </c>
      <c r="G24" s="114"/>
      <c r="H24" s="85">
        <v>6</v>
      </c>
      <c r="I24" s="85">
        <v>5000</v>
      </c>
    </row>
    <row r="25" spans="1:9" x14ac:dyDescent="0.2">
      <c r="A25" s="85" t="str">
        <f t="shared" si="0"/>
        <v>240 GB  SATA 6G SSD SFF</v>
      </c>
      <c r="B25" s="92">
        <v>2.5</v>
      </c>
      <c r="C25" s="92" t="s">
        <v>221</v>
      </c>
      <c r="D25" s="92" t="s">
        <v>6</v>
      </c>
      <c r="E25" s="92" t="s">
        <v>212</v>
      </c>
      <c r="F25" s="92">
        <v>240</v>
      </c>
      <c r="G25" s="114"/>
      <c r="H25" s="85">
        <v>6</v>
      </c>
      <c r="I25" s="85">
        <v>5000</v>
      </c>
    </row>
    <row r="26" spans="1:9" x14ac:dyDescent="0.2">
      <c r="A26" s="85" t="str">
        <f t="shared" si="0"/>
        <v>120 GB  SATA 6G SSD SFF</v>
      </c>
      <c r="B26" s="92">
        <v>2.5</v>
      </c>
      <c r="C26" s="92" t="s">
        <v>221</v>
      </c>
      <c r="D26" s="92" t="s">
        <v>6</v>
      </c>
      <c r="E26" s="92" t="s">
        <v>212</v>
      </c>
      <c r="F26" s="92">
        <v>120</v>
      </c>
      <c r="G26" s="114"/>
      <c r="H26" s="85">
        <v>6</v>
      </c>
      <c r="I26" s="85">
        <v>5000</v>
      </c>
    </row>
    <row r="29" spans="1:9" ht="17" thickBot="1" x14ac:dyDescent="0.25">
      <c r="A29" s="86" t="s">
        <v>220</v>
      </c>
    </row>
    <row r="30" spans="1:9" x14ac:dyDescent="0.2">
      <c r="A30" s="115"/>
      <c r="B30" s="115"/>
      <c r="C30" s="395" t="s">
        <v>190</v>
      </c>
      <c r="D30" s="115"/>
    </row>
    <row r="31" spans="1:9" ht="17" thickBot="1" x14ac:dyDescent="0.25">
      <c r="A31" s="87" t="s">
        <v>83</v>
      </c>
      <c r="B31" s="87" t="s">
        <v>189</v>
      </c>
      <c r="C31" s="396"/>
      <c r="D31" s="87" t="s">
        <v>191</v>
      </c>
    </row>
    <row r="32" spans="1:9" ht="17" thickBot="1" x14ac:dyDescent="0.25">
      <c r="A32" s="394" t="s">
        <v>192</v>
      </c>
      <c r="B32" s="394"/>
      <c r="C32" s="394"/>
      <c r="D32" s="394"/>
    </row>
    <row r="33" spans="1:5" ht="26" x14ac:dyDescent="0.2">
      <c r="A33" s="88" t="s">
        <v>193</v>
      </c>
      <c r="B33" s="88" t="s">
        <v>194</v>
      </c>
      <c r="C33" s="88" t="s">
        <v>195</v>
      </c>
      <c r="D33" s="88" t="s">
        <v>196</v>
      </c>
    </row>
    <row r="34" spans="1:5" x14ac:dyDescent="0.2">
      <c r="A34" s="88" t="s">
        <v>197</v>
      </c>
      <c r="B34" s="88" t="s">
        <v>198</v>
      </c>
      <c r="C34" s="88" t="s">
        <v>195</v>
      </c>
      <c r="D34" s="88" t="s">
        <v>199</v>
      </c>
      <c r="E34" s="86">
        <v>1594</v>
      </c>
    </row>
    <row r="35" spans="1:5" x14ac:dyDescent="0.2">
      <c r="A35" s="88" t="s">
        <v>200</v>
      </c>
      <c r="B35" s="88" t="s">
        <v>201</v>
      </c>
      <c r="C35" s="88" t="s">
        <v>195</v>
      </c>
      <c r="D35" s="88" t="s">
        <v>202</v>
      </c>
    </row>
    <row r="36" spans="1:5" x14ac:dyDescent="0.2">
      <c r="A36" s="88" t="s">
        <v>203</v>
      </c>
      <c r="B36" s="88" t="s">
        <v>204</v>
      </c>
      <c r="C36" s="88" t="s">
        <v>195</v>
      </c>
      <c r="D36" s="88" t="s">
        <v>205</v>
      </c>
      <c r="E36" s="86">
        <v>1199</v>
      </c>
    </row>
    <row r="37" spans="1:5" ht="17" thickBot="1" x14ac:dyDescent="0.25">
      <c r="A37" s="89" t="s">
        <v>206</v>
      </c>
      <c r="B37" s="89" t="s">
        <v>207</v>
      </c>
      <c r="C37" s="89" t="s">
        <v>195</v>
      </c>
      <c r="D37" s="89" t="s">
        <v>208</v>
      </c>
      <c r="E37" s="86">
        <v>730</v>
      </c>
    </row>
    <row r="38" spans="1:5" ht="17" thickBot="1" x14ac:dyDescent="0.25"/>
    <row r="39" spans="1:5" x14ac:dyDescent="0.2">
      <c r="A39" s="115"/>
      <c r="B39" s="115"/>
      <c r="C39" s="395" t="s">
        <v>190</v>
      </c>
      <c r="D39" s="115"/>
    </row>
    <row r="40" spans="1:5" ht="17" thickBot="1" x14ac:dyDescent="0.25">
      <c r="A40" s="87" t="s">
        <v>83</v>
      </c>
      <c r="B40" s="87" t="s">
        <v>189</v>
      </c>
      <c r="C40" s="396"/>
      <c r="D40" s="87" t="s">
        <v>191</v>
      </c>
    </row>
    <row r="41" spans="1:5" ht="17" thickBot="1" x14ac:dyDescent="0.25">
      <c r="A41" s="394" t="s">
        <v>209</v>
      </c>
      <c r="B41" s="394"/>
      <c r="C41" s="394"/>
      <c r="D41" s="394"/>
    </row>
    <row r="42" spans="1:5" ht="26" x14ac:dyDescent="0.2">
      <c r="A42" s="88" t="s">
        <v>210</v>
      </c>
      <c r="B42" s="88" t="s">
        <v>211</v>
      </c>
      <c r="C42" s="88" t="s">
        <v>212</v>
      </c>
      <c r="D42" s="88" t="s">
        <v>213</v>
      </c>
    </row>
    <row r="43" spans="1:5" ht="26" x14ac:dyDescent="0.2">
      <c r="A43" s="88" t="s">
        <v>214</v>
      </c>
      <c r="B43" s="88" t="s">
        <v>215</v>
      </c>
      <c r="C43" s="88" t="s">
        <v>212</v>
      </c>
      <c r="D43" s="88" t="s">
        <v>216</v>
      </c>
    </row>
    <row r="44" spans="1:5" ht="27" thickBot="1" x14ac:dyDescent="0.25">
      <c r="A44" s="89" t="s">
        <v>217</v>
      </c>
      <c r="B44" s="89" t="s">
        <v>218</v>
      </c>
      <c r="C44" s="89" t="s">
        <v>212</v>
      </c>
      <c r="D44" s="89" t="s">
        <v>219</v>
      </c>
    </row>
    <row r="46" spans="1:5" ht="17" thickBot="1" x14ac:dyDescent="0.25">
      <c r="A46" s="116" t="s">
        <v>221</v>
      </c>
    </row>
    <row r="47" spans="1:5" x14ac:dyDescent="0.2">
      <c r="A47" s="115"/>
      <c r="B47" s="115"/>
      <c r="C47" s="395" t="s">
        <v>190</v>
      </c>
      <c r="D47" s="115"/>
    </row>
    <row r="48" spans="1:5" ht="17" thickBot="1" x14ac:dyDescent="0.25">
      <c r="A48" s="87" t="s">
        <v>83</v>
      </c>
      <c r="B48" s="87" t="s">
        <v>189</v>
      </c>
      <c r="C48" s="396"/>
      <c r="D48" s="87" t="s">
        <v>191</v>
      </c>
    </row>
    <row r="49" spans="1:4" ht="17" thickBot="1" x14ac:dyDescent="0.25">
      <c r="A49" s="394" t="s">
        <v>224</v>
      </c>
      <c r="B49" s="394"/>
      <c r="C49" s="394"/>
      <c r="D49" s="394"/>
    </row>
    <row r="50" spans="1:4" x14ac:dyDescent="0.2">
      <c r="A50" s="88" t="s">
        <v>225</v>
      </c>
      <c r="B50" s="88" t="s">
        <v>226</v>
      </c>
      <c r="C50" s="88" t="s">
        <v>195</v>
      </c>
      <c r="D50" s="88" t="s">
        <v>227</v>
      </c>
    </row>
    <row r="51" spans="1:4" x14ac:dyDescent="0.2">
      <c r="A51" s="88" t="s">
        <v>228</v>
      </c>
      <c r="B51" s="88" t="s">
        <v>229</v>
      </c>
      <c r="C51" s="88" t="s">
        <v>195</v>
      </c>
      <c r="D51" s="88" t="s">
        <v>230</v>
      </c>
    </row>
    <row r="52" spans="1:4" ht="17" thickBot="1" x14ac:dyDescent="0.25">
      <c r="A52" s="89" t="s">
        <v>231</v>
      </c>
      <c r="B52" s="89" t="s">
        <v>232</v>
      </c>
      <c r="C52" s="89" t="s">
        <v>195</v>
      </c>
      <c r="D52" s="89" t="s">
        <v>233</v>
      </c>
    </row>
    <row r="53" spans="1:4" ht="17" thickBot="1" x14ac:dyDescent="0.25">
      <c r="A53" s="394" t="s">
        <v>234</v>
      </c>
      <c r="B53" s="394"/>
      <c r="C53" s="394"/>
      <c r="D53" s="394"/>
    </row>
    <row r="54" spans="1:4" ht="26" x14ac:dyDescent="0.2">
      <c r="A54" s="88" t="s">
        <v>235</v>
      </c>
      <c r="B54" s="88" t="s">
        <v>236</v>
      </c>
      <c r="C54" s="88" t="s">
        <v>195</v>
      </c>
      <c r="D54" s="88" t="s">
        <v>237</v>
      </c>
    </row>
    <row r="55" spans="1:4" x14ac:dyDescent="0.2">
      <c r="A55" s="88" t="s">
        <v>238</v>
      </c>
      <c r="B55" s="88" t="s">
        <v>239</v>
      </c>
      <c r="C55" s="88" t="s">
        <v>195</v>
      </c>
      <c r="D55" s="88" t="s">
        <v>240</v>
      </c>
    </row>
    <row r="56" spans="1:4" ht="26" x14ac:dyDescent="0.2">
      <c r="A56" s="88" t="s">
        <v>241</v>
      </c>
      <c r="B56" s="88" t="s">
        <v>242</v>
      </c>
      <c r="C56" s="88" t="s">
        <v>195</v>
      </c>
      <c r="D56" s="88" t="s">
        <v>227</v>
      </c>
    </row>
    <row r="57" spans="1:4" x14ac:dyDescent="0.2">
      <c r="A57" s="88" t="s">
        <v>243</v>
      </c>
      <c r="B57" s="88" t="s">
        <v>244</v>
      </c>
      <c r="C57" s="88" t="s">
        <v>195</v>
      </c>
      <c r="D57" s="88" t="s">
        <v>245</v>
      </c>
    </row>
    <row r="58" spans="1:4" x14ac:dyDescent="0.2">
      <c r="A58" s="88" t="s">
        <v>246</v>
      </c>
      <c r="B58" s="88" t="s">
        <v>247</v>
      </c>
      <c r="C58" s="88" t="s">
        <v>195</v>
      </c>
      <c r="D58" s="88" t="s">
        <v>227</v>
      </c>
    </row>
    <row r="59" spans="1:4" ht="17" thickBot="1" x14ac:dyDescent="0.25">
      <c r="A59" s="89" t="s">
        <v>248</v>
      </c>
      <c r="B59" s="89" t="s">
        <v>249</v>
      </c>
      <c r="C59" s="89" t="s">
        <v>195</v>
      </c>
      <c r="D59" s="89" t="s">
        <v>233</v>
      </c>
    </row>
    <row r="60" spans="1:4" ht="17" thickBot="1" x14ac:dyDescent="0.25">
      <c r="A60" s="394" t="s">
        <v>250</v>
      </c>
      <c r="B60" s="394"/>
      <c r="C60" s="394"/>
      <c r="D60" s="394"/>
    </row>
    <row r="61" spans="1:4" x14ac:dyDescent="0.2">
      <c r="A61" s="88" t="s">
        <v>251</v>
      </c>
      <c r="B61" s="88" t="s">
        <v>252</v>
      </c>
      <c r="C61" s="88" t="s">
        <v>195</v>
      </c>
      <c r="D61" s="88" t="s">
        <v>208</v>
      </c>
    </row>
    <row r="62" spans="1:4" ht="17" thickBot="1" x14ac:dyDescent="0.25">
      <c r="A62" s="89" t="s">
        <v>253</v>
      </c>
      <c r="B62" s="89" t="s">
        <v>254</v>
      </c>
      <c r="C62" s="89" t="s">
        <v>212</v>
      </c>
      <c r="D62" s="89" t="s">
        <v>208</v>
      </c>
    </row>
    <row r="63" spans="1:4" ht="17" thickBot="1" x14ac:dyDescent="0.25"/>
    <row r="64" spans="1:4" ht="17" thickBot="1" x14ac:dyDescent="0.25">
      <c r="A64" s="397" t="s">
        <v>255</v>
      </c>
      <c r="B64" s="397"/>
      <c r="C64" s="397"/>
      <c r="D64" s="397"/>
    </row>
    <row r="65" spans="1:4" ht="17" thickBot="1" x14ac:dyDescent="0.25">
      <c r="A65" s="394" t="s">
        <v>256</v>
      </c>
      <c r="B65" s="394"/>
      <c r="C65" s="394"/>
      <c r="D65" s="394"/>
    </row>
    <row r="66" spans="1:4" ht="17" thickBot="1" x14ac:dyDescent="0.25">
      <c r="A66" s="394" t="s">
        <v>257</v>
      </c>
      <c r="B66" s="394"/>
      <c r="C66" s="394"/>
      <c r="D66" s="394"/>
    </row>
    <row r="67" spans="1:4" ht="39" x14ac:dyDescent="0.2">
      <c r="A67" s="88" t="s">
        <v>258</v>
      </c>
      <c r="B67" s="88" t="s">
        <v>259</v>
      </c>
      <c r="C67" s="88" t="s">
        <v>195</v>
      </c>
      <c r="D67" s="88" t="s">
        <v>260</v>
      </c>
    </row>
    <row r="68" spans="1:4" ht="39" x14ac:dyDescent="0.2">
      <c r="A68" s="88" t="s">
        <v>261</v>
      </c>
      <c r="B68" s="88" t="s">
        <v>262</v>
      </c>
      <c r="C68" s="88" t="s">
        <v>195</v>
      </c>
      <c r="D68" s="88" t="s">
        <v>263</v>
      </c>
    </row>
    <row r="69" spans="1:4" ht="39" x14ac:dyDescent="0.2">
      <c r="A69" s="88" t="s">
        <v>264</v>
      </c>
      <c r="B69" s="88" t="s">
        <v>265</v>
      </c>
      <c r="C69" s="88" t="s">
        <v>195</v>
      </c>
      <c r="D69" s="88" t="s">
        <v>266</v>
      </c>
    </row>
    <row r="70" spans="1:4" ht="39" x14ac:dyDescent="0.2">
      <c r="A70" s="88" t="s">
        <v>267</v>
      </c>
      <c r="B70" s="88" t="s">
        <v>268</v>
      </c>
      <c r="C70" s="88" t="s">
        <v>195</v>
      </c>
      <c r="D70" s="88" t="s">
        <v>266</v>
      </c>
    </row>
    <row r="71" spans="1:4" ht="40" thickBot="1" x14ac:dyDescent="0.25">
      <c r="A71" s="89" t="s">
        <v>269</v>
      </c>
      <c r="B71" s="89" t="s">
        <v>270</v>
      </c>
      <c r="C71" s="89" t="s">
        <v>195</v>
      </c>
      <c r="D71" s="89" t="s">
        <v>271</v>
      </c>
    </row>
    <row r="72" spans="1:4" ht="17" thickBot="1" x14ac:dyDescent="0.25">
      <c r="A72" s="394" t="s">
        <v>272</v>
      </c>
      <c r="B72" s="394"/>
      <c r="C72" s="394"/>
      <c r="D72" s="394"/>
    </row>
    <row r="73" spans="1:4" ht="26" x14ac:dyDescent="0.2">
      <c r="A73" s="88" t="s">
        <v>273</v>
      </c>
      <c r="B73" s="88" t="s">
        <v>274</v>
      </c>
      <c r="C73" s="88" t="s">
        <v>212</v>
      </c>
      <c r="D73" s="88" t="s">
        <v>213</v>
      </c>
    </row>
    <row r="74" spans="1:4" ht="26" x14ac:dyDescent="0.2">
      <c r="A74" s="88" t="s">
        <v>275</v>
      </c>
      <c r="B74" s="88" t="s">
        <v>276</v>
      </c>
      <c r="C74" s="88" t="s">
        <v>212</v>
      </c>
      <c r="D74" s="88" t="s">
        <v>216</v>
      </c>
    </row>
    <row r="75" spans="1:4" ht="26" x14ac:dyDescent="0.2">
      <c r="A75" s="88" t="s">
        <v>277</v>
      </c>
      <c r="B75" s="88" t="s">
        <v>278</v>
      </c>
      <c r="C75" s="88" t="s">
        <v>212</v>
      </c>
      <c r="D75" s="88" t="s">
        <v>279</v>
      </c>
    </row>
    <row r="76" spans="1:4" ht="27" thickBot="1" x14ac:dyDescent="0.25">
      <c r="A76" s="89" t="s">
        <v>280</v>
      </c>
      <c r="B76" s="89" t="s">
        <v>281</v>
      </c>
      <c r="C76" s="89" t="s">
        <v>212</v>
      </c>
      <c r="D76" s="89" t="s">
        <v>219</v>
      </c>
    </row>
  </sheetData>
  <mergeCells count="12">
    <mergeCell ref="A66:D66"/>
    <mergeCell ref="A72:D72"/>
    <mergeCell ref="C30:C31"/>
    <mergeCell ref="A32:D32"/>
    <mergeCell ref="C39:C40"/>
    <mergeCell ref="A41:D41"/>
    <mergeCell ref="C47:C48"/>
    <mergeCell ref="A49:D49"/>
    <mergeCell ref="A53:D53"/>
    <mergeCell ref="A60:D60"/>
    <mergeCell ref="A64:D64"/>
    <mergeCell ref="A65:D65"/>
  </mergeCells>
  <phoneticPr fontId="31" type="noConversion"/>
  <pageMargins left="0.7" right="0.7" top="0.75" bottom="0.75" header="0.3" footer="0.3"/>
  <pageSetup paperSize="158" orientation="portrait" horizontalDpi="360" verticalDpi="360"/>
  <ignoredErrors>
    <ignoredError sqref="A18 A19:A26" emptyCellReference="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
  <sheetViews>
    <sheetView workbookViewId="0">
      <selection activeCell="C12" sqref="C12"/>
    </sheetView>
  </sheetViews>
  <sheetFormatPr baseColWidth="10" defaultRowHeight="16" x14ac:dyDescent="0.2"/>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All-Servers</vt:lpstr>
      <vt:lpstr>Hypervisors</vt:lpstr>
      <vt:lpstr>Summary</vt:lpstr>
      <vt:lpstr>Inputs</vt:lpstr>
      <vt:lpstr>CPULookup</vt:lpstr>
      <vt:lpstr>RAMLookup</vt:lpstr>
      <vt:lpstr>DiskLookup</vt:lpstr>
      <vt:lpstr>Drawing</vt:lpstr>
    </vt:vector>
  </TitlesOfParts>
  <Company>Rackspace Hosting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Walcik</dc:creator>
  <cp:lastModifiedBy>Microsoft Office User</cp:lastModifiedBy>
  <cp:lastPrinted>2015-11-23T18:56:42Z</cp:lastPrinted>
  <dcterms:created xsi:type="dcterms:W3CDTF">2012-04-30T15:41:30Z</dcterms:created>
  <dcterms:modified xsi:type="dcterms:W3CDTF">2015-12-04T05:21:24Z</dcterms:modified>
</cp:coreProperties>
</file>