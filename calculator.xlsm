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showInkAnnotation="0" codeName="ThisWorkbook" checkCompatibility="1" autoCompressPictures="0"/>
  <bookViews>
    <workbookView minimized="1" xWindow="2100" yWindow="0" windowWidth="25160" windowHeight="17020" tabRatio="782"/>
  </bookViews>
  <sheets>
    <sheet name="All-Servers" sheetId="1" r:id="rId1"/>
    <sheet name="Hypervisors" sheetId="13" r:id="rId2"/>
    <sheet name="Summary" sheetId="9" r:id="rId3"/>
    <sheet name="Inputs" sheetId="5" r:id="rId4"/>
    <sheet name="Data-Source" sheetId="14" state="hidden" r:id="rId5"/>
    <sheet name="Data-Source-EC2" sheetId="20" state="hidden" r:id="rId6"/>
    <sheet name="Data-Source-EBS" sheetId="21" state="hidden" r:id="rId7"/>
    <sheet name="CPULookup" sheetId="17" r:id="rId8"/>
    <sheet name="RAMLookup" sheetId="18" r:id="rId9"/>
    <sheet name="DiskLookup" sheetId="8" r:id="rId10"/>
    <sheet name="BOM" sheetId="22" r:id="rId11"/>
    <sheet name="Drawing" sheetId="23" state="hidden" r:id="rId12"/>
    <sheet name="Stock-Cut-Issue" sheetId="24" r:id="rId13"/>
  </sheets>
  <definedNames>
    <definedName name="_xlnm._FilterDatabase" localSheetId="4" hidden="1">'Data-Source'!$A$1:$P$1195</definedName>
    <definedName name="cpulookup" localSheetId="8">RAMLookup!$A$1:$B$10</definedName>
    <definedName name="cpulookup">CPULookup!$A$1:$I$22</definedName>
    <definedName name="cputable" localSheetId="8">RAMLookup!$B$1:$B$10</definedName>
    <definedName name="cputable">CPULookup!$B$1:$I$22</definedName>
    <definedName name="disklookup">DiskLookup!$A$1:$I$26</definedName>
    <definedName name="memorylookup">RAMLookup!$A$1:$D$10</definedName>
    <definedName name="_xlnm.Print_Area" localSheetId="2">Summary!$B$2:$L$232</definedName>
  </definedNames>
  <calcPr calcId="140001" concurrentCalc="0"/>
  <pivotCaches>
    <pivotCache cacheId="0" r:id="rId14"/>
  </pivotCaches>
  <extLst>
    <ext xmlns:mx="http://schemas.microsoft.com/office/mac/excel/2008/main" uri="{7523E5D3-25F3-A5E0-1632-64F254C22452}">
      <mx:ArchID Flags="2"/>
    </ext>
  </extLst>
</workbook>
</file>

<file path=xl/calcChain.xml><?xml version="1.0" encoding="utf-8"?>
<calcChain xmlns="http://schemas.openxmlformats.org/spreadsheetml/2006/main">
  <c r="M72" i="1" l="1"/>
  <c r="M74" i="1"/>
  <c r="M76" i="1"/>
  <c r="M77" i="1"/>
  <c r="C4" i="13"/>
  <c r="M81" i="1"/>
  <c r="M82" i="1"/>
  <c r="M83" i="1"/>
  <c r="C89" i="9"/>
  <c r="C86" i="9"/>
  <c r="M50" i="1"/>
  <c r="M53" i="1"/>
  <c r="C85" i="9"/>
  <c r="C87" i="9"/>
  <c r="C83" i="9"/>
  <c r="M69" i="1"/>
  <c r="M70" i="1"/>
  <c r="M68" i="1"/>
  <c r="M73" i="1"/>
  <c r="C88" i="9"/>
  <c r="M12" i="1"/>
  <c r="M113" i="1"/>
  <c r="M13" i="1"/>
  <c r="M114" i="1"/>
  <c r="M14" i="1"/>
  <c r="M15" i="1"/>
  <c r="M115" i="1"/>
  <c r="M18" i="1"/>
  <c r="M116" i="1"/>
  <c r="M188" i="1"/>
  <c r="M200" i="1"/>
  <c r="M203" i="1"/>
  <c r="M201" i="1"/>
  <c r="M202" i="1"/>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I13" i="5"/>
  <c r="J2"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J482" i="5"/>
  <c r="J483" i="5"/>
  <c r="J484" i="5"/>
  <c r="J485" i="5"/>
  <c r="J486" i="5"/>
  <c r="J487" i="5"/>
  <c r="J488" i="5"/>
  <c r="J489" i="5"/>
  <c r="J490" i="5"/>
  <c r="J491" i="5"/>
  <c r="J492"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1072" i="5"/>
  <c r="J1073" i="5"/>
  <c r="J1074" i="5"/>
  <c r="J1075" i="5"/>
  <c r="J1076" i="5"/>
  <c r="J1077" i="5"/>
  <c r="J1078" i="5"/>
  <c r="J1079" i="5"/>
  <c r="J1080" i="5"/>
  <c r="J1081" i="5"/>
  <c r="J1082" i="5"/>
  <c r="J1083" i="5"/>
  <c r="J1084" i="5"/>
  <c r="J1085" i="5"/>
  <c r="J1086"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1117" i="5"/>
  <c r="J1118" i="5"/>
  <c r="J1119" i="5"/>
  <c r="J1120" i="5"/>
  <c r="J1121"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49"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7" i="5"/>
  <c r="J1178" i="5"/>
  <c r="J1179" i="5"/>
  <c r="J1180" i="5"/>
  <c r="J1181" i="5"/>
  <c r="J1182" i="5"/>
  <c r="J1183" i="5"/>
  <c r="J1184" i="5"/>
  <c r="J1185" i="5"/>
  <c r="J1186" i="5"/>
  <c r="J1187" i="5"/>
  <c r="J1188"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4" i="5"/>
  <c r="J1225" i="5"/>
  <c r="J1226" i="5"/>
  <c r="J1227" i="5"/>
  <c r="J1228" i="5"/>
  <c r="J1229" i="5"/>
  <c r="J1230" i="5"/>
  <c r="J1231" i="5"/>
  <c r="J1232" i="5"/>
  <c r="J1233" i="5"/>
  <c r="J1234" i="5"/>
  <c r="J1235" i="5"/>
  <c r="J1236" i="5"/>
  <c r="J1237" i="5"/>
  <c r="J1238" i="5"/>
  <c r="J1239" i="5"/>
  <c r="J1240" i="5"/>
  <c r="J1241" i="5"/>
  <c r="J1242" i="5"/>
  <c r="J1243" i="5"/>
  <c r="J1244" i="5"/>
  <c r="J1245" i="5"/>
  <c r="J1246" i="5"/>
  <c r="J1247" i="5"/>
  <c r="J1248" i="5"/>
  <c r="J1249" i="5"/>
  <c r="J1250" i="5"/>
  <c r="J1251" i="5"/>
  <c r="J1252" i="5"/>
  <c r="J1253" i="5"/>
  <c r="J1254" i="5"/>
  <c r="J1255" i="5"/>
  <c r="J1256"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4"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3" i="5"/>
  <c r="J1424" i="5"/>
  <c r="J1425" i="5"/>
  <c r="J1426" i="5"/>
  <c r="J1427" i="5"/>
  <c r="J1428" i="5"/>
  <c r="J1429" i="5"/>
  <c r="J1430" i="5"/>
  <c r="J1431" i="5"/>
  <c r="J1432" i="5"/>
  <c r="J1433" i="5"/>
  <c r="J1434" i="5"/>
  <c r="J1435" i="5"/>
  <c r="J1436" i="5"/>
  <c r="J1437" i="5"/>
  <c r="J1438" i="5"/>
  <c r="J1439" i="5"/>
  <c r="J1440" i="5"/>
  <c r="J1441" i="5"/>
  <c r="J1442" i="5"/>
  <c r="J1443" i="5"/>
  <c r="J1444" i="5"/>
  <c r="J1445" i="5"/>
  <c r="J1446" i="5"/>
  <c r="J1447" i="5"/>
  <c r="J1448" i="5"/>
  <c r="J1449" i="5"/>
  <c r="J1450" i="5"/>
  <c r="J1451" i="5"/>
  <c r="J1452"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6"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J1502" i="5"/>
  <c r="K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1011" i="5"/>
  <c r="K1012" i="5"/>
  <c r="K1013" i="5"/>
  <c r="K1014" i="5"/>
  <c r="K1015" i="5"/>
  <c r="K1016" i="5"/>
  <c r="K1017" i="5"/>
  <c r="K1018" i="5"/>
  <c r="K1019" i="5"/>
  <c r="K1020" i="5"/>
  <c r="K1021" i="5"/>
  <c r="K1022" i="5"/>
  <c r="K1023" i="5"/>
  <c r="K1024" i="5"/>
  <c r="K1025" i="5"/>
  <c r="K1026" i="5"/>
  <c r="K1027" i="5"/>
  <c r="K1028" i="5"/>
  <c r="K1029" i="5"/>
  <c r="K1030" i="5"/>
  <c r="K1031" i="5"/>
  <c r="K1032" i="5"/>
  <c r="K1033" i="5"/>
  <c r="K1034" i="5"/>
  <c r="K1035" i="5"/>
  <c r="K1036" i="5"/>
  <c r="K1037" i="5"/>
  <c r="K1038" i="5"/>
  <c r="K1039" i="5"/>
  <c r="K1040" i="5"/>
  <c r="K1041" i="5"/>
  <c r="K1042" i="5"/>
  <c r="K1043" i="5"/>
  <c r="K1044" i="5"/>
  <c r="K1045" i="5"/>
  <c r="K1046" i="5"/>
  <c r="K1047" i="5"/>
  <c r="K1048" i="5"/>
  <c r="K1049" i="5"/>
  <c r="K1050" i="5"/>
  <c r="K1051" i="5"/>
  <c r="K1052" i="5"/>
  <c r="K1053" i="5"/>
  <c r="K1054" i="5"/>
  <c r="K1055" i="5"/>
  <c r="K1056" i="5"/>
  <c r="K1057" i="5"/>
  <c r="K1058" i="5"/>
  <c r="K1059" i="5"/>
  <c r="K1060" i="5"/>
  <c r="K1061" i="5"/>
  <c r="K1062" i="5"/>
  <c r="K1063" i="5"/>
  <c r="K1064" i="5"/>
  <c r="K1065" i="5"/>
  <c r="K1066" i="5"/>
  <c r="K1067" i="5"/>
  <c r="K1068" i="5"/>
  <c r="K1069" i="5"/>
  <c r="K1070" i="5"/>
  <c r="K1071" i="5"/>
  <c r="K1072" i="5"/>
  <c r="K1073" i="5"/>
  <c r="K1074" i="5"/>
  <c r="K1075" i="5"/>
  <c r="K1076" i="5"/>
  <c r="K1077" i="5"/>
  <c r="K1078" i="5"/>
  <c r="K1079" i="5"/>
  <c r="K1080" i="5"/>
  <c r="K1081" i="5"/>
  <c r="K1082" i="5"/>
  <c r="K1083" i="5"/>
  <c r="K1084" i="5"/>
  <c r="K1085" i="5"/>
  <c r="K1086" i="5"/>
  <c r="K1087" i="5"/>
  <c r="K1088" i="5"/>
  <c r="K1089" i="5"/>
  <c r="K1090" i="5"/>
  <c r="K1091" i="5"/>
  <c r="K1092" i="5"/>
  <c r="K1093" i="5"/>
  <c r="K1094" i="5"/>
  <c r="K1095" i="5"/>
  <c r="K1096" i="5"/>
  <c r="K1097" i="5"/>
  <c r="K1098" i="5"/>
  <c r="K1099" i="5"/>
  <c r="K1100" i="5"/>
  <c r="K1101" i="5"/>
  <c r="K1102" i="5"/>
  <c r="K1103" i="5"/>
  <c r="K1104" i="5"/>
  <c r="K1105" i="5"/>
  <c r="K1106" i="5"/>
  <c r="K1107" i="5"/>
  <c r="K1108" i="5"/>
  <c r="K1109" i="5"/>
  <c r="K1110" i="5"/>
  <c r="K1111" i="5"/>
  <c r="K1112" i="5"/>
  <c r="K1113" i="5"/>
  <c r="K1114" i="5"/>
  <c r="K1115" i="5"/>
  <c r="K1116" i="5"/>
  <c r="K1117" i="5"/>
  <c r="K1118" i="5"/>
  <c r="K1119" i="5"/>
  <c r="K1120" i="5"/>
  <c r="K1121" i="5"/>
  <c r="K1122" i="5"/>
  <c r="K1123" i="5"/>
  <c r="K1124" i="5"/>
  <c r="K1125" i="5"/>
  <c r="K1126" i="5"/>
  <c r="K1127" i="5"/>
  <c r="K1128" i="5"/>
  <c r="K1129" i="5"/>
  <c r="K1130" i="5"/>
  <c r="K1131" i="5"/>
  <c r="K1132" i="5"/>
  <c r="K1133" i="5"/>
  <c r="K1134" i="5"/>
  <c r="K1135" i="5"/>
  <c r="K1136" i="5"/>
  <c r="K1137" i="5"/>
  <c r="K1138" i="5"/>
  <c r="K1139" i="5"/>
  <c r="K1140" i="5"/>
  <c r="K1141" i="5"/>
  <c r="K1142" i="5"/>
  <c r="K1143" i="5"/>
  <c r="K1144" i="5"/>
  <c r="K1145" i="5"/>
  <c r="K1146" i="5"/>
  <c r="K1147" i="5"/>
  <c r="K1148" i="5"/>
  <c r="K1149" i="5"/>
  <c r="K1150" i="5"/>
  <c r="K1151" i="5"/>
  <c r="K1152" i="5"/>
  <c r="K1153" i="5"/>
  <c r="K1154" i="5"/>
  <c r="K1155" i="5"/>
  <c r="K1156" i="5"/>
  <c r="K1157" i="5"/>
  <c r="K1158" i="5"/>
  <c r="K1159" i="5"/>
  <c r="K1160" i="5"/>
  <c r="K1161" i="5"/>
  <c r="K1162" i="5"/>
  <c r="K1163" i="5"/>
  <c r="K1164" i="5"/>
  <c r="K1165" i="5"/>
  <c r="K1166" i="5"/>
  <c r="K1167" i="5"/>
  <c r="K1168" i="5"/>
  <c r="K1169" i="5"/>
  <c r="K1170" i="5"/>
  <c r="K1171" i="5"/>
  <c r="K1172" i="5"/>
  <c r="K1173" i="5"/>
  <c r="K1174" i="5"/>
  <c r="K1175" i="5"/>
  <c r="K1176" i="5"/>
  <c r="K1177" i="5"/>
  <c r="K1178" i="5"/>
  <c r="K1179" i="5"/>
  <c r="K1180" i="5"/>
  <c r="K1181" i="5"/>
  <c r="K1182" i="5"/>
  <c r="K1183" i="5"/>
  <c r="K1184" i="5"/>
  <c r="K1185" i="5"/>
  <c r="K1186" i="5"/>
  <c r="K1187" i="5"/>
  <c r="K1188" i="5"/>
  <c r="K1189" i="5"/>
  <c r="K1190" i="5"/>
  <c r="K1191" i="5"/>
  <c r="K1192" i="5"/>
  <c r="K1193" i="5"/>
  <c r="K1194" i="5"/>
  <c r="K1195" i="5"/>
  <c r="K1196" i="5"/>
  <c r="K1197" i="5"/>
  <c r="K1198" i="5"/>
  <c r="K1199" i="5"/>
  <c r="K1200" i="5"/>
  <c r="K1201" i="5"/>
  <c r="K1202" i="5"/>
  <c r="K1203" i="5"/>
  <c r="K1204" i="5"/>
  <c r="K1205" i="5"/>
  <c r="K1206" i="5"/>
  <c r="K1207" i="5"/>
  <c r="K1208" i="5"/>
  <c r="K1209" i="5"/>
  <c r="K1210" i="5"/>
  <c r="K1211" i="5"/>
  <c r="K1212" i="5"/>
  <c r="K1213" i="5"/>
  <c r="K1214" i="5"/>
  <c r="K1215" i="5"/>
  <c r="K1216" i="5"/>
  <c r="K1217" i="5"/>
  <c r="K1218" i="5"/>
  <c r="K1219" i="5"/>
  <c r="K1220" i="5"/>
  <c r="K1221" i="5"/>
  <c r="K1222" i="5"/>
  <c r="K1223" i="5"/>
  <c r="K1224" i="5"/>
  <c r="K1225" i="5"/>
  <c r="K1226" i="5"/>
  <c r="K1227" i="5"/>
  <c r="K1228" i="5"/>
  <c r="K1229" i="5"/>
  <c r="K1230" i="5"/>
  <c r="K1231" i="5"/>
  <c r="K1232" i="5"/>
  <c r="K1233" i="5"/>
  <c r="K1234" i="5"/>
  <c r="K1235" i="5"/>
  <c r="K1236" i="5"/>
  <c r="K1237" i="5"/>
  <c r="K1238" i="5"/>
  <c r="K1239" i="5"/>
  <c r="K1240" i="5"/>
  <c r="K1241" i="5"/>
  <c r="K1242" i="5"/>
  <c r="K1243" i="5"/>
  <c r="K1244" i="5"/>
  <c r="K1245" i="5"/>
  <c r="K1246" i="5"/>
  <c r="K1247" i="5"/>
  <c r="K1248" i="5"/>
  <c r="K1249" i="5"/>
  <c r="K1250" i="5"/>
  <c r="K1251" i="5"/>
  <c r="K1252" i="5"/>
  <c r="K1253" i="5"/>
  <c r="K1254" i="5"/>
  <c r="K1255" i="5"/>
  <c r="K1256" i="5"/>
  <c r="K1257" i="5"/>
  <c r="K1258" i="5"/>
  <c r="K1259" i="5"/>
  <c r="K1260" i="5"/>
  <c r="K1261" i="5"/>
  <c r="K1262" i="5"/>
  <c r="K1263" i="5"/>
  <c r="K1264" i="5"/>
  <c r="K1265" i="5"/>
  <c r="K1266" i="5"/>
  <c r="K1267" i="5"/>
  <c r="K1268" i="5"/>
  <c r="K1269" i="5"/>
  <c r="K1270" i="5"/>
  <c r="K1271" i="5"/>
  <c r="K1272" i="5"/>
  <c r="K1273" i="5"/>
  <c r="K1274" i="5"/>
  <c r="K1275" i="5"/>
  <c r="K1276" i="5"/>
  <c r="K1277" i="5"/>
  <c r="K1278" i="5"/>
  <c r="K1279" i="5"/>
  <c r="K1280" i="5"/>
  <c r="K1281" i="5"/>
  <c r="K1282" i="5"/>
  <c r="K1283" i="5"/>
  <c r="K1284" i="5"/>
  <c r="K1285" i="5"/>
  <c r="K1286" i="5"/>
  <c r="K1287" i="5"/>
  <c r="K1288" i="5"/>
  <c r="K1289" i="5"/>
  <c r="K1290" i="5"/>
  <c r="K1291" i="5"/>
  <c r="K1292" i="5"/>
  <c r="K1293" i="5"/>
  <c r="K1294" i="5"/>
  <c r="K1295" i="5"/>
  <c r="K1296" i="5"/>
  <c r="K1297" i="5"/>
  <c r="K1298" i="5"/>
  <c r="K1299" i="5"/>
  <c r="K1300" i="5"/>
  <c r="K1301" i="5"/>
  <c r="K1302" i="5"/>
  <c r="K1303" i="5"/>
  <c r="K1304" i="5"/>
  <c r="K1305" i="5"/>
  <c r="K1306" i="5"/>
  <c r="K1307" i="5"/>
  <c r="K1308" i="5"/>
  <c r="K1309" i="5"/>
  <c r="K1310" i="5"/>
  <c r="K1311" i="5"/>
  <c r="K1312" i="5"/>
  <c r="K1313" i="5"/>
  <c r="K1314" i="5"/>
  <c r="K1315" i="5"/>
  <c r="K1316" i="5"/>
  <c r="K1317" i="5"/>
  <c r="K1318" i="5"/>
  <c r="K1319" i="5"/>
  <c r="K1320" i="5"/>
  <c r="K1321" i="5"/>
  <c r="K1322" i="5"/>
  <c r="K1323" i="5"/>
  <c r="K1324" i="5"/>
  <c r="K1325" i="5"/>
  <c r="K1326" i="5"/>
  <c r="K1327" i="5"/>
  <c r="K1328" i="5"/>
  <c r="K1329" i="5"/>
  <c r="K1330" i="5"/>
  <c r="K1331" i="5"/>
  <c r="K1332" i="5"/>
  <c r="K1333" i="5"/>
  <c r="K1334" i="5"/>
  <c r="K1335" i="5"/>
  <c r="K1336" i="5"/>
  <c r="K1337" i="5"/>
  <c r="K1338" i="5"/>
  <c r="K1339" i="5"/>
  <c r="K1340" i="5"/>
  <c r="K1341" i="5"/>
  <c r="K1342" i="5"/>
  <c r="K1343" i="5"/>
  <c r="K1344" i="5"/>
  <c r="K1345" i="5"/>
  <c r="K1346" i="5"/>
  <c r="K1347" i="5"/>
  <c r="K1348" i="5"/>
  <c r="K1349" i="5"/>
  <c r="K1350" i="5"/>
  <c r="K1351" i="5"/>
  <c r="K1352" i="5"/>
  <c r="K1353" i="5"/>
  <c r="K1354" i="5"/>
  <c r="K1355" i="5"/>
  <c r="K1356" i="5"/>
  <c r="K1357" i="5"/>
  <c r="K1358" i="5"/>
  <c r="K1359" i="5"/>
  <c r="K1360" i="5"/>
  <c r="K1361" i="5"/>
  <c r="K1362" i="5"/>
  <c r="K1363" i="5"/>
  <c r="K1364" i="5"/>
  <c r="K1365" i="5"/>
  <c r="K1366" i="5"/>
  <c r="K1367" i="5"/>
  <c r="K1368" i="5"/>
  <c r="K1369" i="5"/>
  <c r="K1370" i="5"/>
  <c r="K1371" i="5"/>
  <c r="K1372" i="5"/>
  <c r="K1373" i="5"/>
  <c r="K1374" i="5"/>
  <c r="K1375" i="5"/>
  <c r="K1376" i="5"/>
  <c r="K1377" i="5"/>
  <c r="K1378" i="5"/>
  <c r="K1379" i="5"/>
  <c r="K1380" i="5"/>
  <c r="K1381" i="5"/>
  <c r="K1382" i="5"/>
  <c r="K1383" i="5"/>
  <c r="K1384" i="5"/>
  <c r="K1385" i="5"/>
  <c r="K1386" i="5"/>
  <c r="K1387" i="5"/>
  <c r="K1388" i="5"/>
  <c r="K1389" i="5"/>
  <c r="K1390" i="5"/>
  <c r="K1391" i="5"/>
  <c r="K1392" i="5"/>
  <c r="K1393" i="5"/>
  <c r="K1394" i="5"/>
  <c r="K1395" i="5"/>
  <c r="K1396" i="5"/>
  <c r="K1397" i="5"/>
  <c r="K1398" i="5"/>
  <c r="K1399" i="5"/>
  <c r="K1400" i="5"/>
  <c r="K1401" i="5"/>
  <c r="K1402" i="5"/>
  <c r="K1403" i="5"/>
  <c r="K1404" i="5"/>
  <c r="K1405" i="5"/>
  <c r="K1406" i="5"/>
  <c r="K1407" i="5"/>
  <c r="K1408" i="5"/>
  <c r="K1409" i="5"/>
  <c r="K1410" i="5"/>
  <c r="K1411" i="5"/>
  <c r="K1412" i="5"/>
  <c r="K1413" i="5"/>
  <c r="K1414" i="5"/>
  <c r="K1415" i="5"/>
  <c r="K1416" i="5"/>
  <c r="K1417" i="5"/>
  <c r="K1418" i="5"/>
  <c r="K1419" i="5"/>
  <c r="K1420" i="5"/>
  <c r="K1421" i="5"/>
  <c r="K1422" i="5"/>
  <c r="K1423" i="5"/>
  <c r="K1424" i="5"/>
  <c r="K1425" i="5"/>
  <c r="K1426" i="5"/>
  <c r="K1427" i="5"/>
  <c r="K1428" i="5"/>
  <c r="K1429" i="5"/>
  <c r="K1430" i="5"/>
  <c r="K1431" i="5"/>
  <c r="K1432" i="5"/>
  <c r="K1433" i="5"/>
  <c r="K1434" i="5"/>
  <c r="K1435" i="5"/>
  <c r="K1436" i="5"/>
  <c r="K1437" i="5"/>
  <c r="K1438" i="5"/>
  <c r="K1439" i="5"/>
  <c r="K1440" i="5"/>
  <c r="K1441" i="5"/>
  <c r="K1442" i="5"/>
  <c r="K1443" i="5"/>
  <c r="K1444" i="5"/>
  <c r="K1445" i="5"/>
  <c r="K1446" i="5"/>
  <c r="K1447" i="5"/>
  <c r="K1448" i="5"/>
  <c r="K1449" i="5"/>
  <c r="K1450" i="5"/>
  <c r="K1451" i="5"/>
  <c r="K1452" i="5"/>
  <c r="K1453" i="5"/>
  <c r="K1454" i="5"/>
  <c r="K1455" i="5"/>
  <c r="K1456" i="5"/>
  <c r="K1457" i="5"/>
  <c r="K1458" i="5"/>
  <c r="K1459" i="5"/>
  <c r="K1460" i="5"/>
  <c r="K1461" i="5"/>
  <c r="K1462" i="5"/>
  <c r="K1463" i="5"/>
  <c r="K1464" i="5"/>
  <c r="K1465" i="5"/>
  <c r="K1466" i="5"/>
  <c r="K1467" i="5"/>
  <c r="K1468" i="5"/>
  <c r="K1469" i="5"/>
  <c r="K1470" i="5"/>
  <c r="K1471" i="5"/>
  <c r="K1472" i="5"/>
  <c r="K1473" i="5"/>
  <c r="K1474" i="5"/>
  <c r="K1475" i="5"/>
  <c r="K1476" i="5"/>
  <c r="K1477" i="5"/>
  <c r="K1478" i="5"/>
  <c r="K1479" i="5"/>
  <c r="K1480" i="5"/>
  <c r="K1481" i="5"/>
  <c r="K1482" i="5"/>
  <c r="K1483" i="5"/>
  <c r="K1484" i="5"/>
  <c r="K1485" i="5"/>
  <c r="K1486" i="5"/>
  <c r="K1487" i="5"/>
  <c r="K1488" i="5"/>
  <c r="K1489" i="5"/>
  <c r="K1490" i="5"/>
  <c r="K1491" i="5"/>
  <c r="K1492" i="5"/>
  <c r="K1493" i="5"/>
  <c r="K1494" i="5"/>
  <c r="K1495" i="5"/>
  <c r="K1496" i="5"/>
  <c r="K1497" i="5"/>
  <c r="K1498" i="5"/>
  <c r="K1499" i="5"/>
  <c r="K1500" i="5"/>
  <c r="K1501" i="5"/>
  <c r="K1502" i="5"/>
  <c r="M93" i="1"/>
  <c r="M108" i="1"/>
  <c r="M96" i="1"/>
  <c r="M100" i="1"/>
  <c r="M98" i="1"/>
  <c r="M103" i="1"/>
  <c r="M99" i="1"/>
  <c r="M106" i="1"/>
  <c r="M172" i="1"/>
  <c r="M182" i="1"/>
  <c r="M124" i="1"/>
  <c r="M173" i="1"/>
  <c r="M183" i="1"/>
  <c r="M184" i="1"/>
  <c r="M174" i="1"/>
  <c r="M91" i="1"/>
  <c r="M119" i="1"/>
  <c r="M120" i="1"/>
  <c r="M121" i="1"/>
  <c r="M122" i="1"/>
  <c r="I14" i="5"/>
  <c r="M61" i="1"/>
  <c r="M45" i="1"/>
  <c r="M48" i="1"/>
  <c r="M47" i="1"/>
  <c r="M46" i="1"/>
  <c r="M44" i="1"/>
  <c r="M52" i="1"/>
  <c r="M51" i="1"/>
  <c r="M55" i="1"/>
  <c r="M54" i="1"/>
  <c r="M137" i="1"/>
  <c r="M29" i="1"/>
  <c r="M30" i="1"/>
  <c r="M31" i="1"/>
  <c r="M37" i="1"/>
  <c r="M36" i="1"/>
  <c r="M35" i="1"/>
  <c r="O5" i="9"/>
  <c r="O11" i="9"/>
  <c r="O8" i="9"/>
  <c r="O17" i="9"/>
  <c r="O14" i="9"/>
  <c r="D178" i="9"/>
  <c r="D179" i="9"/>
  <c r="D181" i="9"/>
  <c r="D183" i="9"/>
  <c r="G179" i="9"/>
  <c r="M107" i="1"/>
  <c r="G187" i="9"/>
  <c r="G189" i="9"/>
  <c r="G190" i="9"/>
  <c r="G181" i="9"/>
  <c r="G180" i="9"/>
  <c r="G182" i="9"/>
  <c r="G192" i="9"/>
  <c r="E197" i="9"/>
  <c r="C93" i="9"/>
  <c r="C92" i="9"/>
  <c r="C6" i="9"/>
  <c r="D6" i="9"/>
  <c r="E6" i="9"/>
  <c r="C7" i="9"/>
  <c r="D7" i="9"/>
  <c r="E7" i="9"/>
  <c r="C8" i="9"/>
  <c r="D8" i="9"/>
  <c r="E8" i="9"/>
  <c r="C9" i="9"/>
  <c r="D9" i="9"/>
  <c r="E9" i="9"/>
  <c r="C10" i="9"/>
  <c r="D10" i="9"/>
  <c r="E10" i="9"/>
  <c r="C11" i="9"/>
  <c r="D11" i="9"/>
  <c r="E11" i="9"/>
  <c r="C12" i="9"/>
  <c r="D12" i="9"/>
  <c r="E12" i="9"/>
  <c r="C13" i="9"/>
  <c r="D13" i="9"/>
  <c r="E13" i="9"/>
  <c r="C14" i="9"/>
  <c r="D14" i="9"/>
  <c r="E14" i="9"/>
  <c r="C15" i="9"/>
  <c r="D15" i="9"/>
  <c r="E15" i="9"/>
  <c r="C16" i="9"/>
  <c r="D16" i="9"/>
  <c r="E16" i="9"/>
  <c r="C17" i="9"/>
  <c r="D17" i="9"/>
  <c r="E17" i="9"/>
  <c r="C18" i="9"/>
  <c r="D18" i="9"/>
  <c r="E18" i="9"/>
  <c r="C19" i="9"/>
  <c r="D19" i="9"/>
  <c r="E19" i="9"/>
  <c r="C20" i="9"/>
  <c r="D20" i="9"/>
  <c r="E20" i="9"/>
  <c r="C21" i="9"/>
  <c r="D21" i="9"/>
  <c r="E21" i="9"/>
  <c r="C22" i="9"/>
  <c r="D22" i="9"/>
  <c r="E22" i="9"/>
  <c r="C23" i="9"/>
  <c r="D23" i="9"/>
  <c r="E23" i="9"/>
  <c r="C24" i="9"/>
  <c r="D24" i="9"/>
  <c r="E24" i="9"/>
  <c r="C25" i="9"/>
  <c r="D25" i="9"/>
  <c r="E25" i="9"/>
  <c r="C26" i="9"/>
  <c r="D26" i="9"/>
  <c r="E26" i="9"/>
  <c r="C27" i="9"/>
  <c r="D27" i="9"/>
  <c r="E27" i="9"/>
  <c r="C28" i="9"/>
  <c r="D28" i="9"/>
  <c r="E28" i="9"/>
  <c r="C29" i="9"/>
  <c r="D29" i="9"/>
  <c r="E29" i="9"/>
  <c r="C30" i="9"/>
  <c r="D30" i="9"/>
  <c r="E30" i="9"/>
  <c r="C31" i="9"/>
  <c r="D31" i="9"/>
  <c r="E31" i="9"/>
  <c r="C32" i="9"/>
  <c r="D32" i="9"/>
  <c r="E32" i="9"/>
  <c r="C33" i="9"/>
  <c r="D33" i="9"/>
  <c r="E33" i="9"/>
  <c r="C34" i="9"/>
  <c r="D34" i="9"/>
  <c r="E34" i="9"/>
  <c r="C35" i="9"/>
  <c r="D35" i="9"/>
  <c r="E35" i="9"/>
  <c r="C36" i="9"/>
  <c r="D36" i="9"/>
  <c r="E36" i="9"/>
  <c r="C37" i="9"/>
  <c r="D37" i="9"/>
  <c r="E37" i="9"/>
  <c r="C38" i="9"/>
  <c r="D38" i="9"/>
  <c r="E38" i="9"/>
  <c r="C39" i="9"/>
  <c r="D39" i="9"/>
  <c r="E39" i="9"/>
  <c r="C40" i="9"/>
  <c r="D40" i="9"/>
  <c r="E40" i="9"/>
  <c r="C41" i="9"/>
  <c r="D41" i="9"/>
  <c r="E41" i="9"/>
  <c r="C42" i="9"/>
  <c r="D42" i="9"/>
  <c r="E42" i="9"/>
  <c r="C43" i="9"/>
  <c r="D43" i="9"/>
  <c r="E43" i="9"/>
  <c r="E44" i="9"/>
  <c r="F59"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60" i="9"/>
  <c r="F62" i="9"/>
  <c r="I6" i="9"/>
  <c r="J6" i="9"/>
  <c r="K6" i="9"/>
  <c r="I7" i="9"/>
  <c r="J7" i="9"/>
  <c r="K7" i="9"/>
  <c r="I8" i="9"/>
  <c r="J8" i="9"/>
  <c r="K8" i="9"/>
  <c r="I9" i="9"/>
  <c r="J9" i="9"/>
  <c r="K9" i="9"/>
  <c r="I10" i="9"/>
  <c r="J10" i="9"/>
  <c r="K10" i="9"/>
  <c r="I11" i="9"/>
  <c r="J11" i="9"/>
  <c r="K11" i="9"/>
  <c r="I12" i="9"/>
  <c r="J12" i="9"/>
  <c r="K12" i="9"/>
  <c r="I13" i="9"/>
  <c r="J13" i="9"/>
  <c r="K13" i="9"/>
  <c r="I14" i="9"/>
  <c r="J14" i="9"/>
  <c r="K14" i="9"/>
  <c r="I15" i="9"/>
  <c r="J15" i="9"/>
  <c r="K15" i="9"/>
  <c r="I16" i="9"/>
  <c r="J16" i="9"/>
  <c r="K16" i="9"/>
  <c r="I17" i="9"/>
  <c r="J17" i="9"/>
  <c r="K17" i="9"/>
  <c r="I18" i="9"/>
  <c r="J18" i="9"/>
  <c r="K18" i="9"/>
  <c r="I19" i="9"/>
  <c r="J19" i="9"/>
  <c r="K19" i="9"/>
  <c r="I20" i="9"/>
  <c r="J20" i="9"/>
  <c r="K20" i="9"/>
  <c r="I21" i="9"/>
  <c r="J21" i="9"/>
  <c r="K21" i="9"/>
  <c r="I22" i="9"/>
  <c r="J22" i="9"/>
  <c r="K22" i="9"/>
  <c r="I23" i="9"/>
  <c r="J23" i="9"/>
  <c r="K23" i="9"/>
  <c r="I24" i="9"/>
  <c r="J24" i="9"/>
  <c r="K24" i="9"/>
  <c r="I25" i="9"/>
  <c r="J25" i="9"/>
  <c r="K25" i="9"/>
  <c r="I26" i="9"/>
  <c r="J26" i="9"/>
  <c r="K26" i="9"/>
  <c r="I27" i="9"/>
  <c r="J27" i="9"/>
  <c r="K27" i="9"/>
  <c r="I28" i="9"/>
  <c r="J28" i="9"/>
  <c r="K28" i="9"/>
  <c r="I29" i="9"/>
  <c r="J29" i="9"/>
  <c r="K29" i="9"/>
  <c r="I30" i="9"/>
  <c r="J30" i="9"/>
  <c r="K30" i="9"/>
  <c r="I31" i="9"/>
  <c r="J31" i="9"/>
  <c r="K31" i="9"/>
  <c r="I32" i="9"/>
  <c r="J32" i="9"/>
  <c r="K32" i="9"/>
  <c r="I33" i="9"/>
  <c r="J33" i="9"/>
  <c r="K33" i="9"/>
  <c r="I34" i="9"/>
  <c r="J34" i="9"/>
  <c r="K34" i="9"/>
  <c r="I35" i="9"/>
  <c r="J35" i="9"/>
  <c r="K35" i="9"/>
  <c r="I36" i="9"/>
  <c r="J36" i="9"/>
  <c r="K36" i="9"/>
  <c r="I37" i="9"/>
  <c r="J37" i="9"/>
  <c r="K37" i="9"/>
  <c r="I38" i="9"/>
  <c r="J38" i="9"/>
  <c r="K38" i="9"/>
  <c r="I39" i="9"/>
  <c r="J39" i="9"/>
  <c r="K39" i="9"/>
  <c r="I40" i="9"/>
  <c r="J40" i="9"/>
  <c r="K40" i="9"/>
  <c r="I41" i="9"/>
  <c r="K41" i="9"/>
  <c r="I42" i="9"/>
  <c r="K42" i="9"/>
  <c r="I43" i="9"/>
  <c r="K43" i="9"/>
  <c r="K44" i="9"/>
  <c r="F65" i="9"/>
  <c r="F68" i="9"/>
  <c r="F71" i="9"/>
  <c r="F73" i="9"/>
  <c r="F74" i="9"/>
  <c r="F140" i="9"/>
  <c r="F141" i="9"/>
  <c r="G141" i="9"/>
  <c r="M131" i="1"/>
  <c r="M123" i="1"/>
  <c r="M132" i="1"/>
  <c r="M16" i="1"/>
  <c r="M133" i="1"/>
  <c r="M17" i="1"/>
  <c r="M125" i="1"/>
  <c r="M134" i="1"/>
  <c r="M138" i="1"/>
  <c r="L138" i="1"/>
  <c r="F142" i="9"/>
  <c r="G142" i="9"/>
  <c r="M139" i="1"/>
  <c r="L139" i="1"/>
  <c r="F143" i="9"/>
  <c r="G143" i="9"/>
  <c r="M140" i="1"/>
  <c r="L140" i="1"/>
  <c r="F144" i="9"/>
  <c r="G144" i="9"/>
  <c r="M141" i="1"/>
  <c r="L141" i="1"/>
  <c r="F145" i="9"/>
  <c r="G145" i="9"/>
  <c r="M142" i="1"/>
  <c r="L142" i="1"/>
  <c r="F146" i="9"/>
  <c r="G146" i="9"/>
  <c r="M143" i="1"/>
  <c r="L143" i="1"/>
  <c r="F147" i="9"/>
  <c r="G147" i="9"/>
  <c r="M144" i="1"/>
  <c r="L144" i="1"/>
  <c r="F148" i="9"/>
  <c r="G148" i="9"/>
  <c r="M145" i="1"/>
  <c r="L145" i="1"/>
  <c r="F149" i="9"/>
  <c r="G149" i="9"/>
  <c r="M146" i="1"/>
  <c r="L146" i="1"/>
  <c r="F150" i="9"/>
  <c r="G150" i="9"/>
  <c r="M147" i="1"/>
  <c r="L147" i="1"/>
  <c r="F151" i="9"/>
  <c r="G151" i="9"/>
  <c r="M148" i="1"/>
  <c r="L148" i="1"/>
  <c r="F152" i="9"/>
  <c r="G152" i="9"/>
  <c r="M149" i="1"/>
  <c r="L149" i="1"/>
  <c r="F153" i="9"/>
  <c r="G153" i="9"/>
  <c r="M150" i="1"/>
  <c r="L150" i="1"/>
  <c r="F154" i="9"/>
  <c r="G154" i="9"/>
  <c r="M151" i="1"/>
  <c r="L151" i="1"/>
  <c r="F155" i="9"/>
  <c r="G155" i="9"/>
  <c r="M152" i="1"/>
  <c r="L152" i="1"/>
  <c r="F156" i="9"/>
  <c r="G156" i="9"/>
  <c r="M153" i="1"/>
  <c r="L153" i="1"/>
  <c r="F157" i="9"/>
  <c r="G157" i="9"/>
  <c r="M154" i="1"/>
  <c r="L154" i="1"/>
  <c r="F158" i="9"/>
  <c r="G158" i="9"/>
  <c r="M155" i="1"/>
  <c r="L155" i="1"/>
  <c r="F159" i="9"/>
  <c r="G159" i="9"/>
  <c r="M156" i="1"/>
  <c r="L156" i="1"/>
  <c r="F160" i="9"/>
  <c r="G160" i="9"/>
  <c r="M157" i="1"/>
  <c r="L157" i="1"/>
  <c r="F161" i="9"/>
  <c r="G161" i="9"/>
  <c r="M158" i="1"/>
  <c r="L158" i="1"/>
  <c r="F162" i="9"/>
  <c r="G162" i="9"/>
  <c r="M159" i="1"/>
  <c r="L159" i="1"/>
  <c r="F163" i="9"/>
  <c r="G163" i="9"/>
  <c r="M160" i="1"/>
  <c r="L160" i="1"/>
  <c r="F164" i="9"/>
  <c r="G164" i="9"/>
  <c r="M161" i="1"/>
  <c r="L161" i="1"/>
  <c r="F165" i="9"/>
  <c r="G165" i="9"/>
  <c r="M162" i="1"/>
  <c r="L162" i="1"/>
  <c r="F166" i="9"/>
  <c r="G166"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F61" i="9"/>
  <c r="J41" i="9"/>
  <c r="J42" i="9"/>
  <c r="J43" i="9"/>
  <c r="J44" i="9"/>
  <c r="D44" i="9"/>
  <c r="L16" i="22"/>
  <c r="L18" i="22"/>
  <c r="D100" i="9"/>
  <c r="J27" i="22"/>
  <c r="J28" i="22"/>
  <c r="J29" i="22"/>
  <c r="J26" i="22"/>
  <c r="J25" i="22"/>
  <c r="J24" i="22"/>
  <c r="J23" i="22"/>
  <c r="J22" i="22"/>
  <c r="J21" i="22"/>
  <c r="J20" i="22"/>
  <c r="J19" i="22"/>
  <c r="J18" i="22"/>
  <c r="J17" i="22"/>
  <c r="J16" i="22"/>
  <c r="J15" i="22"/>
  <c r="J3" i="22"/>
  <c r="J4" i="22"/>
  <c r="J5" i="22"/>
  <c r="J6" i="22"/>
  <c r="J7" i="22"/>
  <c r="J8" i="22"/>
  <c r="J9" i="22"/>
  <c r="J10" i="22"/>
  <c r="J11" i="22"/>
  <c r="J12" i="22"/>
  <c r="J13" i="22"/>
  <c r="J2" i="22"/>
  <c r="I15" i="22"/>
  <c r="K15" i="22"/>
  <c r="I16" i="22"/>
  <c r="K16" i="22"/>
  <c r="I17" i="22"/>
  <c r="K17" i="22"/>
  <c r="I18" i="22"/>
  <c r="K18" i="22"/>
  <c r="I19" i="22"/>
  <c r="K19" i="22"/>
  <c r="I20" i="22"/>
  <c r="K20" i="22"/>
  <c r="I21" i="22"/>
  <c r="K21" i="22"/>
  <c r="I22" i="22"/>
  <c r="K22" i="22"/>
  <c r="I23" i="22"/>
  <c r="K23" i="22"/>
  <c r="I24" i="22"/>
  <c r="K24" i="22"/>
  <c r="I25" i="22"/>
  <c r="K25" i="22"/>
  <c r="I26" i="22"/>
  <c r="K26" i="22"/>
  <c r="I27" i="22"/>
  <c r="K27" i="22"/>
  <c r="I28" i="22"/>
  <c r="K28" i="22"/>
  <c r="I29" i="22"/>
  <c r="K29" i="22"/>
  <c r="L29" i="22"/>
  <c r="M194" i="1"/>
  <c r="I2" i="22"/>
  <c r="K2" i="22"/>
  <c r="I3" i="22"/>
  <c r="K3" i="22"/>
  <c r="I4" i="22"/>
  <c r="K4" i="22"/>
  <c r="I5" i="22"/>
  <c r="K5" i="22"/>
  <c r="I6" i="22"/>
  <c r="K6" i="22"/>
  <c r="I7" i="22"/>
  <c r="K7" i="22"/>
  <c r="I8" i="22"/>
  <c r="K8" i="22"/>
  <c r="I9" i="22"/>
  <c r="K9" i="22"/>
  <c r="I10" i="22"/>
  <c r="K10" i="22"/>
  <c r="I11" i="22"/>
  <c r="K11" i="22"/>
  <c r="I12" i="22"/>
  <c r="K12" i="22"/>
  <c r="I13" i="22"/>
  <c r="K13" i="22"/>
  <c r="L13" i="22"/>
  <c r="M193" i="1"/>
  <c r="K14" i="22"/>
  <c r="K30" i="22"/>
  <c r="K31" i="22"/>
  <c r="D197" i="9"/>
  <c r="E199" i="9"/>
  <c r="D189" i="9"/>
  <c r="D190" i="9"/>
  <c r="D187" i="9"/>
  <c r="D188" i="9"/>
  <c r="D191" i="9"/>
  <c r="D192" i="9"/>
  <c r="E200" i="9"/>
  <c r="G188" i="9"/>
  <c r="D180" i="9"/>
  <c r="D182" i="9"/>
  <c r="D202" i="9"/>
  <c r="D201" i="9"/>
  <c r="D200" i="9"/>
  <c r="D199" i="9"/>
  <c r="D184" i="9"/>
  <c r="E5" i="13"/>
  <c r="F5" i="13"/>
  <c r="D5" i="13"/>
  <c r="F200" i="9"/>
  <c r="G200" i="9"/>
  <c r="E198" i="9"/>
  <c r="F198" i="9"/>
  <c r="G198" i="9"/>
  <c r="H200" i="9"/>
  <c r="F199" i="9"/>
  <c r="G199" i="9"/>
  <c r="H199" i="9"/>
  <c r="H198" i="9"/>
  <c r="M199" i="1"/>
  <c r="C140" i="9"/>
  <c r="C141" i="9"/>
  <c r="D141" i="9"/>
  <c r="C142" i="9"/>
  <c r="D142" i="9"/>
  <c r="C143" i="9"/>
  <c r="D143" i="9"/>
  <c r="C144" i="9"/>
  <c r="D144" i="9"/>
  <c r="C146" i="9"/>
  <c r="C147" i="9"/>
  <c r="D147" i="9"/>
  <c r="C148" i="9"/>
  <c r="D148" i="9"/>
  <c r="C149" i="9"/>
  <c r="D149" i="9"/>
  <c r="C150" i="9"/>
  <c r="D150" i="9"/>
  <c r="L123" i="1"/>
  <c r="C151" i="9"/>
  <c r="D151" i="9"/>
  <c r="L124" i="1"/>
  <c r="C152" i="9"/>
  <c r="D152" i="9"/>
  <c r="C153" i="9"/>
  <c r="D153" i="9"/>
  <c r="C154" i="9"/>
  <c r="M126" i="1"/>
  <c r="D154" i="9"/>
  <c r="C155" i="9"/>
  <c r="M127" i="1"/>
  <c r="D155" i="9"/>
  <c r="M128" i="1"/>
  <c r="L128" i="1"/>
  <c r="C156" i="9"/>
  <c r="D156" i="9"/>
  <c r="C158" i="9"/>
  <c r="C159" i="9"/>
  <c r="D159" i="9"/>
  <c r="C160" i="9"/>
  <c r="D160" i="9"/>
  <c r="C161" i="9"/>
  <c r="D161" i="9"/>
  <c r="C162" i="9"/>
  <c r="D162" i="9"/>
  <c r="C90" i="9"/>
  <c r="M67" i="1"/>
  <c r="M71" i="1"/>
  <c r="C84" i="9"/>
  <c r="A3" i="8"/>
  <c r="A4" i="8"/>
  <c r="A5" i="8"/>
  <c r="A6" i="8"/>
  <c r="A7" i="8"/>
  <c r="A8" i="8"/>
  <c r="A9" i="8"/>
  <c r="A10" i="8"/>
  <c r="A11" i="8"/>
  <c r="A12" i="8"/>
  <c r="A13" i="8"/>
  <c r="A14" i="8"/>
  <c r="A15" i="8"/>
  <c r="A16" i="8"/>
  <c r="A17" i="8"/>
  <c r="A18" i="8"/>
  <c r="A19" i="8"/>
  <c r="A20" i="8"/>
  <c r="A21" i="8"/>
  <c r="A22" i="8"/>
  <c r="A23" i="8"/>
  <c r="A24" i="8"/>
  <c r="A25" i="8"/>
  <c r="A26" i="8"/>
  <c r="A2" i="8"/>
  <c r="D55" i="9"/>
  <c r="D52" i="9"/>
  <c r="D53" i="9"/>
  <c r="D54" i="9"/>
  <c r="I2" i="5"/>
  <c r="I3" i="5"/>
  <c r="I4" i="5"/>
  <c r="I5" i="5"/>
  <c r="I6" i="5"/>
  <c r="I7" i="5"/>
  <c r="I8" i="5"/>
  <c r="I9" i="5"/>
  <c r="I10" i="5"/>
  <c r="I11" i="5"/>
  <c r="I12"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D51" i="9"/>
  <c r="D50" i="9"/>
  <c r="D101" i="9"/>
  <c r="D99" i="9"/>
  <c r="C54" i="9"/>
  <c r="C53" i="9"/>
  <c r="C52" i="9"/>
  <c r="C51" i="9"/>
  <c r="D49" i="9"/>
  <c r="C78" i="9"/>
  <c r="C79" i="9"/>
  <c r="E98" i="9"/>
  <c r="D98" i="9"/>
  <c r="G98" i="9"/>
  <c r="C100" i="9"/>
  <c r="C99" i="9"/>
  <c r="C80" i="9"/>
  <c r="E99" i="9"/>
  <c r="G99" i="9"/>
  <c r="E100" i="9"/>
  <c r="G100" i="9"/>
  <c r="E101" i="9"/>
  <c r="G101" i="9"/>
  <c r="F99" i="9"/>
  <c r="F100" i="9"/>
  <c r="F101" i="9"/>
  <c r="F98" i="9"/>
  <c r="L16" i="1"/>
  <c r="L13" i="1"/>
  <c r="L14" i="1"/>
  <c r="L15" i="1"/>
  <c r="M95" i="1"/>
  <c r="M94" i="1"/>
  <c r="M92" i="1"/>
  <c r="M90" i="1"/>
  <c r="M89" i="1"/>
  <c r="A3" i="18"/>
  <c r="A4" i="18"/>
  <c r="A5" i="18"/>
  <c r="A6" i="18"/>
  <c r="A7" i="18"/>
  <c r="A8" i="18"/>
  <c r="A9" i="18"/>
  <c r="A10" i="18"/>
  <c r="A2" i="18"/>
  <c r="A3" i="17"/>
  <c r="A4" i="17"/>
  <c r="A5" i="17"/>
  <c r="A6" i="17"/>
  <c r="A7" i="17"/>
  <c r="A8" i="17"/>
  <c r="A9" i="17"/>
  <c r="A10" i="17"/>
  <c r="A11" i="17"/>
  <c r="A12" i="17"/>
  <c r="A13" i="17"/>
  <c r="A14" i="17"/>
  <c r="A15" i="17"/>
  <c r="A16" i="17"/>
  <c r="A17" i="17"/>
  <c r="A18" i="17"/>
  <c r="A19" i="17"/>
  <c r="A20" i="17"/>
  <c r="A21" i="17"/>
  <c r="A22" i="17"/>
  <c r="A2" i="17"/>
  <c r="O4" i="13"/>
  <c r="N8" i="13"/>
  <c r="K10" i="1"/>
  <c r="M117" i="1"/>
  <c r="C8" i="13"/>
  <c r="O3" i="13"/>
  <c r="M104" i="1"/>
  <c r="M105" i="1"/>
</calcChain>
</file>

<file path=xl/sharedStrings.xml><?xml version="1.0" encoding="utf-8"?>
<sst xmlns="http://schemas.openxmlformats.org/spreadsheetml/2006/main" count="16543" uniqueCount="1968">
  <si>
    <t>Cinder</t>
  </si>
  <si>
    <t>RAID Type</t>
  </si>
  <si>
    <t>RAID 5</t>
  </si>
  <si>
    <t>RAID 5+1</t>
  </si>
  <si>
    <t>RAID 10</t>
  </si>
  <si>
    <t>Disk Type</t>
  </si>
  <si>
    <t>SSD</t>
  </si>
  <si>
    <t>Disk Size</t>
  </si>
  <si>
    <t>Disk Count</t>
  </si>
  <si>
    <t>RAM</t>
  </si>
  <si>
    <t>Hyperthreading</t>
  </si>
  <si>
    <t>HT</t>
  </si>
  <si>
    <t>Disk type</t>
  </si>
  <si>
    <t>RAID type</t>
  </si>
  <si>
    <t>HV Required by RAM</t>
  </si>
  <si>
    <t>HV Required by CPU</t>
  </si>
  <si>
    <t>Physical CPUs per Node</t>
  </si>
  <si>
    <t>Physical Cores per Node</t>
  </si>
  <si>
    <t>Physical Cores per CPU</t>
  </si>
  <si>
    <t>RAM per Node (GB)</t>
  </si>
  <si>
    <t>vCPU</t>
  </si>
  <si>
    <t>Physical CPU Model</t>
  </si>
  <si>
    <t>vCPU Subscription Ratio (X:1)</t>
  </si>
  <si>
    <t>CPU</t>
  </si>
  <si>
    <t>Image</t>
  </si>
  <si>
    <t>INSTANCE DETAILS</t>
  </si>
  <si>
    <t>Server Name</t>
  </si>
  <si>
    <t>Qty.</t>
  </si>
  <si>
    <t>Instance Count</t>
  </si>
  <si>
    <t>(1)  Paste customer sever list into "INSTANCE DETAILS" section.</t>
  </si>
  <si>
    <t>(2)  Fill out values in yellow fields only.</t>
  </si>
  <si>
    <t>(3)  Review results  in "Required Hypervisors".</t>
  </si>
  <si>
    <t>vCPU Consumption</t>
  </si>
  <si>
    <t>Memory Consumption</t>
  </si>
  <si>
    <t>Disk Consumption</t>
  </si>
  <si>
    <t>% Read Operations</t>
  </si>
  <si>
    <t>% Write Operations</t>
  </si>
  <si>
    <t>Overcommit</t>
  </si>
  <si>
    <t>Physical CPU</t>
  </si>
  <si>
    <t>Physical cores</t>
  </si>
  <si>
    <t>Average IO/s required per VM</t>
  </si>
  <si>
    <t>Total IO/s</t>
  </si>
  <si>
    <t>HV Required by IO/s</t>
  </si>
  <si>
    <t>IO/s per Node</t>
  </si>
  <si>
    <t>IO/s per VM</t>
  </si>
  <si>
    <t>Add "x" % to initial size (1.1 = 110%)</t>
  </si>
  <si>
    <t>IO/s (VM count * IO/s per VM required)</t>
  </si>
  <si>
    <t>HV-Name</t>
  </si>
  <si>
    <t>VM-Name</t>
  </si>
  <si>
    <t>HV-vCPU</t>
  </si>
  <si>
    <t>HV-RAM</t>
  </si>
  <si>
    <t>HV-Disk</t>
  </si>
  <si>
    <t>HV-#</t>
  </si>
  <si>
    <t>VM-vCPU</t>
  </si>
  <si>
    <t>VM-RAM</t>
  </si>
  <si>
    <t>VM-Disk</t>
  </si>
  <si>
    <t>Raid Read IO Penalty</t>
  </si>
  <si>
    <t>Raid Write IO Penalty</t>
  </si>
  <si>
    <t>Total Raw IO/s</t>
  </si>
  <si>
    <t>Calculated Read IO/s</t>
  </si>
  <si>
    <t>Calculated Write IO/s</t>
  </si>
  <si>
    <t>Aggregate Total IO/s</t>
  </si>
  <si>
    <t>Physical CPU Speed (GHz)</t>
  </si>
  <si>
    <t>Physical Threads per CPU</t>
  </si>
  <si>
    <t>Physical CPU Cache (MB)</t>
  </si>
  <si>
    <t>Total GHz</t>
  </si>
  <si>
    <t>Physical CPU Bus Speed (GT/s)</t>
  </si>
  <si>
    <t>Total Logical CPUs per Node (+/- HT)</t>
  </si>
  <si>
    <t>Total vCPUs per Node (+ oversubscription)</t>
  </si>
  <si>
    <t>(4)  Optionally assign VMs to hypervisor, email summary, etc.</t>
  </si>
  <si>
    <t>(1) Select hypervisor to size for:</t>
  </si>
  <si>
    <t>(2) Clear data (if necessary)</t>
  </si>
  <si>
    <t>Clear data between runs.</t>
  </si>
  <si>
    <t>Instance Mapping: Hypervisor &lt;- -&gt; Instance</t>
  </si>
  <si>
    <t>(3) Import instances</t>
  </si>
  <si>
    <t>Accounts for multi-quantity</t>
  </si>
  <si>
    <t>(4) Assign</t>
  </si>
  <si>
    <t>instances</t>
  </si>
  <si>
    <t>Cores</t>
  </si>
  <si>
    <t>E5-2690 v3</t>
  </si>
  <si>
    <t>Chassis</t>
  </si>
  <si>
    <t>U240</t>
  </si>
  <si>
    <t>Account Name</t>
  </si>
  <si>
    <t>API Name</t>
  </si>
  <si>
    <t>Instance Name</t>
  </si>
  <si>
    <t>Virtual Cores</t>
  </si>
  <si>
    <t>Memory (MB)</t>
  </si>
  <si>
    <t>Disk (GB)</t>
  </si>
  <si>
    <t>Attached EBS</t>
  </si>
  <si>
    <t>CDN</t>
  </si>
  <si>
    <t>Environments</t>
  </si>
  <si>
    <t>TO Dev</t>
  </si>
  <si>
    <t>TO Prod</t>
  </si>
  <si>
    <t>[DEV]elopment</t>
  </si>
  <si>
    <t>[PROD]uction</t>
  </si>
  <si>
    <t>Price Per Hour</t>
  </si>
  <si>
    <t>All Upfront Effective Price Per Hour 1 Year</t>
  </si>
  <si>
    <t>All Upfront Effective Price Per Hour 3 Year</t>
  </si>
  <si>
    <t>Epic Games, Inc.</t>
  </si>
  <si>
    <t>c3.large</t>
  </si>
  <si>
    <t>maintenance-website-prod07-i-f8c5abab</t>
  </si>
  <si>
    <t>Other</t>
  </si>
  <si>
    <t>Production</t>
  </si>
  <si>
    <t>Common Website (Prod07)</t>
  </si>
  <si>
    <t>m1.small</t>
  </si>
  <si>
    <t>fortnite-public-service-main-gamedev-i-96138dc6</t>
  </si>
  <si>
    <t>Development</t>
  </si>
  <si>
    <t>fortnite-service</t>
  </si>
  <si>
    <t>[DEV]</t>
  </si>
  <si>
    <t>Dev Fortnite Gamedev</t>
  </si>
  <si>
    <t>DEV</t>
  </si>
  <si>
    <t>orderprocessor-batchjob-service-ci-i-8f6a4864</t>
  </si>
  <si>
    <t>orderprocessor-service</t>
  </si>
  <si>
    <t>Dev Service CI (Other)</t>
  </si>
  <si>
    <t>m3.large</t>
  </si>
  <si>
    <t>mongodb-persona-prod06-02</t>
  </si>
  <si>
    <t>Persona Service</t>
  </si>
  <si>
    <t>Dev MongoDB</t>
  </si>
  <si>
    <t>Common Services (Prod06)</t>
  </si>
  <si>
    <t>ut-admin-service-ci-i-acb41c41</t>
  </si>
  <si>
    <t>ut-service</t>
  </si>
  <si>
    <t>Dev Unreal Tournament CI</t>
  </si>
  <si>
    <t>paymentv2-admin-service-stage-i-b25ac3e2</t>
  </si>
  <si>
    <t>Paymentv2 Service</t>
  </si>
  <si>
    <t>Dev Admin Service Load Test</t>
  </si>
  <si>
    <t>Staging</t>
  </si>
  <si>
    <t>shoppingcart-public-service-gamedev-i-beddc454</t>
  </si>
  <si>
    <t>shoppingcart-service</t>
  </si>
  <si>
    <t>Dev Public Service Gamedev</t>
  </si>
  <si>
    <t>pgsql-common-gamedev-03</t>
  </si>
  <si>
    <t>pgsql</t>
  </si>
  <si>
    <t>Dev Common Gamedev</t>
  </si>
  <si>
    <t>m1.large</t>
  </si>
  <si>
    <t>rabbitmq-prod-02</t>
  </si>
  <si>
    <t>Infinity Blade 3</t>
  </si>
  <si>
    <t>m3.medium</t>
  </si>
  <si>
    <t>mongodb-catalogadmin-management02-02</t>
  </si>
  <si>
    <t>Catalogadmin Service</t>
  </si>
  <si>
    <t>Infrastructure and Management</t>
  </si>
  <si>
    <t>pgsql-adminportal-management-03</t>
  </si>
  <si>
    <t>Adminportal</t>
  </si>
  <si>
    <t>m3.xlarge</t>
  </si>
  <si>
    <t>mongodb-entitlement-prod08-01</t>
  </si>
  <si>
    <t>Entitlement Service</t>
  </si>
  <si>
    <t>Entitlement (Prod08)</t>
  </si>
  <si>
    <t>yum-repo-prod-02</t>
  </si>
  <si>
    <t>Infrastructure</t>
  </si>
  <si>
    <t>Yum Repo</t>
  </si>
  <si>
    <t>t2.medium</t>
  </si>
  <si>
    <t>redis-fortnite-publictest-prod12-01</t>
  </si>
  <si>
    <t>Fortnite Service</t>
  </si>
  <si>
    <t>Fortnite</t>
  </si>
  <si>
    <t>mongodb-config-common-ci-01</t>
  </si>
  <si>
    <t>mongodb</t>
  </si>
  <si>
    <t>Dev Common CI</t>
  </si>
  <si>
    <t>mongodb-buildinfo-prod06-03</t>
  </si>
  <si>
    <t>Buildinfo Service</t>
  </si>
  <si>
    <t>m1.medium</t>
  </si>
  <si>
    <t>pgsql-epiccms-03</t>
  </si>
  <si>
    <t>EpicCMS (EpicCMS)</t>
  </si>
  <si>
    <t>Epic CMS</t>
  </si>
  <si>
    <t>sword-service-gamedev-i-67876934</t>
  </si>
  <si>
    <t>sword-service</t>
  </si>
  <si>
    <t>Dev Infinity Blade</t>
  </si>
  <si>
    <t>m3.2xlarge</t>
  </si>
  <si>
    <t>mongodb-account-prod03-04</t>
  </si>
  <si>
    <t>Account Service</t>
  </si>
  <si>
    <t>Account Services (Prod03)</t>
  </si>
  <si>
    <t>pgsql-commentrating-prod06-03</t>
  </si>
  <si>
    <t>Commentrating Service</t>
  </si>
  <si>
    <t>login-service-ci-01</t>
  </si>
  <si>
    <t>login-service</t>
  </si>
  <si>
    <t>t2.small</t>
  </si>
  <si>
    <t>activitystream-admin-service-releaseqa-i-7633289c</t>
  </si>
  <si>
    <t>activitystream-service</t>
  </si>
  <si>
    <t>Dev Admin Service ReleaseQA</t>
  </si>
  <si>
    <t>t1.micro</t>
  </si>
  <si>
    <t>gateway-prod-1e</t>
  </si>
  <si>
    <t>mongodb-entitlement-prod08-04</t>
  </si>
  <si>
    <t>account-public-service-common-gamedev-i-b90266de</t>
  </si>
  <si>
    <t>account-service</t>
  </si>
  <si>
    <t>mariadb-common-gamedev-01</t>
  </si>
  <si>
    <t>mariadb</t>
  </si>
  <si>
    <t>coderedemption-admin-service-stage-i-33b8b619</t>
  </si>
  <si>
    <t>Coderedemption</t>
  </si>
  <si>
    <t>sentry-server-01</t>
  </si>
  <si>
    <t>redis-account01-stage-01</t>
  </si>
  <si>
    <t>mongodb-tigase-releaseqa-02</t>
  </si>
  <si>
    <t>riak-common-gamedev-04</t>
  </si>
  <si>
    <t>riak</t>
  </si>
  <si>
    <t>adminportal-website-ci-i-230a2646</t>
  </si>
  <si>
    <t>adminportal-website</t>
  </si>
  <si>
    <t>Dev Website CI</t>
  </si>
  <si>
    <t>r3.large</t>
  </si>
  <si>
    <t>pgsql-atlassian-ci-02</t>
  </si>
  <si>
    <t>Atlassian Suite</t>
  </si>
  <si>
    <t>rabbitmq-prod-03</t>
  </si>
  <si>
    <t>c3.8xlarge</t>
  </si>
  <si>
    <t>management-03</t>
  </si>
  <si>
    <t>Management Servers</t>
  </si>
  <si>
    <t>entitlement-admin-service-stage-i-9da783cc</t>
  </si>
  <si>
    <t>catalogv2-admin-service-ci-i-236e4509</t>
  </si>
  <si>
    <t>catalogv2-service</t>
  </si>
  <si>
    <t>Dev Admin Service CI</t>
  </si>
  <si>
    <t>mongodb-tigase-prod06-04</t>
  </si>
  <si>
    <t>Tigase</t>
  </si>
  <si>
    <t>redis-prod-02</t>
  </si>
  <si>
    <t>Sword Service</t>
  </si>
  <si>
    <t>commentrating-public-service-ci-i-61731f4a</t>
  </si>
  <si>
    <t>commentrating-service</t>
  </si>
  <si>
    <t>Dev Public Service CI</t>
  </si>
  <si>
    <t>gateway-prod-1a</t>
  </si>
  <si>
    <t>t2.micro</t>
  </si>
  <si>
    <t>wzhou-test-1</t>
  </si>
  <si>
    <t>Unknown</t>
  </si>
  <si>
    <t>DOM-AWS-VA-03.epicops.net</t>
  </si>
  <si>
    <t>mongodb-launcher-prod06-04</t>
  </si>
  <si>
    <t>Launcher Service</t>
  </si>
  <si>
    <t>commentrating-public-service-gamedev-i-72384358</t>
  </si>
  <si>
    <t>elasticsearch-service-stage-03</t>
  </si>
  <si>
    <t>ElasticSearch Common</t>
  </si>
  <si>
    <t>commentrating-admin-service-gamedev-i-7538435f</t>
  </si>
  <si>
    <t>Dev Admin Service Gamedev</t>
  </si>
  <si>
    <t>pgsql-bdr-cluster-common-ci-02</t>
  </si>
  <si>
    <t>riak-common-ci-03</t>
  </si>
  <si>
    <t>mongodb-buildinfo-prod06-01</t>
  </si>
  <si>
    <t>jmeter-lt-04</t>
  </si>
  <si>
    <t>jmeter</t>
  </si>
  <si>
    <t>Dev Service Load Test (Other)</t>
  </si>
  <si>
    <t>fakechase-service-releaseqa-i-53d3ed03</t>
  </si>
  <si>
    <t>fakechase-service</t>
  </si>
  <si>
    <t>Dev Service ReleaseQA (Other)</t>
  </si>
  <si>
    <t>fortnite-admin-servicecron-stage-i-229353ce</t>
  </si>
  <si>
    <t>Dev Fortnite Stage</t>
  </si>
  <si>
    <t>name-server-prod-01</t>
  </si>
  <si>
    <t>publishing-public-service-ci-i-cdb87fe7</t>
  </si>
  <si>
    <t>publishing-service</t>
  </si>
  <si>
    <t>DOM-AWS-VA-02.epicops.net</t>
  </si>
  <si>
    <t>elasticsearch-service-releaseqa-03</t>
  </si>
  <si>
    <t>elasticsearch</t>
  </si>
  <si>
    <t>fnvbulletin-website-ci-i-013713ed</t>
  </si>
  <si>
    <t>fnvbulletin-website</t>
  </si>
  <si>
    <t>Dev Fortnite CI</t>
  </si>
  <si>
    <t>zabbix-mariadb-01</t>
  </si>
  <si>
    <t>Zabbix Servers</t>
  </si>
  <si>
    <t>Dev MariaDB</t>
  </si>
  <si>
    <t>mongodb-buildinfo-prod06-02</t>
  </si>
  <si>
    <t>launcher-admin-service-stage-i-1fb0d04c</t>
  </si>
  <si>
    <t>launcher-service</t>
  </si>
  <si>
    <t>Dev Admin Service Stage</t>
  </si>
  <si>
    <t>redis-account01-releaseqa-02</t>
  </si>
  <si>
    <t>redis</t>
  </si>
  <si>
    <t>Dev Redis</t>
  </si>
  <si>
    <t>mongodb-fortnite-publictest-prod12-04</t>
  </si>
  <si>
    <t>pgsql-common-ci-01</t>
  </si>
  <si>
    <t>redis-fortnite-prod11-02</t>
  </si>
  <si>
    <t>account-public-service-common-ci-i-dfe50e33</t>
  </si>
  <si>
    <t>pgsql-common-releaseqa-02</t>
  </si>
  <si>
    <t>Dev Common ReleaseQA</t>
  </si>
  <si>
    <t>management-limited-02</t>
  </si>
  <si>
    <t>adminportal-website-stage-i-c2f8f592</t>
  </si>
  <si>
    <t>Dev Website Stage</t>
  </si>
  <si>
    <t>persona-public-service-ci-i-d7d066fa</t>
  </si>
  <si>
    <t>persona-service</t>
  </si>
  <si>
    <t>mongodb-common-stage-05</t>
  </si>
  <si>
    <t>Mongodb Common</t>
  </si>
  <si>
    <t>mongodb-common-ci-04</t>
  </si>
  <si>
    <t>c3.2xlarge</t>
  </si>
  <si>
    <t>vbulletin-website-prod04-i-ca0f7699</t>
  </si>
  <si>
    <t>UE Vbulletin</t>
  </si>
  <si>
    <t>VBulletin (Prod04)</t>
  </si>
  <si>
    <t>mongodb-tigase-ci-03</t>
  </si>
  <si>
    <t>pgsql-orderprocessor-ecomprod01-02</t>
  </si>
  <si>
    <t>OrderProcessor Service</t>
  </si>
  <si>
    <t>Ecom (Prod01)</t>
  </si>
  <si>
    <t>c3.4xlarge</t>
  </si>
  <si>
    <t>firstboot-01</t>
  </si>
  <si>
    <t>Firstboot Servers</t>
  </si>
  <si>
    <t>redis-common-releaseqa-02</t>
  </si>
  <si>
    <t>elasticsearch-service-gamedev-02</t>
  </si>
  <si>
    <t>Dev Service Gamedev (Other)</t>
  </si>
  <si>
    <t>orderprocessor-admin-service-stage-i-dad83df0</t>
  </si>
  <si>
    <t>coderedemption-admin-service-releaseqa-i-ed6b60c6</t>
  </si>
  <si>
    <t>coderedemption-service</t>
  </si>
  <si>
    <t>publishing-admin-service-releaseqa-i-fcb90ad1</t>
  </si>
  <si>
    <t>mariadb-galera-cluster-common-ci-02</t>
  </si>
  <si>
    <t>redis-account02-prod03-02</t>
  </si>
  <si>
    <t>apidocs-website-ci-01</t>
  </si>
  <si>
    <t>apidocs-website</t>
  </si>
  <si>
    <t>jmeter-lt-05</t>
  </si>
  <si>
    <t>redis-account01-stage-02</t>
  </si>
  <si>
    <t>mongodb-catalogadmin-management02-04</t>
  </si>
  <si>
    <t>mongodb-common-releaseqa-05</t>
  </si>
  <si>
    <t>mongodb-fortnite-prod11-01</t>
  </si>
  <si>
    <t>fnvbulletin-website-gamedev-i-aba06347</t>
  </si>
  <si>
    <t>fortnite-admin-service-ci-i-0f0864e5</t>
  </si>
  <si>
    <t>entitlement-admin-servicecron-ci-i-6172d941</t>
  </si>
  <si>
    <t>entitlement-service</t>
  </si>
  <si>
    <t>fortnite-public-service-ci-i-e10d9e81</t>
  </si>
  <si>
    <t>launcher-admin-service-releaseqa-i-b754d1e4</t>
  </si>
  <si>
    <t>redis-login-gamedev-02</t>
  </si>
  <si>
    <t>firstboot-02</t>
  </si>
  <si>
    <t>pgsql-payment-ecomprod02-02</t>
  </si>
  <si>
    <t>Ecom (Prod02)</t>
  </si>
  <si>
    <t>docs-website-ci-i-c4406229</t>
  </si>
  <si>
    <t>docs-website</t>
  </si>
  <si>
    <t>mongodb-catalog-prod06-03</t>
  </si>
  <si>
    <t>Catalog Service</t>
  </si>
  <si>
    <t>mongodb-common-gamedev-01</t>
  </si>
  <si>
    <t>shoppingcart-public-service-stage-i-4e80cbb5</t>
  </si>
  <si>
    <t>Shoppingcart Service</t>
  </si>
  <si>
    <t>Dev Public Service Stage</t>
  </si>
  <si>
    <t>mariadb-galera-cluster-common-ci-01</t>
  </si>
  <si>
    <t>account-admin-servicecron-common-gamedev-i-cdd5f323</t>
  </si>
  <si>
    <t>fortnite-admin-service-releaseapproved-gamedev-i-7cc57b51</t>
  </si>
  <si>
    <t>mongodb-common-prod07-03</t>
  </si>
  <si>
    <t>pgsql-atlassian-ci-04</t>
  </si>
  <si>
    <t>mongodb-common-ci-03</t>
  </si>
  <si>
    <t>mariadb-common-ci-03</t>
  </si>
  <si>
    <t>mongodb-launcher-prod06-01</t>
  </si>
  <si>
    <t>mongodb-common-stage-01</t>
  </si>
  <si>
    <t>activitystream-public-service-releaseqa-i-7d322997</t>
  </si>
  <si>
    <t>Dev Public Service ReleaseQA</t>
  </si>
  <si>
    <t>kcontrol1-mgmt-02</t>
  </si>
  <si>
    <t>mongodb-common-gamedev-03</t>
  </si>
  <si>
    <t>mongodb-coderedemption-prod06-04</t>
  </si>
  <si>
    <t>fortnite-admin-servicecron-releaseapproved-gamedev-i-d9c37df4</t>
  </si>
  <si>
    <t>mongodb-buildinfo-prod06-05</t>
  </si>
  <si>
    <t>mongodb-persona-prod06-04</t>
  </si>
  <si>
    <t>launcher-public-service-gamedev-i-e879e0b8</t>
  </si>
  <si>
    <t>entitlement-admin-servicecron-stage-i-05e9d154</t>
  </si>
  <si>
    <t>shoppingcart-admin-service-gamedev-i-d6207ffc</t>
  </si>
  <si>
    <t>mongodb-common-prod07-05</t>
  </si>
  <si>
    <t>redis-launcher-prod06-01</t>
  </si>
  <si>
    <t>redis-account02-prod03-01</t>
  </si>
  <si>
    <t>launcher-admin-service-ci-i-71da3521</t>
  </si>
  <si>
    <t>mongodb-fortnite-prod11-05</t>
  </si>
  <si>
    <t>pgsql-orderprocessor-ecomprod01-03</t>
  </si>
  <si>
    <t>mongodb-prod-01</t>
  </si>
  <si>
    <t>mariadb-common-prod04-01</t>
  </si>
  <si>
    <t>Mariadb Common</t>
  </si>
  <si>
    <t>paymentv2-public-service-releaseqa-i-72304421</t>
  </si>
  <si>
    <t>paymentv2-service</t>
  </si>
  <si>
    <t>catalogadmin-website-ci-i-3f1236d3</t>
  </si>
  <si>
    <t>catalogadmin-website</t>
  </si>
  <si>
    <t>mongodb-coderedemption-prod06-05</t>
  </si>
  <si>
    <t>redis-sword-gamedev-02</t>
  </si>
  <si>
    <t>fortnite-admin-service-main-gamedev-i-564ef005</t>
  </si>
  <si>
    <t>pgsql-atlassian-ci-01</t>
  </si>
  <si>
    <t>fulfillment-admin-service-ci-i-6dce4786</t>
  </si>
  <si>
    <t>fulfillment-service</t>
  </si>
  <si>
    <t>pgsql-adminportal-management-01</t>
  </si>
  <si>
    <t>orion-public-service-stage-i-ba662641</t>
  </si>
  <si>
    <t>nexus-server-01</t>
  </si>
  <si>
    <t>zabbix-java-gateway-01</t>
  </si>
  <si>
    <t>pgsql-epiccms-01</t>
  </si>
  <si>
    <t>redis-fortnite-prod11-01</t>
  </si>
  <si>
    <t>lightswitch-admin-service-stage-i-be145e53</t>
  </si>
  <si>
    <t>Lightswitch Service</t>
  </si>
  <si>
    <t>adminportal-website-stage-i-0a738d5a</t>
  </si>
  <si>
    <t>entitlement-admin-service-releaseqa-i-18d4644b</t>
  </si>
  <si>
    <t>log-management-01</t>
  </si>
  <si>
    <t>Log Management</t>
  </si>
  <si>
    <t>mongodb-launcher-prod06-02</t>
  </si>
  <si>
    <t>redis-account01-releaseqa-01</t>
  </si>
  <si>
    <t>dhendler-test-vm-01</t>
  </si>
  <si>
    <t>redis-account02-stage-02</t>
  </si>
  <si>
    <t>redis-account02-releaseqa-01</t>
  </si>
  <si>
    <t>mariadb-common-prod04-02</t>
  </si>
  <si>
    <t>mongodb-account-prod03-03</t>
  </si>
  <si>
    <t>rabbitmq-common-gamedev-03</t>
  </si>
  <si>
    <t>rabbitmq</t>
  </si>
  <si>
    <t>redis-common-gamedev-02</t>
  </si>
  <si>
    <t>mongodb-tigase-ci-02</t>
  </si>
  <si>
    <t>mongodb-catalog-prod06-01</t>
  </si>
  <si>
    <t>fortnite-website-releaseqa-i-1dd630f1</t>
  </si>
  <si>
    <t>fortnite-website</t>
  </si>
  <si>
    <t>Dev Fortnite ReleaseQA</t>
  </si>
  <si>
    <t>login-service-common-gamedev-i-fb6b5683</t>
  </si>
  <si>
    <t>mariadb-common-ci-02</t>
  </si>
  <si>
    <t>catalogadmin-website-stage-i-fe9a7fd4</t>
  </si>
  <si>
    <t>mongodb-common-ci-05</t>
  </si>
  <si>
    <t>mediawiki-website-prod05-i-f90a73aa</t>
  </si>
  <si>
    <t>Mediawiki</t>
  </si>
  <si>
    <t>MediaWiki (Prod05)</t>
  </si>
  <si>
    <t>ue-website-gamedev-i-5b0d3b7a</t>
  </si>
  <si>
    <t>ue-website</t>
  </si>
  <si>
    <t>Dev UnrealEngine Gamedev</t>
  </si>
  <si>
    <t>mongodb-common-prod07-02</t>
  </si>
  <si>
    <t>persona-admin-service-ci-i-d5d2bc39</t>
  </si>
  <si>
    <t>name-server-prod-03</t>
  </si>
  <si>
    <t>fortnite-public-service-latest-gamedev-i-68283739</t>
  </si>
  <si>
    <t>redis-common-stage-01</t>
  </si>
  <si>
    <t>catalogadmin-website-releaseqa-i-37d88c1c</t>
  </si>
  <si>
    <t>Dev Website ReleaseQA</t>
  </si>
  <si>
    <t>yum-repo-prod-01</t>
  </si>
  <si>
    <t>pgsql-common-ci-02</t>
  </si>
  <si>
    <t>jmeter-lt-11</t>
  </si>
  <si>
    <t>jmeter-lt-13</t>
  </si>
  <si>
    <t>jmeter-lt-15</t>
  </si>
  <si>
    <t>jmeter-lt-17</t>
  </si>
  <si>
    <t>jmeter-lt-19</t>
  </si>
  <si>
    <t>coderedemption-admin-service-gamedev-i-dd4379f7</t>
  </si>
  <si>
    <t>fakepayment-01</t>
  </si>
  <si>
    <t>mongodb-ut-prod10-03</t>
  </si>
  <si>
    <t>UT Service</t>
  </si>
  <si>
    <t>Unreal Tournament</t>
  </si>
  <si>
    <t>redis-fortnite-publictest-prod12-02</t>
  </si>
  <si>
    <t>mongodb-fortnite-prod11-02</t>
  </si>
  <si>
    <t>mongodb-ut-prod10-05</t>
  </si>
  <si>
    <t>mariadb-mediawiki-prod05-02</t>
  </si>
  <si>
    <t>fulfillment-public-service-ci-i-d2da75ff</t>
  </si>
  <si>
    <t>redis-prod-03</t>
  </si>
  <si>
    <t>publishing-public-service-gamedev-i-6092354a</t>
  </si>
  <si>
    <t>orderprocessor-batchjob-service-releaseqa-i-1654d1fc</t>
  </si>
  <si>
    <t>mongodb-tigase-prod06-05</t>
  </si>
  <si>
    <t>redis-buildinfo-prod06-02</t>
  </si>
  <si>
    <t>fnvbulletin-website-stage-i-28a360c4</t>
  </si>
  <si>
    <t>Fortnite Vbulletin</t>
  </si>
  <si>
    <t>mongodb-tigase-stage-02</t>
  </si>
  <si>
    <t>redis-common-gamedev-01</t>
  </si>
  <si>
    <t>mongodb-entitlement-prod08-02</t>
  </si>
  <si>
    <t>paymentv2-admin-service-releaseqa-i-ec3440bf</t>
  </si>
  <si>
    <t>yum-repo-prod-03</t>
  </si>
  <si>
    <t>commentrating-admin-service-ci-i-15d1a93f</t>
  </si>
  <si>
    <t>entitlement-public-service-releaseqa-i-44ac3c14</t>
  </si>
  <si>
    <t>launcher-public-service-ci-i-c6d83796</t>
  </si>
  <si>
    <t>mongodb-tigase-prod06-01</t>
  </si>
  <si>
    <t>activitystream-admin-service-stage-i-c64a2f2a</t>
  </si>
  <si>
    <t>ActivityStream Service</t>
  </si>
  <si>
    <t>mongodb-fortnite-publictest-prod12-03</t>
  </si>
  <si>
    <t>mongodb-friends-prod06-02</t>
  </si>
  <si>
    <t>Friend Service</t>
  </si>
  <si>
    <t>docs-website-gamedev-i-9f722abe</t>
  </si>
  <si>
    <t>Dev Website Gamedev</t>
  </si>
  <si>
    <t>mongodb-fortnite-prod11-03</t>
  </si>
  <si>
    <t>mongodb-tigase-prod06-03</t>
  </si>
  <si>
    <t>i2.2xlarge</t>
  </si>
  <si>
    <t>mongodb-account-prod03-01</t>
  </si>
  <si>
    <t>mariadb-common-prod04-03</t>
  </si>
  <si>
    <t>catalogv2-admin-service-gamedev-i-46c10515</t>
  </si>
  <si>
    <t>elasticsearch-catalog-prod06-02</t>
  </si>
  <si>
    <t>catalogv2-admin-service-stage-i-835c55a9</t>
  </si>
  <si>
    <t>rabbitmq-common-gamedev-01</t>
  </si>
  <si>
    <t>fulfillment-public-service-gamedev-i-e0fb710b</t>
  </si>
  <si>
    <t>pgsql-common-stage-03</t>
  </si>
  <si>
    <t>Postgres Common</t>
  </si>
  <si>
    <t>mongodb-launcher-prod06-05</t>
  </si>
  <si>
    <t>mongodb-tigase-ci-04</t>
  </si>
  <si>
    <t>mongodb-ut-prod10-02</t>
  </si>
  <si>
    <t>mongodb-fortnite-publictest-prod12-05</t>
  </si>
  <si>
    <t>mongodb-tigase-stage-03</t>
  </si>
  <si>
    <t>mongodb-coderedemption-prod06-03</t>
  </si>
  <si>
    <t>redis-account02-releaseqa-02</t>
  </si>
  <si>
    <t>gateway-dev-1a</t>
  </si>
  <si>
    <t>gateway-dev</t>
  </si>
  <si>
    <t>pgsql-common-releaseqa-03</t>
  </si>
  <si>
    <t>mediawiki-website-prod05-i-01e091ea</t>
  </si>
  <si>
    <t>orderprocessor-admin-service-releaseqa-i-8161cdac</t>
  </si>
  <si>
    <t>kcontrol1-mgmt-03</t>
  </si>
  <si>
    <t>mongodb-common-releaseqa-01</t>
  </si>
  <si>
    <t>mongodb-persona-prod06-05</t>
  </si>
  <si>
    <t>mongodb-persona-prod06-03</t>
  </si>
  <si>
    <t>mongodb-account-prod03-02</t>
  </si>
  <si>
    <t>fortnite-public-service-main-gamedev-i-e353eab0</t>
  </si>
  <si>
    <t>subscriptionv2-public-service-ci-i-a95965f8</t>
  </si>
  <si>
    <t>subscriptionv2-service</t>
  </si>
  <si>
    <t>pgsql-payment-ecomprod02-03</t>
  </si>
  <si>
    <t>mariadb-common-ci-01</t>
  </si>
  <si>
    <t>riak-common-gamedev-01</t>
  </si>
  <si>
    <t>mongodb-tigase-releaseqa-04</t>
  </si>
  <si>
    <t>lightswitch-public-service-releaseqa-i-c4307a29</t>
  </si>
  <si>
    <t>lightswitch-service</t>
  </si>
  <si>
    <t>orderprocessor-public-service-releaseqa-i-fa61cdd7</t>
  </si>
  <si>
    <t>paymentv2-admin-service-gamedev-i-9973aac9</t>
  </si>
  <si>
    <t>subscriptionv2-public-service-gamedev-i-30815960</t>
  </si>
  <si>
    <t>mongodb-buildinfo-prod06-04</t>
  </si>
  <si>
    <t>mongodb-tigase-stage-04</t>
  </si>
  <si>
    <t>persona-admin-service-stage-i-50c029bd</t>
  </si>
  <si>
    <t>fortnite-admin-servicecron-latest-gamedev-i-05e13f56</t>
  </si>
  <si>
    <t>launcher-admin-service-gamedev-i-af76cffc</t>
  </si>
  <si>
    <t>fortnite-maintenance-website-prod07-i-249e55c8</t>
  </si>
  <si>
    <t>Fortnite Website</t>
  </si>
  <si>
    <t>pgsql-bdr-cluster-common-ci-03</t>
  </si>
  <si>
    <t>login-service-sword-gamedev-i-ec8b45bc</t>
  </si>
  <si>
    <t>commentrating-admin-service-releaseqa-i-b21e3799</t>
  </si>
  <si>
    <t>mariadb-common-releaseqa-01</t>
  </si>
  <si>
    <t>mongodb-tigase-releaseqa-03</t>
  </si>
  <si>
    <t>orderprocessor-admin-service-ci-i-82120aa9</t>
  </si>
  <si>
    <t>buildinfo-public-service-gamedev-i-706bd223</t>
  </si>
  <si>
    <t>buildinfo-service</t>
  </si>
  <si>
    <t>mongodb-prod-02</t>
  </si>
  <si>
    <t>rabbitmq-common-ci-01</t>
  </si>
  <si>
    <t>paymentv2-public-service-gamedev-i-bd46baee</t>
  </si>
  <si>
    <t>mongodb-prod-03</t>
  </si>
  <si>
    <t>lightswitch-admin-service-releaseqa-i-60f8eb8b</t>
  </si>
  <si>
    <t>redis-account01-prod03-02</t>
  </si>
  <si>
    <t>ocean-admin-service-ci-i-303e1c1b</t>
  </si>
  <si>
    <t>ocean-service</t>
  </si>
  <si>
    <t>publishing-admin-service-gamedev-i-9ee754b3</t>
  </si>
  <si>
    <t>commentrating-public-service-releaseqa-i-78fcd152</t>
  </si>
  <si>
    <t>mongodb-tigase-ci-05</t>
  </si>
  <si>
    <t>vbulletin-website-prod04-i-871d14a9</t>
  </si>
  <si>
    <t>pgsql-common-gamedev-01</t>
  </si>
  <si>
    <t>ut-public-service-ci-i-c20d7291</t>
  </si>
  <si>
    <t>riak-common-ci-05</t>
  </si>
  <si>
    <t>launcher-public-service-releaseqa-i-a154d1f2</t>
  </si>
  <si>
    <t>shoppingcart-public-service-ci-i-423d6e69</t>
  </si>
  <si>
    <t>riak-common-ci-02</t>
  </si>
  <si>
    <t>fulfillment-admin-service-releaseqa-i-796fe754</t>
  </si>
  <si>
    <t>mongodb-common-gamedev-02</t>
  </si>
  <si>
    <t>elasticsearch-service-stage-01</t>
  </si>
  <si>
    <t>catalogv2-admin-service-releaseqa-i-34edba1e</t>
  </si>
  <si>
    <t>zabbix-mariadb-04</t>
  </si>
  <si>
    <t>sword-service-gamedev-i-51f23901</t>
  </si>
  <si>
    <t>gateway-dev-1e</t>
  </si>
  <si>
    <t>elasticsearch-service-ci-01</t>
  </si>
  <si>
    <t>mongodb-common-prod07-04</t>
  </si>
  <si>
    <t>mongodb-tigase-gamedev-02</t>
  </si>
  <si>
    <t>lightswitch-admin-service-ci-i-a4a7b44f</t>
  </si>
  <si>
    <t>paymentv2-admin-service-ci-i-bca20c9c</t>
  </si>
  <si>
    <t>pgsql-subscription-ecomprod01-01</t>
  </si>
  <si>
    <t>SubscriptionV2 Service</t>
  </si>
  <si>
    <t>management-limited-01</t>
  </si>
  <si>
    <t>account-admin-service-stage-i-9e03d1be</t>
  </si>
  <si>
    <t>mariadb-common-stage-01</t>
  </si>
  <si>
    <t>zabbix-server-01</t>
  </si>
  <si>
    <t>publishing-public-service-releaseqa-i-7b369551</t>
  </si>
  <si>
    <t>kcontrol1-mgmt-01</t>
  </si>
  <si>
    <t>redis-launcher-stage-01</t>
  </si>
  <si>
    <t>redis-launcher-prod06-02</t>
  </si>
  <si>
    <t>jmeter-lt-01</t>
  </si>
  <si>
    <t>jmeter-lt-10</t>
  </si>
  <si>
    <t>mongodb-tigase-ci-01</t>
  </si>
  <si>
    <t>lightswitch-public-service-ci-i-6a551f87</t>
  </si>
  <si>
    <t>subscriptionv2-admin-service-ci-i-95eb8579</t>
  </si>
  <si>
    <t>mongodb-tigase-stage-05</t>
  </si>
  <si>
    <t>mongodb-account-prod03-05</t>
  </si>
  <si>
    <t>riak-common-gamedev-02</t>
  </si>
  <si>
    <t>redis-common-ci-01</t>
  </si>
  <si>
    <t>ut-public-service-gamedev-i-be520eee</t>
  </si>
  <si>
    <t>Dev Unreal Tournament Gamedev</t>
  </si>
  <si>
    <t>mariadb-common-gamedev-03</t>
  </si>
  <si>
    <t>adminportal-website-gamedev-i-9c9937e0</t>
  </si>
  <si>
    <t>pgsql-bdr-cluster-common-ci-01</t>
  </si>
  <si>
    <t>elasticsearch-service-gamedev-01</t>
  </si>
  <si>
    <t>mongodb-persona-prod06-01</t>
  </si>
  <si>
    <t>pgsql-commentrating-prod06-02</t>
  </si>
  <si>
    <t>mongodb-catalog-prod06-02</t>
  </si>
  <si>
    <t>fortnite-admin-servicecron-approved-gamedev-i-ed52ecbe</t>
  </si>
  <si>
    <t>rabbitmq-prod-01</t>
  </si>
  <si>
    <t>subscriptionv2-admin-service-stage-i-a96dd4fa</t>
  </si>
  <si>
    <t>mongodb-lightswitch-prod06-01</t>
  </si>
  <si>
    <t>mongodb-friends-prod06-04</t>
  </si>
  <si>
    <t>persona-admin-service-releaseqa-i-d91e7735</t>
  </si>
  <si>
    <t>shoppingcart-admin-service-ci-i-28a1fd02</t>
  </si>
  <si>
    <t>elasticsearch-catalog-prod06-03</t>
  </si>
  <si>
    <t>mongodb-common-gamedev-04</t>
  </si>
  <si>
    <t>mongodb-tigase-releaseqa-05</t>
  </si>
  <si>
    <t>mongodb-tigase-gamedev-05</t>
  </si>
  <si>
    <t>fnvbulletin-website-releaseqa-i-66bd7e8a</t>
  </si>
  <si>
    <t>mongodb-catalogadmin-management02-05</t>
  </si>
  <si>
    <t>friends-public-service-ci-i-4d5e621c</t>
  </si>
  <si>
    <t>friends-service</t>
  </si>
  <si>
    <t>pgsql-common-stage-02</t>
  </si>
  <si>
    <t>uestage-website-epiccms-i-bc48f157</t>
  </si>
  <si>
    <t>UE Website</t>
  </si>
  <si>
    <t>michael-test-01</t>
  </si>
  <si>
    <t>mongodb-friends-prod06-01</t>
  </si>
  <si>
    <t>fortnite-website-releaseqa-i-4c7ceea6</t>
  </si>
  <si>
    <t>mongodb-ut-prod10-04</t>
  </si>
  <si>
    <t>mongodb-tigase-gamedev-03</t>
  </si>
  <si>
    <t>buildinfo-admin-service-releaseqa-i-b0cf53e0</t>
  </si>
  <si>
    <t>pgsql-epiccms-02</t>
  </si>
  <si>
    <t>redis-sword-gamedev-01</t>
  </si>
  <si>
    <t>redis-prod-01</t>
  </si>
  <si>
    <t>buildinfo-public-service-ci-i-c131de91</t>
  </si>
  <si>
    <t>fortnite-admin-servicecron-testing-gamedev-i-461ba516</t>
  </si>
  <si>
    <t>riak-common-gamedev-03</t>
  </si>
  <si>
    <t>mongodb-common-stage-03</t>
  </si>
  <si>
    <t>sphinx-fnvbulletin-prod04-01</t>
  </si>
  <si>
    <t>login-service-common-gamedev-i-cc26ebaa</t>
  </si>
  <si>
    <t>mongodb-tigase-gamedev-04</t>
  </si>
  <si>
    <t>fortnite-website-gamedev-i-9a6398c9</t>
  </si>
  <si>
    <t>mongodb-fortnite-publictest-prod12-02</t>
  </si>
  <si>
    <t>adminportal-website-releaseqa-i-cb5f8fe0</t>
  </si>
  <si>
    <t>activitystream-admin-service-ci-i-1a4845f0</t>
  </si>
  <si>
    <t>jmeter-lt-08</t>
  </si>
  <si>
    <t>c3.xlarge</t>
  </si>
  <si>
    <t>confluence-atlassian-ci-01</t>
  </si>
  <si>
    <t>mongodb-friends-prod06-03</t>
  </si>
  <si>
    <t>mongodb-config-common-ci-03</t>
  </si>
  <si>
    <t>redis-buildinfo-prod06-01</t>
  </si>
  <si>
    <t>elasticsearch-service-releaseqa-02</t>
  </si>
  <si>
    <t>mongodb-fortnite-publictest-prod12-01</t>
  </si>
  <si>
    <t>mariadb-mediawiki-prod05-01</t>
  </si>
  <si>
    <t>account-admin-servicecron-stage-i-12bc1132</t>
  </si>
  <si>
    <t>paymentv2-public-service-ci-i-936a8078</t>
  </si>
  <si>
    <t>gateway-prod-1d</t>
  </si>
  <si>
    <t>fakechase-service-stage-i-7f66752e</t>
  </si>
  <si>
    <t>orderprocessor-public-service-gamedev-i-a963a3fa</t>
  </si>
  <si>
    <t>mongodb-coderedemption-prod06-01</t>
  </si>
  <si>
    <t>epiccms-website-ci-i-014b372f</t>
  </si>
  <si>
    <t>epiccms-website</t>
  </si>
  <si>
    <t>ut-admin-servicecron-gamedev-i-dc0d728f</t>
  </si>
  <si>
    <t>mongodb-tigase-prod06-02</t>
  </si>
  <si>
    <t>mongodb-prod-05</t>
  </si>
  <si>
    <t>pgsql-atlassian-ci-03</t>
  </si>
  <si>
    <t>priceengine-public-service-ci-i-63b48949</t>
  </si>
  <si>
    <t>priceengine-service</t>
  </si>
  <si>
    <t>mongodb-ut-prod10-01</t>
  </si>
  <si>
    <t>fulfillment-admin-service-stage-i-77c97d9c</t>
  </si>
  <si>
    <t>Fulfillment Service</t>
  </si>
  <si>
    <t>zabbix-mariadb-03</t>
  </si>
  <si>
    <t>pgsql-common-releaseqa-01</t>
  </si>
  <si>
    <t>lightswitch-public-service-gamedev-i-0f899ae4</t>
  </si>
  <si>
    <t>mongodb-launcher-prod06-03</t>
  </si>
  <si>
    <t>login-service-sword-gamedev-i-9ec429cd</t>
  </si>
  <si>
    <t>friends-public-service-releaseqa-i-aed2b145</t>
  </si>
  <si>
    <t>mongodb-catalog-prod06-05</t>
  </si>
  <si>
    <t>fortnite-admin-servicecron-playtest-gamedev-i-d61da386</t>
  </si>
  <si>
    <t>elasticsearch-catalog-prod06-01</t>
  </si>
  <si>
    <t>mariadb-common-stage-02</t>
  </si>
  <si>
    <t>mongodb-friends-prod06-05</t>
  </si>
  <si>
    <t>jmeter-lt-12</t>
  </si>
  <si>
    <t>jmeter-lt-14</t>
  </si>
  <si>
    <t>jmeter-lt-16</t>
  </si>
  <si>
    <t>jmeter-lt-18</t>
  </si>
  <si>
    <t>jmeter-lt-20</t>
  </si>
  <si>
    <t>redis-launcher-stage-02</t>
  </si>
  <si>
    <t>entitlement-admin-service-ci-i-b96a59c4</t>
  </si>
  <si>
    <t>ue-website-prod07-i-317ee2dc</t>
  </si>
  <si>
    <t>Unreal Engine</t>
  </si>
  <si>
    <t>activitystream-public-service-gamedev-i-39a2aad3</t>
  </si>
  <si>
    <t>mongodb-common-stage-04</t>
  </si>
  <si>
    <t>orderprocessor-public-service-ci-i-abad0ffb</t>
  </si>
  <si>
    <t>mongodb-coderedemption-prod06-02</t>
  </si>
  <si>
    <t>persona-admin-service-gamedev-i-88f81165</t>
  </si>
  <si>
    <t>fortnite-admin-servicecron-releasetesting-gamedev-i-e9bf01c4</t>
  </si>
  <si>
    <t>mariadb-common-stage-03</t>
  </si>
  <si>
    <t>orderprocessor-admin-service-gamedev-i-f66ad91c</t>
  </si>
  <si>
    <t>redis-common-releaseqa-01</t>
  </si>
  <si>
    <t>fortnite-maintenance-website-prod07-i-5180c0bb</t>
  </si>
  <si>
    <t>mongodb-common-gamedev-05</t>
  </si>
  <si>
    <t>subscriptionv2-admin-service-releaseqa-i-16286246</t>
  </si>
  <si>
    <t>catalogv2-public-service-ci-i-86f254d6</t>
  </si>
  <si>
    <t>subscriptionv2-public-service-stage-i-4458e117</t>
  </si>
  <si>
    <t>fortnite-public-service-releaseapproved-gamedev-i-2269bcc9</t>
  </si>
  <si>
    <t>mongodb-catalogadmin-management02-03</t>
  </si>
  <si>
    <t>slackbot-ci-01</t>
  </si>
  <si>
    <t>slackbot</t>
  </si>
  <si>
    <t>account-public-service-common-gamedev-i-2c58c60d</t>
  </si>
  <si>
    <t>mongodb-fortnite-prod11-04</t>
  </si>
  <si>
    <t>fakechase-01</t>
  </si>
  <si>
    <t>pgsql-common-stage-01</t>
  </si>
  <si>
    <t>fortnitestage-website-epiccms-i-1e6ee6f3</t>
  </si>
  <si>
    <t>DOM-AWS-VA-01.epicops.net</t>
  </si>
  <si>
    <t>rabbitmq-common-gamedev-02</t>
  </si>
  <si>
    <t>catalogv2-public-service-gamedev-i-4dc2061e</t>
  </si>
  <si>
    <t>mariadb-common-gamedev-02</t>
  </si>
  <si>
    <t>orion-admin-service-ci-i-6360ea8f</t>
  </si>
  <si>
    <t>orion-service</t>
  </si>
  <si>
    <t>dave-test-02</t>
  </si>
  <si>
    <t>mariadb-common-releaseqa-03</t>
  </si>
  <si>
    <t>buildinfo-public-service-releaseqa-i-bad24eea</t>
  </si>
  <si>
    <t>mongodb-catalogadmin-management02-01</t>
  </si>
  <si>
    <t>redis-login-gamedev-01</t>
  </si>
  <si>
    <t>pgsql-commentrating-prod06-01</t>
  </si>
  <si>
    <t>mongodb-common-ci-02</t>
  </si>
  <si>
    <t>sphinx-vbulletin-prod04-01</t>
  </si>
  <si>
    <t>redis-common-stage-02</t>
  </si>
  <si>
    <t>rabbitmq-common-ci-03</t>
  </si>
  <si>
    <t>mariadb-galera-cluster-common-ci-03</t>
  </si>
  <si>
    <t>buildinfo-admin-service-gamedev-i-3a68d169</t>
  </si>
  <si>
    <t>coderedemption-public-service-ci-i-9bf473b1</t>
  </si>
  <si>
    <t>jmeter-lt-07</t>
  </si>
  <si>
    <t>publishing-admin-service-ci-i-6819af45</t>
  </si>
  <si>
    <t>mongodb-common-releaseqa-04</t>
  </si>
  <si>
    <t>fortnite-admin-service-releasetesting-gamedev-i-edbf01c0</t>
  </si>
  <si>
    <t>commentrating-admin-service-stage-i-2b7a5101</t>
  </si>
  <si>
    <t>redis-common-ci-02</t>
  </si>
  <si>
    <t>mongodb-entitlement-prod08-05</t>
  </si>
  <si>
    <t>catalogv2-public-service-releaseqa-i-a9317882</t>
  </si>
  <si>
    <t>elasticsearch-service-ci-03</t>
  </si>
  <si>
    <t>redis-account01-prod03-01</t>
  </si>
  <si>
    <t>log-management-02</t>
  </si>
  <si>
    <t>zabbix-server-04</t>
  </si>
  <si>
    <t>mongodb-common-prod07-01</t>
  </si>
  <si>
    <t>fortnite-public-service-releasetesting-gamedev-i-ecbf01c1</t>
  </si>
  <si>
    <t>friends-public-service-gamedev-i-5b0628b0</t>
  </si>
  <si>
    <t>fortnite-admin-service-stage-i-5c9353b0</t>
  </si>
  <si>
    <t>mongodb-tigase-stage-01</t>
  </si>
  <si>
    <t>buildinfo-admin-service-ci-i-2b1f2901</t>
  </si>
  <si>
    <t>elasticsearch-service-ci-02</t>
  </si>
  <si>
    <t>mongodb-catalog-prod06-04</t>
  </si>
  <si>
    <t>mongodb-common-releaseqa-03</t>
  </si>
  <si>
    <t>crucible-atlassian-ci-01</t>
  </si>
  <si>
    <t>riak-common-ci-04</t>
  </si>
  <si>
    <t>pgsql-subscription-ecomprod01-03</t>
  </si>
  <si>
    <t>maintenance-website-prod07-i-f278c0a2</t>
  </si>
  <si>
    <t>mariadb-mediawiki-prod05-03</t>
  </si>
  <si>
    <t>mariadb-common-releaseqa-02</t>
  </si>
  <si>
    <t>paymentv2-public-service-stage-i-57853c04</t>
  </si>
  <si>
    <t>pgsql-common-gamedev-02</t>
  </si>
  <si>
    <t>elasticsearch-service-stage-02</t>
  </si>
  <si>
    <t>coderedemption-admin-service-ci-i-015446ea</t>
  </si>
  <si>
    <t>rabbitmq-common-ci-02</t>
  </si>
  <si>
    <t>coderedemption-public-service-stage-i-85bcb2af</t>
  </si>
  <si>
    <t>lightswitch-admin-service-gamedev-i-365e14db</t>
  </si>
  <si>
    <t>mongodb-prod-04</t>
  </si>
  <si>
    <t>entitlement-public-service-ci-i-87bba7fa</t>
  </si>
  <si>
    <t>riak-common-gamedev-05</t>
  </si>
  <si>
    <t>pgsql-subscription-ecomprod01-02</t>
  </si>
  <si>
    <t>fulfillment-admin-service-gamedev-i-cd8f07e0</t>
  </si>
  <si>
    <t>mongodb-common-ci-01</t>
  </si>
  <si>
    <t>pgsql-common-ci-03</t>
  </si>
  <si>
    <t>orderprocessor-batchjob-service-stage-i-78a75d92</t>
  </si>
  <si>
    <t>ue-website-prod07-i-55bb5e78</t>
  </si>
  <si>
    <t>subscriptionv2-admin-service-gamedev-i-d7835b87</t>
  </si>
  <si>
    <t>mongodb-entitlement-prod08-03</t>
  </si>
  <si>
    <t>activitystream-public-service-ci-i-3f4b46d5</t>
  </si>
  <si>
    <t>mongodb-common-stage-02</t>
  </si>
  <si>
    <t>shoppingcart-admin-service-stage-i-6d250f81</t>
  </si>
  <si>
    <t>jira-atlassian-ci-01</t>
  </si>
  <si>
    <t>priceengine-admin-service-ci-i-60c7f74b</t>
  </si>
  <si>
    <t>fortnite-website-stage-i-b1a8645d</t>
  </si>
  <si>
    <t>mongodb-tigase-releaseqa-01</t>
  </si>
  <si>
    <t>elasticsearch-service-gamedev-03</t>
  </si>
  <si>
    <t>jmeter-lt-02</t>
  </si>
  <si>
    <t>gateway-dev-1d</t>
  </si>
  <si>
    <t>cron-analytics-management-01</t>
  </si>
  <si>
    <t>pgsql-adminportal-management-02</t>
  </si>
  <si>
    <t>entitlement-admin-servicecron-releaseqa-i-80cc7cd3</t>
  </si>
  <si>
    <t>riak-common-ci-01</t>
  </si>
  <si>
    <t>elasticsearch-service-releaseqa-01</t>
  </si>
  <si>
    <t>fortniteprod07-website-epiccms-01</t>
  </si>
  <si>
    <t>pgsql-payment-ecomprod02-01</t>
  </si>
  <si>
    <t>pgsql-orderprocessor-ecomprod01-01</t>
  </si>
  <si>
    <t>redis-account02-stage-01</t>
  </si>
  <si>
    <t>mongodb-config-common-ci-02</t>
  </si>
  <si>
    <t>orion-public-service-ci-i-7b60ea97</t>
  </si>
  <si>
    <t>publishing-admin-service-stage-i-45f538ae</t>
  </si>
  <si>
    <t>Publishing Service</t>
  </si>
  <si>
    <t>mongodb-tigase-gamedev-01</t>
  </si>
  <si>
    <t>name-server-prod-02</t>
  </si>
  <si>
    <t>mongodb-common-releaseqa-02</t>
  </si>
  <si>
    <t>utvbulletin-website-ci-i-85595d69</t>
  </si>
  <si>
    <t>utvbulletin-website</t>
  </si>
  <si>
    <t>vbulletin-website-ci-i-ed535701</t>
  </si>
  <si>
    <t>vbulletin-website</t>
  </si>
  <si>
    <t>vbulletin-website-gamedev-i-d377733f</t>
  </si>
  <si>
    <t>accountportal-website-releaseqa-i-ad2c2841</t>
  </si>
  <si>
    <t>accountportal-website</t>
  </si>
  <si>
    <t>accountportal-website-stage-i-6c90bd97</t>
  </si>
  <si>
    <t>Accountportal</t>
  </si>
  <si>
    <t>mediawiki-website-gamedev-i-81ceca6d</t>
  </si>
  <si>
    <t>mediawiki-website</t>
  </si>
  <si>
    <t>mediawiki-website-ci-i-61c1c58d</t>
  </si>
  <si>
    <t>mediawiki-website-gamedev-i-117e52ea</t>
  </si>
  <si>
    <t>mediawiki-website-ci-i-7e674b85</t>
  </si>
  <si>
    <t>mediawiki-website-stage-i-5fcaceb3</t>
  </si>
  <si>
    <t>mariadb-galera-cluster-gamedev-03</t>
  </si>
  <si>
    <t>mariadb-galera-cluster-gamedev-02</t>
  </si>
  <si>
    <t>mariadb-galera-cluster-gamedev-01</t>
  </si>
  <si>
    <t>michael-ansible-01</t>
  </si>
  <si>
    <t>tracking-website-stage-i-c4e6023e</t>
  </si>
  <si>
    <t>Tracking Website</t>
  </si>
  <si>
    <t>ueprod07v2-website-epiccms-i-f624d60c</t>
  </si>
  <si>
    <t>jsongraphite-env</t>
  </si>
  <si>
    <t>utprod07-website-epiccms-01</t>
  </si>
  <si>
    <t>UT Website</t>
  </si>
  <si>
    <t>management-limited-04</t>
  </si>
  <si>
    <t>chat-public-service-stage-i-53ce15bc</t>
  </si>
  <si>
    <t>Chat Service</t>
  </si>
  <si>
    <t>lightswitch-public-service-stage-i-874e947d</t>
  </si>
  <si>
    <t>accountportal-website-gdc-stage-i-f4b2151b</t>
  </si>
  <si>
    <t>buildinfo-public-service-stage-i-13e648e9</t>
  </si>
  <si>
    <t>survey-public-service-ci-i-7439978e</t>
  </si>
  <si>
    <t>survey-service</t>
  </si>
  <si>
    <t>management-limited-03</t>
  </si>
  <si>
    <t>uestore-website-releaseqa-i-1f64ccf0</t>
  </si>
  <si>
    <t>uestore-website</t>
  </si>
  <si>
    <t>Dev UnrealEngine ReleaseQA</t>
  </si>
  <si>
    <t>uestore-website-releaseqa-i-c51fb43f</t>
  </si>
  <si>
    <t>metrics-sqsd-common-01</t>
  </si>
  <si>
    <t>Launcher Metrics</t>
  </si>
  <si>
    <t>docs-website-stage-i-c547fa3f</t>
  </si>
  <si>
    <t>vbulletin-website-gdc-stage-i-63912c8c</t>
  </si>
  <si>
    <t>priceengine-public-service-stage-i-1940fef6</t>
  </si>
  <si>
    <t>Priceengine Service</t>
  </si>
  <si>
    <t>priceengine-admin-service-stage-i-af2d9755</t>
  </si>
  <si>
    <t>m1.xlarge</t>
  </si>
  <si>
    <t>vistara-management03-01</t>
  </si>
  <si>
    <t>Vistara Mgmt</t>
  </si>
  <si>
    <t>catalogv2-public-service-stage-i-49ee61a6</t>
  </si>
  <si>
    <t>accountportal-website-gdc-stage-i-299d0bd3</t>
  </si>
  <si>
    <t>accountportal-website-releaseqa-i-529a0ca8</t>
  </si>
  <si>
    <t>accountportal-website-gamedev-i-3c9d0bc6</t>
  </si>
  <si>
    <t>accountportal-website-stage-i-26820ac9</t>
  </si>
  <si>
    <t>accountportal-website-gamedev-i-c8870f27</t>
  </si>
  <si>
    <t>accountportal-website-stage-i-418e18bb</t>
  </si>
  <si>
    <t>accountportal-website-gdc-stage-i-e89b1307</t>
  </si>
  <si>
    <t>friends-public-service-stage-i-b91b8e56</t>
  </si>
  <si>
    <t>launcher-public-service-stage-i-4d0a9fa2</t>
  </si>
  <si>
    <t>orderprocessor-public-service-stage-i-b131a45e</t>
  </si>
  <si>
    <t>persona-public-service-stage-i-c432a72b</t>
  </si>
  <si>
    <t>publishing-public-service-stage-i-5e27b2b1</t>
  </si>
  <si>
    <t>vbulletin-website-prod04-i-90db477f</t>
  </si>
  <si>
    <t>vbulletin-website-prod04-i-bc3fa546</t>
  </si>
  <si>
    <t>i2.xlarge</t>
  </si>
  <si>
    <t>elasticsearch-metrics-common-03</t>
  </si>
  <si>
    <t>elasticsearch-metrics-common-01</t>
  </si>
  <si>
    <t>elasticsearch-metrics-common-04</t>
  </si>
  <si>
    <t>elasticsearch-metrics-common-02</t>
  </si>
  <si>
    <t>metrics-poller-common-nicktest</t>
  </si>
  <si>
    <t>aws-dom-test_micro</t>
  </si>
  <si>
    <t>crash-01.aws.epicgames.net</t>
  </si>
  <si>
    <t>metrics-poller-common-01</t>
  </si>
  <si>
    <t>mongodb-chat-prod06-02</t>
  </si>
  <si>
    <t>mongodb-chat-prod06-01</t>
  </si>
  <si>
    <t>mongodb-chat-prod06-03</t>
  </si>
  <si>
    <t>mongodb-chat-prod06-05</t>
  </si>
  <si>
    <t>mongodb-chat-prod06-04</t>
  </si>
  <si>
    <t>ue-website-releaseqa-i-d0067d2a</t>
  </si>
  <si>
    <t>metrics-poller-common-02</t>
  </si>
  <si>
    <t>fortnite-public-service-latest-gamedev-i-ca602025</t>
  </si>
  <si>
    <t>orderprocessor-batchjob-service-gamedev-i-dff0a425</t>
  </si>
  <si>
    <t>ue-website-ci-i-14c29cee</t>
  </si>
  <si>
    <t>Dev UnrealEngine Load Test</t>
  </si>
  <si>
    <t>ue-website-ci-i-8a8eda65</t>
  </si>
  <si>
    <t>tigase-common-prod06-i-48f8ddb2</t>
  </si>
  <si>
    <t>entitlement-public-service-stage-i-a349aa5f</t>
  </si>
  <si>
    <t>ue-website-stage-i-a8ae4c54</t>
  </si>
  <si>
    <t>i-160be6ea</t>
  </si>
  <si>
    <t>tigase-common-stage-i-cfba5333</t>
  </si>
  <si>
    <t>tigase</t>
  </si>
  <si>
    <t>Dev Common Stage</t>
  </si>
  <si>
    <t>tigase-common-stage-i-b596b44f</t>
  </si>
  <si>
    <t>account-public-service-common-ci-i-88251b72</t>
  </si>
  <si>
    <t>account-admin-servicecron-common-ci-i-e86d9614</t>
  </si>
  <si>
    <t>account-admin-service-common-ci-i-6f6f9493</t>
  </si>
  <si>
    <t>ut-website-prod07-i-0657acfa</t>
  </si>
  <si>
    <t>ut-website-prod07-i-5246bdae</t>
  </si>
  <si>
    <t>ut-website-prod07-i-5d0937a7</t>
  </si>
  <si>
    <t>chat-admin-service-ci-i-acb17450</t>
  </si>
  <si>
    <t>chat-service</t>
  </si>
  <si>
    <t>paymentv2-admin-service-ecomprod02-i-299f5ed5</t>
  </si>
  <si>
    <t>paymentv2-admin-service-ecomprod02-i-5090aaaa</t>
  </si>
  <si>
    <t>entitlement-public-service-prod08-i-9a3c3960</t>
  </si>
  <si>
    <t>entitlement-public-service-prod08-i-9b3c3961</t>
  </si>
  <si>
    <t>entitlement-public-service-prod08-i-fe4e8f02</t>
  </si>
  <si>
    <t>entitlement-public-service-prod08-i-f54e8f09</t>
  </si>
  <si>
    <t>launcher-public-service-prod06-i-d873b224</t>
  </si>
  <si>
    <t>launcher-public-service-prod06-i-d073b22c</t>
  </si>
  <si>
    <t>launcher-public-service-prod06-i-60d0d59a</t>
  </si>
  <si>
    <t>launcher-public-service-prod06-i-2fd0d5d5</t>
  </si>
  <si>
    <t>coderedemption-admin-service-prod06-i-49f13db5</t>
  </si>
  <si>
    <t>coderedemption-admin-service-prod06-i-cfe6e735</t>
  </si>
  <si>
    <t>coderedemption-admin-service-prod06-i-a718d45b</t>
  </si>
  <si>
    <t>coderedemption-admin-service-prod06-i-e9fbfa13</t>
  </si>
  <si>
    <t>coderedemption-public-service-prod06-i-fd894601</t>
  </si>
  <si>
    <t>coderedemption-public-service-prod06-i-115b5beb</t>
  </si>
  <si>
    <t>orderprocessor-public-service-ecomprod01-i-f7ca050b</t>
  </si>
  <si>
    <t>chat-admin-service-gamedev-i-c702cd3b</t>
  </si>
  <si>
    <t>orderprocessor-public-service-ecomprod01-i-d115152b</t>
  </si>
  <si>
    <t>chat-admin-service-releaseqa-i-2b32fdd7</t>
  </si>
  <si>
    <t>chat-admin-service-stage-i-cbbdbd31</t>
  </si>
  <si>
    <t>chat-admin-service-prod06-i-b52a394f</t>
  </si>
  <si>
    <t>chat-admin-service-prod06-i-8a0fd676</t>
  </si>
  <si>
    <t>tracking-website-prod07-i-182e81e4</t>
  </si>
  <si>
    <t>buildinfo-admin-service-prod06-i-40b252bd</t>
  </si>
  <si>
    <t>buildinfo-admin-service-prod06-i-f736990b</t>
  </si>
  <si>
    <t>tracking-website-prod07-i-9b826266</t>
  </si>
  <si>
    <t>tracking-website-prod07-i-e4208f18</t>
  </si>
  <si>
    <t>tracking-website-prod07-i-a58d6d58</t>
  </si>
  <si>
    <t>fulfillment-public-service-releaseqa-i-9808a164</t>
  </si>
  <si>
    <t>chat-public-service-prod06-i-00866afd</t>
  </si>
  <si>
    <t>paymentv2-public-service-ecomprod02-i-5768c2ab</t>
  </si>
  <si>
    <t>paymentv2-public-service-ecomprod02-i-393fd3c4</t>
  </si>
  <si>
    <t>fulfillment-admin-service-prod06-i-9c5bf160</t>
  </si>
  <si>
    <t>fulfillment-admin-service-prod06-i-e511fd18</t>
  </si>
  <si>
    <t>fulfillment-admin-service-prod06-i-066b87fb</t>
  </si>
  <si>
    <t>adminportal-website-management-i-4da946b0</t>
  </si>
  <si>
    <t>adminportal-website-management-i-ffec5903</t>
  </si>
  <si>
    <t>orderprocessor-batchjob-service-ecomprod01-i-c3348a3f</t>
  </si>
  <si>
    <t>launcher-admin-service-prod06-i-911aa46d</t>
  </si>
  <si>
    <t>launcher-admin-service-prod06-i-a8728355</t>
  </si>
  <si>
    <t>orderprocessor-admin-service-ecomprod01-i-eae85116</t>
  </si>
  <si>
    <t>orderprocessor-admin-service-ecomprod01-i-24b141d9</t>
  </si>
  <si>
    <t>entitlement-admin-service-prod08-i-44ce33b9</t>
  </si>
  <si>
    <t>entitlement-admin-service-prod08-i-71318b8d</t>
  </si>
  <si>
    <t>entitlement-admin-servicecron-prod08-i-16ff7aea</t>
  </si>
  <si>
    <t>mongodb-priceengine-ecomprod01-03</t>
  </si>
  <si>
    <t>mongodb-priceengine-ecomprod01-04</t>
  </si>
  <si>
    <t>mongodb-priceengine-ecomprod01-02</t>
  </si>
  <si>
    <t>mongodb-priceengine-ecomprod01-05</t>
  </si>
  <si>
    <t>mongodb-priceengine-ecomprod01-01</t>
  </si>
  <si>
    <t>persona-admin-service-prod06-i-98b54965</t>
  </si>
  <si>
    <t>priceengine-admin-service-ecomprod01-i-aaba4657</t>
  </si>
  <si>
    <t>priceengine-public-service-ecomprod01-i-fea62302</t>
  </si>
  <si>
    <t>priceengine-admin-service-ecomprod01-i-1aa722e6</t>
  </si>
  <si>
    <t>priceengine-public-service-ecomprod01-i-a6ba465b</t>
  </si>
  <si>
    <t>fortnite-admin-service-prod11-i-96b7326a</t>
  </si>
  <si>
    <t>persona-admin-service-prod06-i-d9b43125</t>
  </si>
  <si>
    <t>fortnite-admin-service-prod11-i-97a35f6a</t>
  </si>
  <si>
    <t>persona-public-service-prod06-i-0e5adff2</t>
  </si>
  <si>
    <t>persona-public-service-prod06-i-d3fb072e</t>
  </si>
  <si>
    <t>movitech-proxy-02</t>
  </si>
  <si>
    <t>vbulletin-website-releaseqa-i-67e31f9a</t>
  </si>
  <si>
    <t>fortnite-admin-servicecron-prod11-i-db1d9827</t>
  </si>
  <si>
    <t>accountportal-website-releaseqa-i-191a9de5</t>
  </si>
  <si>
    <t>catalogadmin-website-management02-i-31098fcd</t>
  </si>
  <si>
    <t>subscriptionv2-admin-service-ecomprod01-i-1e24a2e2</t>
  </si>
  <si>
    <t>subscriptionv2-public-service-ecomprod01-i-69d82194</t>
  </si>
  <si>
    <t>subscriptionv2-public-service-ecomprod01-i-6f32b493</t>
  </si>
  <si>
    <t>buildinfo-public-service-prod06-i-25d42dd8</t>
  </si>
  <si>
    <t>catalogadmin-website-management02-i-d2d52c2f</t>
  </si>
  <si>
    <t>login-service-prod-i-e59c1232</t>
  </si>
  <si>
    <t>login-service-prod-i-6837b194</t>
  </si>
  <si>
    <t>subscriptionv2-admin-service-ecomprod01-i-19cd34e4</t>
  </si>
  <si>
    <t>login-service-prod-i-10cb32ed</t>
  </si>
  <si>
    <t>buildinfo-public-service-prod06-i-5438bea8</t>
  </si>
  <si>
    <t>docs-website-prod07-i-85d75679</t>
  </si>
  <si>
    <t>Docs Website</t>
  </si>
  <si>
    <t>buildinfo-public-service-prod06-i-8033ca7d</t>
  </si>
  <si>
    <t>catalog-admin-service-prod06-i-c2d1503e</t>
  </si>
  <si>
    <t>buildinfo-public-service-prod06-i-12d554ee</t>
  </si>
  <si>
    <t>catalog-public-service-prod06-i-ca22db37</t>
  </si>
  <si>
    <t>accountportal-website-prod07-i-b5ef6e49</t>
  </si>
  <si>
    <t>buildinfo-public-service-prod06-i-5ae362a6</t>
  </si>
  <si>
    <t>buildinfo-public-service-prod06-i-56df5eaa</t>
  </si>
  <si>
    <t>catalog-admin-service-prod06-i-591ae3a4</t>
  </si>
  <si>
    <t>buildinfo-public-service-prod06-i-4f0cf5b2</t>
  </si>
  <si>
    <t>docs-website-prod07-i-2b0ff6d6</t>
  </si>
  <si>
    <t>buildinfo-public-service-prod06-i-fc778e01</t>
  </si>
  <si>
    <t>buildinfo-public-service-prod06-i-6d758c90</t>
  </si>
  <si>
    <t>buildinfo-public-service-prod06-i-989b1a64</t>
  </si>
  <si>
    <t>commentrating-public-service-prod06-i-a848b155</t>
  </si>
  <si>
    <t>commentrating-public-service-prod06-i-cdb23331</t>
  </si>
  <si>
    <t>commentrating-admin-service-prod06-i-9f45c463</t>
  </si>
  <si>
    <t>lightswitch-admin-service-prod06-i-d0be3f2c</t>
  </si>
  <si>
    <t>commentrating-admin-service-prod06-i-e347be1e</t>
  </si>
  <si>
    <t>lightswitch-admin-service-prod06-i-84bc4479</t>
  </si>
  <si>
    <t>fortnite-admin-service-publictest-prod12-i-a8a15955</t>
  </si>
  <si>
    <t>lightswitch-public-service-prod06-i-069068fb</t>
  </si>
  <si>
    <t>fortnite-admin-servicecron-publictest-prod12-i-2b8179d6</t>
  </si>
  <si>
    <t>lightswitch-public-service-prod06-i-487bfab4</t>
  </si>
  <si>
    <t>catalog-public-service-prod06-i-741f9e88</t>
  </si>
  <si>
    <t>catalog-public-service-prod06-i-fbdf2706</t>
  </si>
  <si>
    <t>catalog-public-service-prod06-i-5d2faea1</t>
  </si>
  <si>
    <t>sword-service-prod-i-a4c64658</t>
  </si>
  <si>
    <t>sword-service-prod-i-75dc54a2</t>
  </si>
  <si>
    <t>sword-service-prod-i-8122da7c</t>
  </si>
  <si>
    <t>fnvbulletin-website-prod04-i-1d05fde0</t>
  </si>
  <si>
    <t>fnvbulletin-website-prod04-i-988d0d64</t>
  </si>
  <si>
    <t>account-admin-servicecron-prod03-i-d17e862c</t>
  </si>
  <si>
    <t>fortnite-public-service-prod11-i-0f9f1ff3</t>
  </si>
  <si>
    <t>fortnite-public-service-prod11-i-7d5aa280</t>
  </si>
  <si>
    <t>account-admin-service-prod03-i-d950a824</t>
  </si>
  <si>
    <t>account-admin-service-prod03-i-23bb3bdf</t>
  </si>
  <si>
    <t>vbulletin-website-stage-i-8e42ba73</t>
  </si>
  <si>
    <t>mediawiki-website-gdc-stage-i-d543c329</t>
  </si>
  <si>
    <t>fortnite-public-service-stage-i-5b45bda6</t>
  </si>
  <si>
    <t>account-admin-service-prod03-i-95b64d68</t>
  </si>
  <si>
    <t>account-admin-service-prod03-i-4149c9bd</t>
  </si>
  <si>
    <t>fortnite-public-service-publictest-prod12-i-8d58d871</t>
  </si>
  <si>
    <t>fortnite-public-service-publictest-prod12-i-71a05b8c</t>
  </si>
  <si>
    <t>account-public-service-prod03-i-cc018130</t>
  </si>
  <si>
    <t>account-public-service-prod03-i-e0f50e1d</t>
  </si>
  <si>
    <t>account-public-service-prod03-i-7d0c8c81</t>
  </si>
  <si>
    <t>account-public-service-prod03-i-afed1652</t>
  </si>
  <si>
    <t>friends-public-service-prod06-i-f5b67308</t>
  </si>
  <si>
    <t>friends-public-service-prod06-i-83098b7f</t>
  </si>
  <si>
    <t>fulfillment-public-service-prod06-i-dda36720</t>
  </si>
  <si>
    <t>account-service-ci-i-b98e0245</t>
  </si>
  <si>
    <t>mediawiki-website-releaseqa-i-237af5df</t>
  </si>
  <si>
    <t>mediawiki-website-releaseqa-i-21ba7cdc</t>
  </si>
  <si>
    <t>utvbulletin-website-prod04-i-f32efc0e</t>
  </si>
  <si>
    <t>UT Vbulletin</t>
  </si>
  <si>
    <t>utvbulletin-website-prod04-i-ed2efc10</t>
  </si>
  <si>
    <t>utvbulletin-website-prod04-i-588a10a4</t>
  </si>
  <si>
    <t>utvbulletin-website-prod04-i-598a10a5</t>
  </si>
  <si>
    <t>fortnite-website-prod07-i-e2bb641f</t>
  </si>
  <si>
    <t>sphinx-utvbulletin-prod04-01v2</t>
  </si>
  <si>
    <t>ue-website-prod07-i-394e96c4</t>
  </si>
  <si>
    <t>teamcity-agent-ci-10</t>
  </si>
  <si>
    <t>survey-public-service-gamedev-i-6b563497</t>
  </si>
  <si>
    <t>survey-public-service-releaseqa-i-bc5d8741</t>
  </si>
  <si>
    <t>mongodb-survey-prod06-05</t>
  </si>
  <si>
    <t>mongodb-survey-prod06-02</t>
  </si>
  <si>
    <t>mongodb-survey-prod06-03</t>
  </si>
  <si>
    <t>mongodb-survey-prod06-04</t>
  </si>
  <si>
    <t>mongodb-survey-prod06-01</t>
  </si>
  <si>
    <t>survey-public-service-prod06-i-9a73d667</t>
  </si>
  <si>
    <t>survey-public-service-prod06-i-a064095c</t>
  </si>
  <si>
    <t>survey-public-service-stage-i-5c298ca1</t>
  </si>
  <si>
    <t>teamcity-agent-ci-11</t>
  </si>
  <si>
    <t>team-service-ci-i-f50daf08</t>
  </si>
  <si>
    <t>team-service</t>
  </si>
  <si>
    <t>i-de8f2223</t>
  </si>
  <si>
    <t>team-service-gamedev-i-d1b9c72d</t>
  </si>
  <si>
    <t>team-service-gamedev-i-f90fbf04</t>
  </si>
  <si>
    <t>fortnite-admin-service-testing-stage-i-a4e9ad58</t>
  </si>
  <si>
    <t>fortnite-admin-servicecron-testing-stage-i-07e8acfb</t>
  </si>
  <si>
    <t>fortnite-public-service-testing-stage-i-ffe45c02</t>
  </si>
  <si>
    <t>jmxtrans-poller-common-01</t>
  </si>
  <si>
    <t>fortnite-website-ci-i-f0713e0c</t>
  </si>
  <si>
    <t>fortnite-website-ci-i-fca32301</t>
  </si>
  <si>
    <t>pgsql-team-lt-03</t>
  </si>
  <si>
    <t>Dev Postgres SQL</t>
  </si>
  <si>
    <t>pgsql-team-lt-02</t>
  </si>
  <si>
    <t>pgsql-team-lt-01</t>
  </si>
  <si>
    <t>orion-admin-service-main-gamedev-i-4a3abab7</t>
  </si>
  <si>
    <t>mongodb-team-lt-04</t>
  </si>
  <si>
    <t>mongodb-team-lt-05</t>
  </si>
  <si>
    <t>mongodb-team-lt-02</t>
  </si>
  <si>
    <t>mongodb-team-lt-01</t>
  </si>
  <si>
    <t>mongodb-team-lt-03</t>
  </si>
  <si>
    <t>orion-public-service-main-gamedev-i-7b387687</t>
  </si>
  <si>
    <t>orion-admin-service-latest-gamedev-i-699c1f94</t>
  </si>
  <si>
    <t>orion-public-service-latest-gamedev-i-6e9c1f93</t>
  </si>
  <si>
    <t>team-service-releaseqa-i-5d48c5a0</t>
  </si>
  <si>
    <t>team-service-releaseqa-i-547e36a8</t>
  </si>
  <si>
    <t>fortnite-admin-service-publictest-prod12-i-df014a23</t>
  </si>
  <si>
    <t>team-service-ci-i-695b0b95</t>
  </si>
  <si>
    <t>orion-public-service-testing-gamedev-i-bf871342</t>
  </si>
  <si>
    <t>orion-admin-service-testing-gamedev-i-86510c7a</t>
  </si>
  <si>
    <t>orion-admin-service-approved-gamedev-i-b98a1e44</t>
  </si>
  <si>
    <t>orion-public-service-approved-gamedev-i-b1d7404c</t>
  </si>
  <si>
    <t>ut-website-ci-i-e2570b1e</t>
  </si>
  <si>
    <t>ut-website</t>
  </si>
  <si>
    <t>fulfillment-public-service-stage-i-fed78e02</t>
  </si>
  <si>
    <t>fortnite-admin-servicecron-ci-i-90c79e6c</t>
  </si>
  <si>
    <t>buildinfo-admin-service-stage-i-a2c1985e</t>
  </si>
  <si>
    <t>account-public-service-releaseqa-i-dffba223</t>
  </si>
  <si>
    <t>coderedemption-public-service-releaseqa-i-32c29bce</t>
  </si>
  <si>
    <t>coderedemption-public-service-gamedev-i-19ca93e5</t>
  </si>
  <si>
    <t>tigase-common-ci-i-4bb525b6</t>
  </si>
  <si>
    <t>buildinfo-admin-service-gamedev-i-4f8e1eb2</t>
  </si>
  <si>
    <t>tigase-common-ci-i-b7f6af4b</t>
  </si>
  <si>
    <t>account-admin-service-common-ci-i-1e849ac9</t>
  </si>
  <si>
    <t>chat-public-service-ci-i-79bee585</t>
  </si>
  <si>
    <t>tracking-website-ci-i-14e577e9</t>
  </si>
  <si>
    <t>tracking-website</t>
  </si>
  <si>
    <t>publishing-website-ci-i-7bbf2186</t>
  </si>
  <si>
    <t>publishing-website</t>
  </si>
  <si>
    <t>datarouter-public-service-ci-i-cb210037</t>
  </si>
  <si>
    <t>datarouter-service</t>
  </si>
  <si>
    <t>datarouter-public-service-ci-i-94c95069</t>
  </si>
  <si>
    <t>pgsql-ut-prod10-03</t>
  </si>
  <si>
    <t>pgsql-ut-prod10-01</t>
  </si>
  <si>
    <t>pgsql-ut-prod10-02</t>
  </si>
  <si>
    <t>receipt-admin-service-ci-i-8375ec7e</t>
  </si>
  <si>
    <t>receipt-public-service-ci-i-53577baf</t>
  </si>
  <si>
    <t>fortnite-admin-service-approved-gamedev-i-6d187c90</t>
  </si>
  <si>
    <t>fortnite-admin-service-approved-gamedev-i-dc1e3120</t>
  </si>
  <si>
    <t>fortnite-admin-service-latest-gamedev-i-d343272e</t>
  </si>
  <si>
    <t>fortnite-admin-service-latest-gamedev-i-c4f0df38</t>
  </si>
  <si>
    <t>fortnite-admin-service-playtest-gamedev-i-94d5fa68</t>
  </si>
  <si>
    <t>fortnite-admin-service-playtest-gamedev-i-3c84e0c1</t>
  </si>
  <si>
    <t>fortnite-admin-service-testing-gamedev-i-183454e5</t>
  </si>
  <si>
    <t>fortnite-admin-service-testing-gamedev-i-02a58efe</t>
  </si>
  <si>
    <t>fortnite-public-service-approved-gamedev-i-296808d4</t>
  </si>
  <si>
    <t>publishing-website-releaseqa-i-509db6ac</t>
  </si>
  <si>
    <t>mariadb-galera-cluster-ci-01</t>
  </si>
  <si>
    <t>mariadb-galera-cluster-ci-02</t>
  </si>
  <si>
    <t>mariadb-galera-cluster-ci-03</t>
  </si>
  <si>
    <t>fortnite-public-service-approved-gamedev-i-305b71cc</t>
  </si>
  <si>
    <t>ut-website-releaseqa-i-86e5cf7a</t>
  </si>
  <si>
    <t>Dev Unreal Tournament ReleaseQA</t>
  </si>
  <si>
    <t>fortnite-public-service-playtest-gamedev-i-53e383ae</t>
  </si>
  <si>
    <t>fortnite-public-service-testing-gamedev-i-33f191ce</t>
  </si>
  <si>
    <t>fortnite-public-service-playtest-gamedev-i-8fcbe173</t>
  </si>
  <si>
    <t>launcher-website-ci-i-8fdaba72</t>
  </si>
  <si>
    <t>launcher-website-ci-i-506550ac</t>
  </si>
  <si>
    <t>launcher-website-gamedev-i-788fec85</t>
  </si>
  <si>
    <t>launcher-website-releaseqa-i-dbd1e427</t>
  </si>
  <si>
    <t>launcher-website-releaseqa-i-798fec84</t>
  </si>
  <si>
    <t>launcher-website-gamedev-i-2cd6e3d0</t>
  </si>
  <si>
    <t>account-admin-servicecron-releaseqa-i-4cbe88b0</t>
  </si>
  <si>
    <t>buildinfo-public-service-gamedev-i-f6a5c90b</t>
  </si>
  <si>
    <t>account-admin-service-releaseqa-i-17a4c8ea</t>
  </si>
  <si>
    <t>launcher-website-stage-i-4eb089b2</t>
  </si>
  <si>
    <t>launcher-website-stage-i-182d5ae5</t>
  </si>
  <si>
    <t>chat-public-service-releaseqa-i-609bec9d</t>
  </si>
  <si>
    <t>eulatracking-public-service-ci-i-2e7f0fd3</t>
  </si>
  <si>
    <t>eulatracking-admin-service-ci-i-e67d0d1b</t>
  </si>
  <si>
    <t>eulatracking-admin-service-gamedev-i-f6b5b10a</t>
  </si>
  <si>
    <t>eulatracking-public-service-gamedev-i-e1b5b11d</t>
  </si>
  <si>
    <t>persona-public-service-releaseqa-i-aa4a4d56</t>
  </si>
  <si>
    <t>priceengine-admin-service-releaseqa-i-331711cf</t>
  </si>
  <si>
    <t>priceengine-public-service-releaseqa-i-5797eeaa</t>
  </si>
  <si>
    <t>shoppingcart-admin-service-releaseqa-i-68f3f194</t>
  </si>
  <si>
    <t>shoppingcart-public-service-releaseqa-i-8e929072</t>
  </si>
  <si>
    <t>tigase-common-releaseqa-i-418c82bd</t>
  </si>
  <si>
    <t>tigase-common-releaseqa-i-3ea7e3c3</t>
  </si>
  <si>
    <t>orion-public-service-latest-gamedev-i-9ce5ef60</t>
  </si>
  <si>
    <t>orion-public-service-main-gamedev-i-ecd39311</t>
  </si>
  <si>
    <t>orion-admin-service-main-gamedev-i-03e4eeff</t>
  </si>
  <si>
    <t>orion-admin-service-testing-gamedev-i-ead39317</t>
  </si>
  <si>
    <t>orion-public-service-testing-gamedev-i-83e5ef7f</t>
  </si>
  <si>
    <t>orion-public-service-approved-gamedev-i-a4e5ef58</t>
  </si>
  <si>
    <t>backups-management01-01</t>
  </si>
  <si>
    <t>Backup management</t>
  </si>
  <si>
    <t>backups-management01-03</t>
  </si>
  <si>
    <t>ue-website-gamedev-i-9d217160</t>
  </si>
  <si>
    <t>management-limited-amazonlinux</t>
  </si>
  <si>
    <t>tracking-website-releaseqa-i-9185616e</t>
  </si>
  <si>
    <t>publishing-website-gamedev-i-78b15687</t>
  </si>
  <si>
    <t>mongodb-accountportal-prod07-01</t>
  </si>
  <si>
    <t>mongodb-accountportal-prod07-05</t>
  </si>
  <si>
    <t>mongodb-accountportal-prod07-04</t>
  </si>
  <si>
    <t>mongodb-accountportal-prod07-03</t>
  </si>
  <si>
    <t>mongodb-accountportal-prod07-02</t>
  </si>
  <si>
    <t>ut-website-gamedev-i-2556b5da</t>
  </si>
  <si>
    <t>account-admin-service-common-gamedev-i-6c846693</t>
  </si>
  <si>
    <t>account-admin-service-common-gamedev-i-107ff3c6</t>
  </si>
  <si>
    <t>team-service-stage-i-2b8a66d4</t>
  </si>
  <si>
    <t>Team Service</t>
  </si>
  <si>
    <t>team-service-stage-i-66f9a39b</t>
  </si>
  <si>
    <t>account-service-ci-i-71bf9b8c</t>
  </si>
  <si>
    <t>chat-public-service-gamedev-i-12ca23ed</t>
  </si>
  <si>
    <t>ocean-admin-service-latest-gamedev-i-350ee7ca</t>
  </si>
  <si>
    <t>team-service-prod06-i-30a257cf</t>
  </si>
  <si>
    <t>team-service-prod06-i-b6c9ea4b</t>
  </si>
  <si>
    <t>ocean-public-service-latest-gamedev-i-fecf3a01</t>
  </si>
  <si>
    <t>persona-public-service-gamedev-i-3e41b4c1</t>
  </si>
  <si>
    <t>priceengine-admin-service-gamedev-i-91aa886c</t>
  </si>
  <si>
    <t>pgsql-team-prod06-02</t>
  </si>
  <si>
    <t>pgsql-team-prod06-01</t>
  </si>
  <si>
    <t>pgsql-team-prod06-03</t>
  </si>
  <si>
    <t>receipt-admin-service-releaseqa-i-40649cbf</t>
  </si>
  <si>
    <t>chat-public-service-prod06-i-3a5ca4c5</t>
  </si>
  <si>
    <t>receipt-public-service-releaseqa-i-30679fcf</t>
  </si>
  <si>
    <t>receipt-admin-service-gamedev-i-b9c5f444</t>
  </si>
  <si>
    <t>receipt-public-service-gamedev-i-bcc7f641</t>
  </si>
  <si>
    <t>dean-test-docker-logging-01</t>
  </si>
  <si>
    <t>accountportal-website-prod07-i-16ebd7eb</t>
  </si>
  <si>
    <t>orion-admin-servicecron-main-gamedev-i-ed5e9912</t>
  </si>
  <si>
    <t>orion-admin-servicecron-latest-gamedev-i-365097c9</t>
  </si>
  <si>
    <t>orion-admin-servicecron-approved-gamedev-i-34b78bc9</t>
  </si>
  <si>
    <t>orion-admin-servicecron-ci-i-2f5493d0</t>
  </si>
  <si>
    <t>orion-admin-servicecron-stage-i-c4b28e39</t>
  </si>
  <si>
    <t>orion-admin-servicecron-testing-gamedev-i-c15e993e</t>
  </si>
  <si>
    <t>fortnite-admin-servicecron-devplaytest-prod12-i-8d172e70</t>
  </si>
  <si>
    <t>fortnite-admin-service-devplaytest-prod12-i-4e152cb3</t>
  </si>
  <si>
    <t>fortnite-admin-service-devplaytest-prod12-i-14eb2beb</t>
  </si>
  <si>
    <t>jiradev-atlassian-ci-01</t>
  </si>
  <si>
    <t>fortnite-public-service-devplaytest-prod12-i-c7f1c83a</t>
  </si>
  <si>
    <t>fortnite-public-service-devplaytest-prod12-i-a408c85b</t>
  </si>
  <si>
    <t>mongodb-team-prod06-02</t>
  </si>
  <si>
    <t>mongodb-team-prod06-04</t>
  </si>
  <si>
    <t>mongodb-team-prod06-03</t>
  </si>
  <si>
    <t>mongodb-team-prod06-05</t>
  </si>
  <si>
    <t>mongodb-team-prod06-01</t>
  </si>
  <si>
    <t>mongodb-fortnite-devplaytest-prod12-04</t>
  </si>
  <si>
    <t>mongodb-fortnite-devplaytest-prod12-02</t>
  </si>
  <si>
    <t>mongodb-fortnite-devplaytest-prod12-03</t>
  </si>
  <si>
    <t>mongodb-fortnite-devplaytest-prod12-01</t>
  </si>
  <si>
    <t>mongodb-fortnite-devplaytest-prod12-05</t>
  </si>
  <si>
    <t>redis-fortnite-devplaytest-prod12-01</t>
  </si>
  <si>
    <t>redis-fortnite-devplaytest-prod12-02</t>
  </si>
  <si>
    <t>orion-admin-service-approved-gamedev-i-8d23ee72</t>
  </si>
  <si>
    <t>priceengine-public-service-gamedev-i-a4a7a659</t>
  </si>
  <si>
    <t>tracking-website-gamedev-i-19a5a4e4</t>
  </si>
  <si>
    <t>tigase-common-gamedev-i-e110d81e</t>
  </si>
  <si>
    <t>tigase-common-gamedev-i-5b6d6da6</t>
  </si>
  <si>
    <t>teamcity-agent-ci</t>
  </si>
  <si>
    <t>backups-management01-02</t>
  </si>
  <si>
    <t>imageservice-admin-service-ci-i-0b5c8bf4</t>
  </si>
  <si>
    <t>ut-website-stage-i-742a2589</t>
  </si>
  <si>
    <t>publishing-website-stage-i-532d22ae</t>
  </si>
  <si>
    <t>darren-mariadb-test-02</t>
  </si>
  <si>
    <t>darren-mariadb-test-01</t>
  </si>
  <si>
    <t>darren-mariadb-test-03</t>
  </si>
  <si>
    <t>ut-gameservers-prod10-epichq-01</t>
  </si>
  <si>
    <t>activitystream-public-service-stage-i-67b71298</t>
  </si>
  <si>
    <t>utstage-website-epiccms-i-34cddec9</t>
  </si>
  <si>
    <t>account-public-service-stage-i-0aceddf7</t>
  </si>
  <si>
    <t>tigase-common-prod06-i-3afd59c5</t>
  </si>
  <si>
    <t>imageservice-public-service-ci-i-25d2ccd8</t>
  </si>
  <si>
    <t>imageservice-admin-service-gamedev-i-2ec86bd1</t>
  </si>
  <si>
    <t>imageservice-public-service-gamedev-i-63637a9e</t>
  </si>
  <si>
    <t>fortnite-website-gamedev-i-05051cf8</t>
  </si>
  <si>
    <t>imageservice-admin-service-releaseqa-i-956fcc6a</t>
  </si>
  <si>
    <t>imageservice-public-service-releaseqa-i-0952f1f6</t>
  </si>
  <si>
    <t>commentrating-public-service-gamedev-i-d7170c2a</t>
  </si>
  <si>
    <t>coderedemption-admin-service-gamedev-i-c4061d39</t>
  </si>
  <si>
    <t>commentrating-admin-service-gamedev-i-a2160d5f</t>
  </si>
  <si>
    <t>activitystream-admin-service-gamedev-i-190e15e4</t>
  </si>
  <si>
    <t>coderedemption-public-service-gamedev-i-ab071c56</t>
  </si>
  <si>
    <t>chat-admin-service-gamedev-i-36001bcb</t>
  </si>
  <si>
    <t>chat-public-service-gamedev-i-d8061d25</t>
  </si>
  <si>
    <t>account-admin-servicecron-common-gamedev-i-f5b11c0a</t>
  </si>
  <si>
    <t>activitystream-public-service-gamedev-i-34b21fcb</t>
  </si>
  <si>
    <t>eulatracking-admin-service-gamedev-i-92eaf16f</t>
  </si>
  <si>
    <t>eulatracking-public-service-gamedev-i-a6eaf15b</t>
  </si>
  <si>
    <t>persona-public-service-gamedev-i-2fecf7d2</t>
  </si>
  <si>
    <t>lightswitch-public-service-gamedev-i-c92d8036</t>
  </si>
  <si>
    <t>publishing-public-service-gamedev-i-4a2f82b5</t>
  </si>
  <si>
    <t>launcher-admin-service-gamedev-i-22e8f3df</t>
  </si>
  <si>
    <t>priceengine-public-service-gamedev-i-5f2e83a0</t>
  </si>
  <si>
    <t>lightswitch-admin-service-gamedev-i-83e8f37e</t>
  </si>
  <si>
    <t>publishing-admin-service-gamedev-i-66e3f89b</t>
  </si>
  <si>
    <t>priceengine-admin-service-gamedev-i-402e83bf</t>
  </si>
  <si>
    <t>docs-website-gamedev-i-66edf69b</t>
  </si>
  <si>
    <t>launcher-public-service-gamedev-i-a12c815e</t>
  </si>
  <si>
    <t>persona-admin-service-gamedev-i-c52e833a</t>
  </si>
  <si>
    <t>subscriptionv2-admin-service-gamedev-i-9c369b63</t>
  </si>
  <si>
    <t>catalogv2-public-service-gamedev-i-e48b9019</t>
  </si>
  <si>
    <t>subscriptionv2-public-service-gamedev-i-fc379a03</t>
  </si>
  <si>
    <t>paymentv2-admin-service-gamedev-i-530da0ac</t>
  </si>
  <si>
    <t>ut-website-gamedev-i-19948fe4</t>
  </si>
  <si>
    <t>utvbulletin-website-gamedev-i-72309d8d</t>
  </si>
  <si>
    <t>survey-public-service-gamedev-i-4c8e95b1</t>
  </si>
  <si>
    <t>paymentv2-public-service-gamedev-i-e58d9618</t>
  </si>
  <si>
    <t>receipt-public-service-gamedev-i-e1319c1e</t>
  </si>
  <si>
    <t>shoppingcart-admin-service-gamedev-i-6a8f9497</t>
  </si>
  <si>
    <t>receipt-admin-service-gamedev-i-d334992c</t>
  </si>
  <si>
    <t>vbulletin-website-gamedev-i-db8b9026</t>
  </si>
  <si>
    <t>orion-admin-servicecron-testing-gamedev-i-ab968d56</t>
  </si>
  <si>
    <t>shoppingcart-public-service-gamedev-i-30329fcf</t>
  </si>
  <si>
    <t>ocean-public-service-latest-gamedev-i-ad8f9450</t>
  </si>
  <si>
    <t>publishing-website-gamedev-i-d78c972a</t>
  </si>
  <si>
    <t>ocean-admin-service-latest-gamedev-i-d28e952f</t>
  </si>
  <si>
    <t>catalogv2-admin-service-gamedev-i-528b90af</t>
  </si>
  <si>
    <t>fnvbulletin-website-gamedev-i-9f899262</t>
  </si>
  <si>
    <t>tracking-website-gamedev-i-db369b24</t>
  </si>
  <si>
    <t>entitlement-admin-servicecron-gamedev-i-ccd07c33</t>
  </si>
  <si>
    <t>entitlement-admin-service-gamedev-i-d1d07c2e</t>
  </si>
  <si>
    <t>entitlement-admin-service-gamedev-i-466a70bb</t>
  </si>
  <si>
    <t>friends-public-service-gamedev-i-642215b2</t>
  </si>
  <si>
    <t>ut-admin-service-gamedev-i-da110b27</t>
  </si>
  <si>
    <t>receipt-public-service-stage-i-95248a6a</t>
  </si>
  <si>
    <t>receipt-admin-service-stage-i-5d2688a2</t>
  </si>
  <si>
    <t>darren-test-ut-public-i-077a9efb</t>
  </si>
  <si>
    <t>uedebugstage-website-epiccms-i-f7b7500b</t>
  </si>
  <si>
    <t>utdebugstage-website-epiccms-i-32ca63cd</t>
  </si>
  <si>
    <t>mongodb-receipt-prod06-03</t>
  </si>
  <si>
    <t>mongodb-receipt-prod06-01</t>
  </si>
  <si>
    <t>mongodb-receipt-prod06-04</t>
  </si>
  <si>
    <t>receipt-public-service-prod06-i-5d8067a1</t>
  </si>
  <si>
    <t>receipt-admin-service-prod06-i-74de778b</t>
  </si>
  <si>
    <t>receipt-public-service-prod06-i-91d0796e</t>
  </si>
  <si>
    <t>mongodb-receipt-prod06-02</t>
  </si>
  <si>
    <t>mongodb-receipt-prod06-05</t>
  </si>
  <si>
    <t>receipt-admin-service-prod06-i-9e806762</t>
  </si>
  <si>
    <t>imageservice-public-service-stage-i-28af28f8</t>
  </si>
  <si>
    <t>imageservice-admin-service-stage-i-a3ab2c73</t>
  </si>
  <si>
    <t>darren-test-ut-public-i-65ae1a9a</t>
  </si>
  <si>
    <t>ut-admin-servicecron-prod10-i-255fecda</t>
  </si>
  <si>
    <t>ut-admin-service-prod10-i-ee5dd03e</t>
  </si>
  <si>
    <t>ut-admin-service-prod10-i-8d5dee72</t>
  </si>
  <si>
    <t>ut-public-service-prod10-i-4517a4ba</t>
  </si>
  <si>
    <t>ut-public-service-prod10-i-4217a4bd</t>
  </si>
  <si>
    <t>ut-public-service-prod10-i-10078ac0</t>
  </si>
  <si>
    <t>ut-public-service-prod10-i-1f078acf</t>
  </si>
  <si>
    <t>docker-registry-i-eb60ed14</t>
  </si>
  <si>
    <t>fortnite-website-prod07-i-5d32a4a2</t>
  </si>
  <si>
    <t>redis-account02-lt-02</t>
  </si>
  <si>
    <t>mongodb-account-lt-01</t>
  </si>
  <si>
    <t>redis-account02-lt-01</t>
  </si>
  <si>
    <t>mongodb-account-lt-04</t>
  </si>
  <si>
    <t>mongodb-account-lt-02</t>
  </si>
  <si>
    <t>redis-account01-lt-02</t>
  </si>
  <si>
    <t>mongodb-account-lt-05</t>
  </si>
  <si>
    <t>redis-account01-lt-01</t>
  </si>
  <si>
    <t>mongodb-account-lt-03</t>
  </si>
  <si>
    <t>epiccms-epiccms-i-5bfd6da4</t>
  </si>
  <si>
    <t>utvbulletin-website-gamedev-i-13a1c3c3</t>
  </si>
  <si>
    <t>ocean-admin-service-gamedev-i-2dea85fd</t>
  </si>
  <si>
    <t>ocean-admin-service-gamedev-i-b12cb14e</t>
  </si>
  <si>
    <t>ocean-public-service-gamedev-i-2aea85fa</t>
  </si>
  <si>
    <t>ocean-public-service-gamedev-i-fc2cb103</t>
  </si>
  <si>
    <t>fortnite-admin-service-releaseapproved-gamedev-i-95670945</t>
  </si>
  <si>
    <t>uedebug-website-stage-i-5547dbaa</t>
  </si>
  <si>
    <t>utdebug-website-stage-i-b1f39a61</t>
  </si>
  <si>
    <t>fndebugstage-website-epiccms-i-c3ce503c</t>
  </si>
  <si>
    <t>fndebug-website-stage-i-c1ce503e</t>
  </si>
  <si>
    <t>fulfillment-admin-service-prod06-i-5b1677a4</t>
  </si>
  <si>
    <t>account-admin-service-lt-i-034021fc</t>
  </si>
  <si>
    <t>account-admin-service-lt-i-404021bf</t>
  </si>
  <si>
    <t>account-admin-service-lt-i-1f681acf</t>
  </si>
  <si>
    <t>adminportal-website-gamedev-i-5deb958d</t>
  </si>
  <si>
    <t>accountportal-website-common-ci-i-28ff8ad7</t>
  </si>
  <si>
    <t>catalogadmin-website-gamedev-i-e5b7cb1a</t>
  </si>
  <si>
    <t>replay-admin-service-ci-i-306535e0</t>
  </si>
  <si>
    <t>replay-public-service-ci-i-bed7ac41</t>
  </si>
  <si>
    <t>accountportal-website-gamedev-i-11257ec1</t>
  </si>
  <si>
    <t>fortnite-public-service-releasetesting-gamedev-i-f93b1b29</t>
  </si>
  <si>
    <t>fortnite-public-service-releaseapproved-gamedev-i-66480099</t>
  </si>
  <si>
    <t>orderprocessor-admin-service-gamedev-i-4e622ab1</t>
  </si>
  <si>
    <t>replay-public-service-gamedev-i-6181a1b1</t>
  </si>
  <si>
    <t>replay-admin-service-gamedev-i-7470388b</t>
  </si>
  <si>
    <t>orderprocessor-public-service-gamedev-i-ba71526a</t>
  </si>
  <si>
    <t>pgsql-dean-test-rds-01</t>
  </si>
  <si>
    <t>pgsql-dean-test-rds-02</t>
  </si>
  <si>
    <t>pgsql-dean-test-rds-03</t>
  </si>
  <si>
    <t>replay-admin-service-gamedev-i-346c43e4</t>
  </si>
  <si>
    <t>replay-public-service-gamedev-i-a9015556</t>
  </si>
  <si>
    <t>replay-admin-service-stage-i-9f005760</t>
  </si>
  <si>
    <t>replay-public-service-stage-i-074a64d7</t>
  </si>
  <si>
    <t>entitlement-public-service-gamedev-i-b299ce4d</t>
  </si>
  <si>
    <t>entitlement-public-service-gamedev-i-52c1ef82</t>
  </si>
  <si>
    <t>replay-admin-service-releaseqa-i-61acfb9e</t>
  </si>
  <si>
    <t>replay-public-service-releaseqa-i-5fd780a0</t>
  </si>
  <si>
    <t>epiccmsv2-website-ci-i-61dff6b1</t>
  </si>
  <si>
    <t>fndebug-website-ci-i-e9754339</t>
  </si>
  <si>
    <t>utdebug-website-ci-i-697543b9</t>
  </si>
  <si>
    <t>uedebug-website-ci-i-3c7543ec</t>
  </si>
  <si>
    <t>replay-admin-servicecron-ci-i-9378206c</t>
  </si>
  <si>
    <t>accountportal-website-common-ci-i-1ec9fbce</t>
  </si>
  <si>
    <t>replay-admin-servicecron-releaseqa-i-9f83b14f</t>
  </si>
  <si>
    <t>replay-admin-servicecron-stage-i-cccd9533</t>
  </si>
  <si>
    <t>replay-admin-servicecron-gamedev-i-298cd7d6</t>
  </si>
  <si>
    <t>mongodb-launcherweb-prod07-01</t>
  </si>
  <si>
    <t>mongodb-launcherweb-prod07-05</t>
  </si>
  <si>
    <t>launcherprod07-website-epiccms-i-04f4c8d4</t>
  </si>
  <si>
    <t>launcher-website-prod07-i-22fbc7f2</t>
  </si>
  <si>
    <t>launcher-website-prod07-i-25fbc7f5</t>
  </si>
  <si>
    <t>mongodb-launcherweb-prod07-02</t>
  </si>
  <si>
    <t>mongodb-launcherweb-prod07-03</t>
  </si>
  <si>
    <t>mongodb-launcherweb-prod07-04</t>
  </si>
  <si>
    <t>launcher-website-prod07-i-0be5bef4</t>
  </si>
  <si>
    <t>accountportal-website-prod07-i-60fcc5b0</t>
  </si>
  <si>
    <t>datarouter-consumers-service-ci-i-d390b42c</t>
  </si>
  <si>
    <t>fortnite-admin-servicecron-main-gamedev-i-75e4c48a</t>
  </si>
  <si>
    <t>activitystream-admin-service-gamedev-i-96e3ce69</t>
  </si>
  <si>
    <t>fortnite-public-service-testing-gamedev-i-77e3ce88</t>
  </si>
  <si>
    <t>mongodb-replay-prod10-05</t>
  </si>
  <si>
    <t>mongodb-replay-prod10-03</t>
  </si>
  <si>
    <t>mongodb-replay-prod10-01</t>
  </si>
  <si>
    <t>mongodb-replay-prod10-02</t>
  </si>
  <si>
    <t>mongodb-replay-prod10-04</t>
  </si>
  <si>
    <t>replay-admin-servicecron-prod10-i-0e557ff1</t>
  </si>
  <si>
    <t>replay-admin-service-prod10-i-49c2cb99</t>
  </si>
  <si>
    <t>replay-public-service-prod10-i-dc577d23</t>
  </si>
  <si>
    <t>replay-public-service-prod10-i-1fccc5cf</t>
  </si>
  <si>
    <t>replay-admin-service-prod10-i-812a007e</t>
  </si>
  <si>
    <t>payout-public-service-ci-i-95a8bd45</t>
  </si>
  <si>
    <t>payout-admin-service-ci-i-9fbc8b60</t>
  </si>
  <si>
    <t>ut-admin-service-gamedev-i-86754579</t>
  </si>
  <si>
    <t>ut-public-service-gamedev-i-c260503d</t>
  </si>
  <si>
    <t>ocean-public-service-ci-i-c0455b10</t>
  </si>
  <si>
    <t>orion-admin-servicecron-prod09-i-2cf0c8d3</t>
  </si>
  <si>
    <t>mongodb-orion-prod09-03</t>
  </si>
  <si>
    <t>orion-admin-service-prod09-i-3ef0c8c1</t>
  </si>
  <si>
    <t>orion-admin-service-prod09-i-caf1e91a</t>
  </si>
  <si>
    <t>mongodb-orion-prod09-04</t>
  </si>
  <si>
    <t>mongodb-orion-prod09-01</t>
  </si>
  <si>
    <t>mongodb-orion-prod09-05</t>
  </si>
  <si>
    <t>mongodb-orion-prod09-02</t>
  </si>
  <si>
    <t>orion-public-service-prod09-i-67f2ca98</t>
  </si>
  <si>
    <t>orion-public-service-prod09-i-8ef2ea5e</t>
  </si>
  <si>
    <t>accountportal-website-prod07-i-dff1cb20</t>
  </si>
  <si>
    <t>orion-admin-service-latest-gamedev-i-114742ee</t>
  </si>
  <si>
    <t>accountportal-website-common-ci-i-11c026c2</t>
  </si>
  <si>
    <t>orion-admin-service-stage-i-1e2e29e1</t>
  </si>
  <si>
    <t>ue-website-releaseqa-i-215150de</t>
  </si>
  <si>
    <t>datarouter-public-service-prod06-i-fd0ae22e</t>
  </si>
  <si>
    <t>datarouter-public-service-prod06-i-58beb2a7</t>
  </si>
  <si>
    <t>datarouter-consumers-service-prod06-i-db06ee08</t>
  </si>
  <si>
    <t>datarouter-consumers-service-prod06-i-c9494636</t>
  </si>
  <si>
    <t>mongodb-account02-config-lt-01</t>
  </si>
  <si>
    <t>mongodb-account03-lt-01</t>
  </si>
  <si>
    <t>account-public-service-lt-i-2e40abfd</t>
  </si>
  <si>
    <t>Dev Public Service Load Test</t>
  </si>
  <si>
    <t>account-public-service-lt-i-df47ac0c</t>
  </si>
  <si>
    <t>account-public-service-lt-i-afa2ad50</t>
  </si>
  <si>
    <t>account-public-service-lt-i-a8a2ad57</t>
  </si>
  <si>
    <t>account-public-service-lt-i-7da1ae82</t>
  </si>
  <si>
    <t>account-public-service-lt-i-7aa1ae85</t>
  </si>
  <si>
    <t>account-public-service-lt-i-6a5ab1b9</t>
  </si>
  <si>
    <t>account-public-service-lt-i-6d5ab1be</t>
  </si>
  <si>
    <t>fulfillment-public-service-prod06-i-d0101e2f</t>
  </si>
  <si>
    <t>subscriptionv2-public-service-releaseqa-i-a47b6c5b</t>
  </si>
  <si>
    <t>mongodb-account02-shard01-lt-01</t>
  </si>
  <si>
    <t>mongodb-account02-shard02-lt-01</t>
  </si>
  <si>
    <t>catalogadmin-website-gamedev-i-e53bc036</t>
  </si>
  <si>
    <t>datarouter-consumers-service-gamedev-i-77a1b388</t>
  </si>
  <si>
    <t>datarouter-consumers-service-gamedev-i-ecd91d3f</t>
  </si>
  <si>
    <t>commentrating-public-service-stage-i-932eea40</t>
  </si>
  <si>
    <t>repolink-admin-service-ci-i-78a063ab</t>
  </si>
  <si>
    <t>uemichael-website-ci-i-c7415938</t>
  </si>
  <si>
    <t>uemichael-website-ci-i-461ad795</t>
  </si>
  <si>
    <t>mongodb-account02-shard03-lt-01</t>
  </si>
  <si>
    <t>datarouter-consumers-service-ci-i-678148b4</t>
  </si>
  <si>
    <t>payout-admin-service-releaseqa-i-fd38dd03</t>
  </si>
  <si>
    <t>orvbulletin-website-ci-i-189276e6</t>
  </si>
  <si>
    <t>payout-public-service-releaseqa-i-5de307a3</t>
  </si>
  <si>
    <t>epic-rt-metrics</t>
  </si>
  <si>
    <t>eulatracking-admin-service-releaseqa-i-c390733d</t>
  </si>
  <si>
    <t>eulatracking-public-service-releaseqa-i-90c81b43</t>
  </si>
  <si>
    <t>eulatracking-admin-service-stage-i-c427c43a</t>
  </si>
  <si>
    <t>eulatracking-admin-service-stage-i-9c5c8f4f</t>
  </si>
  <si>
    <t>eulatracking-public-service-stage-i-5c71a28f</t>
  </si>
  <si>
    <t>eulatracking-public-service-stage-i-ff2dce01</t>
  </si>
  <si>
    <t>account-service-ci-i-c210fe3c</t>
  </si>
  <si>
    <t>mongodb-eulatracking-lt-02</t>
  </si>
  <si>
    <t>mongodb-eulatracking-lt-01</t>
  </si>
  <si>
    <t>mongodb-eulatracking-lt-05</t>
  </si>
  <si>
    <t>mongodb-eulatracking-lt-03</t>
  </si>
  <si>
    <t>mongodb-eulatracking-lt-04</t>
  </si>
  <si>
    <t>datarouter-public-service-lt-i-a075d873</t>
  </si>
  <si>
    <t>datarouter-public-service-lt-i-6146b29f</t>
  </si>
  <si>
    <t>datarouter-consumers-service-lt-i-1ea95ee0</t>
  </si>
  <si>
    <t>datarouter-consumers-service-lt-i-0c329fdf</t>
  </si>
  <si>
    <t>account-public-service-lt-i-f7798f09</t>
  </si>
  <si>
    <t>account-public-service-lt-i-f4798f0a</t>
  </si>
  <si>
    <t>account-public-service-lt-i-73a907a0</t>
  </si>
  <si>
    <t>account-public-service-lt-i-72a907a1</t>
  </si>
  <si>
    <t>jmeter-lt-24</t>
  </si>
  <si>
    <t>jmeter-lt-25</t>
  </si>
  <si>
    <t>jmeter-lt-21</t>
  </si>
  <si>
    <t>jmeter-lt-22</t>
  </si>
  <si>
    <t>jmeter-lt-23</t>
  </si>
  <si>
    <t>jmeter-lt-27</t>
  </si>
  <si>
    <t>jmeter-lt-26</t>
  </si>
  <si>
    <t>mongodb-fortnite-lt-05</t>
  </si>
  <si>
    <t>Dev Fortnite Load Test</t>
  </si>
  <si>
    <t>mongodb-fortnite-lt-04</t>
  </si>
  <si>
    <t>mongodb-fortnite-lt-01</t>
  </si>
  <si>
    <t>mongodb-fortnite-lt-02</t>
  </si>
  <si>
    <t>mongodb-fortnite-lt-03</t>
  </si>
  <si>
    <t>fortnite-admin-servicecron-lt-i-d576df06</t>
  </si>
  <si>
    <t>entitlement-public-service-lt-i-9bf85048</t>
  </si>
  <si>
    <t>entitlement-public-service-lt-i-85f85056</t>
  </si>
  <si>
    <t>mongodb-friends-lt-01</t>
  </si>
  <si>
    <t>mongodb-friends-lt-04</t>
  </si>
  <si>
    <t>entitlement-public-service-lt-i-b3af5f4d</t>
  </si>
  <si>
    <t>mongodb-entitlement-lt-01</t>
  </si>
  <si>
    <t>mongodb-entitlement-lt-05</t>
  </si>
  <si>
    <t>mongodb-entitlement-lt-02</t>
  </si>
  <si>
    <t>mongodb-entitlement-lt-04</t>
  </si>
  <si>
    <t>mongodb-friends-lt-05</t>
  </si>
  <si>
    <t>mongodb-friends-lt-03</t>
  </si>
  <si>
    <t>mongodb-entitlement-lt-03</t>
  </si>
  <si>
    <t>mongodb-friends-lt-02</t>
  </si>
  <si>
    <t>entitlement-admin-service-lt-i-3e9c6cc0</t>
  </si>
  <si>
    <t>redis-fortnite-lt-01</t>
  </si>
  <si>
    <t>entitlement-admin-service-lt-i-92d17941</t>
  </si>
  <si>
    <t>entitlement-admin-servicecron-lt-i-ebc96138</t>
  </si>
  <si>
    <t>friends-public-service-lt-i-acf75f7f</t>
  </si>
  <si>
    <t>friends-public-service-lt-i-a49b6b5a</t>
  </si>
  <si>
    <t>redis-fortnite-lt-02</t>
  </si>
  <si>
    <t>mongodb-tigase-lt-02</t>
  </si>
  <si>
    <t>mongodb-tigase-lt-05</t>
  </si>
  <si>
    <t>mongodb-tigase-lt-04</t>
  </si>
  <si>
    <t>tigase-common-lt-i-f5983026</t>
  </si>
  <si>
    <t>Dev Common Load Test</t>
  </si>
  <si>
    <t>tigase-common-lt-i-f4983027</t>
  </si>
  <si>
    <t>tigase-common-lt-i-c8d82836</t>
  </si>
  <si>
    <t>tigase-common-lt-i-c9d82837</t>
  </si>
  <si>
    <t>mongodb-tigase-lt-03</t>
  </si>
  <si>
    <t>mongodb-tigase-lt-01</t>
  </si>
  <si>
    <t>eulatracking-admin-service-lt-i-f9248c2a</t>
  </si>
  <si>
    <t>eulatracking-public-service-lt-i-84278f57</t>
  </si>
  <si>
    <t>fortnite-public-service-lt-i-1bd724e5</t>
  </si>
  <si>
    <t>fortnite-public-service-lt-i-5e3a918d</t>
  </si>
  <si>
    <t>fortnite-admin-service-lt-i-cb34c735</t>
  </si>
  <si>
    <t>fortnite-admin-service-lt-i-5417bc87</t>
  </si>
  <si>
    <t>mongodb-eulatracking-prod06-03</t>
  </si>
  <si>
    <t>mongodb-eulatracking-prod06-04</t>
  </si>
  <si>
    <t>eulatracking-admin-service-prod06-i-bc5caf42</t>
  </si>
  <si>
    <t>eulatracking-public-service-prod06-i-de5caf20</t>
  </si>
  <si>
    <t>mongodb-eulatracking-prod06-01</t>
  </si>
  <si>
    <t>mongodb-eulatracking-prod06-05</t>
  </si>
  <si>
    <t>mongodb-eulatracking-prod06-02</t>
  </si>
  <si>
    <t>eulatracking-admin-service-prod06-i-3b67cde8</t>
  </si>
  <si>
    <t>eulatracking-public-service-prod06-i-9267cd41</t>
  </si>
  <si>
    <t>datarouter-public-service-gamedev-i-6e4de7bd</t>
  </si>
  <si>
    <t>datarouter-public-service-gamedev-i-a74dbe59</t>
  </si>
  <si>
    <t>team-service-lt-i-7a3487a9</t>
  </si>
  <si>
    <t>team-service-lt-i-77f10889</t>
  </si>
  <si>
    <t>i-50dc6083</t>
  </si>
  <si>
    <t>i-47e35f94</t>
  </si>
  <si>
    <t>i-27d965f4</t>
  </si>
  <si>
    <t>Total</t>
  </si>
  <si>
    <t>Row Labels</t>
  </si>
  <si>
    <t>Grand Total</t>
  </si>
  <si>
    <t>RAM (MB)</t>
  </si>
  <si>
    <t>OS (GB)</t>
  </si>
  <si>
    <t>CPU Options and information</t>
  </si>
  <si>
    <t>RAM Options and information</t>
  </si>
  <si>
    <t>Product ID (PID)</t>
  </si>
  <si>
    <t>Intel Number</t>
  </si>
  <si>
    <t>Clock Freq (GHz)</t>
  </si>
  <si>
    <t>Power (W)</t>
  </si>
  <si>
    <t>Cache Size (MB)</t>
  </si>
  <si>
    <t>QPI</t>
  </si>
  <si>
    <t>Highest DDR4 DIMM</t>
  </si>
  <si>
    <t>UCS-CPU-E52699D</t>
  </si>
  <si>
    <t>E5-2699 v3</t>
  </si>
  <si>
    <t>9.6 GT/s</t>
  </si>
  <si>
    <t>UCS-CPU-E52698D</t>
  </si>
  <si>
    <t>E5-2698 v3</t>
  </si>
  <si>
    <t>UCS-CPU-E52697D</t>
  </si>
  <si>
    <t>E5-2697 v3</t>
  </si>
  <si>
    <t>UCS-CPU-E52695D</t>
  </si>
  <si>
    <t>E5-2695 v3</t>
  </si>
  <si>
    <t>UCS-CPU-E52690D</t>
  </si>
  <si>
    <t>UCS-CPU-E52683D</t>
  </si>
  <si>
    <t>E5-2683 v3</t>
  </si>
  <si>
    <t>UCS-CPU-E52680D</t>
  </si>
  <si>
    <t>E5-2680 v3</t>
  </si>
  <si>
    <t>UCS-CPU-E52670D</t>
  </si>
  <si>
    <t>E5-2670 v3</t>
  </si>
  <si>
    <t>UCS-CPU-E52667D</t>
  </si>
  <si>
    <t>E5-2667 v3</t>
  </si>
  <si>
    <t>UCS-CPU-E52660D</t>
  </si>
  <si>
    <t>E5-2660 v3</t>
  </si>
  <si>
    <t>UCS-CPU-E52658D</t>
  </si>
  <si>
    <t>E5-2658 v3</t>
  </si>
  <si>
    <t>UCS-CPU-E52650D</t>
  </si>
  <si>
    <t>E5-2650 v3</t>
  </si>
  <si>
    <t>UCS-CPU-E52650LD</t>
  </si>
  <si>
    <t>E5-2650L v3</t>
  </si>
  <si>
    <t>UCS-CPU-E52643D</t>
  </si>
  <si>
    <t>E5-2643 v3</t>
  </si>
  <si>
    <t>UCS-CPU-E52640D</t>
  </si>
  <si>
    <t>E5-2640 v3</t>
  </si>
  <si>
    <t>8.0 GT/s</t>
  </si>
  <si>
    <t>UCS-CPU-E52637D</t>
  </si>
  <si>
    <t>E5-2637 v3</t>
  </si>
  <si>
    <t>UCS-CPU-E52630D</t>
  </si>
  <si>
    <t>E5-2630 v3</t>
  </si>
  <si>
    <t>UCS-CPU-E52630LD</t>
  </si>
  <si>
    <t>E5-2630L v3</t>
  </si>
  <si>
    <t>UCS-CPU-E52623D</t>
  </si>
  <si>
    <t>E5-2623 v3</t>
  </si>
  <si>
    <t>UCS-CPU-E52620D</t>
  </si>
  <si>
    <t>E5-2620 v3</t>
  </si>
  <si>
    <t>E5-2609 v3</t>
  </si>
  <si>
    <t>6.4 GT/s</t>
  </si>
  <si>
    <r>
      <t>UCS-CPU-E52609D</t>
    </r>
    <r>
      <rPr>
        <sz val="7"/>
        <color theme="1"/>
        <rFont val="Trebuchet MS"/>
      </rPr>
      <t>2</t>
    </r>
  </si>
  <si>
    <t>Description</t>
  </si>
  <si>
    <t>E5-2690 v3 (12)</t>
  </si>
  <si>
    <t>Power (Watts)</t>
  </si>
  <si>
    <t>Highest DIMM speed supported (MHz)</t>
  </si>
  <si>
    <t>HYPERVISOR BUILD</t>
  </si>
  <si>
    <t>Select Chassis Type</t>
  </si>
  <si>
    <t>Chassis Options and Information</t>
  </si>
  <si>
    <t>Storage Type</t>
  </si>
  <si>
    <t>Ephemeral</t>
  </si>
  <si>
    <t>Ceph</t>
  </si>
  <si>
    <t>Chassis Type</t>
  </si>
  <si>
    <t>Disk Options and information</t>
  </si>
  <si>
    <t>Storage configuration type</t>
  </si>
  <si>
    <t># of disks in server (SFF &lt;=24, LFF &lt;=12)</t>
  </si>
  <si>
    <t>Total System Memory Size</t>
  </si>
  <si>
    <t>CPU 1 DIMMs</t>
  </si>
  <si>
    <t>CPU 2 DIMMs</t>
  </si>
  <si>
    <t>DIMM Max</t>
  </si>
  <si>
    <t>Speed (MHz)</t>
  </si>
  <si>
    <t>Total DIMMs</t>
  </si>
  <si>
    <t>Blue Slots Slot 1 (A1,B1, C1,D1)</t>
  </si>
  <si>
    <t>Black Slots Slot 2 (A2,B2, C2,D2)</t>
  </si>
  <si>
    <t>White Slots Slot 3 (A3,B3, C3,D3)</t>
  </si>
  <si>
    <t>Blue Slots Slot 1 (E1,F1, G1,H1)</t>
  </si>
  <si>
    <t>Black Slots Slot 2 (E2,F2, G2,H2)</t>
  </si>
  <si>
    <t>White Slots Slot 3 (E3,F3, G3,H3)</t>
  </si>
  <si>
    <t>64 GB</t>
  </si>
  <si>
    <t>4x8 GB</t>
  </si>
  <si>
    <t>—</t>
  </si>
  <si>
    <t>96 GB</t>
  </si>
  <si>
    <r>
      <t>4x8 GB</t>
    </r>
    <r>
      <rPr>
        <sz val="6"/>
        <color theme="1"/>
        <rFont val="Trebuchet MS"/>
      </rPr>
      <t>2</t>
    </r>
  </si>
  <si>
    <r>
      <t>2x8 GB</t>
    </r>
    <r>
      <rPr>
        <sz val="7"/>
        <color theme="1"/>
        <rFont val="Trebuchet MS"/>
      </rPr>
      <t>2</t>
    </r>
  </si>
  <si>
    <r>
      <t>—</t>
    </r>
    <r>
      <rPr>
        <sz val="7"/>
        <color theme="1"/>
        <rFont val="Trebuchet MS"/>
      </rPr>
      <t>2</t>
    </r>
  </si>
  <si>
    <r>
      <t>4x8 GB</t>
    </r>
    <r>
      <rPr>
        <sz val="7"/>
        <color theme="1"/>
        <rFont val="Trebuchet MS"/>
      </rPr>
      <t>2</t>
    </r>
  </si>
  <si>
    <t>3x16 GB</t>
  </si>
  <si>
    <t>128 GB</t>
  </si>
  <si>
    <t>4x16 GB</t>
  </si>
  <si>
    <t>192 GB</t>
  </si>
  <si>
    <r>
      <t>4x16 GB</t>
    </r>
    <r>
      <rPr>
        <sz val="7"/>
        <color theme="1"/>
        <rFont val="Trebuchet MS"/>
      </rPr>
      <t>2</t>
    </r>
  </si>
  <si>
    <r>
      <t>2x16 GB</t>
    </r>
    <r>
      <rPr>
        <sz val="7"/>
        <color theme="1"/>
        <rFont val="Trebuchet MS"/>
      </rPr>
      <t>2</t>
    </r>
  </si>
  <si>
    <t>256 GB</t>
  </si>
  <si>
    <t>4x32 GB</t>
  </si>
  <si>
    <t>384 GB</t>
  </si>
  <si>
    <t>512 GB</t>
  </si>
  <si>
    <t>768 GB</t>
  </si>
  <si>
    <t>1536 GB</t>
  </si>
  <si>
    <t>4x64 GB</t>
  </si>
  <si>
    <t>DIMM Count</t>
  </si>
  <si>
    <t>DIMM Speed</t>
  </si>
  <si>
    <t>DiMM Size</t>
  </si>
  <si>
    <t>Memory Total</t>
  </si>
  <si>
    <t>Recommended DIMM Count</t>
  </si>
  <si>
    <t>Optimal DIMM Speed Possible (MHz)</t>
  </si>
  <si>
    <t>Recommended DIMM Size (GB)</t>
  </si>
  <si>
    <t>Disk Speed</t>
  </si>
  <si>
    <t>Disk IO/s</t>
  </si>
  <si>
    <t>PID Description</t>
  </si>
  <si>
    <t>Drive Type</t>
  </si>
  <si>
    <t>Capacity</t>
  </si>
  <si>
    <t>HDDs</t>
  </si>
  <si>
    <r>
      <t>UCS-HD6T7KL4K</t>
    </r>
    <r>
      <rPr>
        <sz val="7"/>
        <color theme="1"/>
        <rFont val="Trebuchet MS"/>
      </rPr>
      <t>1</t>
    </r>
  </si>
  <si>
    <t>6 TB 12G SAS 7.2K RPM LFF HDD (4K sector format)</t>
  </si>
  <si>
    <t>SAS</t>
  </si>
  <si>
    <t>6 TB</t>
  </si>
  <si>
    <t>UCS-HD4T7KS3-E</t>
  </si>
  <si>
    <t>4 TB SAS 7.2K RPM LFF HDD</t>
  </si>
  <si>
    <t>4 TB</t>
  </si>
  <si>
    <t>UCS-HDD3TI2F214</t>
  </si>
  <si>
    <t>3 TB SAS 7.2K RPM LFF HDD</t>
  </si>
  <si>
    <t>3 TB</t>
  </si>
  <si>
    <t>UCS-HDD2TI2F213</t>
  </si>
  <si>
    <t>2 TB SAS 7.2K RPM LFF HDD</t>
  </si>
  <si>
    <t>2 TB</t>
  </si>
  <si>
    <t>UCS-HDD1TI2F212</t>
  </si>
  <si>
    <t>1 TB SAS 7.2K RPM LFF HDD</t>
  </si>
  <si>
    <t>1 TB</t>
  </si>
  <si>
    <t>Boot Drives</t>
  </si>
  <si>
    <t>UCS-SD960G0KSB-EV</t>
  </si>
  <si>
    <t>960 GB 2.5 inch Enterprise Value 6G SATA SSD (BOOT)</t>
  </si>
  <si>
    <t>SATA</t>
  </si>
  <si>
    <t>960 GB</t>
  </si>
  <si>
    <t>UCS-SD480G0KSB-EV</t>
  </si>
  <si>
    <t>480 GB 2.5 inch Enterprise Value 6G SATA SSD (BOOT)</t>
  </si>
  <si>
    <t>480 GB</t>
  </si>
  <si>
    <t>UCS-SD120G0KSB-EV</t>
  </si>
  <si>
    <t>120 GB 2.5 inch Enterprise Value 6G SATA SSD (BOOT)</t>
  </si>
  <si>
    <t>120 GB</t>
  </si>
  <si>
    <t>LFF</t>
  </si>
  <si>
    <t>SFF</t>
  </si>
  <si>
    <t>Bus Type</t>
  </si>
  <si>
    <t>Disk Description</t>
  </si>
  <si>
    <t>HDDs (15K RPM)</t>
  </si>
  <si>
    <t>UCS-HD600G15KS2-E</t>
  </si>
  <si>
    <t>600 GB 6 Gbps SAS 15K RPM SFF HDD</t>
  </si>
  <si>
    <t>600 GB</t>
  </si>
  <si>
    <t>UCS-HD450G15KS2-E</t>
  </si>
  <si>
    <t>450 GB 6 Gbps SAS 15K RPM SFF HDD</t>
  </si>
  <si>
    <t>450 GB</t>
  </si>
  <si>
    <t>UCS-HDD300GI2F105</t>
  </si>
  <si>
    <t>300 GB 6 Gbps SAS 15K RPM SFF HDD</t>
  </si>
  <si>
    <t>300 GB</t>
  </si>
  <si>
    <t>HDDs (10K RPM)</t>
  </si>
  <si>
    <r>
      <t>UCS-HD18TB10KS4K</t>
    </r>
    <r>
      <rPr>
        <sz val="7"/>
        <color theme="1"/>
        <rFont val="Trebuchet MS"/>
      </rPr>
      <t>1</t>
    </r>
  </si>
  <si>
    <t>1.8 TB 12 Gbps SAS 10K RPM SFF HDD (4K sector format)</t>
  </si>
  <si>
    <t>1.8 TB</t>
  </si>
  <si>
    <t>UCS-HD12T10KS2-E</t>
  </si>
  <si>
    <t>1.2 TB 6 Gbps SAS 10K RPM SFF HDD</t>
  </si>
  <si>
    <t>1.2 TB</t>
  </si>
  <si>
    <r>
      <t>UCS-HD600G10KS4K</t>
    </r>
    <r>
      <rPr>
        <sz val="7"/>
        <color theme="1"/>
        <rFont val="Trebuchet MS"/>
      </rPr>
      <t>1</t>
    </r>
  </si>
  <si>
    <t>600 GB 12 Gbps SAS 10K RPM SFF HDD (4K sector format)</t>
  </si>
  <si>
    <t>UCS-HDD900GI2F106</t>
  </si>
  <si>
    <t>900 GB 6 Gbps SAS 10K RPM SFF HDD</t>
  </si>
  <si>
    <t>900 GB</t>
  </si>
  <si>
    <t>A03-D600GA2</t>
  </si>
  <si>
    <t>600 GB 6 Gbps SAS 10K RPM SFF HDD</t>
  </si>
  <si>
    <t>A03-D300GA2</t>
  </si>
  <si>
    <t>300 GB 6 Gbps SAS 10K RPM SFF HDD</t>
  </si>
  <si>
    <t>HDDs (7.2K RPM)</t>
  </si>
  <si>
    <t>UCS-HD1T7KS2-E</t>
  </si>
  <si>
    <t>1 TB 6 Gbps SAS 7.2K RPM SFF HDD</t>
  </si>
  <si>
    <r>
      <t>A03-D1TBSATA</t>
    </r>
    <r>
      <rPr>
        <sz val="7"/>
        <color theme="1"/>
        <rFont val="Trebuchet MS"/>
      </rPr>
      <t>2</t>
    </r>
  </si>
  <si>
    <t>1 TB SATA 7.2K RPM SFF HDD</t>
  </si>
  <si>
    <t>Product ID (PID) PID Description Drive Capacity Type</t>
  </si>
  <si>
    <t>SSDs</t>
  </si>
  <si>
    <r>
      <t>Enterprise Performance SSDs (High endurance, supports up to 10 FDWP (full drive writes per day))</t>
    </r>
    <r>
      <rPr>
        <b/>
        <sz val="7"/>
        <color theme="1"/>
        <rFont val="Trebuchet MS"/>
      </rPr>
      <t>3</t>
    </r>
  </si>
  <si>
    <t>UCS-SD16T12S2-EP</t>
  </si>
  <si>
    <t>1.6 TB Enterprise Performance 12 Gbps SAS eMLC SSD (high endurance)</t>
  </si>
  <si>
    <t>1.6 TB</t>
  </si>
  <si>
    <t>UCS-SD800G0KS2-EP</t>
  </si>
  <si>
    <t>800 GB Enterprise Performance 6 Gbps SAS eMLC SSD (high endurance)</t>
  </si>
  <si>
    <t>800 GB</t>
  </si>
  <si>
    <t>UCS-SD400G12S2-EP</t>
  </si>
  <si>
    <t>400 GB Enterprise Performance 12 Gbps SAS eMLC SSD (high endurance)</t>
  </si>
  <si>
    <t>400 GB</t>
  </si>
  <si>
    <t>UCS-SD400G0KS2-EP</t>
  </si>
  <si>
    <t>400 GB Enterprise Performance 6 Gbps SAS eMLC SSD (high endurance)</t>
  </si>
  <si>
    <t>UCS-SD200G0KS2-EP</t>
  </si>
  <si>
    <t>200 GB Enterprise Performance 6 Gbps SAS eMLC SSD (high endurance)</t>
  </si>
  <si>
    <t>200 GB</t>
  </si>
  <si>
    <r>
      <t>Enterprise Value SSDs (Low endurance, supports up to 1 FDWP (Full drive write per day))</t>
    </r>
    <r>
      <rPr>
        <b/>
        <sz val="7"/>
        <color theme="1"/>
        <rFont val="Trebuchet MS"/>
      </rPr>
      <t>4</t>
    </r>
  </si>
  <si>
    <t>UCS-SD960G0KS2-EV</t>
  </si>
  <si>
    <t>960 GB 2.5 inch Enterprise Value 6 Gbps SATA SSD</t>
  </si>
  <si>
    <t>UCS-SD480G0KS2-EV</t>
  </si>
  <si>
    <t>480 GB 2.5 inch Enterprise Value 6 Gbps SATA SSD</t>
  </si>
  <si>
    <t>UCS-SD240G0KS2-EV</t>
  </si>
  <si>
    <t>240 GB 2.5 inch Enterprise Value 6 Gbps SATA SSD</t>
  </si>
  <si>
    <t>240 GB</t>
  </si>
  <si>
    <t>UCS-SD120G0KS2-EV</t>
  </si>
  <si>
    <t>120 GB 2.5 inch Enterprise Value 6 Gbps SATA SSD</t>
  </si>
  <si>
    <t>Spindle</t>
  </si>
  <si>
    <t>Bus Throughput (Gbps)</t>
  </si>
  <si>
    <t>Form Factor</t>
  </si>
  <si>
    <t>Bus type</t>
  </si>
  <si>
    <t>Disk speed (1000s of RPM)</t>
  </si>
  <si>
    <t>Disk size (GB)</t>
  </si>
  <si>
    <t>Bus throughput (Gbps)</t>
  </si>
  <si>
    <t>IO/s per disk</t>
  </si>
  <si>
    <t>Total useable capacity per ode (TB)</t>
  </si>
  <si>
    <t>Total raw capacity per node (GB)</t>
  </si>
  <si>
    <t>JBOD</t>
  </si>
  <si>
    <t>(5) Optionally provide utilization, growth and padding rates.</t>
  </si>
  <si>
    <t>Estimated utilization</t>
  </si>
  <si>
    <t>Month-over-month growth rate in %</t>
  </si>
  <si>
    <t>Form factor (in)</t>
  </si>
  <si>
    <t>Sizing paramaters set</t>
  </si>
  <si>
    <t>Sizing Metric</t>
  </si>
  <si>
    <t>Capacity Results</t>
  </si>
  <si>
    <t>Metric</t>
  </si>
  <si>
    <t>Count of API Name</t>
  </si>
  <si>
    <t>Values</t>
  </si>
  <si>
    <t>Sum of Price Per Hour</t>
  </si>
  <si>
    <t>Sum of All Upfront Effective Price Per Hour 1 Year</t>
  </si>
  <si>
    <t>Sum of All Upfront Effective Price Per Hour 3 Year</t>
  </si>
  <si>
    <t>Count of Attached EBS</t>
  </si>
  <si>
    <t>Sizing Exercise Settings</t>
  </si>
  <si>
    <t>Aggregate on-demand hourly rate</t>
  </si>
  <si>
    <t>Aggregate 1-year hourly rate</t>
  </si>
  <si>
    <t>Aggregate 3-year hourly rate</t>
  </si>
  <si>
    <t>EBS total capacity used</t>
  </si>
  <si>
    <t>EBS SSD storage rate</t>
  </si>
  <si>
    <t>EBS general rate</t>
  </si>
  <si>
    <t>Calculated monthly rate (90% on demand)</t>
  </si>
  <si>
    <t>Calculated monthly rate (50/50 SSD/general)</t>
  </si>
  <si>
    <t>Estimate of current environment spend</t>
  </si>
  <si>
    <t>EC2 and EBS (direct cost) monthly estimate</t>
  </si>
  <si>
    <t>IO/s</t>
  </si>
  <si>
    <t>Required</t>
  </si>
  <si>
    <t>Provided</t>
  </si>
  <si>
    <t>Diff. #</t>
  </si>
  <si>
    <t>Diff. %</t>
  </si>
  <si>
    <t>Count</t>
  </si>
  <si>
    <t>EC2 (direct costs only) description</t>
  </si>
  <si>
    <t>Rate</t>
  </si>
  <si>
    <t>EBS (direct costs only) description</t>
  </si>
  <si>
    <t>EC2 Source Data</t>
  </si>
  <si>
    <t>EBS Source Data</t>
  </si>
  <si>
    <t>Environment Totals</t>
  </si>
  <si>
    <t xml:space="preserve">  </t>
  </si>
  <si>
    <t>7.2K</t>
  </si>
  <si>
    <t>15K</t>
  </si>
  <si>
    <t>10K</t>
  </si>
  <si>
    <t>UCS C240 M4 LFF</t>
  </si>
  <si>
    <t>New Environment Build Information</t>
  </si>
  <si>
    <t>New Environment Build Options</t>
  </si>
  <si>
    <t>Name</t>
  </si>
  <si>
    <t>Advantage / Disadvantage</t>
  </si>
  <si>
    <t>COPC software is installed on existing local hardware, customer provides all control, compute, etc. equipment.</t>
  </si>
  <si>
    <t>Provides the lowest cost point of entry and therefore, typically, the lowest TCO and highest ROI.  Does not offer integrated HW support options and may slow down design and deploy times due to validation steps.</t>
  </si>
  <si>
    <t>IO/s Consumption</t>
  </si>
  <si>
    <t>Rate of growth</t>
  </si>
  <si>
    <t>Environment Component</t>
  </si>
  <si>
    <t>Net-new UCS hardware installed locally for control, compute and data plane along with COPC software</t>
  </si>
  <si>
    <t>Provides pre-validated, certified and optimized HW design, typically with higher capacity than existing HW with optional integrated HW support, but at a higher cost than the HW only model.  Utilizes customer's existing network (L2) and access plane (L3 &amp; LB) HW.</t>
  </si>
  <si>
    <t>(1) Local - Software only</t>
  </si>
  <si>
    <t>(2) Local - Control, compute and data plane</t>
  </si>
  <si>
    <t>(3) Local - Control, compute, data, network and access plane</t>
  </si>
  <si>
    <t>(4) Hosted - Control, compute, data, network and access plane</t>
  </si>
  <si>
    <t>Local installation of what is soon to be offered as a "Metapod" which is a self-contained environment containing all planes and bundle pricing options.</t>
  </si>
  <si>
    <t>COPC installation cost</t>
  </si>
  <si>
    <t>COPC training cost</t>
  </si>
  <si>
    <t>COPC hosting setup cost</t>
  </si>
  <si>
    <t>COPC monthly hosting cost</t>
  </si>
  <si>
    <t>Managed storage per GB fee</t>
  </si>
  <si>
    <t>COPC per socket monthly subscription fee</t>
  </si>
  <si>
    <t>COPC controller count</t>
  </si>
  <si>
    <t>COPC hypervisor count</t>
  </si>
  <si>
    <t>COPC per hypervisor cost</t>
  </si>
  <si>
    <t>COPC per controller cost</t>
  </si>
  <si>
    <t>COPC hypervisor total cost</t>
  </si>
  <si>
    <t>COPC Nexus 9368 per unit cost</t>
  </si>
  <si>
    <t>COPC ASR 1000K per unit cost</t>
  </si>
  <si>
    <t>Advantageous because all components are managed and supported by COPC, provides easy (basic VLAN hand off) integration into existing DC environments, but at a higher cost than options 1 and 2.</t>
  </si>
  <si>
    <t>Hosted "Metapod" installation, the same as option 3 but the environment resides in a co-location facility.</t>
  </si>
  <si>
    <t>Solution Options and Costs</t>
  </si>
  <si>
    <t>Line item description</t>
  </si>
  <si>
    <t>One time</t>
  </si>
  <si>
    <t>1 year</t>
  </si>
  <si>
    <t>3 year</t>
  </si>
  <si>
    <t>monthly</t>
  </si>
  <si>
    <t>Current AWS spend</t>
  </si>
  <si>
    <t>COPC 2 - Local Base HW</t>
  </si>
  <si>
    <t>COPC 3 - Local "Metapod"</t>
  </si>
  <si>
    <t>COPC 4 - Hosted "Metapod"</t>
  </si>
  <si>
    <t>COPC 1 - Local SW only</t>
  </si>
  <si>
    <t>HV-U240-1</t>
  </si>
  <si>
    <t>HV-U240-2</t>
  </si>
  <si>
    <t>HV-U240-3</t>
  </si>
  <si>
    <t>HV-U240-4</t>
  </si>
  <si>
    <t>HV-U240-5</t>
  </si>
  <si>
    <t>HV-U240-6</t>
  </si>
  <si>
    <t>HV-U240-7</t>
  </si>
  <si>
    <t>HV-U240-8</t>
  </si>
  <si>
    <t>HV-U240-9</t>
  </si>
  <si>
    <t>HV-U240-10</t>
  </si>
  <si>
    <t>HV-U240-11</t>
  </si>
  <si>
    <t>HV-U240-12</t>
  </si>
  <si>
    <t>Advantageous from a "white glove" approach, generally the quickiest and easiest to deploy and consume but at a higher cost.</t>
  </si>
  <si>
    <t>One time fee - Installation</t>
  </si>
  <si>
    <t>One time fee - Training</t>
  </si>
  <si>
    <t>One time fee - Hosting setup</t>
  </si>
  <si>
    <t>Total one time fees w/ hosting</t>
  </si>
  <si>
    <t>Total one time fees w/o hosting</t>
  </si>
  <si>
    <t>One time fees</t>
  </si>
  <si>
    <t>Control Servers</t>
  </si>
  <si>
    <t>Compute / Data Servers</t>
  </si>
  <si>
    <t>Socket Count</t>
  </si>
  <si>
    <t>Cost per subscription</t>
  </si>
  <si>
    <t>Total raw storage (GB)</t>
  </si>
  <si>
    <t>Managed cost per GB</t>
  </si>
  <si>
    <t>Total storage cost</t>
  </si>
  <si>
    <t>Total compute cost</t>
  </si>
  <si>
    <t>Control &amp; compute costs (monthly)</t>
  </si>
  <si>
    <t>Data costs (monthly)</t>
  </si>
  <si>
    <t>Total monthly SW cost</t>
  </si>
  <si>
    <t>HW costs</t>
  </si>
  <si>
    <t>Per controller cost</t>
  </si>
  <si>
    <t>Controller cost total</t>
  </si>
  <si>
    <t>Per hypervisor cost</t>
  </si>
  <si>
    <t>Hypervisor cost total</t>
  </si>
  <si>
    <t>Total HW cost</t>
  </si>
  <si>
    <t>Ammortized 36 monthly HW costs</t>
  </si>
  <si>
    <t>Total usable storage (GB)</t>
  </si>
  <si>
    <t>COPC 0 - 90 day subscription, SW only</t>
  </si>
  <si>
    <t>-</t>
  </si>
  <si>
    <t>Line
Number</t>
  </si>
  <si>
    <t>Item Name</t>
  </si>
  <si>
    <t>Service 
Duration</t>
  </si>
  <si>
    <t>Lead
Time</t>
  </si>
  <si>
    <t>Included
Item</t>
  </si>
  <si>
    <t>Quantity</t>
  </si>
  <si>
    <t>ListPrice</t>
  </si>
  <si>
    <t>Extended 
ListPrice</t>
  </si>
  <si>
    <t>Discount
%</t>
  </si>
  <si>
    <t>Selling
Price</t>
  </si>
  <si>
    <t>Service Type</t>
  </si>
  <si>
    <t>1.0</t>
  </si>
  <si>
    <t>UCSC-C220-M4S</t>
  </si>
  <si>
    <t>UCS C220 M4 SFF w/o CPU  mem  HD  PCIe  PSU  rail kit</t>
  </si>
  <si>
    <t>N/A</t>
  </si>
  <si>
    <t>10 days</t>
  </si>
  <si>
    <t>No</t>
  </si>
  <si>
    <t/>
  </si>
  <si>
    <t>1.1</t>
  </si>
  <si>
    <t>2.40 GHz E5-2620 v3/85W 6C/15MB Cache/DDR4 1866MHz</t>
  </si>
  <si>
    <t>1.2</t>
  </si>
  <si>
    <t>UCS-MR-1X162RU-A</t>
  </si>
  <si>
    <t>16GB DDR4-2133-MHz RDIMM/PC4-17000/dual rank/x4/1.2v</t>
  </si>
  <si>
    <t>1.3</t>
  </si>
  <si>
    <t>480 GB 2.5 inch Enterprise Value  6G SATA SSD</t>
  </si>
  <si>
    <t>1.4</t>
  </si>
  <si>
    <t>UCSC-MLOM-CSC-02</t>
  </si>
  <si>
    <t>Cisco UCS VIC1227 VIC MLOM - Dual Port 10Gb SFP+</t>
  </si>
  <si>
    <t>1.5</t>
  </si>
  <si>
    <t>UCSC-RAILB-M4</t>
  </si>
  <si>
    <t>Ball Bearing Rail Kit for C220 M4 and C240 M4 rack servers</t>
  </si>
  <si>
    <t>1.6</t>
  </si>
  <si>
    <t>UCS-SD-64G-S</t>
  </si>
  <si>
    <t>64GB SD Card for UCS Servers</t>
  </si>
  <si>
    <t>1.7</t>
  </si>
  <si>
    <t>UCSC-PSU1-770W</t>
  </si>
  <si>
    <t>770W AC Hot-Plug Power Supply for 1U C-Series Rack Server</t>
  </si>
  <si>
    <t>1.8</t>
  </si>
  <si>
    <t>CAB-C13-C14-2M</t>
  </si>
  <si>
    <t>Power Cord Jumper C13-C14 Connectors 2 Meter Length</t>
  </si>
  <si>
    <t>21 days</t>
  </si>
  <si>
    <t>1.9</t>
  </si>
  <si>
    <t>N20-BBLKD</t>
  </si>
  <si>
    <t>UCS 2.5 inch HDD blanking panel</t>
  </si>
  <si>
    <t>Yes</t>
  </si>
  <si>
    <t>1.10</t>
  </si>
  <si>
    <t>UCSC-HS-C220M4</t>
  </si>
  <si>
    <t>Heat sink for UCS C220 M4 rack servers</t>
  </si>
  <si>
    <t>1.11</t>
  </si>
  <si>
    <t>UCSC-MRAID12G</t>
  </si>
  <si>
    <t>Cisco 12G SAS Modular Raid Controller</t>
  </si>
  <si>
    <t>SubTotal</t>
  </si>
  <si>
    <t>2.0</t>
  </si>
  <si>
    <t>UCSC-C240-M4L</t>
  </si>
  <si>
    <t>UCS C240 M4 LFF 12 HD w/o CPU mem HD PCIe PS railkt w/expdr</t>
  </si>
  <si>
    <t>2.1</t>
  </si>
  <si>
    <t>2.60 GHz E5-2690 v3/135W 12C/30MB Cache/DDR4 2133MHz</t>
  </si>
  <si>
    <t>2.60 GHz E5-2640 v3/90W 8C/20MB Cache/DDR4 1866MHz</t>
  </si>
  <si>
    <t>2.2</t>
  </si>
  <si>
    <t>2.3</t>
  </si>
  <si>
    <t>4TB SAS 7.2K RPM 3.5 inch HDD/hot plug/drive sled mounted</t>
  </si>
  <si>
    <t>2.4</t>
  </si>
  <si>
    <t>480 GB 2.5 inch Enterprise Value  6G SATA SSD (BOOT)</t>
  </si>
  <si>
    <t>2.5</t>
  </si>
  <si>
    <t>UCSC-PCI-1C-240M4</t>
  </si>
  <si>
    <t>Right PCI Riser Bd (Riser 1) 2onbd SATA bootdrvs+ 2PCI slts</t>
  </si>
  <si>
    <t>2.6</t>
  </si>
  <si>
    <t>2.7</t>
  </si>
  <si>
    <t>2.8</t>
  </si>
  <si>
    <t>UCSC-PSU2V2-650W</t>
  </si>
  <si>
    <t>650W V2 AC Power Supply for 2U C-Series Servers</t>
  </si>
  <si>
    <t>2.9</t>
  </si>
  <si>
    <t>2.10</t>
  </si>
  <si>
    <t>2.11</t>
  </si>
  <si>
    <t>UCSC-HS-C240M4</t>
  </si>
  <si>
    <t>Heat sink for UCS C240 M4 rack servers</t>
  </si>
  <si>
    <t>2.12</t>
  </si>
  <si>
    <t>UCSC-BBLKD-L</t>
  </si>
  <si>
    <t>3.5-inch HDD Blanking Panel</t>
  </si>
  <si>
    <t>2.13</t>
  </si>
  <si>
    <t>Configset Total</t>
  </si>
  <si>
    <t>Discount</t>
  </si>
  <si>
    <t>(All)</t>
  </si>
  <si>
    <t>Count of Environments</t>
  </si>
  <si>
    <t>6144 GB 7.2K SAS 12G Spindle LFF</t>
  </si>
  <si>
    <t>PP-Hour</t>
  </si>
  <si>
    <t>PP-1-Year</t>
  </si>
  <si>
    <t>PP-3-Year</t>
  </si>
  <si>
    <t>Flavor Name</t>
  </si>
  <si>
    <t>HV-U240-13</t>
  </si>
  <si>
    <t>HV-U240-14</t>
  </si>
  <si>
    <t>HV-U240-15</t>
  </si>
  <si>
    <t>HV-U240-16</t>
  </si>
  <si>
    <t>HV-U240-17</t>
  </si>
  <si>
    <t>HV-U240-18</t>
  </si>
  <si>
    <t>HV-U240-19</t>
  </si>
  <si>
    <t>Vol. Size</t>
  </si>
  <si>
    <t>AWS total spend estimate</t>
  </si>
  <si>
    <t>EBS and EC2 direct charge subotatl</t>
  </si>
  <si>
    <t>Total of indirect fees</t>
  </si>
  <si>
    <t>2 x 64 GB SD Cards (standard boot device)</t>
  </si>
  <si>
    <t>36 monthly fees w/o hosting</t>
  </si>
  <si>
    <t>36 monthly fees w/hosting</t>
  </si>
  <si>
    <t>% above total is indirect charge (transfer, S3, etc.)</t>
  </si>
  <si>
    <t>Spend Comparison</t>
  </si>
  <si>
    <t>Initial capacity and utilization over time</t>
  </si>
  <si>
    <t>Required Hypervisors</t>
  </si>
  <si>
    <t>Environment Total Capacity</t>
  </si>
  <si>
    <t>Initial Environment Utilization</t>
  </si>
  <si>
    <t>Capacity Over Time</t>
  </si>
  <si>
    <t>Send email "To" address</t>
  </si>
  <si>
    <t>Send email "CC" address</t>
  </si>
  <si>
    <t>PDF Filepath</t>
  </si>
  <si>
    <t>XLSM Filepath</t>
  </si>
  <si>
    <t>PDF Filename</t>
  </si>
  <si>
    <t>XLSM Filename</t>
  </si>
  <si>
    <t>`</t>
  </si>
  <si>
    <t>CONTROLLER BUILD</t>
  </si>
  <si>
    <t>UCSC-C240-M4S</t>
  </si>
  <si>
    <t>UCSC-C220-M4L</t>
  </si>
  <si>
    <t>480 GB  SATA 6G SSD SFF</t>
  </si>
  <si>
    <t>Calculated Chassis Count</t>
  </si>
  <si>
    <t>CAPACITY ANALYSIS</t>
  </si>
  <si>
    <t>Hardware Device Count Totals</t>
  </si>
  <si>
    <t>ENVIRONMENT TOTALS AND COSTS</t>
  </si>
  <si>
    <t>Total COPC Sockets</t>
  </si>
  <si>
    <t>Software Count Totals</t>
  </si>
  <si>
    <t>Software Monthly Cost Totals</t>
  </si>
  <si>
    <t>Total Monthly Software Costs</t>
  </si>
  <si>
    <t>Hardware Device Costs</t>
  </si>
  <si>
    <t>Total COPC sockets monthly cost</t>
  </si>
  <si>
    <t>Total storage (GB) managed monthly cost</t>
  </si>
  <si>
    <t>Total raw Ceph storage (GB) managed</t>
  </si>
  <si>
    <t>COPC controller total cost</t>
  </si>
  <si>
    <t>Software Item Costs</t>
  </si>
  <si>
    <t>One-Time Fees</t>
  </si>
  <si>
    <t>Hardware Device Totals</t>
  </si>
  <si>
    <t>COPC Nexus 9368 total cost</t>
  </si>
  <si>
    <t>COPC ASR 1000K total cost</t>
  </si>
  <si>
    <t>COPC ASR 1000K count</t>
  </si>
  <si>
    <t>COPC Nexus 9368 count</t>
  </si>
  <si>
    <t>HV Required by Disk</t>
  </si>
  <si>
    <t>Diff</t>
  </si>
  <si>
    <t>jasgrimm@cisco.com</t>
  </si>
  <si>
    <t>How many 10' boards can you get?</t>
  </si>
  <si>
    <t>280' Feet of Board Total</t>
  </si>
  <si>
    <t>Summing the total says 28, actually only 10.</t>
  </si>
  <si>
    <t>Summing of RAM says 30, actually only 20 will fit.</t>
  </si>
  <si>
    <t>Summing of CPU says 55, actually only 40 will fit.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</si>
</sst>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quot;$&quot;#,##0.00;[Red]&quot;$&quot;#,##0.00"/>
    <numFmt numFmtId="166" formatCode="&quot;$&quot;#,##0.000;[Red]&quot;$&quot;#,##0.000"/>
  </numFmts>
  <fonts count="5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10"/>
      <color theme="1"/>
      <name val="Calibri"/>
      <family val="2"/>
      <scheme val="minor"/>
    </font>
    <font>
      <b/>
      <sz val="10"/>
      <color theme="1"/>
      <name val="Calibri"/>
      <family val="2"/>
      <scheme val="minor"/>
    </font>
    <font>
      <b/>
      <sz val="10"/>
      <color theme="0"/>
      <name val="Calibri"/>
      <family val="2"/>
      <scheme val="minor"/>
    </font>
    <font>
      <sz val="12"/>
      <color theme="1"/>
      <name val="Calibri"/>
      <family val="2"/>
      <scheme val="minor"/>
    </font>
    <font>
      <b/>
      <sz val="10"/>
      <name val="Calibri"/>
      <family val="2"/>
      <scheme val="minor"/>
    </font>
    <font>
      <sz val="10"/>
      <name val="Calibri"/>
      <family val="2"/>
      <scheme val="minor"/>
    </font>
    <font>
      <sz val="10"/>
      <color rgb="FFFF0000"/>
      <name val="Calibri"/>
      <family val="2"/>
      <scheme val="minor"/>
    </font>
    <font>
      <sz val="10"/>
      <color theme="0"/>
      <name val="Calibri"/>
      <family val="2"/>
      <scheme val="minor"/>
    </font>
    <font>
      <sz val="8"/>
      <color theme="1"/>
      <name val="Calibri"/>
      <family val="2"/>
      <scheme val="minor"/>
    </font>
    <font>
      <sz val="12"/>
      <color rgb="FF000000"/>
      <name val="Calibri"/>
      <family val="2"/>
    </font>
    <font>
      <b/>
      <sz val="11"/>
      <color theme="1"/>
      <name val="Calibri"/>
      <family val="2"/>
      <scheme val="minor"/>
    </font>
    <font>
      <i/>
      <sz val="10"/>
      <color theme="1"/>
      <name val="Calibri"/>
      <family val="2"/>
      <scheme val="minor"/>
    </font>
    <font>
      <b/>
      <sz val="10"/>
      <color theme="0" tint="-4.9989318521683403E-2"/>
      <name val="Calibri"/>
      <family val="2"/>
      <scheme val="minor"/>
    </font>
    <font>
      <sz val="10"/>
      <color rgb="FF000000"/>
      <name val="Calibri"/>
      <family val="2"/>
    </font>
    <font>
      <sz val="11"/>
      <color rgb="FF000000"/>
      <name val="Calibri"/>
      <family val="2"/>
    </font>
    <font>
      <sz val="10"/>
      <color theme="0" tint="-0.34998626667073579"/>
      <name val="Calibri"/>
      <scheme val="minor"/>
    </font>
    <font>
      <b/>
      <sz val="10"/>
      <color theme="1"/>
      <name val="Trebuchet MS"/>
    </font>
    <font>
      <sz val="10"/>
      <color theme="1"/>
      <name val="Trebuchet MS"/>
    </font>
    <font>
      <b/>
      <sz val="7"/>
      <color theme="1"/>
      <name val="Trebuchet MS"/>
    </font>
    <font>
      <sz val="7"/>
      <color theme="1"/>
      <name val="Trebuchet MS"/>
    </font>
    <font>
      <b/>
      <sz val="8.5"/>
      <color theme="1"/>
      <name val="Trebuchet MS"/>
    </font>
    <font>
      <b/>
      <sz val="13.5"/>
      <color theme="1"/>
      <name val="Trebuchet MS"/>
    </font>
    <font>
      <sz val="9"/>
      <color theme="1"/>
      <name val="Trebuchet MS"/>
    </font>
    <font>
      <sz val="6"/>
      <color theme="1"/>
      <name val="Trebuchet MS"/>
    </font>
    <font>
      <b/>
      <sz val="10"/>
      <color rgb="FF000000"/>
      <name val="Trebuchet MS"/>
    </font>
    <font>
      <sz val="10"/>
      <color rgb="FF000000"/>
      <name val="Trebuchet MS"/>
    </font>
    <font>
      <b/>
      <sz val="7.5"/>
      <color theme="1"/>
      <name val="Trebuchet MS"/>
    </font>
    <font>
      <sz val="8"/>
      <name val="Calibri"/>
      <family val="2"/>
      <scheme val="minor"/>
    </font>
    <font>
      <sz val="11"/>
      <color rgb="FF000000"/>
      <name val="Calibri"/>
      <scheme val="minor"/>
    </font>
    <font>
      <b/>
      <sz val="8"/>
      <color indexed="8"/>
      <name val="Arial"/>
      <family val="2"/>
    </font>
    <font>
      <sz val="8"/>
      <color indexed="8"/>
      <name val="Calibri"/>
      <family val="2"/>
    </font>
    <font>
      <sz val="8"/>
      <color indexed="8"/>
      <name val="Arial"/>
      <family val="2"/>
    </font>
    <font>
      <b/>
      <sz val="8"/>
      <color indexed="12"/>
      <name val="Arial"/>
      <family val="2"/>
    </font>
    <font>
      <b/>
      <sz val="9"/>
      <color indexed="12"/>
      <name val="Arial"/>
      <family val="2"/>
    </font>
    <font>
      <b/>
      <sz val="8"/>
      <name val="Microsoft Sans Serif"/>
      <family val="2"/>
    </font>
    <font>
      <sz val="10"/>
      <name val="Calibri"/>
      <family val="2"/>
    </font>
    <font>
      <b/>
      <sz val="8"/>
      <color rgb="FFFF0000"/>
      <name val="Arial"/>
    </font>
    <font>
      <b/>
      <i/>
      <u/>
      <sz val="14"/>
      <color rgb="FFC0504D"/>
      <name val="Calibri"/>
    </font>
    <font>
      <sz val="9"/>
      <color theme="1"/>
      <name val="Calibri"/>
      <family val="2"/>
      <scheme val="minor"/>
    </font>
    <font>
      <b/>
      <sz val="9"/>
      <color theme="1"/>
      <name val="Calibri"/>
      <family val="2"/>
      <scheme val="minor"/>
    </font>
    <font>
      <sz val="9"/>
      <color theme="0"/>
      <name val="Calibri"/>
      <family val="2"/>
      <scheme val="minor"/>
    </font>
    <font>
      <b/>
      <i/>
      <sz val="9"/>
      <color rgb="FF0000FF"/>
      <name val="Calibri"/>
      <scheme val="minor"/>
    </font>
    <font>
      <sz val="9"/>
      <color rgb="FF000000"/>
      <name val="Courier"/>
    </font>
    <font>
      <b/>
      <sz val="9"/>
      <color rgb="FFFF0000"/>
      <name val="Calibri"/>
      <family val="2"/>
      <scheme val="minor"/>
    </font>
    <font>
      <b/>
      <sz val="9"/>
      <name val="Calibri"/>
      <family val="2"/>
      <scheme val="minor"/>
    </font>
    <font>
      <sz val="9"/>
      <name val="Calibri"/>
      <family val="2"/>
      <scheme val="minor"/>
    </font>
    <font>
      <sz val="9"/>
      <color rgb="FFFF0000"/>
      <name val="Calibri"/>
      <family val="2"/>
      <scheme val="minor"/>
    </font>
    <font>
      <b/>
      <sz val="18"/>
      <color theme="1"/>
      <name val="Calibri"/>
      <scheme val="minor"/>
    </font>
    <font>
      <b/>
      <sz val="18"/>
      <color rgb="FFFF0000"/>
      <name val="Calibri"/>
      <scheme val="minor"/>
    </font>
    <font>
      <b/>
      <sz val="18"/>
      <color theme="6" tint="-0.249977111117893"/>
      <name val="Calibri"/>
      <scheme val="minor"/>
    </font>
  </fonts>
  <fills count="20">
    <fill>
      <patternFill patternType="none"/>
    </fill>
    <fill>
      <patternFill patternType="gray125"/>
    </fill>
    <fill>
      <patternFill patternType="solid">
        <fgColor theme="3"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FFFCC"/>
        <bgColor indexed="64"/>
      </patternFill>
    </fill>
    <fill>
      <patternFill patternType="solid">
        <fgColor theme="4" tint="0.79998168889431442"/>
        <bgColor indexed="64"/>
      </patternFill>
    </fill>
    <fill>
      <gradientFill degree="90">
        <stop position="0">
          <color rgb="FFFFFFCC"/>
        </stop>
        <stop position="1">
          <color rgb="FFFFFFCC"/>
        </stop>
      </gradientFill>
    </fill>
    <fill>
      <patternFill patternType="solid">
        <fgColor rgb="FFCCFFCC"/>
        <bgColor indexed="64"/>
      </patternFill>
    </fill>
    <fill>
      <patternFill patternType="solid">
        <fgColor rgb="FFFFFFCC"/>
        <bgColor rgb="FF000000"/>
      </patternFill>
    </fill>
    <fill>
      <patternFill patternType="solid">
        <fgColor rgb="FFFFFFFF"/>
        <bgColor rgb="FF000000"/>
      </patternFill>
    </fill>
    <fill>
      <patternFill patternType="solid">
        <fgColor theme="6" tint="-0.499984740745262"/>
        <bgColor indexed="64"/>
      </patternFill>
    </fill>
    <fill>
      <patternFill patternType="solid">
        <fgColor theme="4" tint="-0.249977111117893"/>
        <bgColor indexed="64"/>
      </patternFill>
    </fill>
    <fill>
      <patternFill patternType="solid">
        <fgColor rgb="FFB3D0EC"/>
        <bgColor indexed="64"/>
      </patternFill>
    </fill>
    <fill>
      <patternFill patternType="solid">
        <fgColor rgb="FFFFFFB3"/>
        <bgColor indexed="64"/>
      </patternFill>
    </fill>
    <fill>
      <patternFill patternType="solid">
        <fgColor rgb="FFB3D0EC"/>
        <bgColor rgb="FF000000"/>
      </patternFill>
    </fill>
    <fill>
      <patternFill patternType="solid">
        <fgColor indexed="22"/>
        <bgColor indexed="8"/>
      </patternFill>
    </fill>
    <fill>
      <patternFill patternType="solid">
        <fgColor indexed="9"/>
        <bgColor indexed="8"/>
      </patternFill>
    </fill>
    <fill>
      <patternFill patternType="solid">
        <fgColor theme="0" tint="-0.14999847407452621"/>
        <bgColor indexed="64"/>
      </patternFill>
    </fill>
    <fill>
      <patternFill patternType="solid">
        <fgColor theme="2" tint="-9.9978637043366805E-2"/>
        <bgColor indexed="64"/>
      </patternFill>
    </fill>
  </fills>
  <borders count="4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
      <left/>
      <right/>
      <top style="medium">
        <color rgb="FF000000"/>
      </top>
      <bottom style="medium">
        <color rgb="FF000000"/>
      </bottom>
      <diagonal/>
    </border>
    <border>
      <left/>
      <right/>
      <top style="medium">
        <color rgb="FF000000"/>
      </top>
      <bottom/>
      <diagonal/>
    </border>
    <border>
      <left/>
      <right/>
      <top/>
      <bottom style="medium">
        <color rgb="FF000000"/>
      </bottom>
      <diagonal/>
    </border>
    <border>
      <left style="thin">
        <color auto="1"/>
      </left>
      <right style="thin">
        <color auto="1"/>
      </right>
      <top style="thin">
        <color auto="1"/>
      </top>
      <bottom style="thin">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rgb="FF000000"/>
      </right>
      <top/>
      <bottom/>
      <diagonal/>
    </border>
    <border>
      <left style="medium">
        <color rgb="FF000000"/>
      </left>
      <right/>
      <top style="medium">
        <color rgb="FF000000"/>
      </top>
      <bottom/>
      <diagonal/>
    </border>
    <border>
      <left style="medium">
        <color rgb="FF000000"/>
      </left>
      <right/>
      <top/>
      <bottom style="medium">
        <color rgb="FF000000"/>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top style="thin">
        <color indexed="22"/>
      </top>
      <bottom style="thin">
        <color auto="1"/>
      </bottom>
      <diagonal/>
    </border>
    <border>
      <left/>
      <right/>
      <top style="thin">
        <color indexed="22"/>
      </top>
      <bottom style="thin">
        <color auto="1"/>
      </bottom>
      <diagonal/>
    </border>
    <border>
      <left/>
      <right style="thin">
        <color indexed="22"/>
      </right>
      <top/>
      <bottom style="thin">
        <color auto="1"/>
      </bottom>
      <diagonal/>
    </border>
    <border>
      <left style="thin">
        <color indexed="22"/>
      </left>
      <right style="thin">
        <color indexed="22"/>
      </right>
      <top style="thin">
        <color indexed="22"/>
      </top>
      <bottom style="thin">
        <color auto="1"/>
      </bottom>
      <diagonal/>
    </border>
    <border>
      <left/>
      <right/>
      <top/>
      <bottom style="medium">
        <color auto="1"/>
      </bottom>
      <diagonal/>
    </border>
    <border>
      <left/>
      <right/>
      <top/>
      <bottom style="mediumDashed">
        <color auto="1"/>
      </bottom>
      <diagonal/>
    </border>
  </borders>
  <cellStyleXfs count="498">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164" fontId="9"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9" fontId="9" fillId="0" borderId="0" applyFont="0" applyFill="0" applyBorder="0" applyAlignment="0" applyProtection="0"/>
    <xf numFmtId="0" fontId="2"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1"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4" fillId="0" borderId="0"/>
    <xf numFmtId="0" fontId="41"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398">
    <xf numFmtId="0" fontId="0" fillId="0" borderId="0" xfId="0"/>
    <xf numFmtId="0" fontId="11" fillId="6" borderId="0" xfId="0" applyFont="1" applyFill="1"/>
    <xf numFmtId="0" fontId="6" fillId="6" borderId="0" xfId="0" applyFont="1" applyFill="1"/>
    <xf numFmtId="0" fontId="6" fillId="6" borderId="0" xfId="0" applyFont="1" applyFill="1" applyAlignment="1">
      <alignment horizontal="center" vertical="center"/>
    </xf>
    <xf numFmtId="0" fontId="10" fillId="6" borderId="0" xfId="0" applyFont="1" applyFill="1" applyAlignment="1">
      <alignment horizontal="center" vertical="center"/>
    </xf>
    <xf numFmtId="0" fontId="6" fillId="4" borderId="8" xfId="0" applyFont="1" applyFill="1" applyBorder="1"/>
    <xf numFmtId="0" fontId="6" fillId="4" borderId="9" xfId="0" applyFont="1" applyFill="1" applyBorder="1"/>
    <xf numFmtId="0" fontId="6" fillId="4" borderId="9" xfId="0" applyFont="1" applyFill="1" applyBorder="1" applyAlignment="1">
      <alignment horizontal="center" vertical="center"/>
    </xf>
    <xf numFmtId="0" fontId="6" fillId="4" borderId="5" xfId="0" applyFont="1" applyFill="1" applyBorder="1"/>
    <xf numFmtId="0" fontId="11" fillId="4" borderId="10" xfId="0" applyFont="1" applyFill="1" applyBorder="1"/>
    <xf numFmtId="0" fontId="11" fillId="4" borderId="11" xfId="0" applyFont="1" applyFill="1" applyBorder="1"/>
    <xf numFmtId="0" fontId="6" fillId="4" borderId="10" xfId="0" applyFont="1" applyFill="1" applyBorder="1"/>
    <xf numFmtId="0" fontId="6" fillId="4" borderId="11" xfId="0" applyFont="1" applyFill="1" applyBorder="1"/>
    <xf numFmtId="0" fontId="6" fillId="4" borderId="12" xfId="0" applyFont="1" applyFill="1" applyBorder="1"/>
    <xf numFmtId="0" fontId="6" fillId="4" borderId="7" xfId="0" applyFont="1" applyFill="1" applyBorder="1" applyAlignment="1">
      <alignment horizontal="left" vertical="center" wrapText="1"/>
    </xf>
    <xf numFmtId="0" fontId="6" fillId="4" borderId="6" xfId="0" applyFont="1" applyFill="1" applyBorder="1"/>
    <xf numFmtId="0" fontId="6" fillId="4" borderId="6" xfId="0" applyFont="1" applyFill="1" applyBorder="1" applyAlignment="1">
      <alignment horizontal="left" vertical="center" wrapText="1"/>
    </xf>
    <xf numFmtId="0" fontId="6" fillId="4" borderId="0" xfId="0" applyFont="1" applyFill="1" applyBorder="1" applyAlignment="1">
      <alignment horizontal="center" vertical="center"/>
    </xf>
    <xf numFmtId="0" fontId="10" fillId="4" borderId="10" xfId="0" applyFont="1" applyFill="1" applyBorder="1" applyAlignment="1">
      <alignment horizontal="center" vertical="center"/>
    </xf>
    <xf numFmtId="0" fontId="10" fillId="4" borderId="11" xfId="0" applyFont="1" applyFill="1" applyBorder="1" applyAlignment="1">
      <alignment horizontal="center" vertical="center"/>
    </xf>
    <xf numFmtId="0" fontId="6" fillId="4" borderId="7" xfId="0" applyFont="1" applyFill="1" applyBorder="1"/>
    <xf numFmtId="0" fontId="6" fillId="4" borderId="7" xfId="0" applyFont="1" applyFill="1" applyBorder="1" applyAlignment="1">
      <alignment horizontal="center" vertical="center"/>
    </xf>
    <xf numFmtId="0" fontId="6" fillId="4" borderId="11" xfId="0" applyFont="1" applyFill="1" applyBorder="1" applyAlignment="1">
      <alignment vertical="center" wrapText="1"/>
    </xf>
    <xf numFmtId="0" fontId="10" fillId="6" borderId="0" xfId="0" applyFont="1" applyFill="1"/>
    <xf numFmtId="0" fontId="11" fillId="4" borderId="11" xfId="0" applyFont="1" applyFill="1" applyBorder="1" applyAlignment="1">
      <alignment horizontal="right"/>
    </xf>
    <xf numFmtId="0" fontId="11" fillId="4" borderId="0" xfId="0" applyFont="1" applyFill="1" applyBorder="1" applyAlignment="1">
      <alignment horizontal="left"/>
    </xf>
    <xf numFmtId="0" fontId="11" fillId="4" borderId="11" xfId="0" applyFont="1" applyFill="1" applyBorder="1" applyAlignment="1">
      <alignment horizontal="left"/>
    </xf>
    <xf numFmtId="0" fontId="11" fillId="6" borderId="0" xfId="0" applyFont="1" applyFill="1" applyAlignment="1">
      <alignment horizontal="left"/>
    </xf>
    <xf numFmtId="0" fontId="10" fillId="4" borderId="0" xfId="0" applyFont="1" applyFill="1" applyBorder="1" applyAlignment="1">
      <alignment horizontal="left"/>
    </xf>
    <xf numFmtId="0" fontId="11" fillId="4" borderId="0" xfId="0" applyFont="1" applyFill="1" applyBorder="1" applyAlignment="1">
      <alignment horizontal="right"/>
    </xf>
    <xf numFmtId="0" fontId="10" fillId="4" borderId="0" xfId="0" applyFont="1" applyFill="1" applyBorder="1" applyAlignment="1">
      <alignment horizontal="right" vertical="center"/>
    </xf>
    <xf numFmtId="0" fontId="10" fillId="6" borderId="0" xfId="0" applyFont="1" applyFill="1" applyAlignment="1">
      <alignment wrapText="1"/>
    </xf>
    <xf numFmtId="0" fontId="7" fillId="4" borderId="0" xfId="0" applyFont="1" applyFill="1" applyBorder="1" applyAlignment="1">
      <alignment horizontal="center" vertical="center"/>
    </xf>
    <xf numFmtId="0" fontId="7" fillId="4" borderId="0" xfId="0" applyFont="1" applyFill="1" applyBorder="1" applyAlignment="1">
      <alignment horizontal="left" vertical="center"/>
    </xf>
    <xf numFmtId="0" fontId="6" fillId="7" borderId="1" xfId="0" applyFont="1" applyFill="1" applyBorder="1" applyProtection="1">
      <protection locked="0"/>
    </xf>
    <xf numFmtId="0" fontId="6" fillId="7" borderId="1" xfId="0" applyFont="1" applyFill="1" applyBorder="1" applyAlignment="1" applyProtection="1">
      <alignment horizontal="center" vertical="center"/>
      <protection locked="0"/>
    </xf>
    <xf numFmtId="0" fontId="10" fillId="5" borderId="1" xfId="0" applyFont="1" applyFill="1" applyBorder="1" applyAlignment="1">
      <alignment horizontal="right"/>
    </xf>
    <xf numFmtId="0" fontId="11" fillId="3" borderId="10" xfId="0" applyFont="1" applyFill="1" applyBorder="1" applyAlignment="1">
      <alignment horizontal="left"/>
    </xf>
    <xf numFmtId="0" fontId="11" fillId="3" borderId="12" xfId="0" applyFont="1" applyFill="1" applyBorder="1" applyAlignment="1">
      <alignment horizontal="left"/>
    </xf>
    <xf numFmtId="0" fontId="6" fillId="5" borderId="1" xfId="0" applyFont="1" applyFill="1" applyBorder="1" applyAlignment="1" applyProtection="1">
      <alignment horizontal="center" vertical="center"/>
    </xf>
    <xf numFmtId="0" fontId="11" fillId="3" borderId="8" xfId="0" applyFont="1" applyFill="1" applyBorder="1" applyAlignment="1">
      <alignment horizontal="left"/>
    </xf>
    <xf numFmtId="0" fontId="6" fillId="0" borderId="8" xfId="0" applyFont="1" applyBorder="1"/>
    <xf numFmtId="0" fontId="11" fillId="0" borderId="9" xfId="0" applyFont="1" applyBorder="1"/>
    <xf numFmtId="0" fontId="11" fillId="0" borderId="9" xfId="0" applyFont="1" applyBorder="1" applyAlignment="1">
      <alignment horizontal="right"/>
    </xf>
    <xf numFmtId="0" fontId="13" fillId="0" borderId="5" xfId="0" applyFont="1" applyBorder="1"/>
    <xf numFmtId="0" fontId="6" fillId="0" borderId="10" xfId="0" applyFont="1" applyBorder="1"/>
    <xf numFmtId="0" fontId="13" fillId="0" borderId="11" xfId="0" applyFont="1" applyBorder="1"/>
    <xf numFmtId="0" fontId="6" fillId="0" borderId="12" xfId="0" applyFont="1" applyBorder="1"/>
    <xf numFmtId="0" fontId="11" fillId="0" borderId="7" xfId="0" applyFont="1" applyBorder="1"/>
    <xf numFmtId="0" fontId="11" fillId="0" borderId="7" xfId="0" applyFont="1" applyBorder="1" applyAlignment="1">
      <alignment horizontal="right"/>
    </xf>
    <xf numFmtId="0" fontId="13" fillId="0" borderId="6" xfId="0" applyFont="1" applyBorder="1"/>
    <xf numFmtId="0" fontId="11" fillId="0" borderId="0" xfId="0" applyFont="1" applyBorder="1" applyAlignment="1">
      <alignment horizontal="left" indent="1"/>
    </xf>
    <xf numFmtId="0" fontId="11" fillId="0" borderId="0" xfId="0" applyFont="1" applyBorder="1" applyAlignment="1">
      <alignment horizontal="right"/>
    </xf>
    <xf numFmtId="0" fontId="10" fillId="0" borderId="0" xfId="0" applyFont="1" applyBorder="1"/>
    <xf numFmtId="9" fontId="11" fillId="3" borderId="11" xfId="15" applyFont="1" applyFill="1" applyBorder="1" applyAlignment="1">
      <alignment horizontal="right"/>
    </xf>
    <xf numFmtId="9" fontId="11" fillId="3" borderId="6" xfId="15" applyFont="1" applyFill="1" applyBorder="1" applyAlignment="1">
      <alignment horizontal="right"/>
    </xf>
    <xf numFmtId="0" fontId="6" fillId="0" borderId="7" xfId="0" applyFont="1" applyBorder="1"/>
    <xf numFmtId="0" fontId="6" fillId="0" borderId="7" xfId="0" applyFont="1" applyBorder="1" applyAlignment="1">
      <alignment horizontal="center" vertical="center"/>
    </xf>
    <xf numFmtId="0" fontId="6" fillId="0" borderId="6" xfId="0" applyFont="1" applyBorder="1" applyAlignment="1">
      <alignment horizontal="center" vertical="center"/>
    </xf>
    <xf numFmtId="9" fontId="11" fillId="3" borderId="5" xfId="15" applyFont="1" applyFill="1" applyBorder="1" applyAlignment="1">
      <alignment horizontal="right"/>
    </xf>
    <xf numFmtId="0" fontId="14" fillId="0" borderId="0" xfId="0" applyFont="1" applyAlignment="1">
      <alignment horizontal="center" vertical="center"/>
    </xf>
    <xf numFmtId="0" fontId="6" fillId="5" borderId="1" xfId="0" applyFont="1" applyFill="1" applyBorder="1" applyProtection="1"/>
    <xf numFmtId="0" fontId="6" fillId="5" borderId="1" xfId="0" applyFont="1" applyFill="1" applyBorder="1" applyAlignment="1" applyProtection="1">
      <alignment horizontal="center" vertical="center"/>
    </xf>
    <xf numFmtId="0" fontId="6" fillId="4" borderId="11" xfId="0" applyFont="1" applyFill="1" applyBorder="1" applyAlignment="1">
      <alignment horizontal="left" vertical="center" wrapText="1"/>
    </xf>
    <xf numFmtId="9" fontId="11" fillId="3" borderId="5" xfId="15" applyNumberFormat="1" applyFont="1" applyFill="1" applyBorder="1" applyAlignment="1">
      <alignment horizontal="right"/>
    </xf>
    <xf numFmtId="0" fontId="6" fillId="8" borderId="0" xfId="0" applyFont="1" applyFill="1" applyAlignment="1">
      <alignment horizontal="center" vertical="center"/>
    </xf>
    <xf numFmtId="0" fontId="6" fillId="4" borderId="8"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10" xfId="0" applyFont="1" applyFill="1" applyBorder="1" applyAlignment="1">
      <alignment horizontal="center" vertical="center"/>
    </xf>
    <xf numFmtId="0" fontId="6" fillId="4" borderId="1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6" xfId="0" applyFont="1" applyFill="1" applyBorder="1" applyAlignment="1">
      <alignment horizontal="center" vertical="center"/>
    </xf>
    <xf numFmtId="0" fontId="7" fillId="4" borderId="10" xfId="0" applyFont="1" applyFill="1" applyBorder="1" applyAlignment="1">
      <alignment horizontal="center" vertical="center"/>
    </xf>
    <xf numFmtId="0" fontId="7" fillId="4" borderId="11" xfId="0" applyFont="1" applyFill="1" applyBorder="1" applyAlignment="1">
      <alignment horizontal="center" vertical="center"/>
    </xf>
    <xf numFmtId="0" fontId="7" fillId="8" borderId="0" xfId="0" applyFont="1" applyFill="1" applyAlignment="1">
      <alignment horizontal="center" vertical="center"/>
    </xf>
    <xf numFmtId="0" fontId="7" fillId="4" borderId="8" xfId="0" applyFont="1" applyFill="1" applyBorder="1" applyAlignment="1">
      <alignment horizontal="center" vertical="center"/>
    </xf>
    <xf numFmtId="0" fontId="7" fillId="4" borderId="9" xfId="0" applyFont="1" applyFill="1" applyBorder="1" applyAlignment="1">
      <alignment horizontal="center" vertical="center"/>
    </xf>
    <xf numFmtId="0" fontId="7" fillId="4" borderId="5" xfId="0" applyFont="1" applyFill="1" applyBorder="1" applyAlignment="1">
      <alignment horizontal="center" vertical="center"/>
    </xf>
    <xf numFmtId="0" fontId="7" fillId="5" borderId="9" xfId="0" applyFont="1" applyFill="1" applyBorder="1" applyAlignment="1">
      <alignment horizontal="center" vertical="center"/>
    </xf>
    <xf numFmtId="0" fontId="7" fillId="5" borderId="8" xfId="0" applyFont="1" applyFill="1" applyBorder="1" applyAlignment="1">
      <alignment horizontal="left" vertical="center"/>
    </xf>
    <xf numFmtId="0" fontId="7" fillId="5" borderId="5" xfId="0" applyFont="1" applyFill="1" applyBorder="1" applyAlignment="1">
      <alignment horizontal="center" vertical="center"/>
    </xf>
    <xf numFmtId="0" fontId="6" fillId="5" borderId="7" xfId="0" applyFont="1" applyFill="1" applyBorder="1" applyAlignment="1">
      <alignment horizontal="center" vertical="center"/>
    </xf>
    <xf numFmtId="0" fontId="17" fillId="5" borderId="7" xfId="0" applyFont="1" applyFill="1" applyBorder="1" applyAlignment="1">
      <alignment horizontal="left" vertical="center"/>
    </xf>
    <xf numFmtId="0" fontId="7" fillId="5" borderId="6" xfId="0" applyFont="1" applyFill="1" applyBorder="1" applyAlignment="1">
      <alignment horizontal="center" vertical="center"/>
    </xf>
    <xf numFmtId="0" fontId="17" fillId="5" borderId="12" xfId="0" applyFont="1" applyFill="1" applyBorder="1" applyAlignment="1">
      <alignment horizontal="left" vertical="center"/>
    </xf>
    <xf numFmtId="0" fontId="7" fillId="4" borderId="12" xfId="0" applyFont="1" applyFill="1" applyBorder="1" applyAlignment="1">
      <alignment horizontal="center" vertical="center"/>
    </xf>
    <xf numFmtId="0" fontId="7" fillId="4" borderId="7" xfId="0" applyFont="1" applyFill="1" applyBorder="1" applyAlignment="1">
      <alignment horizontal="center" vertical="center"/>
    </xf>
    <xf numFmtId="0" fontId="7" fillId="4" borderId="6" xfId="0" applyFont="1" applyFill="1" applyBorder="1" applyAlignment="1">
      <alignment horizontal="center" vertical="center"/>
    </xf>
    <xf numFmtId="0" fontId="17" fillId="5" borderId="6" xfId="0" applyFont="1" applyFill="1" applyBorder="1" applyAlignment="1">
      <alignment horizontal="left" vertical="center"/>
    </xf>
    <xf numFmtId="0" fontId="7" fillId="5" borderId="1" xfId="0" applyFont="1" applyFill="1" applyBorder="1" applyAlignment="1">
      <alignment horizontal="center" vertical="center"/>
    </xf>
    <xf numFmtId="0" fontId="6" fillId="5" borderId="6" xfId="0" applyFont="1" applyFill="1" applyBorder="1" applyAlignment="1">
      <alignment horizontal="center" vertical="center"/>
    </xf>
    <xf numFmtId="0" fontId="7" fillId="5" borderId="12" xfId="0" applyFont="1" applyFill="1" applyBorder="1" applyAlignment="1">
      <alignment horizontal="left" vertical="center"/>
    </xf>
    <xf numFmtId="0" fontId="18" fillId="4" borderId="0" xfId="0" applyFont="1" applyFill="1" applyBorder="1" applyAlignment="1">
      <alignment horizontal="center" vertical="center"/>
    </xf>
    <xf numFmtId="0" fontId="19" fillId="9" borderId="1" xfId="0" applyFont="1" applyFill="1" applyBorder="1" applyAlignment="1">
      <alignment horizontal="center" vertical="center"/>
    </xf>
    <xf numFmtId="0" fontId="19" fillId="10" borderId="0" xfId="0" applyFont="1" applyFill="1" applyBorder="1" applyAlignment="1">
      <alignment horizontal="center" vertical="center"/>
    </xf>
    <xf numFmtId="0" fontId="8" fillId="12" borderId="1" xfId="0" applyFont="1" applyFill="1" applyBorder="1" applyAlignment="1">
      <alignment horizontal="center" vertical="center"/>
    </xf>
    <xf numFmtId="0" fontId="8" fillId="11" borderId="1" xfId="0" applyFont="1" applyFill="1" applyBorder="1" applyAlignment="1">
      <alignment horizontal="center" vertical="center"/>
    </xf>
    <xf numFmtId="0" fontId="13" fillId="4" borderId="0" xfId="0" applyFont="1" applyFill="1" applyBorder="1" applyAlignment="1">
      <alignment horizontal="right"/>
    </xf>
    <xf numFmtId="0" fontId="21" fillId="4" borderId="7" xfId="0" applyFont="1" applyFill="1" applyBorder="1" applyAlignment="1">
      <alignment horizontal="center" vertical="center"/>
    </xf>
    <xf numFmtId="0" fontId="13" fillId="4" borderId="7" xfId="0" applyFont="1" applyFill="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0" xfId="0" pivotButton="1"/>
    <xf numFmtId="0" fontId="0" fillId="0" borderId="0" xfId="0" applyNumberFormat="1"/>
    <xf numFmtId="0" fontId="0" fillId="0" borderId="0" xfId="0" applyAlignment="1">
      <alignment horizontal="left"/>
    </xf>
    <xf numFmtId="0" fontId="10" fillId="4" borderId="7" xfId="0" applyFont="1" applyFill="1" applyBorder="1" applyAlignment="1">
      <alignment horizontal="left"/>
    </xf>
    <xf numFmtId="0" fontId="10" fillId="4" borderId="7" xfId="0" applyFont="1" applyFill="1" applyBorder="1" applyAlignment="1">
      <alignment horizontal="right" vertical="center"/>
    </xf>
    <xf numFmtId="0" fontId="22" fillId="13" borderId="24" xfId="0" applyFont="1" applyFill="1" applyBorder="1" applyAlignment="1">
      <alignment horizontal="center" vertical="center" wrapText="1"/>
    </xf>
    <xf numFmtId="0" fontId="23" fillId="0" borderId="0" xfId="0" applyFont="1" applyAlignment="1">
      <alignment horizontal="center" vertical="center" wrapText="1"/>
    </xf>
    <xf numFmtId="0" fontId="23" fillId="0" borderId="24" xfId="0" applyFont="1" applyBorder="1" applyAlignment="1">
      <alignment horizontal="center" vertical="center" wrapText="1"/>
    </xf>
    <xf numFmtId="0" fontId="0" fillId="0" borderId="0" xfId="0" applyAlignment="1">
      <alignment horizontal="center"/>
    </xf>
    <xf numFmtId="0" fontId="22" fillId="13" borderId="1" xfId="0" applyFont="1" applyFill="1" applyBorder="1" applyAlignment="1">
      <alignment horizontal="center" vertical="center" wrapText="1"/>
    </xf>
    <xf numFmtId="0" fontId="23" fillId="0" borderId="1" xfId="0" applyFont="1" applyBorder="1" applyAlignment="1">
      <alignment horizontal="center" vertical="center" wrapText="1"/>
    </xf>
    <xf numFmtId="0" fontId="23" fillId="0" borderId="25" xfId="0" applyFont="1" applyBorder="1" applyAlignment="1">
      <alignment horizontal="center" vertical="center" wrapText="1"/>
    </xf>
    <xf numFmtId="0" fontId="11" fillId="4" borderId="0" xfId="0" applyFont="1" applyFill="1"/>
    <xf numFmtId="0" fontId="10" fillId="4" borderId="0" xfId="0" applyFont="1" applyFill="1" applyAlignment="1">
      <alignment horizontal="left"/>
    </xf>
    <xf numFmtId="0" fontId="26" fillId="13" borderId="26" xfId="0" applyFont="1" applyFill="1" applyBorder="1" applyAlignment="1">
      <alignment vertical="center" wrapText="1"/>
    </xf>
    <xf numFmtId="0" fontId="22" fillId="13" borderId="27" xfId="0" applyFont="1" applyFill="1" applyBorder="1" applyAlignment="1">
      <alignment horizontal="center" vertical="center" wrapText="1"/>
    </xf>
    <xf numFmtId="0" fontId="0" fillId="13" borderId="28" xfId="0" applyFill="1" applyBorder="1" applyAlignment="1">
      <alignment vertical="top" wrapText="1"/>
    </xf>
    <xf numFmtId="0" fontId="27" fillId="13" borderId="30" xfId="0" applyFont="1" applyFill="1" applyBorder="1" applyAlignment="1">
      <alignment vertical="center" wrapText="1"/>
    </xf>
    <xf numFmtId="0" fontId="22" fillId="13" borderId="32" xfId="0" applyFont="1" applyFill="1" applyBorder="1" applyAlignment="1">
      <alignment horizontal="center" vertical="center" wrapText="1"/>
    </xf>
    <xf numFmtId="0" fontId="22" fillId="13" borderId="31" xfId="0" applyFont="1" applyFill="1" applyBorder="1" applyAlignment="1">
      <alignment horizontal="center" vertical="center" wrapText="1"/>
    </xf>
    <xf numFmtId="0" fontId="22" fillId="13" borderId="30" xfId="0" applyFont="1" applyFill="1" applyBorder="1" applyAlignment="1">
      <alignment vertical="center" wrapText="1"/>
    </xf>
    <xf numFmtId="0" fontId="26" fillId="13" borderId="32" xfId="0" applyFont="1" applyFill="1" applyBorder="1" applyAlignment="1">
      <alignment vertical="center" wrapText="1"/>
    </xf>
    <xf numFmtId="0" fontId="22" fillId="13" borderId="31" xfId="0" applyFont="1" applyFill="1" applyBorder="1" applyAlignment="1">
      <alignment vertical="center" wrapText="1"/>
    </xf>
    <xf numFmtId="0" fontId="22" fillId="13" borderId="29" xfId="0" applyFont="1" applyFill="1" applyBorder="1" applyAlignment="1">
      <alignment horizontal="center" vertical="center" wrapText="1"/>
    </xf>
    <xf numFmtId="0" fontId="28" fillId="0" borderId="28" xfId="0" applyFont="1" applyBorder="1" applyAlignment="1">
      <alignment vertical="center" wrapText="1"/>
    </xf>
    <xf numFmtId="0" fontId="23" fillId="14" borderId="31" xfId="0" applyFont="1" applyFill="1" applyBorder="1" applyAlignment="1">
      <alignment horizontal="left" vertical="center" wrapText="1" indent="1"/>
    </xf>
    <xf numFmtId="0" fontId="23" fillId="14" borderId="31" xfId="0" applyFont="1" applyFill="1" applyBorder="1" applyAlignment="1">
      <alignment horizontal="center" vertical="center" wrapText="1"/>
    </xf>
    <xf numFmtId="0" fontId="23" fillId="14" borderId="31" xfId="0" applyFont="1" applyFill="1" applyBorder="1" applyAlignment="1">
      <alignment vertical="center" wrapText="1"/>
    </xf>
    <xf numFmtId="0" fontId="23" fillId="0" borderId="31" xfId="0" applyFont="1" applyBorder="1" applyAlignment="1">
      <alignment horizontal="left" vertical="center" wrapText="1" indent="1"/>
    </xf>
    <xf numFmtId="0" fontId="23" fillId="0" borderId="31" xfId="0" applyFont="1" applyBorder="1" applyAlignment="1">
      <alignment vertical="center" wrapText="1"/>
    </xf>
    <xf numFmtId="0" fontId="23" fillId="0" borderId="31" xfId="0" applyFont="1" applyBorder="1" applyAlignment="1">
      <alignment horizontal="center" vertical="center" wrapText="1"/>
    </xf>
    <xf numFmtId="0" fontId="30" fillId="15" borderId="1" xfId="0" applyFont="1" applyFill="1" applyBorder="1" applyAlignment="1">
      <alignment horizontal="center" vertical="center" wrapText="1"/>
    </xf>
    <xf numFmtId="0" fontId="30" fillId="15" borderId="4" xfId="0" applyFont="1" applyFill="1" applyBorder="1" applyAlignment="1">
      <alignment horizontal="center" vertical="center" wrapText="1"/>
    </xf>
    <xf numFmtId="0" fontId="31" fillId="0" borderId="1" xfId="0" applyFont="1" applyBorder="1" applyAlignment="1">
      <alignment horizontal="center" vertical="center" wrapText="1"/>
    </xf>
    <xf numFmtId="0" fontId="32" fillId="13" borderId="23" xfId="0" applyFont="1" applyFill="1" applyBorder="1" applyAlignment="1">
      <alignment horizontal="center" vertical="center" wrapText="1"/>
    </xf>
    <xf numFmtId="0" fontId="23" fillId="0" borderId="0" xfId="0" applyFont="1" applyFill="1" applyBorder="1" applyAlignment="1">
      <alignment horizontal="center" vertical="center" wrapText="1"/>
    </xf>
    <xf numFmtId="0" fontId="10" fillId="4" borderId="7" xfId="0" applyFont="1" applyFill="1" applyBorder="1" applyAlignment="1">
      <alignment horizontal="center" vertical="center"/>
    </xf>
    <xf numFmtId="165" fontId="10" fillId="5" borderId="1" xfId="0" applyNumberFormat="1" applyFont="1" applyFill="1" applyBorder="1" applyAlignment="1">
      <alignment horizontal="right"/>
    </xf>
    <xf numFmtId="166" fontId="10" fillId="5" borderId="1" xfId="0" applyNumberFormat="1" applyFont="1" applyFill="1" applyBorder="1" applyAlignment="1">
      <alignment horizontal="right"/>
    </xf>
    <xf numFmtId="0" fontId="10" fillId="5" borderId="1" xfId="0" applyNumberFormat="1" applyFont="1" applyFill="1" applyBorder="1" applyAlignment="1">
      <alignment horizontal="right"/>
    </xf>
    <xf numFmtId="0" fontId="35" fillId="16" borderId="35" xfId="344" applyFont="1" applyFill="1" applyBorder="1" applyAlignment="1">
      <alignment horizontal="center" wrapText="1"/>
    </xf>
    <xf numFmtId="0" fontId="35" fillId="16" borderId="36" xfId="344" applyFont="1" applyFill="1" applyBorder="1" applyAlignment="1">
      <alignment horizontal="center" wrapText="1"/>
    </xf>
    <xf numFmtId="0" fontId="36" fillId="0" borderId="0" xfId="344" applyFont="1"/>
    <xf numFmtId="49" fontId="35" fillId="17" borderId="37" xfId="344" applyNumberFormat="1" applyFont="1" applyFill="1" applyBorder="1" applyAlignment="1">
      <alignment horizontal="right" wrapText="1"/>
    </xf>
    <xf numFmtId="49" fontId="35" fillId="17" borderId="38" xfId="344" applyNumberFormat="1" applyFont="1" applyFill="1" applyBorder="1" applyAlignment="1">
      <alignment horizontal="left" wrapText="1"/>
    </xf>
    <xf numFmtId="0" fontId="37" fillId="17" borderId="38" xfId="344" applyFont="1" applyFill="1" applyBorder="1" applyAlignment="1">
      <alignment wrapText="1"/>
    </xf>
    <xf numFmtId="0" fontId="37" fillId="17" borderId="38" xfId="344" applyFont="1" applyFill="1" applyBorder="1" applyAlignment="1">
      <alignment horizontal="justify" wrapText="1"/>
    </xf>
    <xf numFmtId="0" fontId="37" fillId="17" borderId="38" xfId="344" applyFont="1" applyFill="1" applyBorder="1" applyAlignment="1">
      <alignment horizontal="right" wrapText="1"/>
    </xf>
    <xf numFmtId="40" fontId="37" fillId="17" borderId="38" xfId="344" applyNumberFormat="1" applyFont="1" applyFill="1" applyBorder="1" applyAlignment="1">
      <alignment horizontal="right" wrapText="1"/>
    </xf>
    <xf numFmtId="49" fontId="37" fillId="17" borderId="37" xfId="344" applyNumberFormat="1" applyFont="1" applyFill="1" applyBorder="1" applyAlignment="1">
      <alignment horizontal="right" wrapText="1"/>
    </xf>
    <xf numFmtId="49" fontId="37" fillId="17" borderId="38" xfId="344" applyNumberFormat="1" applyFont="1" applyFill="1" applyBorder="1" applyAlignment="1">
      <alignment horizontal="left" wrapText="1" indent="1"/>
    </xf>
    <xf numFmtId="0" fontId="36" fillId="0" borderId="39" xfId="344" applyFont="1" applyBorder="1"/>
    <xf numFmtId="0" fontId="38" fillId="17" borderId="40" xfId="344" applyFont="1" applyFill="1" applyBorder="1" applyAlignment="1">
      <alignment horizontal="right" wrapText="1"/>
    </xf>
    <xf numFmtId="4" fontId="38" fillId="17" borderId="41" xfId="344" applyNumberFormat="1" applyFont="1" applyFill="1" applyBorder="1" applyAlignment="1">
      <alignment horizontal="right" wrapText="1"/>
    </xf>
    <xf numFmtId="4" fontId="38" fillId="17" borderId="42" xfId="344" applyNumberFormat="1" applyFont="1" applyFill="1" applyBorder="1" applyAlignment="1">
      <alignment horizontal="right" wrapText="1"/>
    </xf>
    <xf numFmtId="0" fontId="39" fillId="17" borderId="0" xfId="344" applyFont="1" applyFill="1" applyAlignment="1">
      <alignment horizontal="right" wrapText="1"/>
    </xf>
    <xf numFmtId="4" fontId="39" fillId="17" borderId="0" xfId="344" applyNumberFormat="1" applyFont="1" applyFill="1" applyAlignment="1">
      <alignment horizontal="right" wrapText="1"/>
    </xf>
    <xf numFmtId="1" fontId="40" fillId="17" borderId="0" xfId="344" applyNumberFormat="1" applyFont="1" applyFill="1" applyAlignment="1" applyProtection="1">
      <alignment horizontal="left" vertical="center"/>
      <protection locked="0"/>
    </xf>
    <xf numFmtId="40" fontId="42" fillId="17" borderId="38" xfId="344" applyNumberFormat="1" applyFont="1" applyFill="1" applyBorder="1" applyAlignment="1">
      <alignment wrapText="1"/>
    </xf>
    <xf numFmtId="0" fontId="10" fillId="4" borderId="0" xfId="0" applyFont="1" applyFill="1" applyBorder="1" applyAlignment="1">
      <alignment horizontal="left"/>
    </xf>
    <xf numFmtId="0" fontId="10" fillId="4" borderId="0" xfId="0" applyFont="1" applyFill="1" applyBorder="1" applyAlignment="1">
      <alignment horizontal="left"/>
    </xf>
    <xf numFmtId="0" fontId="11" fillId="18" borderId="10" xfId="0" applyFont="1" applyFill="1" applyBorder="1" applyAlignment="1">
      <alignment horizontal="left"/>
    </xf>
    <xf numFmtId="0" fontId="11" fillId="18" borderId="11" xfId="0" applyFont="1" applyFill="1" applyBorder="1" applyAlignment="1">
      <alignment horizontal="center"/>
    </xf>
    <xf numFmtId="0" fontId="11" fillId="18" borderId="12" xfId="0" applyFont="1" applyFill="1" applyBorder="1" applyAlignment="1">
      <alignment horizontal="left"/>
    </xf>
    <xf numFmtId="0" fontId="11" fillId="18" borderId="6" xfId="0" applyFont="1" applyFill="1" applyBorder="1" applyAlignment="1">
      <alignment horizontal="center"/>
    </xf>
    <xf numFmtId="0" fontId="11" fillId="18" borderId="2" xfId="0" applyFont="1" applyFill="1" applyBorder="1" applyAlignment="1">
      <alignment horizontal="left"/>
    </xf>
    <xf numFmtId="0" fontId="11" fillId="18" borderId="20" xfId="0" applyFont="1" applyFill="1" applyBorder="1" applyAlignment="1">
      <alignment horizontal="left"/>
    </xf>
    <xf numFmtId="0" fontId="11" fillId="18" borderId="3" xfId="0" applyFont="1" applyFill="1" applyBorder="1" applyAlignment="1">
      <alignment horizontal="left"/>
    </xf>
    <xf numFmtId="0" fontId="10" fillId="18" borderId="8" xfId="0" applyFont="1" applyFill="1" applyBorder="1" applyAlignment="1">
      <alignment horizontal="left"/>
    </xf>
    <xf numFmtId="0" fontId="11" fillId="18" borderId="11" xfId="0" applyFont="1" applyFill="1" applyBorder="1" applyAlignment="1">
      <alignment horizontal="right"/>
    </xf>
    <xf numFmtId="0" fontId="11" fillId="18" borderId="6" xfId="0" applyFont="1" applyFill="1" applyBorder="1" applyAlignment="1">
      <alignment horizontal="right"/>
    </xf>
    <xf numFmtId="0" fontId="10" fillId="18" borderId="10" xfId="0" applyFont="1" applyFill="1" applyBorder="1" applyAlignment="1">
      <alignment horizontal="left"/>
    </xf>
    <xf numFmtId="0" fontId="11" fillId="18" borderId="1" xfId="0" applyFont="1" applyFill="1" applyBorder="1" applyAlignment="1">
      <alignment horizontal="right"/>
    </xf>
    <xf numFmtId="0" fontId="11" fillId="4" borderId="0" xfId="0" applyFont="1" applyFill="1" applyBorder="1"/>
    <xf numFmtId="0" fontId="10" fillId="18" borderId="2" xfId="0" applyFont="1" applyFill="1" applyBorder="1" applyAlignment="1">
      <alignment horizontal="left"/>
    </xf>
    <xf numFmtId="0" fontId="11" fillId="18" borderId="8" xfId="0" applyFont="1" applyFill="1" applyBorder="1" applyAlignment="1" applyProtection="1">
      <alignment horizontal="left" vertical="center"/>
      <protection locked="0"/>
    </xf>
    <xf numFmtId="0" fontId="10" fillId="18" borderId="5" xfId="0" applyFont="1" applyFill="1" applyBorder="1" applyAlignment="1" applyProtection="1">
      <alignment horizontal="center" vertical="center"/>
      <protection locked="0"/>
    </xf>
    <xf numFmtId="0" fontId="10" fillId="4" borderId="8" xfId="0" applyFont="1" applyFill="1" applyBorder="1" applyAlignment="1">
      <alignment horizontal="center"/>
    </xf>
    <xf numFmtId="0" fontId="10" fillId="4" borderId="9" xfId="0" applyFont="1" applyFill="1" applyBorder="1" applyAlignment="1">
      <alignment horizontal="center"/>
    </xf>
    <xf numFmtId="0" fontId="10" fillId="4" borderId="5" xfId="0" applyFont="1" applyFill="1" applyBorder="1" applyAlignment="1">
      <alignment horizontal="center"/>
    </xf>
    <xf numFmtId="0" fontId="7" fillId="4" borderId="8" xfId="0" applyFont="1" applyFill="1" applyBorder="1" applyAlignment="1">
      <alignment horizontal="center"/>
    </xf>
    <xf numFmtId="0" fontId="7" fillId="4" borderId="9" xfId="0" applyFont="1" applyFill="1" applyBorder="1" applyAlignment="1">
      <alignment horizontal="center"/>
    </xf>
    <xf numFmtId="0" fontId="7" fillId="4" borderId="5" xfId="0" applyFont="1" applyFill="1" applyBorder="1" applyAlignment="1">
      <alignment horizontal="center"/>
    </xf>
    <xf numFmtId="0" fontId="6" fillId="19" borderId="8" xfId="0" applyFont="1" applyFill="1" applyBorder="1" applyAlignment="1">
      <alignment horizontal="left" vertical="center" wrapText="1"/>
    </xf>
    <xf numFmtId="0" fontId="6" fillId="19" borderId="9" xfId="0" applyFont="1" applyFill="1" applyBorder="1" applyAlignment="1">
      <alignment horizontal="left" vertical="center" wrapText="1"/>
    </xf>
    <xf numFmtId="0" fontId="6" fillId="19" borderId="5" xfId="0" applyFont="1" applyFill="1" applyBorder="1" applyAlignment="1">
      <alignment horizontal="left" vertical="center" wrapText="1"/>
    </xf>
    <xf numFmtId="0" fontId="6" fillId="19" borderId="10" xfId="0" applyFont="1" applyFill="1" applyBorder="1" applyAlignment="1">
      <alignment horizontal="left" vertical="center" wrapText="1"/>
    </xf>
    <xf numFmtId="0" fontId="6" fillId="19" borderId="0" xfId="0" applyFont="1" applyFill="1" applyBorder="1" applyAlignment="1">
      <alignment horizontal="left" vertical="center" wrapText="1"/>
    </xf>
    <xf numFmtId="0" fontId="6" fillId="19" borderId="11" xfId="0" applyFont="1" applyFill="1" applyBorder="1" applyAlignment="1">
      <alignment horizontal="left" vertical="center" wrapText="1"/>
    </xf>
    <xf numFmtId="0" fontId="6" fillId="19" borderId="12" xfId="0" applyFont="1" applyFill="1" applyBorder="1" applyAlignment="1">
      <alignment horizontal="left" vertical="center" wrapText="1"/>
    </xf>
    <xf numFmtId="0" fontId="6" fillId="19" borderId="7" xfId="0" applyFont="1" applyFill="1" applyBorder="1" applyAlignment="1">
      <alignment horizontal="left" vertical="center" wrapText="1"/>
    </xf>
    <xf numFmtId="0" fontId="6" fillId="19" borderId="6" xfId="0" applyFont="1" applyFill="1" applyBorder="1" applyAlignment="1">
      <alignment horizontal="left" vertical="center" wrapText="1"/>
    </xf>
    <xf numFmtId="0" fontId="16" fillId="4" borderId="0" xfId="0" applyFont="1" applyFill="1" applyBorder="1" applyAlignment="1">
      <alignment horizontal="center" vertical="center"/>
    </xf>
    <xf numFmtId="0" fontId="28" fillId="0" borderId="26" xfId="0" applyFont="1" applyBorder="1" applyAlignment="1">
      <alignment vertical="center" wrapText="1"/>
    </xf>
    <xf numFmtId="0" fontId="28" fillId="0" borderId="28" xfId="0" applyFont="1" applyBorder="1" applyAlignment="1">
      <alignment vertical="center" wrapText="1"/>
    </xf>
    <xf numFmtId="0" fontId="22" fillId="13" borderId="33" xfId="0" applyFont="1" applyFill="1" applyBorder="1" applyAlignment="1">
      <alignment horizontal="left" vertical="center" wrapText="1" indent="4"/>
    </xf>
    <xf numFmtId="0" fontId="22" fillId="13" borderId="23" xfId="0" applyFont="1" applyFill="1" applyBorder="1" applyAlignment="1">
      <alignment horizontal="left" vertical="center" wrapText="1" indent="4"/>
    </xf>
    <xf numFmtId="0" fontId="22" fillId="13" borderId="30" xfId="0" applyFont="1" applyFill="1" applyBorder="1" applyAlignment="1">
      <alignment horizontal="left" vertical="center" wrapText="1" indent="4"/>
    </xf>
    <xf numFmtId="0" fontId="22" fillId="13" borderId="34" xfId="0" applyFont="1" applyFill="1" applyBorder="1" applyAlignment="1">
      <alignment horizontal="left" vertical="center" wrapText="1" indent="4"/>
    </xf>
    <xf numFmtId="0" fontId="22" fillId="13" borderId="24" xfId="0" applyFont="1" applyFill="1" applyBorder="1" applyAlignment="1">
      <alignment horizontal="left" vertical="center" wrapText="1" indent="4"/>
    </xf>
    <xf numFmtId="0" fontId="22" fillId="13" borderId="31" xfId="0" applyFont="1" applyFill="1" applyBorder="1" applyAlignment="1">
      <alignment horizontal="left" vertical="center" wrapText="1" indent="4"/>
    </xf>
    <xf numFmtId="0" fontId="28" fillId="0" borderId="27" xfId="0" applyFont="1" applyBorder="1" applyAlignment="1">
      <alignment vertical="center" wrapText="1"/>
    </xf>
    <xf numFmtId="0" fontId="22" fillId="0" borderId="22" xfId="0" applyFont="1" applyBorder="1" applyAlignment="1">
      <alignment horizontal="center" vertical="center" wrapText="1"/>
    </xf>
    <xf numFmtId="0" fontId="22" fillId="13" borderId="23" xfId="0" applyFont="1" applyFill="1" applyBorder="1" applyAlignment="1">
      <alignment horizontal="center" vertical="center" wrapText="1"/>
    </xf>
    <xf numFmtId="0" fontId="22" fillId="13" borderId="24" xfId="0" applyFont="1" applyFill="1" applyBorder="1" applyAlignment="1">
      <alignment horizontal="center" vertical="center" wrapText="1"/>
    </xf>
    <xf numFmtId="0" fontId="22" fillId="13" borderId="22" xfId="0" applyFont="1" applyFill="1" applyBorder="1" applyAlignment="1">
      <alignment horizontal="center" vertical="center" wrapText="1"/>
    </xf>
    <xf numFmtId="0" fontId="38" fillId="17" borderId="40" xfId="344" applyFont="1" applyFill="1" applyBorder="1" applyAlignment="1">
      <alignment horizontal="right"/>
    </xf>
    <xf numFmtId="0" fontId="38" fillId="17" borderId="40" xfId="344" applyFont="1" applyFill="1" applyBorder="1" applyAlignment="1">
      <alignment horizontal="right" wrapText="1"/>
    </xf>
    <xf numFmtId="0" fontId="39" fillId="17" borderId="0" xfId="344" applyFont="1" applyFill="1" applyAlignment="1">
      <alignment horizontal="right"/>
    </xf>
    <xf numFmtId="0" fontId="39" fillId="17" borderId="0" xfId="344" applyFont="1" applyFill="1" applyAlignment="1">
      <alignment horizontal="right" wrapText="1"/>
    </xf>
    <xf numFmtId="0" fontId="12" fillId="18" borderId="13" xfId="0" applyFont="1" applyFill="1" applyBorder="1" applyAlignment="1">
      <alignment horizontal="left"/>
    </xf>
    <xf numFmtId="0" fontId="12" fillId="18" borderId="14" xfId="0" applyFont="1" applyFill="1" applyBorder="1" applyAlignment="1">
      <alignment horizontal="right"/>
    </xf>
    <xf numFmtId="0" fontId="12" fillId="18" borderId="15" xfId="0" applyFont="1" applyFill="1" applyBorder="1" applyAlignment="1">
      <alignment horizontal="left"/>
    </xf>
    <xf numFmtId="0" fontId="12" fillId="18" borderId="16" xfId="0" applyFont="1" applyFill="1" applyBorder="1" applyAlignment="1">
      <alignment horizontal="right"/>
    </xf>
    <xf numFmtId="0" fontId="12" fillId="18" borderId="17" xfId="0" applyFont="1" applyFill="1" applyBorder="1" applyAlignment="1">
      <alignment horizontal="left"/>
    </xf>
    <xf numFmtId="0" fontId="12" fillId="18" borderId="18" xfId="0" applyFont="1" applyFill="1" applyBorder="1" applyAlignment="1">
      <alignment horizontal="right"/>
    </xf>
    <xf numFmtId="0" fontId="11" fillId="18" borderId="8" xfId="0" applyFont="1" applyFill="1" applyBorder="1" applyAlignment="1">
      <alignment horizontal="left"/>
    </xf>
    <xf numFmtId="0" fontId="11" fillId="18" borderId="5" xfId="0" applyFont="1" applyFill="1" applyBorder="1" applyAlignment="1">
      <alignment horizontal="right"/>
    </xf>
    <xf numFmtId="0" fontId="12" fillId="18" borderId="10" xfId="0" applyFont="1" applyFill="1" applyBorder="1" applyAlignment="1">
      <alignment horizontal="left"/>
    </xf>
    <xf numFmtId="0" fontId="12" fillId="18" borderId="11" xfId="0" applyFont="1" applyFill="1" applyBorder="1" applyAlignment="1">
      <alignment horizontal="right"/>
    </xf>
    <xf numFmtId="0" fontId="12" fillId="18" borderId="12" xfId="0" applyFont="1" applyFill="1" applyBorder="1" applyAlignment="1">
      <alignment horizontal="left"/>
    </xf>
    <xf numFmtId="0" fontId="12" fillId="18" borderId="6" xfId="0" applyFont="1" applyFill="1" applyBorder="1" applyAlignment="1">
      <alignment horizontal="right"/>
    </xf>
    <xf numFmtId="0" fontId="11" fillId="18" borderId="2" xfId="0" applyFont="1" applyFill="1" applyBorder="1" applyAlignment="1"/>
    <xf numFmtId="0" fontId="11" fillId="18" borderId="20" xfId="0" applyFont="1" applyFill="1" applyBorder="1" applyAlignment="1"/>
    <xf numFmtId="0" fontId="11" fillId="18" borderId="3" xfId="0" applyFont="1" applyFill="1" applyBorder="1" applyAlignment="1"/>
    <xf numFmtId="0" fontId="11" fillId="18" borderId="8" xfId="0" applyFont="1" applyFill="1" applyBorder="1" applyAlignment="1"/>
    <xf numFmtId="165" fontId="10" fillId="4" borderId="0" xfId="0" applyNumberFormat="1" applyFont="1" applyFill="1" applyBorder="1" applyAlignment="1">
      <alignment horizontal="right"/>
    </xf>
    <xf numFmtId="0" fontId="44" fillId="2" borderId="0" xfId="0" applyFont="1" applyFill="1" applyAlignment="1">
      <alignment horizontal="center" vertical="center"/>
    </xf>
    <xf numFmtId="164" fontId="44" fillId="2" borderId="0" xfId="7" applyFont="1" applyFill="1" applyAlignment="1">
      <alignment horizontal="center" vertical="center"/>
    </xf>
    <xf numFmtId="0" fontId="44" fillId="4" borderId="8" xfId="0" applyFont="1" applyFill="1" applyBorder="1" applyAlignment="1">
      <alignment horizontal="center" vertical="center"/>
    </xf>
    <xf numFmtId="0" fontId="45" fillId="4" borderId="9" xfId="0" applyFont="1" applyFill="1" applyBorder="1" applyAlignment="1">
      <alignment horizontal="left" vertical="center"/>
    </xf>
    <xf numFmtId="0" fontId="44" fillId="4" borderId="9" xfId="0" applyFont="1" applyFill="1" applyBorder="1" applyAlignment="1">
      <alignment horizontal="center" vertical="center"/>
    </xf>
    <xf numFmtId="0" fontId="44" fillId="4" borderId="5" xfId="0" applyFont="1" applyFill="1" applyBorder="1" applyAlignment="1">
      <alignment horizontal="center" vertical="center"/>
    </xf>
    <xf numFmtId="0" fontId="44" fillId="4" borderId="10" xfId="0" applyFont="1" applyFill="1" applyBorder="1" applyAlignment="1">
      <alignment horizontal="center" vertical="center"/>
    </xf>
    <xf numFmtId="0" fontId="45" fillId="4" borderId="0" xfId="0" applyFont="1" applyFill="1" applyBorder="1" applyAlignment="1">
      <alignment horizontal="left" vertical="center"/>
    </xf>
    <xf numFmtId="0" fontId="44" fillId="4" borderId="0" xfId="0" applyFont="1" applyFill="1" applyBorder="1" applyAlignment="1">
      <alignment horizontal="center" vertical="center"/>
    </xf>
    <xf numFmtId="0" fontId="44" fillId="4" borderId="11" xfId="0" applyFont="1" applyFill="1" applyBorder="1" applyAlignment="1">
      <alignment horizontal="center" vertical="center"/>
    </xf>
    <xf numFmtId="0" fontId="46" fillId="4" borderId="0" xfId="0" applyFont="1" applyFill="1" applyBorder="1" applyAlignment="1">
      <alignment horizontal="left" vertical="center"/>
    </xf>
    <xf numFmtId="0" fontId="47" fillId="4" borderId="0" xfId="0" applyFont="1" applyFill="1" applyBorder="1" applyAlignment="1">
      <alignment horizontal="left" vertical="center"/>
    </xf>
    <xf numFmtId="0" fontId="47" fillId="4" borderId="0" xfId="0" applyFont="1" applyFill="1" applyBorder="1" applyAlignment="1">
      <alignment horizontal="left" vertical="center"/>
    </xf>
    <xf numFmtId="0" fontId="47" fillId="4" borderId="0" xfId="0" applyFont="1" applyFill="1" applyBorder="1" applyAlignment="1">
      <alignment vertical="center"/>
    </xf>
    <xf numFmtId="0" fontId="45" fillId="4" borderId="0" xfId="0" applyFont="1" applyFill="1" applyBorder="1" applyAlignment="1">
      <alignment horizontal="center" vertical="center"/>
    </xf>
    <xf numFmtId="0" fontId="45" fillId="4" borderId="0" xfId="0" applyFont="1" applyFill="1" applyBorder="1" applyAlignment="1">
      <alignment vertical="center"/>
    </xf>
    <xf numFmtId="0" fontId="48" fillId="18" borderId="1" xfId="0" applyFont="1" applyFill="1" applyBorder="1"/>
    <xf numFmtId="0" fontId="44" fillId="18" borderId="2" xfId="0" applyFont="1" applyFill="1" applyBorder="1" applyAlignment="1">
      <alignment horizontal="left" vertical="center"/>
    </xf>
    <xf numFmtId="0" fontId="44" fillId="18" borderId="5" xfId="0" applyFont="1" applyFill="1" applyBorder="1" applyAlignment="1">
      <alignment horizontal="center" vertical="center"/>
    </xf>
    <xf numFmtId="0" fontId="44" fillId="18" borderId="2" xfId="0" applyFont="1" applyFill="1" applyBorder="1" applyAlignment="1">
      <alignment horizontal="center" vertical="center"/>
    </xf>
    <xf numFmtId="0" fontId="44" fillId="4" borderId="0" xfId="0" applyFont="1" applyFill="1" applyBorder="1" applyAlignment="1">
      <alignment horizontal="left" vertical="center"/>
    </xf>
    <xf numFmtId="0" fontId="48" fillId="0" borderId="0" xfId="0" applyFont="1" applyBorder="1"/>
    <xf numFmtId="0" fontId="44" fillId="18" borderId="20" xfId="0" applyFont="1" applyFill="1" applyBorder="1" applyAlignment="1">
      <alignment horizontal="left" vertical="center"/>
    </xf>
    <xf numFmtId="0" fontId="44" fillId="18" borderId="11" xfId="0" applyFont="1" applyFill="1" applyBorder="1" applyAlignment="1">
      <alignment horizontal="center" vertical="center"/>
    </xf>
    <xf numFmtId="0" fontId="44" fillId="18" borderId="20" xfId="0" applyFont="1" applyFill="1" applyBorder="1" applyAlignment="1">
      <alignment horizontal="center" vertical="center"/>
    </xf>
    <xf numFmtId="0" fontId="47" fillId="4" borderId="11" xfId="0" applyFont="1" applyFill="1" applyBorder="1" applyAlignment="1">
      <alignment vertical="center"/>
    </xf>
    <xf numFmtId="0" fontId="48" fillId="0" borderId="0" xfId="0" applyFont="1"/>
    <xf numFmtId="0" fontId="44" fillId="18" borderId="1" xfId="0" applyFont="1" applyFill="1" applyBorder="1"/>
    <xf numFmtId="0" fontId="44" fillId="0" borderId="0" xfId="0" applyFont="1" applyBorder="1"/>
    <xf numFmtId="0" fontId="44" fillId="4" borderId="12" xfId="0" applyFont="1" applyFill="1" applyBorder="1" applyAlignment="1">
      <alignment horizontal="center" vertical="center"/>
    </xf>
    <xf numFmtId="0" fontId="44" fillId="4" borderId="7" xfId="0" applyFont="1" applyFill="1" applyBorder="1" applyAlignment="1">
      <alignment horizontal="center" vertical="center"/>
    </xf>
    <xf numFmtId="0" fontId="44" fillId="4" borderId="6" xfId="0" applyFont="1" applyFill="1" applyBorder="1" applyAlignment="1">
      <alignment horizontal="center" vertical="center"/>
    </xf>
    <xf numFmtId="0" fontId="44" fillId="18" borderId="3" xfId="0" applyFont="1" applyFill="1" applyBorder="1" applyAlignment="1">
      <alignment horizontal="left" vertical="center"/>
    </xf>
    <xf numFmtId="0" fontId="44" fillId="18" borderId="6" xfId="0" applyFont="1" applyFill="1" applyBorder="1" applyAlignment="1">
      <alignment horizontal="center" vertical="center"/>
    </xf>
    <xf numFmtId="0" fontId="44" fillId="18" borderId="3" xfId="0" applyFont="1" applyFill="1" applyBorder="1" applyAlignment="1">
      <alignment horizontal="center" vertical="center"/>
    </xf>
    <xf numFmtId="0" fontId="45" fillId="0" borderId="9" xfId="0" applyFont="1" applyFill="1" applyBorder="1" applyAlignment="1">
      <alignment horizontal="left" vertical="center"/>
    </xf>
    <xf numFmtId="0" fontId="45" fillId="4" borderId="9" xfId="0" applyNumberFormat="1" applyFont="1" applyFill="1" applyBorder="1" applyAlignment="1">
      <alignment horizontal="center" vertical="center"/>
    </xf>
    <xf numFmtId="165" fontId="45" fillId="4" borderId="9" xfId="0" applyNumberFormat="1" applyFont="1" applyFill="1" applyBorder="1" applyAlignment="1">
      <alignment horizontal="center" vertical="center"/>
    </xf>
    <xf numFmtId="0" fontId="45" fillId="0" borderId="7" xfId="0" applyFont="1" applyFill="1" applyBorder="1" applyAlignment="1">
      <alignment horizontal="left" vertical="center"/>
    </xf>
    <xf numFmtId="0" fontId="45" fillId="4" borderId="7" xfId="0" applyNumberFormat="1" applyFont="1" applyFill="1" applyBorder="1" applyAlignment="1">
      <alignment horizontal="center" vertical="center"/>
    </xf>
    <xf numFmtId="165" fontId="45" fillId="4" borderId="7" xfId="0" applyNumberFormat="1" applyFont="1" applyFill="1" applyBorder="1" applyAlignment="1">
      <alignment horizontal="center" vertical="center"/>
    </xf>
    <xf numFmtId="0" fontId="44" fillId="4" borderId="7" xfId="0" applyFont="1" applyFill="1" applyBorder="1" applyAlignment="1">
      <alignment horizontal="left" vertical="center"/>
    </xf>
    <xf numFmtId="0" fontId="44" fillId="4" borderId="9" xfId="0" applyFont="1" applyFill="1" applyBorder="1" applyAlignment="1">
      <alignment horizontal="left" vertical="center"/>
    </xf>
    <xf numFmtId="0" fontId="44" fillId="18" borderId="8" xfId="0" applyFont="1" applyFill="1" applyBorder="1" applyAlignment="1">
      <alignment horizontal="left" vertical="center"/>
    </xf>
    <xf numFmtId="0" fontId="44" fillId="18" borderId="10" xfId="0" applyFont="1" applyFill="1" applyBorder="1" applyAlignment="1">
      <alignment horizontal="left" vertical="center"/>
    </xf>
    <xf numFmtId="0" fontId="44" fillId="18" borderId="12" xfId="0" applyFont="1" applyFill="1" applyBorder="1" applyAlignment="1">
      <alignment horizontal="left" vertical="center"/>
    </xf>
    <xf numFmtId="0" fontId="45" fillId="4" borderId="7" xfId="0" applyFont="1" applyFill="1" applyBorder="1" applyAlignment="1">
      <alignment horizontal="left" vertical="center"/>
    </xf>
    <xf numFmtId="0" fontId="45" fillId="4" borderId="0" xfId="0" applyFont="1" applyFill="1" applyAlignment="1">
      <alignment horizontal="center" vertical="center"/>
    </xf>
    <xf numFmtId="0" fontId="44" fillId="18" borderId="8" xfId="0" applyFont="1" applyFill="1" applyBorder="1" applyAlignment="1">
      <alignment horizontal="left" vertical="center"/>
    </xf>
    <xf numFmtId="0" fontId="44" fillId="18" borderId="9" xfId="0" applyFont="1" applyFill="1" applyBorder="1" applyAlignment="1">
      <alignment horizontal="left" vertical="center"/>
    </xf>
    <xf numFmtId="0" fontId="44" fillId="18" borderId="5" xfId="0" applyFont="1" applyFill="1" applyBorder="1" applyAlignment="1">
      <alignment horizontal="left" vertical="center"/>
    </xf>
    <xf numFmtId="165" fontId="44" fillId="18" borderId="5" xfId="0" applyNumberFormat="1" applyFont="1" applyFill="1" applyBorder="1" applyAlignment="1">
      <alignment horizontal="center" vertical="center"/>
    </xf>
    <xf numFmtId="0" fontId="44" fillId="18" borderId="10" xfId="0" applyFont="1" applyFill="1" applyBorder="1" applyAlignment="1">
      <alignment horizontal="left" vertical="center"/>
    </xf>
    <xf numFmtId="0" fontId="44" fillId="18" borderId="0" xfId="0" applyFont="1" applyFill="1" applyBorder="1" applyAlignment="1">
      <alignment horizontal="left" vertical="center"/>
    </xf>
    <xf numFmtId="0" fontId="44" fillId="18" borderId="11" xfId="0" applyFont="1" applyFill="1" applyBorder="1" applyAlignment="1">
      <alignment horizontal="left" vertical="center"/>
    </xf>
    <xf numFmtId="165" fontId="44" fillId="18" borderId="11" xfId="0" applyNumberFormat="1" applyFont="1" applyFill="1" applyBorder="1" applyAlignment="1">
      <alignment horizontal="center" vertical="center"/>
    </xf>
    <xf numFmtId="0" fontId="44" fillId="18" borderId="12" xfId="0" applyFont="1" applyFill="1" applyBorder="1" applyAlignment="1">
      <alignment horizontal="left" vertical="center"/>
    </xf>
    <xf numFmtId="0" fontId="44" fillId="18" borderId="7" xfId="0" applyFont="1" applyFill="1" applyBorder="1" applyAlignment="1">
      <alignment horizontal="left" vertical="center"/>
    </xf>
    <xf numFmtId="0" fontId="44" fillId="18" borderId="6" xfId="0" applyFont="1" applyFill="1" applyBorder="1" applyAlignment="1">
      <alignment horizontal="left" vertical="center"/>
    </xf>
    <xf numFmtId="0" fontId="44" fillId="4" borderId="9" xfId="0" applyFont="1" applyFill="1" applyBorder="1" applyAlignment="1">
      <alignment horizontal="left" vertical="center"/>
    </xf>
    <xf numFmtId="165" fontId="44" fillId="4" borderId="0" xfId="0" applyNumberFormat="1" applyFont="1" applyFill="1" applyBorder="1" applyAlignment="1">
      <alignment horizontal="center" vertical="center"/>
    </xf>
    <xf numFmtId="0" fontId="44" fillId="18" borderId="5" xfId="0" applyNumberFormat="1" applyFont="1" applyFill="1" applyBorder="1" applyAlignment="1">
      <alignment horizontal="center" vertical="center"/>
    </xf>
    <xf numFmtId="165" fontId="45" fillId="4" borderId="0" xfId="0" applyNumberFormat="1" applyFont="1" applyFill="1" applyBorder="1" applyAlignment="1">
      <alignment horizontal="center" vertical="center"/>
    </xf>
    <xf numFmtId="9" fontId="44" fillId="18" borderId="11" xfId="15" applyFont="1" applyFill="1" applyBorder="1" applyAlignment="1">
      <alignment horizontal="center" vertical="center"/>
    </xf>
    <xf numFmtId="165" fontId="49" fillId="4" borderId="9" xfId="0" applyNumberFormat="1" applyFont="1" applyFill="1" applyBorder="1" applyAlignment="1">
      <alignment horizontal="center" vertical="center"/>
    </xf>
    <xf numFmtId="0" fontId="45" fillId="18" borderId="10" xfId="0" applyFont="1" applyFill="1" applyBorder="1" applyAlignment="1">
      <alignment horizontal="left" vertical="center"/>
    </xf>
    <xf numFmtId="0" fontId="45" fillId="18" borderId="0" xfId="0" applyFont="1" applyFill="1" applyBorder="1" applyAlignment="1">
      <alignment horizontal="left" vertical="center"/>
    </xf>
    <xf numFmtId="0" fontId="45" fillId="18" borderId="11" xfId="0" applyFont="1" applyFill="1" applyBorder="1" applyAlignment="1">
      <alignment horizontal="left" vertical="center"/>
    </xf>
    <xf numFmtId="0" fontId="45" fillId="18" borderId="0" xfId="0" applyFont="1" applyFill="1" applyBorder="1" applyAlignment="1">
      <alignment horizontal="left" vertical="center"/>
    </xf>
    <xf numFmtId="0" fontId="45" fillId="18" borderId="11" xfId="0" applyFont="1" applyFill="1" applyBorder="1" applyAlignment="1">
      <alignment horizontal="left" vertical="center"/>
    </xf>
    <xf numFmtId="0" fontId="45" fillId="4" borderId="0" xfId="0" applyFont="1" applyFill="1" applyBorder="1" applyAlignment="1">
      <alignment horizontal="center" vertical="center" wrapText="1"/>
    </xf>
    <xf numFmtId="0" fontId="44" fillId="3" borderId="5" xfId="0" applyFont="1" applyFill="1" applyBorder="1" applyAlignment="1">
      <alignment horizontal="center" vertical="center"/>
    </xf>
    <xf numFmtId="9" fontId="49" fillId="3" borderId="5" xfId="15" applyFont="1" applyFill="1" applyBorder="1" applyAlignment="1">
      <alignment horizontal="center" vertical="center"/>
    </xf>
    <xf numFmtId="0" fontId="44" fillId="3" borderId="11" xfId="0" applyFont="1" applyFill="1" applyBorder="1" applyAlignment="1">
      <alignment horizontal="center" vertical="center"/>
    </xf>
    <xf numFmtId="9" fontId="49" fillId="3" borderId="11" xfId="15" applyFont="1" applyFill="1" applyBorder="1" applyAlignment="1">
      <alignment horizontal="center" vertical="center"/>
    </xf>
    <xf numFmtId="0" fontId="44" fillId="3" borderId="6" xfId="0" applyFont="1" applyFill="1" applyBorder="1" applyAlignment="1">
      <alignment horizontal="center" vertical="center"/>
    </xf>
    <xf numFmtId="9" fontId="49" fillId="3" borderId="6" xfId="15" applyFont="1" applyFill="1" applyBorder="1" applyAlignment="1">
      <alignment horizontal="center" vertical="center"/>
    </xf>
    <xf numFmtId="0" fontId="45" fillId="4" borderId="0" xfId="0" applyNumberFormat="1" applyFont="1" applyFill="1" applyBorder="1" applyAlignment="1">
      <alignment horizontal="center" vertical="center"/>
    </xf>
    <xf numFmtId="0" fontId="45" fillId="0" borderId="0" xfId="0" applyFont="1" applyFill="1" applyBorder="1" applyAlignment="1">
      <alignment horizontal="left" vertical="center"/>
    </xf>
    <xf numFmtId="0" fontId="50" fillId="4" borderId="0" xfId="0" applyFont="1" applyFill="1" applyBorder="1" applyAlignment="1">
      <alignment horizontal="left"/>
    </xf>
    <xf numFmtId="0" fontId="50" fillId="4" borderId="0" xfId="0" applyFont="1" applyFill="1" applyBorder="1" applyAlignment="1">
      <alignment horizontal="right" vertical="center"/>
    </xf>
    <xf numFmtId="0" fontId="50" fillId="0" borderId="0" xfId="0" applyFont="1" applyBorder="1"/>
    <xf numFmtId="0" fontId="51" fillId="0" borderId="0" xfId="0" applyFont="1" applyBorder="1" applyAlignment="1">
      <alignment horizontal="right"/>
    </xf>
    <xf numFmtId="0" fontId="52" fillId="18" borderId="2" xfId="0" applyFont="1" applyFill="1" applyBorder="1" applyAlignment="1">
      <alignment horizontal="left"/>
    </xf>
    <xf numFmtId="0" fontId="52" fillId="18" borderId="2" xfId="0" applyFont="1" applyFill="1" applyBorder="1" applyAlignment="1">
      <alignment horizontal="right"/>
    </xf>
    <xf numFmtId="0" fontId="51" fillId="18" borderId="8" xfId="0" applyFont="1" applyFill="1" applyBorder="1" applyAlignment="1"/>
    <xf numFmtId="0" fontId="51" fillId="18" borderId="5" xfId="0" applyFont="1" applyFill="1" applyBorder="1" applyAlignment="1">
      <alignment horizontal="right"/>
    </xf>
    <xf numFmtId="0" fontId="52" fillId="18" borderId="20" xfId="0" applyFont="1" applyFill="1" applyBorder="1" applyAlignment="1">
      <alignment horizontal="left"/>
    </xf>
    <xf numFmtId="0" fontId="52" fillId="18" borderId="20" xfId="0" applyFont="1" applyFill="1" applyBorder="1" applyAlignment="1">
      <alignment horizontal="right"/>
    </xf>
    <xf numFmtId="0" fontId="51" fillId="18" borderId="2" xfId="0" applyFont="1" applyFill="1" applyBorder="1" applyAlignment="1"/>
    <xf numFmtId="9" fontId="51" fillId="3" borderId="5" xfId="15" applyNumberFormat="1" applyFont="1" applyFill="1" applyBorder="1" applyAlignment="1">
      <alignment horizontal="right"/>
    </xf>
    <xf numFmtId="0" fontId="51" fillId="18" borderId="20" xfId="0" applyFont="1" applyFill="1" applyBorder="1" applyAlignment="1"/>
    <xf numFmtId="9" fontId="51" fillId="3" borderId="11" xfId="15" applyFont="1" applyFill="1" applyBorder="1" applyAlignment="1">
      <alignment horizontal="right"/>
    </xf>
    <xf numFmtId="0" fontId="52" fillId="18" borderId="3" xfId="0" applyFont="1" applyFill="1" applyBorder="1" applyAlignment="1">
      <alignment horizontal="left"/>
    </xf>
    <xf numFmtId="0" fontId="52" fillId="18" borderId="3" xfId="0" applyFont="1" applyFill="1" applyBorder="1" applyAlignment="1">
      <alignment horizontal="right"/>
    </xf>
    <xf numFmtId="0" fontId="51" fillId="4" borderId="0" xfId="0" applyFont="1" applyFill="1" applyBorder="1" applyAlignment="1">
      <alignment horizontal="left"/>
    </xf>
    <xf numFmtId="0" fontId="46" fillId="4" borderId="0" xfId="0" applyFont="1" applyFill="1" applyBorder="1" applyAlignment="1">
      <alignment horizontal="right"/>
    </xf>
    <xf numFmtId="0" fontId="51" fillId="18" borderId="2" xfId="0" applyFont="1" applyFill="1" applyBorder="1" applyAlignment="1">
      <alignment horizontal="left"/>
    </xf>
    <xf numFmtId="0" fontId="51" fillId="18" borderId="20" xfId="0" applyFont="1" applyFill="1" applyBorder="1" applyAlignment="1">
      <alignment horizontal="left"/>
    </xf>
    <xf numFmtId="0" fontId="51" fillId="18" borderId="11" xfId="0" applyFont="1" applyFill="1" applyBorder="1" applyAlignment="1">
      <alignment horizontal="right"/>
    </xf>
    <xf numFmtId="0" fontId="52" fillId="18" borderId="11" xfId="0" applyFont="1" applyFill="1" applyBorder="1" applyAlignment="1">
      <alignment horizontal="right"/>
    </xf>
    <xf numFmtId="0" fontId="52" fillId="18" borderId="6" xfId="0" applyFont="1" applyFill="1" applyBorder="1" applyAlignment="1">
      <alignment horizontal="right"/>
    </xf>
    <xf numFmtId="0" fontId="51" fillId="4" borderId="0" xfId="0" applyFont="1" applyFill="1" applyBorder="1" applyAlignment="1">
      <alignment horizontal="right"/>
    </xf>
    <xf numFmtId="0" fontId="50" fillId="4" borderId="0" xfId="0" applyFont="1" applyFill="1" applyBorder="1" applyAlignment="1">
      <alignment horizontal="left"/>
    </xf>
    <xf numFmtId="0" fontId="50" fillId="4" borderId="11" xfId="0" applyFont="1" applyFill="1" applyBorder="1" applyAlignment="1">
      <alignment horizontal="left"/>
    </xf>
    <xf numFmtId="9" fontId="51" fillId="18" borderId="5" xfId="15" applyFont="1" applyFill="1" applyBorder="1" applyAlignment="1">
      <alignment horizontal="right"/>
    </xf>
    <xf numFmtId="9" fontId="51" fillId="18" borderId="11" xfId="15" applyFont="1" applyFill="1" applyBorder="1" applyAlignment="1">
      <alignment horizontal="right"/>
    </xf>
    <xf numFmtId="0" fontId="51" fillId="18" borderId="3" xfId="0" applyFont="1" applyFill="1" applyBorder="1" applyAlignment="1">
      <alignment horizontal="left"/>
    </xf>
    <xf numFmtId="9" fontId="51" fillId="18" borderId="6" xfId="15" applyFont="1" applyFill="1" applyBorder="1" applyAlignment="1">
      <alignment horizontal="right"/>
    </xf>
    <xf numFmtId="0" fontId="51" fillId="18" borderId="3" xfId="0" applyFont="1" applyFill="1" applyBorder="1" applyAlignment="1"/>
    <xf numFmtId="9" fontId="51" fillId="3" borderId="6" xfId="15" applyFont="1" applyFill="1" applyBorder="1" applyAlignment="1">
      <alignment horizontal="right"/>
    </xf>
    <xf numFmtId="0" fontId="45" fillId="4" borderId="10" xfId="0" applyFont="1" applyFill="1" applyBorder="1" applyAlignment="1">
      <alignment horizontal="center" vertical="center" wrapText="1"/>
    </xf>
    <xf numFmtId="0" fontId="45" fillId="4" borderId="0" xfId="0" applyFont="1" applyFill="1" applyBorder="1" applyAlignment="1">
      <alignment horizontal="left" vertical="center" wrapText="1"/>
    </xf>
    <xf numFmtId="0" fontId="45" fillId="4" borderId="0" xfId="0" applyFont="1" applyFill="1" applyBorder="1" applyAlignment="1">
      <alignment horizontal="center" vertical="center" wrapText="1"/>
    </xf>
    <xf numFmtId="0" fontId="45" fillId="4" borderId="7" xfId="0" applyFont="1" applyFill="1" applyBorder="1" applyAlignment="1">
      <alignment horizontal="center" vertical="center" wrapText="1"/>
    </xf>
    <xf numFmtId="0" fontId="45" fillId="2" borderId="0" xfId="0" applyFont="1" applyFill="1" applyAlignment="1">
      <alignment horizontal="center" vertical="center" wrapText="1"/>
    </xf>
    <xf numFmtId="0" fontId="44" fillId="4" borderId="10" xfId="0" applyFont="1" applyFill="1" applyBorder="1" applyAlignment="1">
      <alignment horizontal="center" vertical="center" wrapText="1"/>
    </xf>
    <xf numFmtId="0" fontId="45" fillId="18" borderId="1" xfId="0" applyFont="1" applyFill="1" applyBorder="1" applyAlignment="1">
      <alignment horizontal="left" vertical="center" wrapText="1"/>
    </xf>
    <xf numFmtId="0" fontId="44" fillId="18" borderId="19" xfId="0" applyFont="1" applyFill="1" applyBorder="1" applyAlignment="1">
      <alignment horizontal="center" vertical="center" wrapText="1"/>
    </xf>
    <xf numFmtId="0" fontId="44" fillId="18" borderId="21" xfId="0" applyFont="1" applyFill="1" applyBorder="1" applyAlignment="1">
      <alignment horizontal="center" vertical="center" wrapText="1"/>
    </xf>
    <xf numFmtId="0" fontId="44" fillId="18" borderId="4" xfId="0" applyFont="1" applyFill="1" applyBorder="1" applyAlignment="1">
      <alignment horizontal="center" vertical="center" wrapText="1"/>
    </xf>
    <xf numFmtId="0" fontId="44" fillId="18" borderId="1" xfId="0" applyFont="1" applyFill="1" applyBorder="1" applyAlignment="1">
      <alignment horizontal="center" vertical="center" wrapText="1"/>
    </xf>
    <xf numFmtId="0" fontId="44" fillId="4" borderId="11" xfId="0" applyFont="1" applyFill="1" applyBorder="1" applyAlignment="1">
      <alignment horizontal="center" vertical="center" wrapText="1"/>
    </xf>
    <xf numFmtId="0" fontId="44" fillId="2" borderId="0" xfId="0" applyFont="1" applyFill="1" applyAlignment="1">
      <alignment horizontal="center" vertical="center" wrapText="1"/>
    </xf>
    <xf numFmtId="0" fontId="45" fillId="3" borderId="1" xfId="0" applyFont="1" applyFill="1" applyBorder="1" applyAlignment="1">
      <alignment horizontal="left" vertical="center" wrapText="1"/>
    </xf>
    <xf numFmtId="0" fontId="44" fillId="3" borderId="19" xfId="0" applyFont="1" applyFill="1" applyBorder="1" applyAlignment="1">
      <alignment horizontal="center" vertical="center" wrapText="1"/>
    </xf>
    <xf numFmtId="0" fontId="44" fillId="3" borderId="21" xfId="0" applyFont="1" applyFill="1" applyBorder="1" applyAlignment="1">
      <alignment horizontal="center" vertical="center" wrapText="1"/>
    </xf>
    <xf numFmtId="0" fontId="44" fillId="3" borderId="4" xfId="0" applyFont="1" applyFill="1" applyBorder="1" applyAlignment="1">
      <alignment horizontal="center" vertical="center" wrapText="1"/>
    </xf>
    <xf numFmtId="0" fontId="44" fillId="3" borderId="1" xfId="0" applyFont="1" applyFill="1" applyBorder="1" applyAlignment="1">
      <alignment horizontal="center" vertical="center" wrapText="1"/>
    </xf>
    <xf numFmtId="0" fontId="45" fillId="4" borderId="0" xfId="0" applyFont="1" applyFill="1" applyBorder="1" applyAlignment="1">
      <alignment horizontal="left" vertical="center" wrapText="1"/>
    </xf>
    <xf numFmtId="0" fontId="51" fillId="18" borderId="8" xfId="0" applyFont="1" applyFill="1" applyBorder="1" applyAlignment="1">
      <alignment horizontal="left" vertical="center"/>
    </xf>
    <xf numFmtId="165" fontId="44" fillId="18" borderId="2" xfId="0" applyNumberFormat="1" applyFont="1" applyFill="1" applyBorder="1" applyAlignment="1">
      <alignment horizontal="center" vertical="center"/>
    </xf>
    <xf numFmtId="0" fontId="51" fillId="18" borderId="10" xfId="0" applyFont="1" applyFill="1" applyBorder="1" applyAlignment="1">
      <alignment horizontal="left" vertical="center"/>
    </xf>
    <xf numFmtId="165" fontId="44" fillId="18" borderId="20" xfId="0" applyNumberFormat="1" applyFont="1" applyFill="1" applyBorder="1" applyAlignment="1">
      <alignment horizontal="center" vertical="center"/>
    </xf>
    <xf numFmtId="0" fontId="51" fillId="18" borderId="12" xfId="0" applyFont="1" applyFill="1" applyBorder="1" applyAlignment="1">
      <alignment horizontal="left" vertical="center"/>
    </xf>
    <xf numFmtId="165" fontId="44" fillId="18" borderId="3" xfId="0" applyNumberFormat="1" applyFont="1" applyFill="1" applyBorder="1" applyAlignment="1">
      <alignment horizontal="center" vertical="center"/>
    </xf>
    <xf numFmtId="165" fontId="51" fillId="18" borderId="20" xfId="0" applyNumberFormat="1" applyFont="1" applyFill="1" applyBorder="1" applyAlignment="1">
      <alignment horizontal="center" vertical="center"/>
    </xf>
    <xf numFmtId="165" fontId="51" fillId="18" borderId="3" xfId="0" applyNumberFormat="1" applyFont="1" applyFill="1" applyBorder="1" applyAlignment="1">
      <alignment horizontal="center" vertical="center"/>
    </xf>
    <xf numFmtId="0" fontId="44" fillId="18" borderId="1" xfId="0" applyFont="1" applyFill="1" applyBorder="1" applyAlignment="1">
      <alignment horizontal="left" vertical="center"/>
    </xf>
    <xf numFmtId="165" fontId="49" fillId="4" borderId="4" xfId="0" applyNumberFormat="1" applyFont="1" applyFill="1" applyBorder="1" applyAlignment="1">
      <alignment horizontal="center" vertical="center"/>
    </xf>
    <xf numFmtId="165" fontId="49" fillId="4" borderId="5" xfId="0" applyNumberFormat="1" applyFont="1" applyFill="1" applyBorder="1" applyAlignment="1">
      <alignment horizontal="center" vertical="center"/>
    </xf>
    <xf numFmtId="165" fontId="49" fillId="4" borderId="6" xfId="0" applyNumberFormat="1" applyFont="1" applyFill="1" applyBorder="1" applyAlignment="1">
      <alignment horizontal="center" vertical="center"/>
    </xf>
    <xf numFmtId="0" fontId="50" fillId="4" borderId="0" xfId="0" applyFont="1" applyFill="1" applyBorder="1" applyAlignment="1">
      <alignment horizontal="left" vertical="center"/>
    </xf>
    <xf numFmtId="0" fontId="45" fillId="4" borderId="7" xfId="0" applyFont="1" applyFill="1" applyBorder="1" applyAlignment="1">
      <alignment horizontal="left" vertical="center" wrapText="1"/>
    </xf>
    <xf numFmtId="0" fontId="51" fillId="18" borderId="2" xfId="0" applyFont="1" applyFill="1" applyBorder="1" applyAlignment="1">
      <alignment horizontal="left" vertical="center"/>
    </xf>
    <xf numFmtId="0" fontId="51" fillId="18" borderId="3" xfId="0" applyFont="1" applyFill="1" applyBorder="1" applyAlignment="1">
      <alignment horizontal="left" vertical="center"/>
    </xf>
    <xf numFmtId="165" fontId="44" fillId="18" borderId="6" xfId="0" applyNumberFormat="1" applyFont="1" applyFill="1" applyBorder="1" applyAlignment="1">
      <alignment horizontal="center" vertical="center"/>
    </xf>
    <xf numFmtId="0" fontId="44" fillId="18" borderId="11" xfId="0" applyNumberFormat="1" applyFont="1" applyFill="1" applyBorder="1" applyAlignment="1">
      <alignment horizontal="center" vertical="center"/>
    </xf>
    <xf numFmtId="166" fontId="44" fillId="18" borderId="11" xfId="0" applyNumberFormat="1" applyFont="1" applyFill="1" applyBorder="1" applyAlignment="1">
      <alignment horizontal="center" vertical="center"/>
    </xf>
    <xf numFmtId="165" fontId="49" fillId="3" borderId="4" xfId="0" applyNumberFormat="1" applyFont="1" applyFill="1" applyBorder="1" applyAlignment="1">
      <alignment horizontal="center" vertical="center"/>
    </xf>
    <xf numFmtId="0" fontId="51" fillId="18" borderId="1" xfId="0" applyFont="1" applyFill="1" applyBorder="1" applyAlignment="1">
      <alignment horizontal="left" vertical="center"/>
    </xf>
    <xf numFmtId="165" fontId="44" fillId="18" borderId="4" xfId="0" applyNumberFormat="1" applyFont="1" applyFill="1" applyBorder="1" applyAlignment="1">
      <alignment horizontal="center" vertical="center"/>
    </xf>
    <xf numFmtId="165" fontId="49" fillId="3" borderId="6" xfId="0" applyNumberFormat="1" applyFont="1" applyFill="1" applyBorder="1" applyAlignment="1">
      <alignment horizontal="center" vertical="center"/>
    </xf>
    <xf numFmtId="165" fontId="44" fillId="3" borderId="4" xfId="0" applyNumberFormat="1" applyFont="1" applyFill="1" applyBorder="1" applyAlignment="1">
      <alignment horizontal="center" vertical="center"/>
    </xf>
    <xf numFmtId="165" fontId="44" fillId="3" borderId="1" xfId="0" applyNumberFormat="1" applyFont="1" applyFill="1" applyBorder="1" applyAlignment="1">
      <alignment horizontal="center" vertical="center"/>
    </xf>
    <xf numFmtId="9" fontId="49" fillId="3" borderId="1" xfId="15" applyFont="1" applyFill="1" applyBorder="1" applyAlignment="1">
      <alignment horizontal="center" vertical="center"/>
    </xf>
    <xf numFmtId="0" fontId="45" fillId="4" borderId="7" xfId="0" applyFont="1" applyFill="1" applyBorder="1" applyAlignment="1">
      <alignment horizontal="left" vertical="center"/>
    </xf>
    <xf numFmtId="0" fontId="44" fillId="18" borderId="0" xfId="0" applyFont="1" applyFill="1" applyBorder="1" applyAlignment="1">
      <alignment horizontal="left" vertical="center"/>
    </xf>
    <xf numFmtId="0" fontId="44" fillId="18" borderId="11" xfId="0" applyFont="1" applyFill="1" applyBorder="1" applyAlignment="1">
      <alignment horizontal="left" vertical="center"/>
    </xf>
    <xf numFmtId="0" fontId="11" fillId="18" borderId="10" xfId="0" applyFont="1" applyFill="1" applyBorder="1" applyAlignment="1" applyProtection="1">
      <alignment horizontal="left" vertical="center"/>
      <protection locked="0"/>
    </xf>
    <xf numFmtId="0" fontId="11" fillId="18" borderId="12" xfId="0" applyFont="1" applyFill="1" applyBorder="1" applyAlignment="1" applyProtection="1">
      <alignment horizontal="left" vertical="center"/>
      <protection locked="0"/>
    </xf>
    <xf numFmtId="0" fontId="7" fillId="5" borderId="1" xfId="0" applyFont="1" applyFill="1" applyBorder="1" applyAlignment="1" applyProtection="1">
      <alignment horizontal="center" vertical="center"/>
    </xf>
    <xf numFmtId="0" fontId="0" fillId="0" borderId="43" xfId="0" applyBorder="1"/>
    <xf numFmtId="0" fontId="53" fillId="0" borderId="0" xfId="0" applyFont="1" applyAlignment="1">
      <alignment horizontal="left"/>
    </xf>
    <xf numFmtId="0" fontId="53" fillId="0" borderId="0" xfId="0" applyFont="1" applyAlignment="1">
      <alignment horizontal="center"/>
    </xf>
    <xf numFmtId="0" fontId="0" fillId="0" borderId="44" xfId="0" applyBorder="1"/>
    <xf numFmtId="0" fontId="54" fillId="0" borderId="0" xfId="0" applyFont="1"/>
    <xf numFmtId="0" fontId="55" fillId="0" borderId="0" xfId="0" applyFont="1" applyAlignment="1">
      <alignment horizontal="left"/>
    </xf>
    <xf numFmtId="0" fontId="54" fillId="0" borderId="0" xfId="0" applyFont="1" applyAlignment="1">
      <alignment horizontal="left"/>
    </xf>
  </cellXfs>
  <cellStyles count="498">
    <cellStyle name="ColLevel_2" xfId="345"/>
    <cellStyle name="Currency" xfId="7" builtinId="4"/>
    <cellStyle name="Followed Hyperlink" xfId="2" builtinId="9" hidden="1"/>
    <cellStyle name="Followed Hyperlink" xfId="4" builtinId="9" hidden="1"/>
    <cellStyle name="Followed Hyperlink" xfId="6" builtinId="9" hidden="1"/>
    <cellStyle name="Followed Hyperlink" xfId="9" builtinId="9" hidden="1"/>
    <cellStyle name="Followed Hyperlink" xfId="11" builtinId="9" hidden="1"/>
    <cellStyle name="Followed Hyperlink" xfId="13"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4" builtinId="9" hidden="1"/>
    <cellStyle name="Followed Hyperlink" xfId="416" builtinId="9" hidden="1"/>
    <cellStyle name="Followed Hyperlink" xfId="417" builtinId="9" hidden="1"/>
    <cellStyle name="Followed Hyperlink" xfId="418"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6" builtinId="9" hidden="1"/>
    <cellStyle name="Followed Hyperlink" xfId="497" builtinId="9" hidden="1"/>
    <cellStyle name="Hyperlink" xfId="1" builtinId="8" hidden="1"/>
    <cellStyle name="Hyperlink" xfId="3" builtinId="8" hidden="1"/>
    <cellStyle name="Hyperlink" xfId="5" builtinId="8" hidden="1"/>
    <cellStyle name="Hyperlink" xfId="8" builtinId="8" hidden="1"/>
    <cellStyle name="Hyperlink" xfId="10" builtinId="8" hidden="1"/>
    <cellStyle name="Hyperlink" xfId="12"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5"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Normal" xfId="0" builtinId="0"/>
    <cellStyle name="Normal 2" xfId="14"/>
    <cellStyle name="Normal 2 2" xfId="16"/>
    <cellStyle name="Normal 3" xfId="27"/>
    <cellStyle name="Normal 4" xfId="344"/>
    <cellStyle name="Percent" xfId="15" builtinId="5"/>
  </cellStyles>
  <dxfs count="7">
    <dxf>
      <font>
        <b/>
        <i val="0"/>
        <color rgb="FFC00000"/>
      </font>
    </dxf>
    <dxf>
      <fill>
        <patternFill>
          <bgColor rgb="FFDDDDDD"/>
        </patternFill>
      </fill>
    </dxf>
    <dxf>
      <fill>
        <patternFill>
          <bgColor rgb="FFFFFFCC"/>
        </patternFill>
      </fill>
    </dxf>
    <dxf>
      <fill>
        <patternFill>
          <bgColor rgb="FFDDDDDD"/>
        </patternFill>
      </fill>
    </dxf>
    <dxf>
      <fill>
        <patternFill>
          <bgColor rgb="FFFFFFCC"/>
        </patternFill>
      </fill>
    </dxf>
    <dxf>
      <fill>
        <patternFill>
          <bgColor rgb="FFDDDDDD"/>
        </patternFill>
      </fill>
    </dxf>
    <dxf>
      <fill>
        <patternFill>
          <bgColor rgb="FFFFFFCC"/>
        </patternFill>
      </fill>
    </dxf>
  </dxfs>
  <tableStyles count="0" defaultTableStyle="TableStyleMedium9" defaultPivotStyle="PivotStyleMedium4"/>
  <colors>
    <mruColors>
      <color rgb="FFFFFFCC"/>
      <color rgb="FFDDDDDD"/>
      <color rgb="FFCCFFCC"/>
      <color rgb="FFFFCC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pivotCacheDefinition" Target="pivotCache/pivotCacheDefinition1.xml"/><Relationship Id="rId15" Type="http://schemas.openxmlformats.org/officeDocument/2006/relationships/theme" Target="theme/theme1.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100"/>
            </a:pPr>
            <a:r>
              <a:rPr lang="en-US" sz="1100"/>
              <a:t>vCPU,</a:t>
            </a:r>
            <a:r>
              <a:rPr lang="en-US" sz="1100" baseline="0"/>
              <a:t> </a:t>
            </a:r>
            <a:r>
              <a:rPr lang="en-US" sz="1100"/>
              <a:t>Memory &amp; IO/s Capacity Comparison</a:t>
            </a:r>
          </a:p>
        </c:rich>
      </c:tx>
      <c:layout>
        <c:manualLayout>
          <c:xMode val="edge"/>
          <c:yMode val="edge"/>
          <c:x val="0.00349587145392458"/>
          <c:y val="0.00825648947070051"/>
        </c:manualLayout>
      </c:layout>
      <c:overlay val="0"/>
    </c:title>
    <c:autoTitleDeleted val="0"/>
    <c:view3D>
      <c:rotX val="15"/>
      <c:rotY val="20"/>
      <c:rAngAx val="1"/>
    </c:view3D>
    <c:floor>
      <c:thickness val="0"/>
    </c:floor>
    <c:sideWall>
      <c:thickness val="0"/>
    </c:sideWall>
    <c:backWall>
      <c:thickness val="0"/>
    </c:backWall>
    <c:plotArea>
      <c:layout>
        <c:manualLayout>
          <c:layoutTarget val="inner"/>
          <c:xMode val="edge"/>
          <c:yMode val="edge"/>
          <c:x val="0.140032899113417"/>
          <c:y val="0.116144937989622"/>
          <c:w val="0.777383825487654"/>
          <c:h val="0.578649622342148"/>
        </c:manualLayout>
      </c:layout>
      <c:bar3DChart>
        <c:barDir val="col"/>
        <c:grouping val="clustered"/>
        <c:varyColors val="0"/>
        <c:ser>
          <c:idx val="0"/>
          <c:order val="0"/>
          <c:tx>
            <c:strRef>
              <c:f>Summary!$D$97</c:f>
              <c:strCache>
                <c:ptCount val="1"/>
                <c:pt idx="0">
                  <c:v>Required</c:v>
                </c:pt>
              </c:strCache>
            </c:strRef>
          </c:tx>
          <c:invertIfNegative val="0"/>
          <c:cat>
            <c:strRef>
              <c:f>(Summary!$C$98:$C$99,Summary!$C$101)</c:f>
              <c:strCache>
                <c:ptCount val="3"/>
                <c:pt idx="0">
                  <c:v>vCPU</c:v>
                </c:pt>
                <c:pt idx="1">
                  <c:v>Memory</c:v>
                </c:pt>
                <c:pt idx="2">
                  <c:v>IO/s</c:v>
                </c:pt>
              </c:strCache>
            </c:strRef>
          </c:cat>
          <c:val>
            <c:numRef>
              <c:f>(Summary!$D$98:$D$99,Summary!$D$101)</c:f>
              <c:numCache>
                <c:formatCode>General</c:formatCode>
                <c:ptCount val="3"/>
                <c:pt idx="0">
                  <c:v>2551.0</c:v>
                </c:pt>
                <c:pt idx="1">
                  <c:v>6161.0</c:v>
                </c:pt>
                <c:pt idx="2">
                  <c:v>7165.0</c:v>
                </c:pt>
              </c:numCache>
            </c:numRef>
          </c:val>
        </c:ser>
        <c:ser>
          <c:idx val="1"/>
          <c:order val="1"/>
          <c:tx>
            <c:strRef>
              <c:f>Summary!$E$97</c:f>
              <c:strCache>
                <c:ptCount val="1"/>
                <c:pt idx="0">
                  <c:v>Provided</c:v>
                </c:pt>
              </c:strCache>
            </c:strRef>
          </c:tx>
          <c:invertIfNegative val="0"/>
          <c:cat>
            <c:strRef>
              <c:f>(Summary!$C$98:$C$99,Summary!$C$101)</c:f>
              <c:strCache>
                <c:ptCount val="3"/>
                <c:pt idx="0">
                  <c:v>vCPU</c:v>
                </c:pt>
                <c:pt idx="1">
                  <c:v>Memory</c:v>
                </c:pt>
                <c:pt idx="2">
                  <c:v>IO/s</c:v>
                </c:pt>
              </c:strCache>
            </c:strRef>
          </c:cat>
          <c:val>
            <c:numRef>
              <c:f>(Summary!$E$98:$E$99,Summary!$E$101)</c:f>
              <c:numCache>
                <c:formatCode>General</c:formatCode>
                <c:ptCount val="3"/>
                <c:pt idx="0">
                  <c:v>5040.0</c:v>
                </c:pt>
                <c:pt idx="1">
                  <c:v>18360.0</c:v>
                </c:pt>
                <c:pt idx="2">
                  <c:v>19188.0</c:v>
                </c:pt>
              </c:numCache>
            </c:numRef>
          </c:val>
        </c:ser>
        <c:dLbls>
          <c:showLegendKey val="0"/>
          <c:showVal val="0"/>
          <c:showCatName val="0"/>
          <c:showSerName val="0"/>
          <c:showPercent val="0"/>
          <c:showBubbleSize val="0"/>
        </c:dLbls>
        <c:gapWidth val="150"/>
        <c:shape val="box"/>
        <c:axId val="2129412040"/>
        <c:axId val="2129415016"/>
        <c:axId val="0"/>
      </c:bar3DChart>
      <c:catAx>
        <c:axId val="2129412040"/>
        <c:scaling>
          <c:orientation val="minMax"/>
        </c:scaling>
        <c:delete val="0"/>
        <c:axPos val="b"/>
        <c:majorTickMark val="none"/>
        <c:minorTickMark val="none"/>
        <c:tickLblPos val="nextTo"/>
        <c:crossAx val="2129415016"/>
        <c:crosses val="autoZero"/>
        <c:auto val="1"/>
        <c:lblAlgn val="ctr"/>
        <c:lblOffset val="100"/>
        <c:noMultiLvlLbl val="0"/>
      </c:catAx>
      <c:valAx>
        <c:axId val="2129415016"/>
        <c:scaling>
          <c:orientation val="minMax"/>
        </c:scaling>
        <c:delete val="0"/>
        <c:axPos val="l"/>
        <c:majorGridlines/>
        <c:numFmt formatCode="General" sourceLinked="1"/>
        <c:majorTickMark val="none"/>
        <c:minorTickMark val="none"/>
        <c:tickLblPos val="nextTo"/>
        <c:txPr>
          <a:bodyPr/>
          <a:lstStyle/>
          <a:p>
            <a:pPr>
              <a:defRPr sz="1600"/>
            </a:pPr>
            <a:endParaRPr lang="en-US"/>
          </a:p>
        </c:txPr>
        <c:crossAx val="2129412040"/>
        <c:crosses val="autoZero"/>
        <c:crossBetween val="between"/>
      </c:valAx>
      <c:dTable>
        <c:showHorzBorder val="1"/>
        <c:showVertBorder val="1"/>
        <c:showOutline val="1"/>
        <c:showKeys val="1"/>
        <c:txPr>
          <a:bodyPr/>
          <a:lstStyle/>
          <a:p>
            <a:pPr rtl="0">
              <a:defRPr sz="1400"/>
            </a:pPr>
            <a:endParaRPr lang="en-US"/>
          </a:p>
        </c:txPr>
      </c:dTable>
    </c:plotArea>
    <c:plotVisOnly val="1"/>
    <c:dispBlanksAs val="gap"/>
    <c:showDLblsOverMax val="0"/>
  </c:chart>
  <c:spPr>
    <a:ln>
      <a:solidFill>
        <a:srgbClr val="000000"/>
      </a:solidFill>
    </a:ln>
    <a:effectLst>
      <a:outerShdw blurRad="50800" dist="38100" dir="2700000" algn="tl" rotWithShape="0">
        <a:prstClr val="black">
          <a:alpha val="40000"/>
        </a:prstClr>
      </a:outerShdw>
    </a:effectLst>
  </c:spPr>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100"/>
            </a:pPr>
            <a:r>
              <a:rPr lang="en-US" sz="1100"/>
              <a:t>Base Images, Volumes &amp; Total Storage Capacity Comparison</a:t>
            </a:r>
          </a:p>
        </c:rich>
      </c:tx>
      <c:layout>
        <c:manualLayout>
          <c:xMode val="edge"/>
          <c:yMode val="edge"/>
          <c:x val="0.00587087933505646"/>
          <c:y val="0.0"/>
        </c:manualLayout>
      </c:layout>
      <c:overlay val="0"/>
    </c:title>
    <c:autoTitleDeleted val="0"/>
    <c:view3D>
      <c:rotX val="15"/>
      <c:rotY val="20"/>
      <c:rAngAx val="1"/>
    </c:view3D>
    <c:floor>
      <c:thickness val="0"/>
    </c:floor>
    <c:sideWall>
      <c:thickness val="0"/>
    </c:sideWall>
    <c:backWall>
      <c:thickness val="0"/>
    </c:backWall>
    <c:plotArea>
      <c:layout>
        <c:manualLayout>
          <c:layoutTarget val="inner"/>
          <c:xMode val="edge"/>
          <c:yMode val="edge"/>
          <c:x val="0.140032899113417"/>
          <c:y val="0.116144937989622"/>
          <c:w val="0.795270375399286"/>
          <c:h val="0.588051989647599"/>
        </c:manualLayout>
      </c:layout>
      <c:bar3DChart>
        <c:barDir val="col"/>
        <c:grouping val="clustered"/>
        <c:varyColors val="0"/>
        <c:ser>
          <c:idx val="0"/>
          <c:order val="0"/>
          <c:tx>
            <c:strRef>
              <c:f>Summary!$D$97</c:f>
              <c:strCache>
                <c:ptCount val="1"/>
                <c:pt idx="0">
                  <c:v>Required</c:v>
                </c:pt>
              </c:strCache>
            </c:strRef>
          </c:tx>
          <c:invertIfNegative val="0"/>
          <c:cat>
            <c:strRef>
              <c:f>Summary!$C$100:$C$100</c:f>
              <c:strCache>
                <c:ptCount val="1"/>
                <c:pt idx="0">
                  <c:v>Total Storage</c:v>
                </c:pt>
              </c:strCache>
            </c:strRef>
          </c:cat>
          <c:val>
            <c:numRef>
              <c:f>Summary!$D$100:$D$100</c:f>
              <c:numCache>
                <c:formatCode>General</c:formatCode>
                <c:ptCount val="1"/>
                <c:pt idx="0">
                  <c:v>425213.0</c:v>
                </c:pt>
              </c:numCache>
            </c:numRef>
          </c:val>
        </c:ser>
        <c:ser>
          <c:idx val="1"/>
          <c:order val="1"/>
          <c:tx>
            <c:strRef>
              <c:f>Summary!$E$97</c:f>
              <c:strCache>
                <c:ptCount val="1"/>
                <c:pt idx="0">
                  <c:v>Provided</c:v>
                </c:pt>
              </c:strCache>
            </c:strRef>
          </c:tx>
          <c:invertIfNegative val="0"/>
          <c:cat>
            <c:strRef>
              <c:f>Summary!$C$100:$C$100</c:f>
              <c:strCache>
                <c:ptCount val="1"/>
                <c:pt idx="0">
                  <c:v>Total Storage</c:v>
                </c:pt>
              </c:strCache>
            </c:strRef>
          </c:cat>
          <c:val>
            <c:numRef>
              <c:f>Summary!$E$100:$E$100</c:f>
              <c:numCache>
                <c:formatCode>General</c:formatCode>
                <c:ptCount val="1"/>
                <c:pt idx="0">
                  <c:v>706682.8800000001</c:v>
                </c:pt>
              </c:numCache>
            </c:numRef>
          </c:val>
        </c:ser>
        <c:dLbls>
          <c:showLegendKey val="0"/>
          <c:showVal val="0"/>
          <c:showCatName val="0"/>
          <c:showSerName val="0"/>
          <c:showPercent val="0"/>
          <c:showBubbleSize val="0"/>
        </c:dLbls>
        <c:gapWidth val="150"/>
        <c:shape val="box"/>
        <c:axId val="2129423224"/>
        <c:axId val="2129426200"/>
        <c:axId val="0"/>
      </c:bar3DChart>
      <c:catAx>
        <c:axId val="2129423224"/>
        <c:scaling>
          <c:orientation val="minMax"/>
        </c:scaling>
        <c:delete val="0"/>
        <c:axPos val="b"/>
        <c:majorTickMark val="none"/>
        <c:minorTickMark val="none"/>
        <c:tickLblPos val="nextTo"/>
        <c:crossAx val="2129426200"/>
        <c:crosses val="autoZero"/>
        <c:auto val="1"/>
        <c:lblAlgn val="ctr"/>
        <c:lblOffset val="100"/>
        <c:noMultiLvlLbl val="0"/>
      </c:catAx>
      <c:valAx>
        <c:axId val="2129426200"/>
        <c:scaling>
          <c:orientation val="minMax"/>
        </c:scaling>
        <c:delete val="0"/>
        <c:axPos val="l"/>
        <c:majorGridlines/>
        <c:numFmt formatCode="General" sourceLinked="1"/>
        <c:majorTickMark val="none"/>
        <c:minorTickMark val="none"/>
        <c:tickLblPos val="nextTo"/>
        <c:txPr>
          <a:bodyPr/>
          <a:lstStyle/>
          <a:p>
            <a:pPr>
              <a:defRPr sz="1600"/>
            </a:pPr>
            <a:endParaRPr lang="en-US"/>
          </a:p>
        </c:txPr>
        <c:crossAx val="2129423224"/>
        <c:crosses val="autoZero"/>
        <c:crossBetween val="between"/>
      </c:valAx>
      <c:dTable>
        <c:showHorzBorder val="1"/>
        <c:showVertBorder val="1"/>
        <c:showOutline val="1"/>
        <c:showKeys val="1"/>
        <c:txPr>
          <a:bodyPr/>
          <a:lstStyle/>
          <a:p>
            <a:pPr rtl="0">
              <a:defRPr sz="1400"/>
            </a:pPr>
            <a:endParaRPr lang="en-US"/>
          </a:p>
        </c:txPr>
      </c:dTable>
    </c:plotArea>
    <c:plotVisOnly val="1"/>
    <c:dispBlanksAs val="gap"/>
    <c:showDLblsOverMax val="0"/>
  </c:chart>
  <c:spPr>
    <a:ln>
      <a:solidFill>
        <a:srgbClr val="000000"/>
      </a:solidFill>
    </a:ln>
    <a:effectLst>
      <a:outerShdw blurRad="50800" dist="38100" dir="2700000" algn="tl" rotWithShape="0">
        <a:prstClr val="black">
          <a:alpha val="40000"/>
        </a:prstClr>
      </a:outerShdw>
    </a:effectLst>
  </c:spPr>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Spend Comparison</a:t>
            </a:r>
          </a:p>
        </c:rich>
      </c:tx>
      <c:layout/>
      <c:overlay val="0"/>
    </c:title>
    <c:autoTitleDeleted val="0"/>
    <c:view3D>
      <c:rotX val="15"/>
      <c:rotY val="20"/>
      <c:rAngAx val="1"/>
    </c:view3D>
    <c:floor>
      <c:thickness val="0"/>
    </c:floor>
    <c:sideWall>
      <c:thickness val="0"/>
    </c:sideWall>
    <c:backWall>
      <c:thickness val="0"/>
    </c:backWall>
    <c:plotArea>
      <c:layout>
        <c:manualLayout>
          <c:layoutTarget val="inner"/>
          <c:xMode val="edge"/>
          <c:yMode val="edge"/>
          <c:x val="0.234428404286934"/>
          <c:y val="0.109365063443503"/>
          <c:w val="0.729460492038971"/>
          <c:h val="0.647053011685641"/>
        </c:manualLayout>
      </c:layout>
      <c:bar3DChart>
        <c:barDir val="col"/>
        <c:grouping val="clustered"/>
        <c:varyColors val="0"/>
        <c:ser>
          <c:idx val="1"/>
          <c:order val="0"/>
          <c:tx>
            <c:strRef>
              <c:f>Summary!$C$199</c:f>
              <c:strCache>
                <c:ptCount val="1"/>
                <c:pt idx="0">
                  <c:v>COPC 1 - Local SW only</c:v>
                </c:pt>
              </c:strCache>
            </c:strRef>
          </c:tx>
          <c:invertIfNegative val="0"/>
          <c:cat>
            <c:strRef>
              <c:f>Summary!$E$196:$G$196</c:f>
              <c:strCache>
                <c:ptCount val="3"/>
                <c:pt idx="0">
                  <c:v>monthly</c:v>
                </c:pt>
                <c:pt idx="1">
                  <c:v>1 year</c:v>
                </c:pt>
                <c:pt idx="2">
                  <c:v>3 year</c:v>
                </c:pt>
              </c:strCache>
            </c:strRef>
          </c:cat>
          <c:val>
            <c:numRef>
              <c:f>Summary!$E$199:$G$199</c:f>
              <c:numCache>
                <c:formatCode>"$"#,##0.00;[Red]"$"#,##0.00</c:formatCode>
                <c:ptCount val="3"/>
                <c:pt idx="0">
                  <c:v>55336.28000000001</c:v>
                </c:pt>
                <c:pt idx="1">
                  <c:v>664035.36</c:v>
                </c:pt>
                <c:pt idx="2">
                  <c:v>1.99210608E6</c:v>
                </c:pt>
              </c:numCache>
            </c:numRef>
          </c:val>
        </c:ser>
        <c:ser>
          <c:idx val="2"/>
          <c:order val="1"/>
          <c:tx>
            <c:strRef>
              <c:f>Summary!$C$200</c:f>
              <c:strCache>
                <c:ptCount val="1"/>
                <c:pt idx="0">
                  <c:v>COPC 2 - Local Base HW</c:v>
                </c:pt>
              </c:strCache>
            </c:strRef>
          </c:tx>
          <c:invertIfNegative val="0"/>
          <c:cat>
            <c:strRef>
              <c:f>Summary!$E$196:$G$196</c:f>
              <c:strCache>
                <c:ptCount val="3"/>
                <c:pt idx="0">
                  <c:v>monthly</c:v>
                </c:pt>
                <c:pt idx="1">
                  <c:v>1 year</c:v>
                </c:pt>
                <c:pt idx="2">
                  <c:v>3 year</c:v>
                </c:pt>
              </c:strCache>
            </c:strRef>
          </c:cat>
          <c:val>
            <c:numRef>
              <c:f>Summary!$E$200:$G$200</c:f>
              <c:numCache>
                <c:formatCode>"$"#,##0.00;[Red]"$"#,##0.00</c:formatCode>
                <c:ptCount val="3"/>
                <c:pt idx="0">
                  <c:v>77574.81794117647</c:v>
                </c:pt>
                <c:pt idx="1">
                  <c:v>930897.8152941176</c:v>
                </c:pt>
                <c:pt idx="2">
                  <c:v>2.79269344588235E6</c:v>
                </c:pt>
              </c:numCache>
            </c:numRef>
          </c:val>
        </c:ser>
        <c:ser>
          <c:idx val="0"/>
          <c:order val="2"/>
          <c:tx>
            <c:strRef>
              <c:f>Summary!$C$198</c:f>
              <c:strCache>
                <c:ptCount val="1"/>
                <c:pt idx="0">
                  <c:v>Current AWS spend</c:v>
                </c:pt>
              </c:strCache>
            </c:strRef>
          </c:tx>
          <c:invertIfNegative val="0"/>
          <c:cat>
            <c:strRef>
              <c:f>Summary!$E$196:$G$196</c:f>
              <c:strCache>
                <c:ptCount val="3"/>
                <c:pt idx="0">
                  <c:v>monthly</c:v>
                </c:pt>
                <c:pt idx="1">
                  <c:v>1 year</c:v>
                </c:pt>
                <c:pt idx="2">
                  <c:v>3 year</c:v>
                </c:pt>
              </c:strCache>
            </c:strRef>
          </c:cat>
          <c:val>
            <c:numRef>
              <c:f>Summary!$E$198:$G$198</c:f>
              <c:numCache>
                <c:formatCode>"$"#,##0.00;[Red]"$"#,##0.00</c:formatCode>
                <c:ptCount val="3"/>
                <c:pt idx="0">
                  <c:v>93843.4068</c:v>
                </c:pt>
                <c:pt idx="1">
                  <c:v>1.1261208816E6</c:v>
                </c:pt>
                <c:pt idx="2">
                  <c:v>3.3783626448E6</c:v>
                </c:pt>
              </c:numCache>
            </c:numRef>
          </c:val>
        </c:ser>
        <c:dLbls>
          <c:showLegendKey val="0"/>
          <c:showVal val="0"/>
          <c:showCatName val="0"/>
          <c:showSerName val="0"/>
          <c:showPercent val="0"/>
          <c:showBubbleSize val="0"/>
        </c:dLbls>
        <c:gapWidth val="150"/>
        <c:shape val="box"/>
        <c:axId val="-2128945416"/>
        <c:axId val="-2128942440"/>
        <c:axId val="0"/>
      </c:bar3DChart>
      <c:catAx>
        <c:axId val="-2128945416"/>
        <c:scaling>
          <c:orientation val="minMax"/>
        </c:scaling>
        <c:delete val="0"/>
        <c:axPos val="b"/>
        <c:majorTickMark val="none"/>
        <c:minorTickMark val="none"/>
        <c:tickLblPos val="nextTo"/>
        <c:crossAx val="-2128942440"/>
        <c:crosses val="autoZero"/>
        <c:auto val="1"/>
        <c:lblAlgn val="ctr"/>
        <c:lblOffset val="100"/>
        <c:noMultiLvlLbl val="0"/>
      </c:catAx>
      <c:valAx>
        <c:axId val="-2128942440"/>
        <c:scaling>
          <c:orientation val="minMax"/>
        </c:scaling>
        <c:delete val="0"/>
        <c:axPos val="l"/>
        <c:majorGridlines/>
        <c:numFmt formatCode="&quot;$&quot;#,##0.00;[Red]&quot;$&quot;#,##0.00" sourceLinked="1"/>
        <c:majorTickMark val="none"/>
        <c:minorTickMark val="none"/>
        <c:tickLblPos val="nextTo"/>
        <c:crossAx val="-2128945416"/>
        <c:crosses val="autoZero"/>
        <c:crossBetween val="between"/>
      </c:valAx>
      <c:dTable>
        <c:showHorzBorder val="1"/>
        <c:showVertBorder val="1"/>
        <c:showOutline val="1"/>
        <c:showKeys val="1"/>
        <c:txPr>
          <a:bodyPr/>
          <a:lstStyle/>
          <a:p>
            <a:pPr rtl="0">
              <a:defRPr sz="1200"/>
            </a:pPr>
            <a:endParaRPr lang="en-US"/>
          </a:p>
        </c:txPr>
      </c:dTable>
    </c:plotArea>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927100</xdr:colOff>
      <xdr:row>6</xdr:row>
      <xdr:rowOff>50800</xdr:rowOff>
    </xdr:from>
    <xdr:to>
      <xdr:col>12</xdr:col>
      <xdr:colOff>929698</xdr:colOff>
      <xdr:row>9</xdr:row>
      <xdr:rowOff>50800</xdr:rowOff>
    </xdr:to>
    <xdr:cxnSp macro="">
      <xdr:nvCxnSpPr>
        <xdr:cNvPr id="42" name="Straight Arrow Connector 41"/>
        <xdr:cNvCxnSpPr/>
      </xdr:nvCxnSpPr>
      <xdr:spPr>
        <a:xfrm>
          <a:off x="9690100" y="876300"/>
          <a:ext cx="2598" cy="177800"/>
        </a:xfrm>
        <a:prstGeom prst="straightConnector1">
          <a:avLst/>
        </a:prstGeom>
        <a:ln w="19050">
          <a:solidFill>
            <a:srgbClr val="FF0000"/>
          </a:solidFill>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65193</xdr:colOff>
      <xdr:row>2</xdr:row>
      <xdr:rowOff>2540</xdr:rowOff>
    </xdr:from>
    <xdr:to>
      <xdr:col>15</xdr:col>
      <xdr:colOff>471593</xdr:colOff>
      <xdr:row>6</xdr:row>
      <xdr:rowOff>44450</xdr:rowOff>
    </xdr:to>
    <xdr:sp macro="" textlink="">
      <xdr:nvSpPr>
        <xdr:cNvPr id="18" name="Line Callout 2 (No Border) 17"/>
        <xdr:cNvSpPr/>
      </xdr:nvSpPr>
      <xdr:spPr>
        <a:xfrm>
          <a:off x="10860193" y="205740"/>
          <a:ext cx="2743200" cy="676910"/>
        </a:xfrm>
        <a:prstGeom prst="callout2">
          <a:avLst>
            <a:gd name="adj1" fmla="val 13251"/>
            <a:gd name="adj2" fmla="val 21"/>
            <a:gd name="adj3" fmla="val 10389"/>
            <a:gd name="adj4" fmla="val 491"/>
            <a:gd name="adj5" fmla="val 11319"/>
            <a:gd name="adj6" fmla="val 77"/>
          </a:avLst>
        </a:prstGeom>
        <a:solidFill>
          <a:schemeClr val="bg2">
            <a:lumMod val="90000"/>
          </a:schemeClr>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ln>
                <a:noFill/>
              </a:ln>
              <a:solidFill>
                <a:srgbClr val="FF0000"/>
              </a:solidFill>
              <a:latin typeface="+mn-lt"/>
              <a:ea typeface="+mn-ea"/>
              <a:cs typeface="+mn-cs"/>
            </a:rPr>
            <a:t>Optionally provide</a:t>
          </a:r>
        </a:p>
        <a:p>
          <a:pPr marL="0" indent="0" algn="l"/>
          <a:r>
            <a:rPr lang="en-US" sz="1000" i="1">
              <a:ln>
                <a:noFill/>
              </a:ln>
              <a:solidFill>
                <a:schemeClr val="tx1"/>
              </a:solidFill>
              <a:latin typeface="+mn-lt"/>
              <a:ea typeface="+mn-ea"/>
              <a:cs typeface="+mn-cs"/>
            </a:rPr>
            <a:t>&gt; estimated utilization, ex. .75 = 75%</a:t>
          </a:r>
        </a:p>
        <a:p>
          <a:pPr marL="0" indent="0" algn="l"/>
          <a:r>
            <a:rPr lang="en-US" sz="1000" i="1">
              <a:ln>
                <a:noFill/>
              </a:ln>
              <a:solidFill>
                <a:schemeClr val="tx1"/>
              </a:solidFill>
              <a:latin typeface="+mn-lt"/>
              <a:ea typeface="+mn-ea"/>
              <a:cs typeface="+mn-cs"/>
            </a:rPr>
            <a:t>&gt; monthly growth rate, ex. 1.05 = 5% MoM rate</a:t>
          </a:r>
        </a:p>
        <a:p>
          <a:pPr marL="0" indent="0" algn="l"/>
          <a:r>
            <a:rPr lang="en-US" sz="1000" i="1">
              <a:ln>
                <a:noFill/>
              </a:ln>
              <a:solidFill>
                <a:schemeClr val="tx1"/>
              </a:solidFill>
              <a:latin typeface="+mn-lt"/>
              <a:ea typeface="+mn-ea"/>
              <a:cs typeface="+mn-cs"/>
            </a:rPr>
            <a:t>&gt; initial sizing "padding", default 1.2 = 120%</a:t>
          </a:r>
        </a:p>
      </xdr:txBody>
    </xdr:sp>
    <xdr:clientData/>
  </xdr:twoCellAnchor>
  <xdr:twoCellAnchor>
    <xdr:from>
      <xdr:col>14</xdr:col>
      <xdr:colOff>65193</xdr:colOff>
      <xdr:row>11</xdr:row>
      <xdr:rowOff>8890</xdr:rowOff>
    </xdr:from>
    <xdr:to>
      <xdr:col>15</xdr:col>
      <xdr:colOff>471593</xdr:colOff>
      <xdr:row>12</xdr:row>
      <xdr:rowOff>153670</xdr:rowOff>
    </xdr:to>
    <xdr:sp macro="" textlink="">
      <xdr:nvSpPr>
        <xdr:cNvPr id="17" name="Line Callout 2 (No Border) 16"/>
        <xdr:cNvSpPr/>
      </xdr:nvSpPr>
      <xdr:spPr>
        <a:xfrm>
          <a:off x="10860193" y="1583690"/>
          <a:ext cx="2743200" cy="322580"/>
        </a:xfrm>
        <a:prstGeom prst="callout2">
          <a:avLst>
            <a:gd name="adj1" fmla="val 44420"/>
            <a:gd name="adj2" fmla="val -712"/>
            <a:gd name="adj3" fmla="val 43980"/>
            <a:gd name="adj4" fmla="val -2122"/>
            <a:gd name="adj5" fmla="val 42096"/>
            <a:gd name="adj6" fmla="val -1526"/>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Total capacity required</a:t>
          </a:r>
        </a:p>
        <a:p>
          <a:pPr marL="0" indent="0" algn="l"/>
          <a:r>
            <a:rPr lang="en-US" sz="1000" i="1">
              <a:solidFill>
                <a:schemeClr val="tx1"/>
              </a:solidFill>
              <a:latin typeface="+mn-lt"/>
              <a:ea typeface="+mn-ea"/>
              <a:cs typeface="+mn-cs"/>
            </a:rPr>
            <a:t>Sum of instance details x utilization x padding.</a:t>
          </a:r>
        </a:p>
      </xdr:txBody>
    </xdr:sp>
    <xdr:clientData/>
  </xdr:twoCellAnchor>
  <xdr:twoCellAnchor>
    <xdr:from>
      <xdr:col>14</xdr:col>
      <xdr:colOff>65193</xdr:colOff>
      <xdr:row>63</xdr:row>
      <xdr:rowOff>11430</xdr:rowOff>
    </xdr:from>
    <xdr:to>
      <xdr:col>15</xdr:col>
      <xdr:colOff>471593</xdr:colOff>
      <xdr:row>67</xdr:row>
      <xdr:rowOff>111760</xdr:rowOff>
    </xdr:to>
    <xdr:sp macro="" textlink="">
      <xdr:nvSpPr>
        <xdr:cNvPr id="19" name="Line Callout 2 (No Border) 18"/>
        <xdr:cNvSpPr/>
      </xdr:nvSpPr>
      <xdr:spPr>
        <a:xfrm>
          <a:off x="11667913" y="9836150"/>
          <a:ext cx="2733040" cy="831850"/>
        </a:xfrm>
        <a:prstGeom prst="callout2">
          <a:avLst>
            <a:gd name="adj1" fmla="val 40472"/>
            <a:gd name="adj2" fmla="val -1445"/>
            <a:gd name="adj3" fmla="val 43980"/>
            <a:gd name="adj4" fmla="val -2122"/>
            <a:gd name="adj5" fmla="val 47359"/>
            <a:gd name="adj6" fmla="val -1526"/>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Hypervisor</a:t>
          </a:r>
          <a:r>
            <a:rPr lang="en-US" sz="1000" i="1" baseline="0">
              <a:solidFill>
                <a:srgbClr val="FF0000"/>
              </a:solidFill>
              <a:latin typeface="+mn-lt"/>
              <a:ea typeface="+mn-ea"/>
              <a:cs typeface="+mn-cs"/>
            </a:rPr>
            <a:t> &amp; CPU settigns</a:t>
          </a:r>
        </a:p>
        <a:p>
          <a:pPr marL="0" indent="0" algn="l"/>
          <a:r>
            <a:rPr lang="en-US" sz="1000" i="1">
              <a:solidFill>
                <a:srgbClr val="000000"/>
              </a:solidFill>
              <a:latin typeface="+mn-lt"/>
              <a:ea typeface="+mn-ea"/>
              <a:cs typeface="+mn-cs"/>
            </a:rPr>
            <a:t>&gt; Set hypervisor model.</a:t>
          </a:r>
        </a:p>
        <a:p>
          <a:pPr marL="0" indent="0" algn="l"/>
          <a:r>
            <a:rPr lang="en-US" sz="1000" i="1">
              <a:solidFill>
                <a:srgbClr val="000000"/>
              </a:solidFill>
              <a:latin typeface="+mn-lt"/>
              <a:ea typeface="+mn-ea"/>
              <a:cs typeface="+mn-cs"/>
            </a:rPr>
            <a:t>&gt; Set CPU overcommit, ex. 2 - prod, 4 - dev</a:t>
          </a:r>
        </a:p>
        <a:p>
          <a:pPr marL="0" indent="0" algn="l"/>
          <a:r>
            <a:rPr lang="en-US" sz="1000" i="1">
              <a:solidFill>
                <a:srgbClr val="000000"/>
              </a:solidFill>
              <a:latin typeface="+mn-lt"/>
              <a:ea typeface="+mn-ea"/>
              <a:cs typeface="+mn-cs"/>
            </a:rPr>
            <a:t>&gt; Set processor, ex. E5-2690 v3 (default)</a:t>
          </a:r>
        </a:p>
        <a:p>
          <a:pPr marL="0" indent="0" algn="l"/>
          <a:r>
            <a:rPr lang="en-US" sz="1000" i="1">
              <a:solidFill>
                <a:srgbClr val="000000"/>
              </a:solidFill>
              <a:latin typeface="+mn-lt"/>
              <a:ea typeface="+mn-ea"/>
              <a:cs typeface="+mn-cs"/>
            </a:rPr>
            <a:t>&gt; Set hyperthreading enabled or disabled</a:t>
          </a:r>
        </a:p>
      </xdr:txBody>
    </xdr:sp>
    <xdr:clientData/>
  </xdr:twoCellAnchor>
  <xdr:twoCellAnchor>
    <xdr:from>
      <xdr:col>14</xdr:col>
      <xdr:colOff>65193</xdr:colOff>
      <xdr:row>79</xdr:row>
      <xdr:rowOff>19050</xdr:rowOff>
    </xdr:from>
    <xdr:to>
      <xdr:col>15</xdr:col>
      <xdr:colOff>471593</xdr:colOff>
      <xdr:row>81</xdr:row>
      <xdr:rowOff>0</xdr:rowOff>
    </xdr:to>
    <xdr:sp macro="" textlink="">
      <xdr:nvSpPr>
        <xdr:cNvPr id="20" name="Line Callout 2 (No Border) 19"/>
        <xdr:cNvSpPr/>
      </xdr:nvSpPr>
      <xdr:spPr>
        <a:xfrm>
          <a:off x="10860193" y="6750050"/>
          <a:ext cx="2743200" cy="336550"/>
        </a:xfrm>
        <a:prstGeom prst="callout2">
          <a:avLst>
            <a:gd name="adj1" fmla="val 46095"/>
            <a:gd name="adj2" fmla="val -802"/>
            <a:gd name="adj3" fmla="val 43980"/>
            <a:gd name="adj4" fmla="val -2122"/>
            <a:gd name="adj5" fmla="val 39445"/>
            <a:gd name="adj6" fmla="val 31"/>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Memory settings</a:t>
          </a:r>
        </a:p>
        <a:p>
          <a:pPr marL="0" indent="0" algn="l"/>
          <a:r>
            <a:rPr lang="en-US" sz="1000" i="1">
              <a:solidFill>
                <a:srgbClr val="000000"/>
              </a:solidFill>
              <a:latin typeface="+mn-lt"/>
              <a:ea typeface="+mn-ea"/>
              <a:cs typeface="+mn-cs"/>
            </a:rPr>
            <a:t>Set amount of RAM (includes -2 GB for host OS).</a:t>
          </a:r>
        </a:p>
      </xdr:txBody>
    </xdr:sp>
    <xdr:clientData/>
  </xdr:twoCellAnchor>
  <xdr:twoCellAnchor>
    <xdr:from>
      <xdr:col>14</xdr:col>
      <xdr:colOff>65193</xdr:colOff>
      <xdr:row>84</xdr:row>
      <xdr:rowOff>173990</xdr:rowOff>
    </xdr:from>
    <xdr:to>
      <xdr:col>15</xdr:col>
      <xdr:colOff>471593</xdr:colOff>
      <xdr:row>91</xdr:row>
      <xdr:rowOff>60960</xdr:rowOff>
    </xdr:to>
    <xdr:sp macro="" textlink="">
      <xdr:nvSpPr>
        <xdr:cNvPr id="21" name="Line Callout 2 (No Border) 20"/>
        <xdr:cNvSpPr/>
      </xdr:nvSpPr>
      <xdr:spPr>
        <a:xfrm>
          <a:off x="10860193" y="7793990"/>
          <a:ext cx="2743200" cy="113157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Disk settings</a:t>
          </a:r>
        </a:p>
        <a:p>
          <a:pPr marL="0" indent="0" algn="l"/>
          <a:r>
            <a:rPr lang="en-US" sz="1000" i="1">
              <a:solidFill>
                <a:srgbClr val="000000"/>
              </a:solidFill>
              <a:latin typeface="+mn-lt"/>
              <a:ea typeface="+mn-ea"/>
              <a:cs typeface="+mn-cs"/>
            </a:rPr>
            <a:t>&gt; Set disk count</a:t>
          </a:r>
        </a:p>
        <a:p>
          <a:pPr marL="0" indent="0" algn="l"/>
          <a:r>
            <a:rPr lang="en-US" sz="1000" i="1">
              <a:solidFill>
                <a:srgbClr val="000000"/>
              </a:solidFill>
              <a:latin typeface="+mn-lt"/>
              <a:ea typeface="+mn-ea"/>
              <a:cs typeface="+mn-cs"/>
            </a:rPr>
            <a:t>&gt; Set storage type</a:t>
          </a:r>
        </a:p>
        <a:p>
          <a:pPr marL="0" indent="0" algn="l"/>
          <a:r>
            <a:rPr lang="en-US" sz="1000" i="1">
              <a:solidFill>
                <a:srgbClr val="000000"/>
              </a:solidFill>
              <a:latin typeface="+mn-lt"/>
              <a:ea typeface="+mn-ea"/>
              <a:cs typeface="+mn-cs"/>
            </a:rPr>
            <a:t>&gt; Set disk type</a:t>
          </a:r>
        </a:p>
        <a:p>
          <a:pPr marL="0" indent="0" algn="l"/>
          <a:r>
            <a:rPr lang="en-US" sz="1000" i="1">
              <a:solidFill>
                <a:srgbClr val="000000"/>
              </a:solidFill>
              <a:latin typeface="+mn-lt"/>
              <a:ea typeface="+mn-ea"/>
              <a:cs typeface="+mn-cs"/>
            </a:rPr>
            <a:t>&gt; Set RAID configuration</a:t>
          </a:r>
        </a:p>
        <a:p>
          <a:pPr marL="0" indent="0" algn="l"/>
          <a:r>
            <a:rPr lang="en-US" sz="1000" i="1">
              <a:solidFill>
                <a:srgbClr val="000000"/>
              </a:solidFill>
              <a:latin typeface="+mn-lt"/>
              <a:ea typeface="+mn-ea"/>
              <a:cs typeface="+mn-cs"/>
            </a:rPr>
            <a:t>&gt; Set read / write ratio</a:t>
          </a:r>
        </a:p>
        <a:p>
          <a:pPr marL="0" indent="0" algn="l"/>
          <a:r>
            <a:rPr lang="en-US" sz="1000" i="1">
              <a:solidFill>
                <a:srgbClr val="000000"/>
              </a:solidFill>
              <a:latin typeface="+mn-lt"/>
              <a:ea typeface="+mn-ea"/>
              <a:cs typeface="+mn-cs"/>
            </a:rPr>
            <a:t>&gt; Set required IO/s per instance</a:t>
          </a:r>
        </a:p>
      </xdr:txBody>
    </xdr:sp>
    <xdr:clientData/>
  </xdr:twoCellAnchor>
  <xdr:twoCellAnchor>
    <xdr:from>
      <xdr:col>14</xdr:col>
      <xdr:colOff>65193</xdr:colOff>
      <xdr:row>111</xdr:row>
      <xdr:rowOff>189230</xdr:rowOff>
    </xdr:from>
    <xdr:to>
      <xdr:col>15</xdr:col>
      <xdr:colOff>471593</xdr:colOff>
      <xdr:row>113</xdr:row>
      <xdr:rowOff>48260</xdr:rowOff>
    </xdr:to>
    <xdr:sp macro="" textlink="">
      <xdr:nvSpPr>
        <xdr:cNvPr id="22" name="Line Callout 2 (No Border) 21"/>
        <xdr:cNvSpPr/>
      </xdr:nvSpPr>
      <xdr:spPr>
        <a:xfrm>
          <a:off x="10745893" y="12216130"/>
          <a:ext cx="2730500" cy="22733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Hypervisors required per sizing</a:t>
          </a:r>
          <a:r>
            <a:rPr lang="en-US" sz="1000" i="1" baseline="0">
              <a:solidFill>
                <a:srgbClr val="FF0000"/>
              </a:solidFill>
              <a:latin typeface="+mn-lt"/>
              <a:ea typeface="+mn-ea"/>
              <a:cs typeface="+mn-cs"/>
            </a:rPr>
            <a:t> metric.</a:t>
          </a:r>
          <a:endParaRPr lang="en-US" sz="1000" i="1">
            <a:solidFill>
              <a:srgbClr val="FF0000"/>
            </a:solidFill>
            <a:latin typeface="+mn-lt"/>
            <a:ea typeface="+mn-ea"/>
            <a:cs typeface="+mn-cs"/>
          </a:endParaRPr>
        </a:p>
      </xdr:txBody>
    </xdr:sp>
    <xdr:clientData/>
  </xdr:twoCellAnchor>
  <xdr:twoCellAnchor>
    <xdr:from>
      <xdr:col>14</xdr:col>
      <xdr:colOff>65193</xdr:colOff>
      <xdr:row>106</xdr:row>
      <xdr:rowOff>82550</xdr:rowOff>
    </xdr:from>
    <xdr:to>
      <xdr:col>15</xdr:col>
      <xdr:colOff>471593</xdr:colOff>
      <xdr:row>107</xdr:row>
      <xdr:rowOff>152400</xdr:rowOff>
    </xdr:to>
    <xdr:sp macro="" textlink="">
      <xdr:nvSpPr>
        <xdr:cNvPr id="23" name="Line Callout 2 (No Border) 22"/>
        <xdr:cNvSpPr/>
      </xdr:nvSpPr>
      <xdr:spPr>
        <a:xfrm>
          <a:off x="10860193" y="11614150"/>
          <a:ext cx="2743200" cy="24765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Includes</a:t>
          </a:r>
          <a:r>
            <a:rPr lang="en-US" sz="1000" i="1" baseline="0">
              <a:solidFill>
                <a:srgbClr val="FF0000"/>
              </a:solidFill>
              <a:latin typeface="+mn-lt"/>
              <a:ea typeface="+mn-ea"/>
              <a:cs typeface="+mn-cs"/>
            </a:rPr>
            <a:t> RAID, host and filesystem overhead</a:t>
          </a:r>
          <a:endParaRPr lang="en-US" sz="1000" i="1">
            <a:solidFill>
              <a:srgbClr val="FF0000"/>
            </a:solidFill>
            <a:latin typeface="+mn-lt"/>
            <a:ea typeface="+mn-ea"/>
            <a:cs typeface="+mn-cs"/>
          </a:endParaRPr>
        </a:p>
      </xdr:txBody>
    </xdr:sp>
    <xdr:clientData/>
  </xdr:twoCellAnchor>
  <xdr:twoCellAnchor>
    <xdr:from>
      <xdr:col>14</xdr:col>
      <xdr:colOff>65193</xdr:colOff>
      <xdr:row>75</xdr:row>
      <xdr:rowOff>92710</xdr:rowOff>
    </xdr:from>
    <xdr:to>
      <xdr:col>15</xdr:col>
      <xdr:colOff>471593</xdr:colOff>
      <xdr:row>76</xdr:row>
      <xdr:rowOff>162560</xdr:rowOff>
    </xdr:to>
    <xdr:sp macro="" textlink="">
      <xdr:nvSpPr>
        <xdr:cNvPr id="24" name="Line Callout 2 (No Border) 23"/>
        <xdr:cNvSpPr/>
      </xdr:nvSpPr>
      <xdr:spPr>
        <a:xfrm>
          <a:off x="10860193" y="6112510"/>
          <a:ext cx="2743200" cy="24765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Includes</a:t>
          </a:r>
          <a:r>
            <a:rPr lang="en-US" sz="1000" i="1" baseline="0">
              <a:solidFill>
                <a:srgbClr val="FF0000"/>
              </a:solidFill>
              <a:latin typeface="+mn-lt"/>
              <a:ea typeface="+mn-ea"/>
              <a:cs typeface="+mn-cs"/>
            </a:rPr>
            <a:t> -4 vCPU for host OS.</a:t>
          </a:r>
          <a:endParaRPr lang="en-US" sz="1000" i="1">
            <a:solidFill>
              <a:srgbClr val="FF0000"/>
            </a:solidFill>
            <a:latin typeface="+mn-lt"/>
            <a:ea typeface="+mn-ea"/>
            <a:cs typeface="+mn-cs"/>
          </a:endParaRPr>
        </a:p>
      </xdr:txBody>
    </xdr:sp>
    <xdr:clientData/>
  </xdr:twoCellAnchor>
  <xdr:twoCellAnchor>
    <xdr:from>
      <xdr:col>14</xdr:col>
      <xdr:colOff>65193</xdr:colOff>
      <xdr:row>118</xdr:row>
      <xdr:rowOff>11430</xdr:rowOff>
    </xdr:from>
    <xdr:to>
      <xdr:col>15</xdr:col>
      <xdr:colOff>471593</xdr:colOff>
      <xdr:row>119</xdr:row>
      <xdr:rowOff>60960</xdr:rowOff>
    </xdr:to>
    <xdr:sp macro="" textlink="">
      <xdr:nvSpPr>
        <xdr:cNvPr id="25" name="Line Callout 2 (No Border) 24"/>
        <xdr:cNvSpPr/>
      </xdr:nvSpPr>
      <xdr:spPr>
        <a:xfrm>
          <a:off x="10860193" y="13371830"/>
          <a:ext cx="2743200" cy="22733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Total capcity provided.</a:t>
          </a:r>
        </a:p>
      </xdr:txBody>
    </xdr:sp>
    <xdr:clientData/>
  </xdr:twoCellAnchor>
  <xdr:twoCellAnchor>
    <xdr:from>
      <xdr:col>14</xdr:col>
      <xdr:colOff>65193</xdr:colOff>
      <xdr:row>130</xdr:row>
      <xdr:rowOff>21590</xdr:rowOff>
    </xdr:from>
    <xdr:to>
      <xdr:col>15</xdr:col>
      <xdr:colOff>471593</xdr:colOff>
      <xdr:row>131</xdr:row>
      <xdr:rowOff>71120</xdr:rowOff>
    </xdr:to>
    <xdr:sp macro="" textlink="">
      <xdr:nvSpPr>
        <xdr:cNvPr id="26" name="Line Callout 2 (No Border) 25"/>
        <xdr:cNvSpPr/>
      </xdr:nvSpPr>
      <xdr:spPr>
        <a:xfrm>
          <a:off x="10860193" y="15515590"/>
          <a:ext cx="2743200" cy="22733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Capacity</a:t>
          </a:r>
          <a:r>
            <a:rPr lang="en-US" sz="1000" i="1" baseline="0">
              <a:solidFill>
                <a:srgbClr val="FF0000"/>
              </a:solidFill>
              <a:latin typeface="+mn-lt"/>
              <a:ea typeface="+mn-ea"/>
              <a:cs typeface="+mn-cs"/>
            </a:rPr>
            <a:t> utilized based on current instances.</a:t>
          </a:r>
          <a:endParaRPr lang="en-US" sz="1000" i="1">
            <a:solidFill>
              <a:srgbClr val="FF0000"/>
            </a:solidFill>
            <a:latin typeface="+mn-lt"/>
            <a:ea typeface="+mn-ea"/>
            <a:cs typeface="+mn-cs"/>
          </a:endParaRPr>
        </a:p>
      </xdr:txBody>
    </xdr:sp>
    <xdr:clientData/>
  </xdr:twoCellAnchor>
  <xdr:twoCellAnchor>
    <xdr:from>
      <xdr:col>14</xdr:col>
      <xdr:colOff>65193</xdr:colOff>
      <xdr:row>136</xdr:row>
      <xdr:rowOff>41910</xdr:rowOff>
    </xdr:from>
    <xdr:to>
      <xdr:col>15</xdr:col>
      <xdr:colOff>471593</xdr:colOff>
      <xdr:row>137</xdr:row>
      <xdr:rowOff>91440</xdr:rowOff>
    </xdr:to>
    <xdr:sp macro="" textlink="">
      <xdr:nvSpPr>
        <xdr:cNvPr id="27" name="Line Callout 2 (No Border) 26"/>
        <xdr:cNvSpPr/>
      </xdr:nvSpPr>
      <xdr:spPr>
        <a:xfrm>
          <a:off x="10860193" y="16602710"/>
          <a:ext cx="2743200" cy="227330"/>
        </a:xfrm>
        <a:prstGeom prst="callout2">
          <a:avLst>
            <a:gd name="adj1" fmla="val 41747"/>
            <a:gd name="adj2" fmla="val -2147"/>
            <a:gd name="adj3" fmla="val 43980"/>
            <a:gd name="adj4" fmla="val -2122"/>
            <a:gd name="adj5" fmla="val 43080"/>
            <a:gd name="adj6" fmla="val -2185"/>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Capacity utilized over time based on growth rate.</a:t>
          </a:r>
        </a:p>
      </xdr:txBody>
    </xdr:sp>
    <xdr:clientData/>
  </xdr:twoCellAnchor>
  <xdr:twoCellAnchor>
    <xdr:from>
      <xdr:col>14</xdr:col>
      <xdr:colOff>115993</xdr:colOff>
      <xdr:row>164</xdr:row>
      <xdr:rowOff>153670</xdr:rowOff>
    </xdr:from>
    <xdr:to>
      <xdr:col>15</xdr:col>
      <xdr:colOff>522393</xdr:colOff>
      <xdr:row>169</xdr:row>
      <xdr:rowOff>76200</xdr:rowOff>
    </xdr:to>
    <xdr:sp macro="" textlink="">
      <xdr:nvSpPr>
        <xdr:cNvPr id="28" name="Line Callout 2 (No Border) 27"/>
        <xdr:cNvSpPr/>
      </xdr:nvSpPr>
      <xdr:spPr>
        <a:xfrm>
          <a:off x="10796693" y="21451570"/>
          <a:ext cx="2730500" cy="811530"/>
        </a:xfrm>
        <a:prstGeom prst="callout2">
          <a:avLst>
            <a:gd name="adj1" fmla="val 40472"/>
            <a:gd name="adj2" fmla="val -1445"/>
            <a:gd name="adj3" fmla="val 43980"/>
            <a:gd name="adj4" fmla="val -2122"/>
            <a:gd name="adj5" fmla="val 47359"/>
            <a:gd name="adj6" fmla="val -1526"/>
          </a:avLst>
        </a:prstGeom>
        <a:solidFill>
          <a:srgbClr val="DDD9C3"/>
        </a:solidFill>
        <a:ln>
          <a:noFill/>
        </a:ln>
        <a:effectLst>
          <a:outerShdw blurRad="50800" dist="38100" dir="4380000" sx="101000" sy="101000" algn="tl"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indent="0" algn="l"/>
          <a:r>
            <a:rPr lang="en-US" sz="1000" i="1">
              <a:solidFill>
                <a:srgbClr val="FF0000"/>
              </a:solidFill>
              <a:latin typeface="+mn-lt"/>
              <a:ea typeface="+mn-ea"/>
              <a:cs typeface="+mn-cs"/>
            </a:rPr>
            <a:t>Cost model settings</a:t>
          </a:r>
          <a:endParaRPr lang="en-US" sz="1000" i="1" baseline="0">
            <a:solidFill>
              <a:srgbClr val="FF0000"/>
            </a:solidFill>
            <a:latin typeface="+mn-lt"/>
            <a:ea typeface="+mn-ea"/>
            <a:cs typeface="+mn-cs"/>
          </a:endParaRPr>
        </a:p>
        <a:p>
          <a:pPr marL="0" indent="0" algn="l"/>
          <a:r>
            <a:rPr lang="en-US" sz="1000" i="1">
              <a:solidFill>
                <a:srgbClr val="000000"/>
              </a:solidFill>
              <a:latin typeface="+mn-lt"/>
              <a:ea typeface="+mn-ea"/>
              <a:cs typeface="+mn-cs"/>
            </a:rPr>
            <a:t>&gt; Set</a:t>
          </a:r>
          <a:r>
            <a:rPr lang="en-US" sz="1000" i="1" baseline="0">
              <a:solidFill>
                <a:srgbClr val="000000"/>
              </a:solidFill>
              <a:latin typeface="+mn-lt"/>
              <a:ea typeface="+mn-ea"/>
              <a:cs typeface="+mn-cs"/>
            </a:rPr>
            <a:t> one time fees</a:t>
          </a:r>
          <a:endParaRPr lang="en-US" sz="1000" i="1">
            <a:solidFill>
              <a:srgbClr val="000000"/>
            </a:solidFill>
            <a:latin typeface="+mn-lt"/>
            <a:ea typeface="+mn-ea"/>
            <a:cs typeface="+mn-cs"/>
          </a:endParaRPr>
        </a:p>
        <a:p>
          <a:pPr marL="0" indent="0" algn="l"/>
          <a:r>
            <a:rPr lang="en-US" sz="1000" i="1">
              <a:solidFill>
                <a:srgbClr val="000000"/>
              </a:solidFill>
              <a:latin typeface="+mn-lt"/>
              <a:ea typeface="+mn-ea"/>
              <a:cs typeface="+mn-cs"/>
            </a:rPr>
            <a:t>&gt; Set HW cost</a:t>
          </a:r>
        </a:p>
        <a:p>
          <a:pPr marL="0" indent="0" algn="l"/>
          <a:r>
            <a:rPr lang="en-US" sz="1000" i="1">
              <a:solidFill>
                <a:srgbClr val="000000"/>
              </a:solidFill>
              <a:latin typeface="+mn-lt"/>
              <a:ea typeface="+mn-ea"/>
              <a:cs typeface="+mn-cs"/>
            </a:rPr>
            <a:t>&gt; Set SW and</a:t>
          </a:r>
          <a:r>
            <a:rPr lang="en-US" sz="1000" i="1" baseline="0">
              <a:solidFill>
                <a:srgbClr val="000000"/>
              </a:solidFill>
              <a:latin typeface="+mn-lt"/>
              <a:ea typeface="+mn-ea"/>
              <a:cs typeface="+mn-cs"/>
            </a:rPr>
            <a:t> storage subscription fees</a:t>
          </a:r>
          <a:endParaRPr lang="en-US" sz="1000" i="1">
            <a:solidFill>
              <a:srgbClr val="000000"/>
            </a:solidFill>
            <a:latin typeface="+mn-lt"/>
            <a:ea typeface="+mn-ea"/>
            <a:cs typeface="+mn-cs"/>
          </a:endParaRPr>
        </a:p>
        <a:p>
          <a:pPr marL="0" indent="0" algn="l"/>
          <a:r>
            <a:rPr lang="en-US" sz="1000" i="1">
              <a:solidFill>
                <a:srgbClr val="000000"/>
              </a:solidFill>
              <a:latin typeface="+mn-lt"/>
              <a:ea typeface="+mn-ea"/>
              <a:cs typeface="+mn-cs"/>
            </a:rPr>
            <a:t>&gt; Set hosting fees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xdr:colOff>
          <xdr:row>2</xdr:row>
          <xdr:rowOff>63500</xdr:rowOff>
        </xdr:from>
        <xdr:to>
          <xdr:col>16</xdr:col>
          <xdr:colOff>520700</xdr:colOff>
          <xdr:row>3</xdr:row>
          <xdr:rowOff>139700</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Assign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1485900</xdr:colOff>
          <xdr:row>2</xdr:row>
          <xdr:rowOff>88900</xdr:rowOff>
        </xdr:from>
        <xdr:to>
          <xdr:col>8</xdr:col>
          <xdr:colOff>2209800</xdr:colOff>
          <xdr:row>3</xdr:row>
          <xdr:rowOff>114300</xdr:rowOff>
        </xdr:to>
        <xdr:sp macro="" textlink="">
          <xdr:nvSpPr>
            <xdr:cNvPr id="8202" name="Button 10" hidden="1">
              <a:extLst>
                <a:ext uri="{63B3BB69-23CF-44E3-9099-C40C66FF867C}">
                  <a14:compatExt spid="_x0000_s82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863600</xdr:colOff>
          <xdr:row>2</xdr:row>
          <xdr:rowOff>63500</xdr:rowOff>
        </xdr:from>
        <xdr:to>
          <xdr:col>13</xdr:col>
          <xdr:colOff>1447800</xdr:colOff>
          <xdr:row>3</xdr:row>
          <xdr:rowOff>114300</xdr:rowOff>
        </xdr:to>
        <xdr:sp macro="" textlink="">
          <xdr:nvSpPr>
            <xdr:cNvPr id="8204" name="Button 12" hidden="1">
              <a:extLst>
                <a:ext uri="{63B3BB69-23CF-44E3-9099-C40C66FF867C}">
                  <a14:compatExt spid="_x0000_s82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Import</a:t>
              </a:r>
            </a:p>
          </xdr:txBody>
        </xdr:sp>
        <xdr:clientData fPrintsWithSheet="0"/>
      </xdr:twoCellAnchor>
    </mc:Choice>
    <mc:Fallback/>
  </mc:AlternateContent>
  <xdr:twoCellAnchor>
    <xdr:from>
      <xdr:col>18</xdr:col>
      <xdr:colOff>142876</xdr:colOff>
      <xdr:row>8</xdr:row>
      <xdr:rowOff>28575</xdr:rowOff>
    </xdr:from>
    <xdr:to>
      <xdr:col>20</xdr:col>
      <xdr:colOff>123826</xdr:colOff>
      <xdr:row>10</xdr:row>
      <xdr:rowOff>133351</xdr:rowOff>
    </xdr:to>
    <xdr:sp macro="" textlink="">
      <xdr:nvSpPr>
        <xdr:cNvPr id="7" name="Rectangular Callout 6"/>
        <xdr:cNvSpPr/>
      </xdr:nvSpPr>
      <xdr:spPr>
        <a:xfrm>
          <a:off x="10029826" y="990600"/>
          <a:ext cx="1333500" cy="428626"/>
        </a:xfrm>
        <a:prstGeom prst="wedgeRectCallout">
          <a:avLst>
            <a:gd name="adj1" fmla="val -60996"/>
            <a:gd name="adj2" fmla="val 27665"/>
          </a:avLst>
        </a:prstGeom>
        <a:solidFill>
          <a:srgbClr val="FFFFCC"/>
        </a:soli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1" i="1" u="none" strike="noStrike" kern="0" cap="none" spc="0" normalizeH="0" baseline="0" noProof="0">
              <a:ln>
                <a:noFill/>
              </a:ln>
              <a:solidFill>
                <a:sysClr val="windowText" lastClr="000000"/>
              </a:solidFill>
              <a:effectLst/>
              <a:uLnTx/>
              <a:uFillTx/>
              <a:latin typeface="Calibri"/>
              <a:ea typeface="+mn-ea"/>
              <a:cs typeface="+mn-cs"/>
            </a:rPr>
            <a:t>(5) Sort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1" u="none" strike="noStrike" kern="0" cap="none" spc="0" normalizeH="0" baseline="0" noProof="0">
              <a:ln>
                <a:noFill/>
              </a:ln>
              <a:solidFill>
                <a:sysClr val="windowText" lastClr="000000"/>
              </a:solidFill>
              <a:effectLst/>
              <a:uLnTx/>
              <a:uFillTx/>
              <a:latin typeface="Calibri"/>
              <a:ea typeface="+mn-ea"/>
              <a:cs typeface="+mn-cs"/>
            </a:rPr>
            <a:t>Optional</a:t>
          </a:r>
        </a:p>
      </xdr:txBody>
    </xdr:sp>
    <xdr:clientData/>
  </xdr:twoCellAnchor>
  <mc:AlternateContent xmlns:mc="http://schemas.openxmlformats.org/markup-compatibility/2006">
    <mc:Choice xmlns:a14="http://schemas.microsoft.com/office/drawing/2010/main" Requires="a14">
      <xdr:twoCellAnchor>
        <xdr:from>
          <xdr:col>19</xdr:col>
          <xdr:colOff>114300</xdr:colOff>
          <xdr:row>8</xdr:row>
          <xdr:rowOff>139700</xdr:rowOff>
        </xdr:from>
        <xdr:to>
          <xdr:col>20</xdr:col>
          <xdr:colOff>38100</xdr:colOff>
          <xdr:row>10</xdr:row>
          <xdr:rowOff>63500</xdr:rowOff>
        </xdr:to>
        <xdr:sp macro="" textlink="">
          <xdr:nvSpPr>
            <xdr:cNvPr id="8208" name="Button 16" hidden="1">
              <a:extLst>
                <a:ext uri="{63B3BB69-23CF-44E3-9099-C40C66FF867C}">
                  <a14:compatExt spid="_x0000_s8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12700</xdr:colOff>
      <xdr:row>101</xdr:row>
      <xdr:rowOff>139701</xdr:rowOff>
    </xdr:from>
    <xdr:to>
      <xdr:col>10</xdr:col>
      <xdr:colOff>520700</xdr:colOff>
      <xdr:row>118</xdr:row>
      <xdr:rowOff>107109</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25400</xdr:colOff>
      <xdr:row>119</xdr:row>
      <xdr:rowOff>306</xdr:rowOff>
    </xdr:from>
    <xdr:to>
      <xdr:col>10</xdr:col>
      <xdr:colOff>520700</xdr:colOff>
      <xdr:row>136</xdr:row>
      <xdr:rowOff>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10160</xdr:colOff>
      <xdr:row>202</xdr:row>
      <xdr:rowOff>142240</xdr:rowOff>
    </xdr:from>
    <xdr:to>
      <xdr:col>10</xdr:col>
      <xdr:colOff>533400</xdr:colOff>
      <xdr:row>231</xdr:row>
      <xdr:rowOff>40640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20</xdr:row>
          <xdr:rowOff>152400</xdr:rowOff>
        </xdr:from>
        <xdr:to>
          <xdr:col>14</xdr:col>
          <xdr:colOff>1854200</xdr:colOff>
          <xdr:row>23</xdr:row>
          <xdr:rowOff>38100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sng" strike="noStrike" baseline="0">
                  <a:solidFill>
                    <a:srgbClr val="C0504D"/>
                  </a:solidFill>
                  <a:latin typeface="Calibri"/>
                  <a:ea typeface="Calibri"/>
                  <a:cs typeface="Calibri"/>
                </a:rPr>
                <a:t>Save as PDF and Email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287020</xdr:colOff>
      <xdr:row>1</xdr:row>
      <xdr:rowOff>71120</xdr:rowOff>
    </xdr:from>
    <xdr:to>
      <xdr:col>3</xdr:col>
      <xdr:colOff>254000</xdr:colOff>
      <xdr:row>3</xdr:row>
      <xdr:rowOff>88900</xdr:rowOff>
    </xdr:to>
    <xdr:sp macro="" textlink="">
      <xdr:nvSpPr>
        <xdr:cNvPr id="4" name="Rectangle 3"/>
        <xdr:cNvSpPr/>
      </xdr:nvSpPr>
      <xdr:spPr>
        <a:xfrm>
          <a:off x="287020" y="261620"/>
          <a:ext cx="2443480" cy="398780"/>
        </a:xfrm>
        <a:prstGeom prst="rect">
          <a:avLst/>
        </a:prstGeom>
        <a:ln>
          <a:solidFill>
            <a:schemeClr val="tx1"/>
          </a:solidFill>
        </a:ln>
      </xdr:spPr>
      <xdr:style>
        <a:lnRef idx="1">
          <a:schemeClr val="accent6"/>
        </a:lnRef>
        <a:fillRef idx="2">
          <a:schemeClr val="accent6"/>
        </a:fillRef>
        <a:effectRef idx="1">
          <a:schemeClr val="accent6"/>
        </a:effectRef>
        <a:fontRef idx="minor">
          <a:schemeClr val="dk1"/>
        </a:fontRef>
      </xdr:style>
      <xdr:txBody>
        <a:bodyPr wrap="square" anchor="ctr"/>
        <a:lstStyle/>
        <a:p>
          <a:pPr algn="ctr"/>
          <a:endParaRPr lang="en-US" sz="2000" b="0"/>
        </a:p>
      </xdr:txBody>
    </xdr:sp>
    <xdr:clientData/>
  </xdr:twoCellAnchor>
  <xdr:twoCellAnchor>
    <xdr:from>
      <xdr:col>0</xdr:col>
      <xdr:colOff>388620</xdr:colOff>
      <xdr:row>1</xdr:row>
      <xdr:rowOff>160020</xdr:rowOff>
    </xdr:from>
    <xdr:to>
      <xdr:col>3</xdr:col>
      <xdr:colOff>355600</xdr:colOff>
      <xdr:row>3</xdr:row>
      <xdr:rowOff>177800</xdr:rowOff>
    </xdr:to>
    <xdr:sp macro="" textlink="">
      <xdr:nvSpPr>
        <xdr:cNvPr id="3" name="Rectangle 2"/>
        <xdr:cNvSpPr/>
      </xdr:nvSpPr>
      <xdr:spPr>
        <a:xfrm>
          <a:off x="388620" y="350520"/>
          <a:ext cx="2443480" cy="398780"/>
        </a:xfrm>
        <a:prstGeom prst="rect">
          <a:avLst/>
        </a:prstGeom>
        <a:ln>
          <a:solidFill>
            <a:schemeClr val="tx1"/>
          </a:solidFill>
        </a:ln>
      </xdr:spPr>
      <xdr:style>
        <a:lnRef idx="1">
          <a:schemeClr val="accent6"/>
        </a:lnRef>
        <a:fillRef idx="2">
          <a:schemeClr val="accent6"/>
        </a:fillRef>
        <a:effectRef idx="1">
          <a:schemeClr val="accent6"/>
        </a:effectRef>
        <a:fontRef idx="minor">
          <a:schemeClr val="dk1"/>
        </a:fontRef>
      </xdr:style>
      <xdr:txBody>
        <a:bodyPr wrap="square" anchor="ctr"/>
        <a:lstStyle/>
        <a:p>
          <a:pPr algn="ctr"/>
          <a:endParaRPr lang="en-US" sz="2000" b="0"/>
        </a:p>
      </xdr:txBody>
    </xdr:sp>
    <xdr:clientData/>
  </xdr:twoCellAnchor>
  <xdr:twoCellAnchor>
    <xdr:from>
      <xdr:col>0</xdr:col>
      <xdr:colOff>490220</xdr:colOff>
      <xdr:row>2</xdr:row>
      <xdr:rowOff>71120</xdr:rowOff>
    </xdr:from>
    <xdr:to>
      <xdr:col>3</xdr:col>
      <xdr:colOff>457200</xdr:colOff>
      <xdr:row>4</xdr:row>
      <xdr:rowOff>88900</xdr:rowOff>
    </xdr:to>
    <xdr:sp macro="" textlink="">
      <xdr:nvSpPr>
        <xdr:cNvPr id="2" name="Rectangle 1"/>
        <xdr:cNvSpPr/>
      </xdr:nvSpPr>
      <xdr:spPr>
        <a:xfrm>
          <a:off x="490220" y="452120"/>
          <a:ext cx="2443480" cy="398780"/>
        </a:xfrm>
        <a:prstGeom prst="rect">
          <a:avLst/>
        </a:prstGeom>
        <a:ln>
          <a:solidFill>
            <a:schemeClr val="tx1"/>
          </a:solidFill>
        </a:ln>
      </xdr:spPr>
      <xdr:style>
        <a:lnRef idx="1">
          <a:schemeClr val="accent6"/>
        </a:lnRef>
        <a:fillRef idx="2">
          <a:schemeClr val="accent6"/>
        </a:fillRef>
        <a:effectRef idx="1">
          <a:schemeClr val="accent6"/>
        </a:effectRef>
        <a:fontRef idx="minor">
          <a:schemeClr val="dk1"/>
        </a:fontRef>
      </xdr:style>
      <xdr:txBody>
        <a:bodyPr wrap="square" anchor="ctr"/>
        <a:lstStyle/>
        <a:p>
          <a:pPr algn="ctr"/>
          <a:r>
            <a:rPr lang="en-US" sz="2000" b="0"/>
            <a:t>4' Feet</a:t>
          </a:r>
        </a:p>
      </xdr:txBody>
    </xdr:sp>
    <xdr:clientData/>
  </xdr:twoCellAnchor>
  <xdr:twoCellAnchor>
    <xdr:from>
      <xdr:col>11</xdr:col>
      <xdr:colOff>749300</xdr:colOff>
      <xdr:row>2</xdr:row>
      <xdr:rowOff>88900</xdr:rowOff>
    </xdr:from>
    <xdr:to>
      <xdr:col>15</xdr:col>
      <xdr:colOff>469900</xdr:colOff>
      <xdr:row>4</xdr:row>
      <xdr:rowOff>76200</xdr:rowOff>
    </xdr:to>
    <xdr:sp macro="" textlink="">
      <xdr:nvSpPr>
        <xdr:cNvPr id="5" name="TextBox 4"/>
        <xdr:cNvSpPr txBox="1"/>
      </xdr:nvSpPr>
      <xdr:spPr>
        <a:xfrm>
          <a:off x="9829800" y="469900"/>
          <a:ext cx="3022600" cy="368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t>10 x 4' Boards = 40' Feet Total</a:t>
          </a:r>
        </a:p>
      </xdr:txBody>
    </xdr:sp>
    <xdr:clientData/>
  </xdr:twoCellAnchor>
  <xdr:twoCellAnchor>
    <xdr:from>
      <xdr:col>0</xdr:col>
      <xdr:colOff>287020</xdr:colOff>
      <xdr:row>5</xdr:row>
      <xdr:rowOff>71120</xdr:rowOff>
    </xdr:from>
    <xdr:to>
      <xdr:col>6</xdr:col>
      <xdr:colOff>210820</xdr:colOff>
      <xdr:row>7</xdr:row>
      <xdr:rowOff>88900</xdr:rowOff>
    </xdr:to>
    <xdr:sp macro="" textlink="">
      <xdr:nvSpPr>
        <xdr:cNvPr id="6" name="Rectangle 5"/>
        <xdr:cNvSpPr/>
      </xdr:nvSpPr>
      <xdr:spPr>
        <a:xfrm>
          <a:off x="287020" y="1023620"/>
          <a:ext cx="4876800" cy="398780"/>
        </a:xfrm>
        <a:prstGeom prst="rect">
          <a:avLst/>
        </a:prstGeom>
        <a:ln>
          <a:solidFill>
            <a:schemeClr val="tx1"/>
          </a:solidFill>
        </a:ln>
      </xdr:spPr>
      <xdr:style>
        <a:lnRef idx="1">
          <a:schemeClr val="accent6"/>
        </a:lnRef>
        <a:fillRef idx="2">
          <a:schemeClr val="accent6"/>
        </a:fillRef>
        <a:effectRef idx="1">
          <a:schemeClr val="accent6"/>
        </a:effectRef>
        <a:fontRef idx="minor">
          <a:schemeClr val="dk1"/>
        </a:fontRef>
      </xdr:style>
      <xdr:txBody>
        <a:bodyPr wrap="square" anchor="ctr"/>
        <a:lstStyle/>
        <a:p>
          <a:pPr algn="ctr"/>
          <a:endParaRPr lang="en-US" sz="2000" b="0"/>
        </a:p>
      </xdr:txBody>
    </xdr:sp>
    <xdr:clientData/>
  </xdr:twoCellAnchor>
  <xdr:twoCellAnchor>
    <xdr:from>
      <xdr:col>0</xdr:col>
      <xdr:colOff>406400</xdr:colOff>
      <xdr:row>5</xdr:row>
      <xdr:rowOff>160020</xdr:rowOff>
    </xdr:from>
    <xdr:to>
      <xdr:col>6</xdr:col>
      <xdr:colOff>330200</xdr:colOff>
      <xdr:row>7</xdr:row>
      <xdr:rowOff>177800</xdr:rowOff>
    </xdr:to>
    <xdr:sp macro="" textlink="">
      <xdr:nvSpPr>
        <xdr:cNvPr id="7" name="Rectangle 6"/>
        <xdr:cNvSpPr/>
      </xdr:nvSpPr>
      <xdr:spPr>
        <a:xfrm>
          <a:off x="406400" y="1112520"/>
          <a:ext cx="4876800" cy="398780"/>
        </a:xfrm>
        <a:prstGeom prst="rect">
          <a:avLst/>
        </a:prstGeom>
        <a:ln>
          <a:solidFill>
            <a:schemeClr val="tx1"/>
          </a:solidFill>
        </a:ln>
      </xdr:spPr>
      <xdr:style>
        <a:lnRef idx="1">
          <a:schemeClr val="accent6"/>
        </a:lnRef>
        <a:fillRef idx="2">
          <a:schemeClr val="accent6"/>
        </a:fillRef>
        <a:effectRef idx="1">
          <a:schemeClr val="accent6"/>
        </a:effectRef>
        <a:fontRef idx="minor">
          <a:schemeClr val="dk1"/>
        </a:fontRef>
      </xdr:style>
      <xdr:txBody>
        <a:bodyPr wrap="square" anchor="ctr"/>
        <a:lstStyle/>
        <a:p>
          <a:pPr algn="ctr"/>
          <a:endParaRPr lang="en-US" sz="2000" b="0"/>
        </a:p>
      </xdr:txBody>
    </xdr:sp>
    <xdr:clientData/>
  </xdr:twoCellAnchor>
  <xdr:twoCellAnchor>
    <xdr:from>
      <xdr:col>0</xdr:col>
      <xdr:colOff>508000</xdr:colOff>
      <xdr:row>6</xdr:row>
      <xdr:rowOff>71120</xdr:rowOff>
    </xdr:from>
    <xdr:to>
      <xdr:col>6</xdr:col>
      <xdr:colOff>431800</xdr:colOff>
      <xdr:row>8</xdr:row>
      <xdr:rowOff>88900</xdr:rowOff>
    </xdr:to>
    <xdr:sp macro="" textlink="">
      <xdr:nvSpPr>
        <xdr:cNvPr id="8" name="Rectangle 7"/>
        <xdr:cNvSpPr/>
      </xdr:nvSpPr>
      <xdr:spPr>
        <a:xfrm>
          <a:off x="508000" y="1214120"/>
          <a:ext cx="4876800" cy="398780"/>
        </a:xfrm>
        <a:prstGeom prst="rect">
          <a:avLst/>
        </a:prstGeom>
        <a:ln>
          <a:solidFill>
            <a:schemeClr val="tx1"/>
          </a:solidFill>
        </a:ln>
      </xdr:spPr>
      <xdr:style>
        <a:lnRef idx="1">
          <a:schemeClr val="accent6"/>
        </a:lnRef>
        <a:fillRef idx="2">
          <a:schemeClr val="accent6"/>
        </a:fillRef>
        <a:effectRef idx="1">
          <a:schemeClr val="accent6"/>
        </a:effectRef>
        <a:fontRef idx="minor">
          <a:schemeClr val="dk1"/>
        </a:fontRef>
      </xdr:style>
      <xdr:txBody>
        <a:bodyPr wrap="square" anchor="ctr"/>
        <a:lstStyle/>
        <a:p>
          <a:pPr algn="ctr"/>
          <a:r>
            <a:rPr lang="en-US" sz="2000" b="0"/>
            <a:t>8' Feet</a:t>
          </a:r>
        </a:p>
      </xdr:txBody>
    </xdr:sp>
    <xdr:clientData/>
  </xdr:twoCellAnchor>
  <xdr:twoCellAnchor>
    <xdr:from>
      <xdr:col>11</xdr:col>
      <xdr:colOff>749300</xdr:colOff>
      <xdr:row>6</xdr:row>
      <xdr:rowOff>88900</xdr:rowOff>
    </xdr:from>
    <xdr:to>
      <xdr:col>15</xdr:col>
      <xdr:colOff>469900</xdr:colOff>
      <xdr:row>8</xdr:row>
      <xdr:rowOff>76200</xdr:rowOff>
    </xdr:to>
    <xdr:sp macro="" textlink="">
      <xdr:nvSpPr>
        <xdr:cNvPr id="9" name="TextBox 8"/>
        <xdr:cNvSpPr txBox="1"/>
      </xdr:nvSpPr>
      <xdr:spPr>
        <a:xfrm>
          <a:off x="9829800" y="1231900"/>
          <a:ext cx="3022600" cy="368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t>10 x 8' Boards = 80' Feet Total</a:t>
          </a:r>
        </a:p>
      </xdr:txBody>
    </xdr:sp>
    <xdr:clientData/>
  </xdr:twoCellAnchor>
  <xdr:twoCellAnchor>
    <xdr:from>
      <xdr:col>0</xdr:col>
      <xdr:colOff>287020</xdr:colOff>
      <xdr:row>9</xdr:row>
      <xdr:rowOff>172720</xdr:rowOff>
    </xdr:from>
    <xdr:to>
      <xdr:col>11</xdr:col>
      <xdr:colOff>363220</xdr:colOff>
      <xdr:row>12</xdr:row>
      <xdr:rowOff>0</xdr:rowOff>
    </xdr:to>
    <xdr:sp macro="" textlink="">
      <xdr:nvSpPr>
        <xdr:cNvPr id="10" name="Rectangle 9"/>
        <xdr:cNvSpPr/>
      </xdr:nvSpPr>
      <xdr:spPr>
        <a:xfrm>
          <a:off x="287020" y="1887220"/>
          <a:ext cx="9156700" cy="398780"/>
        </a:xfrm>
        <a:prstGeom prst="rect">
          <a:avLst/>
        </a:prstGeom>
        <a:ln>
          <a:solidFill>
            <a:schemeClr val="tx1"/>
          </a:solidFill>
        </a:ln>
      </xdr:spPr>
      <xdr:style>
        <a:lnRef idx="1">
          <a:schemeClr val="accent6"/>
        </a:lnRef>
        <a:fillRef idx="2">
          <a:schemeClr val="accent6"/>
        </a:fillRef>
        <a:effectRef idx="1">
          <a:schemeClr val="accent6"/>
        </a:effectRef>
        <a:fontRef idx="minor">
          <a:schemeClr val="dk1"/>
        </a:fontRef>
      </xdr:style>
      <xdr:txBody>
        <a:bodyPr wrap="square" anchor="ctr"/>
        <a:lstStyle/>
        <a:p>
          <a:pPr algn="ctr"/>
          <a:endParaRPr lang="en-US" sz="2000" b="0"/>
        </a:p>
      </xdr:txBody>
    </xdr:sp>
    <xdr:clientData/>
  </xdr:twoCellAnchor>
  <xdr:twoCellAnchor>
    <xdr:from>
      <xdr:col>0</xdr:col>
      <xdr:colOff>393700</xdr:colOff>
      <xdr:row>10</xdr:row>
      <xdr:rowOff>71120</xdr:rowOff>
    </xdr:from>
    <xdr:to>
      <xdr:col>11</xdr:col>
      <xdr:colOff>469900</xdr:colOff>
      <xdr:row>12</xdr:row>
      <xdr:rowOff>88900</xdr:rowOff>
    </xdr:to>
    <xdr:sp macro="" textlink="">
      <xdr:nvSpPr>
        <xdr:cNvPr id="11" name="Rectangle 10"/>
        <xdr:cNvSpPr/>
      </xdr:nvSpPr>
      <xdr:spPr>
        <a:xfrm>
          <a:off x="393700" y="1976120"/>
          <a:ext cx="9156700" cy="398780"/>
        </a:xfrm>
        <a:prstGeom prst="rect">
          <a:avLst/>
        </a:prstGeom>
        <a:ln>
          <a:solidFill>
            <a:schemeClr val="tx1"/>
          </a:solidFill>
        </a:ln>
      </xdr:spPr>
      <xdr:style>
        <a:lnRef idx="1">
          <a:schemeClr val="accent6"/>
        </a:lnRef>
        <a:fillRef idx="2">
          <a:schemeClr val="accent6"/>
        </a:fillRef>
        <a:effectRef idx="1">
          <a:schemeClr val="accent6"/>
        </a:effectRef>
        <a:fontRef idx="minor">
          <a:schemeClr val="dk1"/>
        </a:fontRef>
      </xdr:style>
      <xdr:txBody>
        <a:bodyPr wrap="square" anchor="ctr"/>
        <a:lstStyle/>
        <a:p>
          <a:pPr algn="ctr"/>
          <a:endParaRPr lang="en-US" sz="2000" b="0"/>
        </a:p>
      </xdr:txBody>
    </xdr:sp>
    <xdr:clientData/>
  </xdr:twoCellAnchor>
  <xdr:twoCellAnchor>
    <xdr:from>
      <xdr:col>0</xdr:col>
      <xdr:colOff>495300</xdr:colOff>
      <xdr:row>10</xdr:row>
      <xdr:rowOff>172720</xdr:rowOff>
    </xdr:from>
    <xdr:to>
      <xdr:col>11</xdr:col>
      <xdr:colOff>571500</xdr:colOff>
      <xdr:row>13</xdr:row>
      <xdr:rowOff>0</xdr:rowOff>
    </xdr:to>
    <xdr:sp macro="" textlink="">
      <xdr:nvSpPr>
        <xdr:cNvPr id="12" name="Rectangle 11"/>
        <xdr:cNvSpPr/>
      </xdr:nvSpPr>
      <xdr:spPr>
        <a:xfrm>
          <a:off x="495300" y="2077720"/>
          <a:ext cx="9156700" cy="398780"/>
        </a:xfrm>
        <a:prstGeom prst="rect">
          <a:avLst/>
        </a:prstGeom>
        <a:ln>
          <a:solidFill>
            <a:schemeClr val="tx1"/>
          </a:solidFill>
        </a:ln>
      </xdr:spPr>
      <xdr:style>
        <a:lnRef idx="1">
          <a:schemeClr val="accent6"/>
        </a:lnRef>
        <a:fillRef idx="2">
          <a:schemeClr val="accent6"/>
        </a:fillRef>
        <a:effectRef idx="1">
          <a:schemeClr val="accent6"/>
        </a:effectRef>
        <a:fontRef idx="minor">
          <a:schemeClr val="dk1"/>
        </a:fontRef>
      </xdr:style>
      <xdr:txBody>
        <a:bodyPr wrap="square" anchor="ctr"/>
        <a:lstStyle/>
        <a:p>
          <a:pPr algn="ctr"/>
          <a:r>
            <a:rPr lang="en-US" sz="2000" b="0"/>
            <a:t>16' Feet</a:t>
          </a:r>
        </a:p>
      </xdr:txBody>
    </xdr:sp>
    <xdr:clientData/>
  </xdr:twoCellAnchor>
  <xdr:twoCellAnchor>
    <xdr:from>
      <xdr:col>11</xdr:col>
      <xdr:colOff>749300</xdr:colOff>
      <xdr:row>10</xdr:row>
      <xdr:rowOff>88900</xdr:rowOff>
    </xdr:from>
    <xdr:to>
      <xdr:col>16</xdr:col>
      <xdr:colOff>355600</xdr:colOff>
      <xdr:row>12</xdr:row>
      <xdr:rowOff>76200</xdr:rowOff>
    </xdr:to>
    <xdr:sp macro="" textlink="">
      <xdr:nvSpPr>
        <xdr:cNvPr id="13" name="TextBox 12"/>
        <xdr:cNvSpPr txBox="1"/>
      </xdr:nvSpPr>
      <xdr:spPr>
        <a:xfrm>
          <a:off x="9829800" y="1993900"/>
          <a:ext cx="4152900" cy="368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t>10 x 16' Boards = 160' Feet Total</a:t>
          </a:r>
        </a:p>
      </xdr:txBody>
    </xdr:sp>
    <xdr:clientData/>
  </xdr:twoCellAnchor>
  <xdr:twoCellAnchor>
    <xdr:from>
      <xdr:col>1</xdr:col>
      <xdr:colOff>134620</xdr:colOff>
      <xdr:row>20</xdr:row>
      <xdr:rowOff>172720</xdr:rowOff>
    </xdr:from>
    <xdr:to>
      <xdr:col>3</xdr:col>
      <xdr:colOff>571500</xdr:colOff>
      <xdr:row>23</xdr:row>
      <xdr:rowOff>165100</xdr:rowOff>
    </xdr:to>
    <xdr:sp macro="" textlink="">
      <xdr:nvSpPr>
        <xdr:cNvPr id="14" name="Rectangle 13"/>
        <xdr:cNvSpPr/>
      </xdr:nvSpPr>
      <xdr:spPr>
        <a:xfrm>
          <a:off x="960120" y="46050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1</xdr:col>
      <xdr:colOff>287020</xdr:colOff>
      <xdr:row>21</xdr:row>
      <xdr:rowOff>134620</xdr:rowOff>
    </xdr:from>
    <xdr:to>
      <xdr:col>3</xdr:col>
      <xdr:colOff>723900</xdr:colOff>
      <xdr:row>24</xdr:row>
      <xdr:rowOff>127000</xdr:rowOff>
    </xdr:to>
    <xdr:sp macro="" textlink="">
      <xdr:nvSpPr>
        <xdr:cNvPr id="16" name="Rectangle 15"/>
        <xdr:cNvSpPr/>
      </xdr:nvSpPr>
      <xdr:spPr>
        <a:xfrm>
          <a:off x="1112520" y="47574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1</xdr:col>
      <xdr:colOff>439420</xdr:colOff>
      <xdr:row>22</xdr:row>
      <xdr:rowOff>96520</xdr:rowOff>
    </xdr:from>
    <xdr:to>
      <xdr:col>4</xdr:col>
      <xdr:colOff>50800</xdr:colOff>
      <xdr:row>25</xdr:row>
      <xdr:rowOff>88900</xdr:rowOff>
    </xdr:to>
    <xdr:sp macro="" textlink="">
      <xdr:nvSpPr>
        <xdr:cNvPr id="17" name="Rectangle 16"/>
        <xdr:cNvSpPr/>
      </xdr:nvSpPr>
      <xdr:spPr>
        <a:xfrm>
          <a:off x="1264920" y="49098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1</xdr:col>
      <xdr:colOff>591820</xdr:colOff>
      <xdr:row>23</xdr:row>
      <xdr:rowOff>58420</xdr:rowOff>
    </xdr:from>
    <xdr:to>
      <xdr:col>4</xdr:col>
      <xdr:colOff>203200</xdr:colOff>
      <xdr:row>26</xdr:row>
      <xdr:rowOff>50800</xdr:rowOff>
    </xdr:to>
    <xdr:sp macro="" textlink="">
      <xdr:nvSpPr>
        <xdr:cNvPr id="18" name="Rectangle 17"/>
        <xdr:cNvSpPr/>
      </xdr:nvSpPr>
      <xdr:spPr>
        <a:xfrm>
          <a:off x="1417320" y="50622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1</xdr:col>
      <xdr:colOff>744220</xdr:colOff>
      <xdr:row>24</xdr:row>
      <xdr:rowOff>20320</xdr:rowOff>
    </xdr:from>
    <xdr:to>
      <xdr:col>4</xdr:col>
      <xdr:colOff>355600</xdr:colOff>
      <xdr:row>27</xdr:row>
      <xdr:rowOff>12700</xdr:rowOff>
    </xdr:to>
    <xdr:sp macro="" textlink="">
      <xdr:nvSpPr>
        <xdr:cNvPr id="19" name="Rectangle 18"/>
        <xdr:cNvSpPr/>
      </xdr:nvSpPr>
      <xdr:spPr>
        <a:xfrm>
          <a:off x="1569720" y="52146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2</xdr:col>
      <xdr:colOff>71120</xdr:colOff>
      <xdr:row>24</xdr:row>
      <xdr:rowOff>172720</xdr:rowOff>
    </xdr:from>
    <xdr:to>
      <xdr:col>4</xdr:col>
      <xdr:colOff>508000</xdr:colOff>
      <xdr:row>27</xdr:row>
      <xdr:rowOff>165100</xdr:rowOff>
    </xdr:to>
    <xdr:sp macro="" textlink="">
      <xdr:nvSpPr>
        <xdr:cNvPr id="20" name="Rectangle 19"/>
        <xdr:cNvSpPr/>
      </xdr:nvSpPr>
      <xdr:spPr>
        <a:xfrm>
          <a:off x="1722120" y="53670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2</xdr:col>
      <xdr:colOff>223520</xdr:colOff>
      <xdr:row>25</xdr:row>
      <xdr:rowOff>134620</xdr:rowOff>
    </xdr:from>
    <xdr:to>
      <xdr:col>4</xdr:col>
      <xdr:colOff>660400</xdr:colOff>
      <xdr:row>28</xdr:row>
      <xdr:rowOff>127000</xdr:rowOff>
    </xdr:to>
    <xdr:sp macro="" textlink="">
      <xdr:nvSpPr>
        <xdr:cNvPr id="21" name="Rectangle 20"/>
        <xdr:cNvSpPr/>
      </xdr:nvSpPr>
      <xdr:spPr>
        <a:xfrm>
          <a:off x="1874520" y="55194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2</xdr:col>
      <xdr:colOff>375920</xdr:colOff>
      <xdr:row>26</xdr:row>
      <xdr:rowOff>96520</xdr:rowOff>
    </xdr:from>
    <xdr:to>
      <xdr:col>4</xdr:col>
      <xdr:colOff>812800</xdr:colOff>
      <xdr:row>29</xdr:row>
      <xdr:rowOff>88900</xdr:rowOff>
    </xdr:to>
    <xdr:sp macro="" textlink="">
      <xdr:nvSpPr>
        <xdr:cNvPr id="22" name="Rectangle 21"/>
        <xdr:cNvSpPr/>
      </xdr:nvSpPr>
      <xdr:spPr>
        <a:xfrm>
          <a:off x="2026920" y="56718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2</xdr:col>
      <xdr:colOff>528320</xdr:colOff>
      <xdr:row>27</xdr:row>
      <xdr:rowOff>58420</xdr:rowOff>
    </xdr:from>
    <xdr:to>
      <xdr:col>5</xdr:col>
      <xdr:colOff>139700</xdr:colOff>
      <xdr:row>30</xdr:row>
      <xdr:rowOff>50800</xdr:rowOff>
    </xdr:to>
    <xdr:sp macro="" textlink="">
      <xdr:nvSpPr>
        <xdr:cNvPr id="23" name="Rectangle 22"/>
        <xdr:cNvSpPr/>
      </xdr:nvSpPr>
      <xdr:spPr>
        <a:xfrm>
          <a:off x="2179320" y="58242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2</xdr:col>
      <xdr:colOff>680720</xdr:colOff>
      <xdr:row>28</xdr:row>
      <xdr:rowOff>20320</xdr:rowOff>
    </xdr:from>
    <xdr:to>
      <xdr:col>5</xdr:col>
      <xdr:colOff>292100</xdr:colOff>
      <xdr:row>31</xdr:row>
      <xdr:rowOff>12700</xdr:rowOff>
    </xdr:to>
    <xdr:sp macro="" textlink="">
      <xdr:nvSpPr>
        <xdr:cNvPr id="24" name="Rectangle 23"/>
        <xdr:cNvSpPr/>
      </xdr:nvSpPr>
      <xdr:spPr>
        <a:xfrm>
          <a:off x="2331720" y="59766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nchor="ctr"/>
        <a:lstStyle/>
        <a:p>
          <a:pPr algn="ctr"/>
          <a:r>
            <a:rPr lang="en-US" sz="1200" b="1"/>
            <a:t>20 vCPU</a:t>
          </a:r>
        </a:p>
        <a:p>
          <a:pPr algn="ctr"/>
          <a:r>
            <a:rPr lang="en-US" sz="1200" b="1"/>
            <a:t>192 GB RAM</a:t>
          </a:r>
        </a:p>
        <a:p>
          <a:pPr algn="ctr"/>
          <a:r>
            <a:rPr lang="en-US" sz="1200" b="1"/>
            <a:t>1 TB of Disk</a:t>
          </a:r>
        </a:p>
      </xdr:txBody>
    </xdr:sp>
    <xdr:clientData/>
  </xdr:twoCellAnchor>
  <xdr:twoCellAnchor>
    <xdr:from>
      <xdr:col>5</xdr:col>
      <xdr:colOff>426720</xdr:colOff>
      <xdr:row>20</xdr:row>
      <xdr:rowOff>172720</xdr:rowOff>
    </xdr:from>
    <xdr:to>
      <xdr:col>8</xdr:col>
      <xdr:colOff>38100</xdr:colOff>
      <xdr:row>23</xdr:row>
      <xdr:rowOff>165100</xdr:rowOff>
    </xdr:to>
    <xdr:sp macro="" textlink="">
      <xdr:nvSpPr>
        <xdr:cNvPr id="25" name="Rectangle 24"/>
        <xdr:cNvSpPr/>
      </xdr:nvSpPr>
      <xdr:spPr>
        <a:xfrm>
          <a:off x="4554220" y="46050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5</xdr:col>
      <xdr:colOff>579120</xdr:colOff>
      <xdr:row>21</xdr:row>
      <xdr:rowOff>134620</xdr:rowOff>
    </xdr:from>
    <xdr:to>
      <xdr:col>8</xdr:col>
      <xdr:colOff>190500</xdr:colOff>
      <xdr:row>24</xdr:row>
      <xdr:rowOff>127000</xdr:rowOff>
    </xdr:to>
    <xdr:sp macro="" textlink="">
      <xdr:nvSpPr>
        <xdr:cNvPr id="26" name="Rectangle 25"/>
        <xdr:cNvSpPr/>
      </xdr:nvSpPr>
      <xdr:spPr>
        <a:xfrm>
          <a:off x="4706620" y="47574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5</xdr:col>
      <xdr:colOff>731520</xdr:colOff>
      <xdr:row>22</xdr:row>
      <xdr:rowOff>96520</xdr:rowOff>
    </xdr:from>
    <xdr:to>
      <xdr:col>8</xdr:col>
      <xdr:colOff>342900</xdr:colOff>
      <xdr:row>25</xdr:row>
      <xdr:rowOff>88900</xdr:rowOff>
    </xdr:to>
    <xdr:sp macro="" textlink="">
      <xdr:nvSpPr>
        <xdr:cNvPr id="27" name="Rectangle 26"/>
        <xdr:cNvSpPr/>
      </xdr:nvSpPr>
      <xdr:spPr>
        <a:xfrm>
          <a:off x="4859020" y="49098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6</xdr:col>
      <xdr:colOff>58420</xdr:colOff>
      <xdr:row>23</xdr:row>
      <xdr:rowOff>58420</xdr:rowOff>
    </xdr:from>
    <xdr:to>
      <xdr:col>8</xdr:col>
      <xdr:colOff>495300</xdr:colOff>
      <xdr:row>26</xdr:row>
      <xdr:rowOff>50800</xdr:rowOff>
    </xdr:to>
    <xdr:sp macro="" textlink="">
      <xdr:nvSpPr>
        <xdr:cNvPr id="28" name="Rectangle 27"/>
        <xdr:cNvSpPr/>
      </xdr:nvSpPr>
      <xdr:spPr>
        <a:xfrm>
          <a:off x="5011420" y="50622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6</xdr:col>
      <xdr:colOff>210820</xdr:colOff>
      <xdr:row>24</xdr:row>
      <xdr:rowOff>20320</xdr:rowOff>
    </xdr:from>
    <xdr:to>
      <xdr:col>8</xdr:col>
      <xdr:colOff>647700</xdr:colOff>
      <xdr:row>27</xdr:row>
      <xdr:rowOff>12700</xdr:rowOff>
    </xdr:to>
    <xdr:sp macro="" textlink="">
      <xdr:nvSpPr>
        <xdr:cNvPr id="29" name="Rectangle 28"/>
        <xdr:cNvSpPr/>
      </xdr:nvSpPr>
      <xdr:spPr>
        <a:xfrm>
          <a:off x="5163820" y="52146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6</xdr:col>
      <xdr:colOff>363220</xdr:colOff>
      <xdr:row>24</xdr:row>
      <xdr:rowOff>172720</xdr:rowOff>
    </xdr:from>
    <xdr:to>
      <xdr:col>8</xdr:col>
      <xdr:colOff>800100</xdr:colOff>
      <xdr:row>27</xdr:row>
      <xdr:rowOff>165100</xdr:rowOff>
    </xdr:to>
    <xdr:sp macro="" textlink="">
      <xdr:nvSpPr>
        <xdr:cNvPr id="30" name="Rectangle 29"/>
        <xdr:cNvSpPr/>
      </xdr:nvSpPr>
      <xdr:spPr>
        <a:xfrm>
          <a:off x="5316220" y="53670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6</xdr:col>
      <xdr:colOff>515620</xdr:colOff>
      <xdr:row>25</xdr:row>
      <xdr:rowOff>134620</xdr:rowOff>
    </xdr:from>
    <xdr:to>
      <xdr:col>9</xdr:col>
      <xdr:colOff>127000</xdr:colOff>
      <xdr:row>28</xdr:row>
      <xdr:rowOff>127000</xdr:rowOff>
    </xdr:to>
    <xdr:sp macro="" textlink="">
      <xdr:nvSpPr>
        <xdr:cNvPr id="31" name="Rectangle 30"/>
        <xdr:cNvSpPr/>
      </xdr:nvSpPr>
      <xdr:spPr>
        <a:xfrm>
          <a:off x="5468620" y="55194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6</xdr:col>
      <xdr:colOff>668020</xdr:colOff>
      <xdr:row>26</xdr:row>
      <xdr:rowOff>96520</xdr:rowOff>
    </xdr:from>
    <xdr:to>
      <xdr:col>9</xdr:col>
      <xdr:colOff>279400</xdr:colOff>
      <xdr:row>29</xdr:row>
      <xdr:rowOff>88900</xdr:rowOff>
    </xdr:to>
    <xdr:sp macro="" textlink="">
      <xdr:nvSpPr>
        <xdr:cNvPr id="32" name="Rectangle 31"/>
        <xdr:cNvSpPr/>
      </xdr:nvSpPr>
      <xdr:spPr>
        <a:xfrm>
          <a:off x="5621020" y="56718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6</xdr:col>
      <xdr:colOff>820420</xdr:colOff>
      <xdr:row>27</xdr:row>
      <xdr:rowOff>58420</xdr:rowOff>
    </xdr:from>
    <xdr:to>
      <xdr:col>9</xdr:col>
      <xdr:colOff>431800</xdr:colOff>
      <xdr:row>30</xdr:row>
      <xdr:rowOff>50800</xdr:rowOff>
    </xdr:to>
    <xdr:sp macro="" textlink="">
      <xdr:nvSpPr>
        <xdr:cNvPr id="33" name="Rectangle 32"/>
        <xdr:cNvSpPr/>
      </xdr:nvSpPr>
      <xdr:spPr>
        <a:xfrm>
          <a:off x="5773420" y="58242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lstStyle/>
        <a:p>
          <a:endParaRPr lang="en-US"/>
        </a:p>
      </xdr:txBody>
    </xdr:sp>
    <xdr:clientData/>
  </xdr:twoCellAnchor>
  <xdr:twoCellAnchor>
    <xdr:from>
      <xdr:col>7</xdr:col>
      <xdr:colOff>147320</xdr:colOff>
      <xdr:row>28</xdr:row>
      <xdr:rowOff>20320</xdr:rowOff>
    </xdr:from>
    <xdr:to>
      <xdr:col>9</xdr:col>
      <xdr:colOff>584200</xdr:colOff>
      <xdr:row>31</xdr:row>
      <xdr:rowOff>12700</xdr:rowOff>
    </xdr:to>
    <xdr:sp macro="" textlink="">
      <xdr:nvSpPr>
        <xdr:cNvPr id="34" name="Rectangle 33"/>
        <xdr:cNvSpPr/>
      </xdr:nvSpPr>
      <xdr:spPr>
        <a:xfrm>
          <a:off x="5925820" y="5976620"/>
          <a:ext cx="2087880" cy="563880"/>
        </a:xfrm>
        <a:prstGeom prst="rect">
          <a:avLst/>
        </a:prstGeom>
        <a:ln/>
      </xdr:spPr>
      <xdr:style>
        <a:lnRef idx="1">
          <a:schemeClr val="dk1"/>
        </a:lnRef>
        <a:fillRef idx="2">
          <a:schemeClr val="dk1"/>
        </a:fillRef>
        <a:effectRef idx="1">
          <a:schemeClr val="dk1"/>
        </a:effectRef>
        <a:fontRef idx="minor">
          <a:schemeClr val="dk1"/>
        </a:fontRef>
      </xdr:style>
      <xdr:txBody>
        <a:bodyPr wrap="square" anchor="ctr"/>
        <a:lstStyle/>
        <a:p>
          <a:pPr marL="0" indent="0" algn="ctr"/>
          <a:r>
            <a:rPr lang="en-US" sz="1200" b="1">
              <a:solidFill>
                <a:schemeClr val="dk1"/>
              </a:solidFill>
              <a:latin typeface="+mn-lt"/>
              <a:ea typeface="+mn-ea"/>
              <a:cs typeface="+mn-cs"/>
            </a:rPr>
            <a:t>20 vCPU</a:t>
          </a:r>
        </a:p>
        <a:p>
          <a:pPr marL="0" indent="0" algn="ctr"/>
          <a:r>
            <a:rPr lang="en-US" sz="1200" b="1">
              <a:solidFill>
                <a:schemeClr val="dk1"/>
              </a:solidFill>
              <a:latin typeface="+mn-lt"/>
              <a:ea typeface="+mn-ea"/>
              <a:cs typeface="+mn-cs"/>
            </a:rPr>
            <a:t>192</a:t>
          </a:r>
          <a:r>
            <a:rPr lang="en-US" sz="1200" b="1" baseline="0">
              <a:solidFill>
                <a:schemeClr val="dk1"/>
              </a:solidFill>
              <a:latin typeface="+mn-lt"/>
              <a:ea typeface="+mn-ea"/>
              <a:cs typeface="+mn-cs"/>
            </a:rPr>
            <a:t> GB RAM</a:t>
          </a:r>
        </a:p>
        <a:p>
          <a:pPr marL="0" indent="0" algn="ctr"/>
          <a:r>
            <a:rPr lang="en-US" sz="1200" b="1" baseline="0">
              <a:solidFill>
                <a:schemeClr val="dk1"/>
              </a:solidFill>
              <a:latin typeface="+mn-lt"/>
              <a:ea typeface="+mn-ea"/>
              <a:cs typeface="+mn-cs"/>
            </a:rPr>
            <a:t>1 TB Disk</a:t>
          </a:r>
          <a:endParaRPr lang="en-US" sz="1200" b="1">
            <a:solidFill>
              <a:schemeClr val="dk1"/>
            </a:solidFill>
            <a:latin typeface="+mn-lt"/>
            <a:ea typeface="+mn-ea"/>
            <a:cs typeface="+mn-cs"/>
          </a:endParaRPr>
        </a:p>
      </xdr:txBody>
    </xdr:sp>
    <xdr:clientData/>
  </xdr:twoCellAnchor>
  <xdr:twoCellAnchor>
    <xdr:from>
      <xdr:col>11</xdr:col>
      <xdr:colOff>749300</xdr:colOff>
      <xdr:row>20</xdr:row>
      <xdr:rowOff>101600</xdr:rowOff>
    </xdr:from>
    <xdr:to>
      <xdr:col>17</xdr:col>
      <xdr:colOff>190500</xdr:colOff>
      <xdr:row>22</xdr:row>
      <xdr:rowOff>88900</xdr:rowOff>
    </xdr:to>
    <xdr:sp macro="" textlink="">
      <xdr:nvSpPr>
        <xdr:cNvPr id="37" name="TextBox 36"/>
        <xdr:cNvSpPr txBox="1"/>
      </xdr:nvSpPr>
      <xdr:spPr>
        <a:xfrm>
          <a:off x="9829800" y="4343400"/>
          <a:ext cx="4813300" cy="368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t>20 Hypervisors, 20 vCPU each</a:t>
          </a:r>
          <a:r>
            <a:rPr lang="en-US" sz="1800" b="1" baseline="0"/>
            <a:t> </a:t>
          </a:r>
          <a:r>
            <a:rPr lang="en-US" sz="1800" b="1"/>
            <a:t>= 400 vCPU</a:t>
          </a:r>
        </a:p>
      </xdr:txBody>
    </xdr:sp>
    <xdr:clientData/>
  </xdr:twoCellAnchor>
  <xdr:twoCellAnchor>
    <xdr:from>
      <xdr:col>11</xdr:col>
      <xdr:colOff>749300</xdr:colOff>
      <xdr:row>23</xdr:row>
      <xdr:rowOff>25400</xdr:rowOff>
    </xdr:from>
    <xdr:to>
      <xdr:col>17</xdr:col>
      <xdr:colOff>393700</xdr:colOff>
      <xdr:row>25</xdr:row>
      <xdr:rowOff>12700</xdr:rowOff>
    </xdr:to>
    <xdr:sp macro="" textlink="">
      <xdr:nvSpPr>
        <xdr:cNvPr id="38" name="TextBox 37"/>
        <xdr:cNvSpPr txBox="1"/>
      </xdr:nvSpPr>
      <xdr:spPr>
        <a:xfrm>
          <a:off x="9829800" y="4838700"/>
          <a:ext cx="5016500" cy="368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t>20 Hypervisors, 192 GB RAM each</a:t>
          </a:r>
          <a:r>
            <a:rPr lang="en-US" sz="1800" b="1" baseline="0"/>
            <a:t> </a:t>
          </a:r>
          <a:r>
            <a:rPr lang="en-US" sz="1800" b="1"/>
            <a:t>= 3840 GB RAM</a:t>
          </a:r>
        </a:p>
      </xdr:txBody>
    </xdr:sp>
    <xdr:clientData/>
  </xdr:twoCellAnchor>
  <xdr:twoCellAnchor>
    <xdr:from>
      <xdr:col>11</xdr:col>
      <xdr:colOff>749300</xdr:colOff>
      <xdr:row>25</xdr:row>
      <xdr:rowOff>127000</xdr:rowOff>
    </xdr:from>
    <xdr:to>
      <xdr:col>17</xdr:col>
      <xdr:colOff>190500</xdr:colOff>
      <xdr:row>27</xdr:row>
      <xdr:rowOff>114300</xdr:rowOff>
    </xdr:to>
    <xdr:sp macro="" textlink="">
      <xdr:nvSpPr>
        <xdr:cNvPr id="39" name="TextBox 38"/>
        <xdr:cNvSpPr txBox="1"/>
      </xdr:nvSpPr>
      <xdr:spPr>
        <a:xfrm>
          <a:off x="9829800" y="5321300"/>
          <a:ext cx="4813300" cy="368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t>20 Hypervisors, 1 TB</a:t>
          </a:r>
          <a:r>
            <a:rPr lang="en-US" sz="1800" b="1" baseline="0"/>
            <a:t> Disk </a:t>
          </a:r>
          <a:r>
            <a:rPr lang="en-US" sz="1800" b="1"/>
            <a:t>each</a:t>
          </a:r>
          <a:r>
            <a:rPr lang="en-US" sz="1800" b="1" baseline="0"/>
            <a:t> </a:t>
          </a:r>
          <a:r>
            <a:rPr lang="en-US" sz="1800" b="1"/>
            <a:t>= 20 TB Disk</a:t>
          </a:r>
        </a:p>
      </xdr:txBody>
    </xdr:sp>
    <xdr:clientData/>
  </xdr:twoCellAnchor>
  <xdr:twoCellAnchor>
    <xdr:from>
      <xdr:col>11</xdr:col>
      <xdr:colOff>749300</xdr:colOff>
      <xdr:row>28</xdr:row>
      <xdr:rowOff>114300</xdr:rowOff>
    </xdr:from>
    <xdr:to>
      <xdr:col>17</xdr:col>
      <xdr:colOff>190500</xdr:colOff>
      <xdr:row>31</xdr:row>
      <xdr:rowOff>139700</xdr:rowOff>
    </xdr:to>
    <xdr:sp macro="" textlink="">
      <xdr:nvSpPr>
        <xdr:cNvPr id="40" name="TextBox 39"/>
        <xdr:cNvSpPr txBox="1"/>
      </xdr:nvSpPr>
      <xdr:spPr>
        <a:xfrm>
          <a:off x="9829800" y="5892800"/>
          <a:ext cx="4813300" cy="596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solidFill>
                <a:schemeClr val="accent3">
                  <a:lumMod val="75000"/>
                </a:schemeClr>
              </a:solidFill>
            </a:rPr>
            <a:t>How many 8 vCPU, 128 GB RAM, 128 GB Disk</a:t>
          </a:r>
          <a:r>
            <a:rPr lang="en-US" sz="1800" b="1" baseline="0">
              <a:solidFill>
                <a:schemeClr val="accent3">
                  <a:lumMod val="75000"/>
                </a:schemeClr>
              </a:solidFill>
            </a:rPr>
            <a:t> instances will fit?</a:t>
          </a:r>
          <a:endParaRPr lang="en-US" sz="1800" b="1">
            <a:solidFill>
              <a:schemeClr val="accent3">
                <a:lumMod val="75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ason Grimm" refreshedDate="42193.823923842596" createdVersion="4" refreshedVersion="4" minRefreshableVersion="3" recordCount="1194">
  <cacheSource type="worksheet">
    <worksheetSource ref="A1:P1195" sheet="Data-Source"/>
  </cacheSource>
  <cacheFields count="16">
    <cacheField name="Account Name" numFmtId="0">
      <sharedItems/>
    </cacheField>
    <cacheField name="API Name" numFmtId="0">
      <sharedItems count="20">
        <s v="c3.large"/>
        <s v="m1.small"/>
        <s v="m3.large"/>
        <s v="m1.large"/>
        <s v="m3.medium"/>
        <s v="m3.xlarge"/>
        <s v="t2.medium"/>
        <s v="m1.medium"/>
        <s v="m3.2xlarge"/>
        <s v="t2.small"/>
        <s v="t1.micro"/>
        <s v="r3.large"/>
        <s v="c3.8xlarge"/>
        <s v="t2.micro"/>
        <s v="c3.2xlarge"/>
        <s v="c3.4xlarge"/>
        <s v="i2.2xlarge"/>
        <s v="c3.xlarge"/>
        <s v="m1.xlarge"/>
        <s v="i2.xlarge"/>
      </sharedItems>
    </cacheField>
    <cacheField name="Instance Name" numFmtId="0">
      <sharedItems/>
    </cacheField>
    <cacheField name="Virtual Cores" numFmtId="0">
      <sharedItems containsSemiMixedTypes="0" containsString="0" containsNumber="1" containsInteger="1" minValue="1" maxValue="32"/>
    </cacheField>
    <cacheField name="Memory (MB)" numFmtId="0">
      <sharedItems containsSemiMixedTypes="0" containsString="0" containsNumber="1" containsInteger="1" minValue="615" maxValue="61000"/>
    </cacheField>
    <cacheField name="Disk (GB)" numFmtId="0">
      <sharedItems containsSemiMixedTypes="0" containsString="0" containsNumber="1" containsInteger="1" minValue="0" maxValue="1690"/>
    </cacheField>
    <cacheField name="Attached EBS" numFmtId="0">
      <sharedItems containsSemiMixedTypes="0" containsString="0" containsNumber="1" containsInteger="1" minValue="0" maxValue="15340" count="35">
        <n v="20"/>
        <n v="420"/>
        <n v="520"/>
        <n v="3992"/>
        <n v="1244"/>
        <n v="1420"/>
        <n v="8"/>
        <n v="820"/>
        <n v="220"/>
        <n v="590"/>
        <n v="30"/>
        <n v="70"/>
        <n v="120"/>
        <n v="2406"/>
        <n v="1220"/>
        <n v="270"/>
        <n v="1020"/>
        <n v="4516"/>
        <n v="108"/>
        <n v="470"/>
        <n v="1820"/>
        <n v="15340"/>
        <n v="6140"/>
        <n v="670"/>
        <n v="1128"/>
        <n v="620"/>
        <n v="1844"/>
        <n v="3492"/>
        <n v="130"/>
        <n v="2078"/>
        <n v="50"/>
        <n v="4020"/>
        <n v="100"/>
        <n v="200"/>
        <n v="0"/>
      </sharedItems>
    </cacheField>
    <cacheField name="CDN" numFmtId="0">
      <sharedItems/>
    </cacheField>
    <cacheField name="Environments" numFmtId="0">
      <sharedItems count="4">
        <s v="Production"/>
        <s v="Development"/>
        <s v="Infrastructure"/>
        <s v="Other"/>
      </sharedItems>
    </cacheField>
    <cacheField name="TO Dev" numFmtId="0">
      <sharedItems/>
    </cacheField>
    <cacheField name="TO Prod" numFmtId="0">
      <sharedItems/>
    </cacheField>
    <cacheField name="[DEV]elopment" numFmtId="0">
      <sharedItems/>
    </cacheField>
    <cacheField name="[PROD]uction" numFmtId="0">
      <sharedItems/>
    </cacheField>
    <cacheField name="Price Per Hour" numFmtId="0">
      <sharedItems containsSemiMixedTypes="0" containsString="0" containsNumber="1" minValue="1.2999999999999999E-2" maxValue="1.7050000000000001"/>
    </cacheField>
    <cacheField name="All Upfront Effective Price Per Hour 1 Year" numFmtId="0">
      <sharedItems containsSemiMixedTypes="0" containsString="0" containsNumber="1" minValue="8.9999999999999993E-3" maxValue="0.99199999999999999"/>
    </cacheField>
    <cacheField name="All Upfront Effective Price Per Hour 3 Year" numFmtId="0">
      <sharedItems containsSemiMixedTypes="0" containsString="0" containsNumber="1" minValue="6.0000000000000001E-3" maxValue="0.62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94">
  <r>
    <s v="Epic Games, Inc."/>
    <x v="0"/>
    <s v="maintenance-website-prod07-i-f8c5abab"/>
    <n v="2"/>
    <n v="3750"/>
    <n v="32"/>
    <x v="0"/>
    <s v="Other"/>
    <x v="0"/>
    <s v="Other"/>
    <s v="Other"/>
    <s v="Other"/>
    <s v="Common Website (Prod07)"/>
    <n v="0.105"/>
    <n v="6.2E-2"/>
    <n v="3.9E-2"/>
  </r>
  <r>
    <s v="Epic Games, Inc."/>
    <x v="1"/>
    <s v="fortnite-public-service-main-gamedev-i-96138dc6"/>
    <n v="1"/>
    <n v="1700"/>
    <n v="160"/>
    <x v="0"/>
    <s v="Other"/>
    <x v="1"/>
    <s v="fortnite-service"/>
    <s v="[DEV]"/>
    <s v="Dev Fortnite Gamedev"/>
    <s v="DEV"/>
    <n v="4.3999999999999997E-2"/>
    <n v="2.4E-2"/>
    <n v="1.4999999999999999E-2"/>
  </r>
  <r>
    <s v="Epic Games, Inc."/>
    <x v="1"/>
    <s v="orderprocessor-batchjob-service-ci-i-8f6a4864"/>
    <n v="1"/>
    <n v="1700"/>
    <n v="160"/>
    <x v="0"/>
    <s v="Other"/>
    <x v="1"/>
    <s v="orderprocessor-service"/>
    <s v="[DEV]"/>
    <s v="Dev Service CI (Other)"/>
    <s v="DEV"/>
    <n v="4.3999999999999997E-2"/>
    <n v="2.4E-2"/>
    <n v="1.4999999999999999E-2"/>
  </r>
  <r>
    <s v="Epic Games, Inc."/>
    <x v="2"/>
    <s v="mongodb-persona-prod06-02"/>
    <n v="2"/>
    <n v="7500"/>
    <n v="32"/>
    <x v="1"/>
    <s v="Other"/>
    <x v="0"/>
    <s v="Other"/>
    <s v="Persona Service"/>
    <s v="Dev MongoDB"/>
    <s v="Common Services (Prod06)"/>
    <n v="0.13300000000000001"/>
    <n v="8.1000000000000003E-2"/>
    <n v="5.1999999999999998E-2"/>
  </r>
  <r>
    <s v="Epic Games, Inc."/>
    <x v="1"/>
    <s v="ut-admin-service-ci-i-acb41c41"/>
    <n v="1"/>
    <n v="1700"/>
    <n v="160"/>
    <x v="0"/>
    <s v="Other"/>
    <x v="1"/>
    <s v="ut-service"/>
    <s v="[DEV]"/>
    <s v="Dev Unreal Tournament CI"/>
    <s v="DEV"/>
    <n v="4.3999999999999997E-2"/>
    <n v="2.4E-2"/>
    <n v="1.4999999999999999E-2"/>
  </r>
  <r>
    <s v="Epic Games, Inc."/>
    <x v="1"/>
    <s v="paymentv2-admin-service-stage-i-b25ac3e2"/>
    <n v="1"/>
    <n v="1700"/>
    <n v="160"/>
    <x v="0"/>
    <s v="Other"/>
    <x v="0"/>
    <s v="Other"/>
    <s v="Paymentv2 Service"/>
    <s v="Dev Admin Service Load Test"/>
    <s v="Staging"/>
    <n v="4.3999999999999997E-2"/>
    <n v="2.4E-2"/>
    <n v="1.4999999999999999E-2"/>
  </r>
  <r>
    <s v="Epic Games, Inc."/>
    <x v="1"/>
    <s v="shoppingcart-public-service-gamedev-i-beddc454"/>
    <n v="1"/>
    <n v="1700"/>
    <n v="160"/>
    <x v="0"/>
    <s v="Other"/>
    <x v="1"/>
    <s v="shoppingcart-service"/>
    <s v="[DEV]"/>
    <s v="Dev Public Service Gamedev"/>
    <s v="DEV"/>
    <n v="4.3999999999999997E-2"/>
    <n v="2.4E-2"/>
    <n v="1.4999999999999999E-2"/>
  </r>
  <r>
    <s v="Epic Games, Inc."/>
    <x v="1"/>
    <s v="pgsql-common-gamedev-03"/>
    <n v="1"/>
    <n v="1700"/>
    <n v="160"/>
    <x v="2"/>
    <s v="Other"/>
    <x v="1"/>
    <s v="pgsql"/>
    <s v="[DEV]"/>
    <s v="Dev Common Gamedev"/>
    <s v="DEV"/>
    <n v="4.3999999999999997E-2"/>
    <n v="2.4E-2"/>
    <n v="1.4999999999999999E-2"/>
  </r>
  <r>
    <s v="Epic Games, Inc."/>
    <x v="3"/>
    <s v="rabbitmq-prod-02"/>
    <n v="2"/>
    <n v="7500"/>
    <n v="850"/>
    <x v="0"/>
    <s v="Other"/>
    <x v="0"/>
    <s v="Other"/>
    <s v="Other"/>
    <s v="Other"/>
    <s v="Infinity Blade 3"/>
    <n v="0.17499999999999999"/>
    <n v="9.5000000000000001E-2"/>
    <n v="5.8999999999999997E-2"/>
  </r>
  <r>
    <s v="Epic Games, Inc."/>
    <x v="4"/>
    <s v="mongodb-catalogadmin-management02-02"/>
    <n v="1"/>
    <n v="3750"/>
    <n v="4"/>
    <x v="1"/>
    <s v="Other"/>
    <x v="0"/>
    <s v="Other"/>
    <s v="Catalogadmin Service"/>
    <s v="Dev MongoDB"/>
    <s v="Infrastructure and Management"/>
    <n v="6.7000000000000004E-2"/>
    <n v="0.04"/>
    <n v="2.5999999999999999E-2"/>
  </r>
  <r>
    <s v="Epic Games, Inc."/>
    <x v="4"/>
    <s v="pgsql-adminportal-management-03"/>
    <n v="1"/>
    <n v="3750"/>
    <n v="4"/>
    <x v="2"/>
    <s v="Other"/>
    <x v="0"/>
    <s v="Other"/>
    <s v="Adminportal"/>
    <s v="Other"/>
    <s v="Infrastructure and Management"/>
    <n v="6.7000000000000004E-2"/>
    <n v="0.04"/>
    <n v="2.5999999999999999E-2"/>
  </r>
  <r>
    <s v="Epic Games, Inc."/>
    <x v="5"/>
    <s v="mongodb-entitlement-prod08-01"/>
    <n v="4"/>
    <n v="15000"/>
    <n v="80"/>
    <x v="1"/>
    <s v="Other"/>
    <x v="0"/>
    <s v="Other"/>
    <s v="Entitlement Service"/>
    <s v="Dev MongoDB"/>
    <s v="Entitlement (Prod08)"/>
    <n v="0.26600000000000001"/>
    <n v="0.16300000000000001"/>
    <n v="0.104"/>
  </r>
  <r>
    <s v="Epic Games, Inc."/>
    <x v="0"/>
    <s v="yum-repo-prod-02"/>
    <n v="2"/>
    <n v="3750"/>
    <n v="32"/>
    <x v="3"/>
    <s v="Other"/>
    <x v="2"/>
    <s v="Other"/>
    <s v="Yum Repo"/>
    <s v="Other"/>
    <s v="Infrastructure and Management"/>
    <n v="0.105"/>
    <n v="6.2E-2"/>
    <n v="3.9E-2"/>
  </r>
  <r>
    <s v="Epic Games, Inc."/>
    <x v="6"/>
    <s v="redis-fortnite-publictest-prod12-01"/>
    <n v="2"/>
    <n v="4000"/>
    <n v="0"/>
    <x v="0"/>
    <s v="Other"/>
    <x v="0"/>
    <s v="Other"/>
    <s v="Fortnite Service"/>
    <s v="Other"/>
    <s v="Fortnite"/>
    <n v="5.1999999999999998E-2"/>
    <n v="3.4000000000000002E-2"/>
    <n v="2.3E-2"/>
  </r>
  <r>
    <s v="Epic Games, Inc."/>
    <x v="1"/>
    <s v="mongodb-config-common-ci-01"/>
    <n v="1"/>
    <n v="1700"/>
    <n v="160"/>
    <x v="1"/>
    <s v="Other"/>
    <x v="1"/>
    <s v="mongodb"/>
    <s v="[DEV]"/>
    <s v="Dev Common CI"/>
    <s v="DEV"/>
    <n v="4.3999999999999997E-2"/>
    <n v="2.4E-2"/>
    <n v="1.4999999999999999E-2"/>
  </r>
  <r>
    <s v="Epic Games, Inc."/>
    <x v="5"/>
    <s v="mongodb-buildinfo-prod06-03"/>
    <n v="4"/>
    <n v="15000"/>
    <n v="80"/>
    <x v="1"/>
    <s v="Other"/>
    <x v="0"/>
    <s v="Other"/>
    <s v="Buildinfo Service"/>
    <s v="Dev MongoDB"/>
    <s v="Common Services (Prod06)"/>
    <n v="0.26600000000000001"/>
    <n v="0.16300000000000001"/>
    <n v="0.104"/>
  </r>
  <r>
    <s v="Epic Games, Inc."/>
    <x v="7"/>
    <s v="pgsql-epiccms-03"/>
    <n v="1"/>
    <n v="3750"/>
    <n v="410"/>
    <x v="4"/>
    <s v="Other"/>
    <x v="0"/>
    <s v="Other"/>
    <s v="EpicCMS (EpicCMS)"/>
    <s v="Other"/>
    <s v="Epic CMS"/>
    <n v="8.6999999999999994E-2"/>
    <n v="4.7E-2"/>
    <n v="2.9000000000000001E-2"/>
  </r>
  <r>
    <s v="Epic Games, Inc."/>
    <x v="1"/>
    <s v="sword-service-gamedev-i-67876934"/>
    <n v="1"/>
    <n v="1700"/>
    <n v="160"/>
    <x v="0"/>
    <s v="Other"/>
    <x v="1"/>
    <s v="sword-service"/>
    <s v="[DEV]"/>
    <s v="Dev Infinity Blade"/>
    <s v="DEV"/>
    <n v="4.3999999999999997E-2"/>
    <n v="2.4E-2"/>
    <n v="1.4999999999999999E-2"/>
  </r>
  <r>
    <s v="Epic Games, Inc."/>
    <x v="8"/>
    <s v="mongodb-account-prod03-04"/>
    <n v="8"/>
    <n v="30000"/>
    <n v="160"/>
    <x v="5"/>
    <s v="Other"/>
    <x v="0"/>
    <s v="Other"/>
    <s v="Account Service"/>
    <s v="Dev MongoDB"/>
    <s v="Account Services (Prod03)"/>
    <n v="0.53200000000000003"/>
    <n v="0.32400000000000001"/>
    <n v="0.20899999999999999"/>
  </r>
  <r>
    <s v="Epic Games, Inc."/>
    <x v="5"/>
    <s v="pgsql-commentrating-prod06-03"/>
    <n v="4"/>
    <n v="15000"/>
    <n v="80"/>
    <x v="5"/>
    <s v="Other"/>
    <x v="0"/>
    <s v="Other"/>
    <s v="Commentrating Service"/>
    <s v="Other"/>
    <s v="Common Services (Prod06)"/>
    <n v="0.26600000000000001"/>
    <n v="0.16300000000000001"/>
    <n v="0.104"/>
  </r>
  <r>
    <s v="Epic Games, Inc."/>
    <x v="1"/>
    <s v="login-service-ci-01"/>
    <n v="1"/>
    <n v="1700"/>
    <n v="160"/>
    <x v="0"/>
    <s v="Other"/>
    <x v="1"/>
    <s v="login-service"/>
    <s v="[DEV]"/>
    <s v="Dev Service CI (Other)"/>
    <s v="DEV"/>
    <n v="4.3999999999999997E-2"/>
    <n v="2.4E-2"/>
    <n v="1.4999999999999999E-2"/>
  </r>
  <r>
    <s v="Epic Games, Inc."/>
    <x v="9"/>
    <s v="activitystream-admin-service-releaseqa-i-7633289c"/>
    <n v="1"/>
    <n v="2000"/>
    <n v="0"/>
    <x v="0"/>
    <s v="Other"/>
    <x v="1"/>
    <s v="activitystream-service"/>
    <s v="[DEV]"/>
    <s v="Dev Admin Service ReleaseQA"/>
    <s v="DEV"/>
    <n v="2.5999999999999999E-2"/>
    <n v="1.7000000000000001E-2"/>
    <n v="1.2E-2"/>
  </r>
  <r>
    <s v="Epic Games, Inc."/>
    <x v="10"/>
    <s v="gateway-prod-1e"/>
    <n v="1"/>
    <n v="615"/>
    <n v="160"/>
    <x v="6"/>
    <s v="Other"/>
    <x v="0"/>
    <s v="Other"/>
    <s v="Other"/>
    <s v="Other"/>
    <s v="Infrastructure and Management"/>
    <n v="0.02"/>
    <n v="1.2E-2"/>
    <n v="8.0000000000000002E-3"/>
  </r>
  <r>
    <s v="Epic Games, Inc."/>
    <x v="5"/>
    <s v="mongodb-entitlement-prod08-04"/>
    <n v="4"/>
    <n v="15000"/>
    <n v="80"/>
    <x v="7"/>
    <s v="Other"/>
    <x v="0"/>
    <s v="Other"/>
    <s v="Entitlement Service"/>
    <s v="Dev MongoDB"/>
    <s v="Entitlement (Prod08)"/>
    <n v="0.26600000000000001"/>
    <n v="0.16300000000000001"/>
    <n v="0.104"/>
  </r>
  <r>
    <s v="Epic Games, Inc."/>
    <x v="1"/>
    <s v="account-public-service-common-gamedev-i-b90266de"/>
    <n v="1"/>
    <n v="1700"/>
    <n v="160"/>
    <x v="0"/>
    <s v="Other"/>
    <x v="1"/>
    <s v="account-service"/>
    <s v="[DEV]"/>
    <s v="Dev Common Gamedev"/>
    <s v="DEV"/>
    <n v="4.3999999999999997E-2"/>
    <n v="2.4E-2"/>
    <n v="1.4999999999999999E-2"/>
  </r>
  <r>
    <s v="Epic Games, Inc."/>
    <x v="1"/>
    <s v="mariadb-common-gamedev-01"/>
    <n v="1"/>
    <n v="1700"/>
    <n v="160"/>
    <x v="1"/>
    <s v="Other"/>
    <x v="1"/>
    <s v="mariadb"/>
    <s v="[DEV]"/>
    <s v="Dev Common Gamedev"/>
    <s v="DEV"/>
    <n v="4.3999999999999997E-2"/>
    <n v="2.4E-2"/>
    <n v="1.4999999999999999E-2"/>
  </r>
  <r>
    <s v="Epic Games, Inc."/>
    <x v="1"/>
    <s v="coderedemption-admin-service-stage-i-33b8b619"/>
    <n v="1"/>
    <n v="1700"/>
    <n v="160"/>
    <x v="0"/>
    <s v="Other"/>
    <x v="0"/>
    <s v="Other"/>
    <s v="Coderedemption"/>
    <s v="Dev Admin Service Load Test"/>
    <s v="Staging"/>
    <n v="4.3999999999999997E-2"/>
    <n v="2.4E-2"/>
    <n v="1.4999999999999999E-2"/>
  </r>
  <r>
    <s v="Epic Games, Inc."/>
    <x v="0"/>
    <s v="sentry-server-01"/>
    <n v="2"/>
    <n v="3750"/>
    <n v="32"/>
    <x v="7"/>
    <s v="Other"/>
    <x v="3"/>
    <s v="Other"/>
    <s v="Other"/>
    <s v="Other"/>
    <s v="Infrastructure and Management"/>
    <n v="0.105"/>
    <n v="6.2E-2"/>
    <n v="3.9E-2"/>
  </r>
  <r>
    <s v="Epic Games, Inc."/>
    <x v="1"/>
    <s v="redis-account01-stage-01"/>
    <n v="1"/>
    <n v="1700"/>
    <n v="160"/>
    <x v="0"/>
    <s v="Other"/>
    <x v="0"/>
    <s v="Other"/>
    <s v="Account Service"/>
    <s v="Other"/>
    <s v="Staging"/>
    <n v="4.3999999999999997E-2"/>
    <n v="2.4E-2"/>
    <n v="1.4999999999999999E-2"/>
  </r>
  <r>
    <s v="Epic Games, Inc."/>
    <x v="9"/>
    <s v="mongodb-tigase-releaseqa-02"/>
    <n v="1"/>
    <n v="2000"/>
    <n v="0"/>
    <x v="1"/>
    <s v="Other"/>
    <x v="1"/>
    <s v="mongodb"/>
    <s v="[DEV]"/>
    <s v="Dev MongoDB"/>
    <s v="DEV"/>
    <n v="2.5999999999999999E-2"/>
    <n v="1.7000000000000001E-2"/>
    <n v="1.2E-2"/>
  </r>
  <r>
    <s v="Epic Games, Inc."/>
    <x v="9"/>
    <s v="riak-common-gamedev-04"/>
    <n v="1"/>
    <n v="2000"/>
    <n v="0"/>
    <x v="8"/>
    <s v="Other"/>
    <x v="1"/>
    <s v="riak"/>
    <s v="[DEV]"/>
    <s v="Dev Common Gamedev"/>
    <s v="DEV"/>
    <n v="2.5999999999999999E-2"/>
    <n v="1.7000000000000001E-2"/>
    <n v="1.2E-2"/>
  </r>
  <r>
    <s v="Epic Games, Inc."/>
    <x v="1"/>
    <s v="adminportal-website-ci-i-230a2646"/>
    <n v="1"/>
    <n v="1700"/>
    <n v="160"/>
    <x v="0"/>
    <s v="Other"/>
    <x v="1"/>
    <s v="adminportal-website"/>
    <s v="[DEV]"/>
    <s v="Dev Website CI"/>
    <s v="DEV"/>
    <n v="4.3999999999999997E-2"/>
    <n v="2.4E-2"/>
    <n v="1.4999999999999999E-2"/>
  </r>
  <r>
    <s v="Epic Games, Inc."/>
    <x v="11"/>
    <s v="pgsql-atlassian-ci-02"/>
    <n v="2"/>
    <n v="15000"/>
    <n v="32"/>
    <x v="1"/>
    <s v="Other"/>
    <x v="0"/>
    <s v="Other"/>
    <s v="Atlassian Suite"/>
    <s v="Other"/>
    <s v="DEV"/>
    <n v="0.17499999999999999"/>
    <n v="9.2999999999999999E-2"/>
    <n v="6.0999999999999999E-2"/>
  </r>
  <r>
    <s v="Epic Games, Inc."/>
    <x v="3"/>
    <s v="rabbitmq-prod-03"/>
    <n v="2"/>
    <n v="7500"/>
    <n v="850"/>
    <x v="0"/>
    <s v="Other"/>
    <x v="0"/>
    <s v="Other"/>
    <s v="Other"/>
    <s v="Other"/>
    <s v="Infinity Blade 3"/>
    <n v="0.17499999999999999"/>
    <n v="9.5000000000000001E-2"/>
    <n v="5.8999999999999997E-2"/>
  </r>
  <r>
    <s v="Epic Games, Inc."/>
    <x v="12"/>
    <s v="management-03"/>
    <n v="32"/>
    <n v="60000"/>
    <n v="640"/>
    <x v="9"/>
    <s v="Other"/>
    <x v="2"/>
    <s v="Other"/>
    <s v="Management Servers"/>
    <s v="Other"/>
    <s v="Infrastructure and Management"/>
    <n v="1.68"/>
    <n v="0.99199999999999999"/>
    <n v="0.628"/>
  </r>
  <r>
    <s v="Epic Games, Inc."/>
    <x v="1"/>
    <s v="entitlement-admin-service-stage-i-9da783cc"/>
    <n v="1"/>
    <n v="1700"/>
    <n v="160"/>
    <x v="0"/>
    <s v="Other"/>
    <x v="0"/>
    <s v="Other"/>
    <s v="Entitlement Service"/>
    <s v="Dev Admin Service Load Test"/>
    <s v="Staging"/>
    <n v="4.3999999999999997E-2"/>
    <n v="2.4E-2"/>
    <n v="1.4999999999999999E-2"/>
  </r>
  <r>
    <s v="Epic Games, Inc."/>
    <x v="1"/>
    <s v="catalogv2-admin-service-ci-i-236e4509"/>
    <n v="1"/>
    <n v="1700"/>
    <n v="160"/>
    <x v="0"/>
    <s v="Other"/>
    <x v="1"/>
    <s v="catalogv2-service"/>
    <s v="[DEV]"/>
    <s v="Dev Admin Service CI"/>
    <s v="DEV"/>
    <n v="4.3999999999999997E-2"/>
    <n v="2.4E-2"/>
    <n v="1.4999999999999999E-2"/>
  </r>
  <r>
    <s v="Epic Games, Inc."/>
    <x v="4"/>
    <s v="mongodb-tigase-prod06-04"/>
    <n v="1"/>
    <n v="3750"/>
    <n v="4"/>
    <x v="7"/>
    <s v="Other"/>
    <x v="0"/>
    <s v="Other"/>
    <s v="Tigase"/>
    <s v="Dev MongoDB"/>
    <s v="Common Services (Prod06)"/>
    <n v="6.7000000000000004E-2"/>
    <n v="0.04"/>
    <n v="2.5999999999999999E-2"/>
  </r>
  <r>
    <s v="Epic Games, Inc."/>
    <x v="3"/>
    <s v="redis-prod-02"/>
    <n v="2"/>
    <n v="7500"/>
    <n v="850"/>
    <x v="0"/>
    <s v="Other"/>
    <x v="0"/>
    <s v="Other"/>
    <s v="Sword Service"/>
    <s v="Other"/>
    <s v="Infinity Blade 3"/>
    <n v="0.17499999999999999"/>
    <n v="9.5000000000000001E-2"/>
    <n v="5.8999999999999997E-2"/>
  </r>
  <r>
    <s v="Epic Games, Inc."/>
    <x v="1"/>
    <s v="commentrating-public-service-ci-i-61731f4a"/>
    <n v="1"/>
    <n v="1700"/>
    <n v="160"/>
    <x v="0"/>
    <s v="Other"/>
    <x v="1"/>
    <s v="commentrating-service"/>
    <s v="[DEV]"/>
    <s v="Dev Public Service CI"/>
    <s v="DEV"/>
    <n v="4.3999999999999997E-2"/>
    <n v="2.4E-2"/>
    <n v="1.4999999999999999E-2"/>
  </r>
  <r>
    <s v="Epic Games, Inc."/>
    <x v="0"/>
    <s v="gateway-prod-1a"/>
    <n v="2"/>
    <n v="3750"/>
    <n v="32"/>
    <x v="6"/>
    <s v="Other"/>
    <x v="0"/>
    <s v="Other"/>
    <s v="Other"/>
    <s v="Other"/>
    <s v="Infrastructure and Management"/>
    <n v="0.105"/>
    <n v="6.2E-2"/>
    <n v="3.9E-2"/>
  </r>
  <r>
    <s v="Epic Games, Inc."/>
    <x v="13"/>
    <s v="wzhou-test-1"/>
    <n v="1"/>
    <n v="1000"/>
    <n v="0"/>
    <x v="0"/>
    <s v="Other"/>
    <x v="1"/>
    <s v="Unknown"/>
    <s v="[DEV]"/>
    <s v="Other"/>
    <s v="DEV"/>
    <n v="1.2999999999999999E-2"/>
    <n v="8.9999999999999993E-3"/>
    <n v="6.0000000000000001E-3"/>
  </r>
  <r>
    <s v="Epic Games, Inc."/>
    <x v="4"/>
    <s v="DOM-AWS-VA-03.epicops.net"/>
    <n v="1"/>
    <n v="3750"/>
    <n v="4"/>
    <x v="10"/>
    <s v="Other"/>
    <x v="2"/>
    <s v="Other"/>
    <s v="Other"/>
    <s v="Other"/>
    <s v="Infrastructure and Management"/>
    <n v="0.13"/>
    <n v="8.4000000000000005E-2"/>
    <n v="6.4000000000000001E-2"/>
  </r>
  <r>
    <s v="Epic Games, Inc."/>
    <x v="5"/>
    <s v="mongodb-launcher-prod06-04"/>
    <n v="4"/>
    <n v="15000"/>
    <n v="80"/>
    <x v="7"/>
    <s v="Other"/>
    <x v="0"/>
    <s v="Other"/>
    <s v="Launcher Service"/>
    <s v="Dev MongoDB"/>
    <s v="Common Services (Prod06)"/>
    <n v="0.26600000000000001"/>
    <n v="0.16300000000000001"/>
    <n v="0.104"/>
  </r>
  <r>
    <s v="Epic Games, Inc."/>
    <x v="1"/>
    <s v="commentrating-public-service-gamedev-i-72384358"/>
    <n v="1"/>
    <n v="1700"/>
    <n v="160"/>
    <x v="0"/>
    <s v="Other"/>
    <x v="1"/>
    <s v="commentrating-service"/>
    <s v="[DEV]"/>
    <s v="Dev Public Service Gamedev"/>
    <s v="DEV"/>
    <n v="4.3999999999999997E-2"/>
    <n v="2.4E-2"/>
    <n v="1.4999999999999999E-2"/>
  </r>
  <r>
    <s v="Epic Games, Inc."/>
    <x v="1"/>
    <s v="elasticsearch-service-stage-03"/>
    <n v="1"/>
    <n v="1700"/>
    <n v="160"/>
    <x v="11"/>
    <s v="Other"/>
    <x v="0"/>
    <s v="Other"/>
    <s v="ElasticSearch Common"/>
    <s v="Other"/>
    <s v="Staging"/>
    <n v="4.3999999999999997E-2"/>
    <n v="2.4E-2"/>
    <n v="1.4999999999999999E-2"/>
  </r>
  <r>
    <s v="Epic Games, Inc."/>
    <x v="1"/>
    <s v="commentrating-admin-service-gamedev-i-7538435f"/>
    <n v="1"/>
    <n v="1700"/>
    <n v="160"/>
    <x v="0"/>
    <s v="Other"/>
    <x v="1"/>
    <s v="commentrating-service"/>
    <s v="[DEV]"/>
    <s v="Dev Admin Service Gamedev"/>
    <s v="DEV"/>
    <n v="4.3999999999999997E-2"/>
    <n v="2.4E-2"/>
    <n v="1.4999999999999999E-2"/>
  </r>
  <r>
    <s v="Epic Games, Inc."/>
    <x v="9"/>
    <s v="pgsql-bdr-cluster-common-ci-02"/>
    <n v="1"/>
    <n v="2000"/>
    <n v="0"/>
    <x v="12"/>
    <s v="Other"/>
    <x v="1"/>
    <s v="pgsql"/>
    <s v="[DEV]"/>
    <s v="Dev Common CI"/>
    <s v="DEV"/>
    <n v="2.5999999999999999E-2"/>
    <n v="1.7000000000000001E-2"/>
    <n v="1.2E-2"/>
  </r>
  <r>
    <s v="Epic Games, Inc."/>
    <x v="9"/>
    <s v="riak-common-ci-03"/>
    <n v="1"/>
    <n v="2000"/>
    <n v="0"/>
    <x v="8"/>
    <s v="Other"/>
    <x v="1"/>
    <s v="riak"/>
    <s v="[DEV]"/>
    <s v="Dev Common CI"/>
    <s v="DEV"/>
    <n v="2.5999999999999999E-2"/>
    <n v="1.7000000000000001E-2"/>
    <n v="1.2E-2"/>
  </r>
  <r>
    <s v="Epic Games, Inc."/>
    <x v="5"/>
    <s v="mongodb-buildinfo-prod06-01"/>
    <n v="4"/>
    <n v="15000"/>
    <n v="80"/>
    <x v="1"/>
    <s v="Other"/>
    <x v="0"/>
    <s v="Other"/>
    <s v="Buildinfo Service"/>
    <s v="Dev MongoDB"/>
    <s v="Common Services (Prod06)"/>
    <n v="0.26600000000000001"/>
    <n v="0.16300000000000001"/>
    <n v="0.104"/>
  </r>
  <r>
    <s v="Epic Games, Inc."/>
    <x v="0"/>
    <s v="jmeter-lt-04"/>
    <n v="2"/>
    <n v="3750"/>
    <n v="32"/>
    <x v="0"/>
    <s v="Other"/>
    <x v="1"/>
    <s v="jmeter"/>
    <s v="[DEV]"/>
    <s v="Dev Service Load Test (Other)"/>
    <s v="DEV"/>
    <n v="0.105"/>
    <n v="6.2E-2"/>
    <n v="3.9E-2"/>
  </r>
  <r>
    <s v="Epic Games, Inc."/>
    <x v="1"/>
    <s v="fakechase-service-releaseqa-i-53d3ed03"/>
    <n v="1"/>
    <n v="1700"/>
    <n v="160"/>
    <x v="0"/>
    <s v="Other"/>
    <x v="1"/>
    <s v="fakechase-service"/>
    <s v="[DEV]"/>
    <s v="Dev Service ReleaseQA (Other)"/>
    <s v="DEV"/>
    <n v="4.3999999999999997E-2"/>
    <n v="2.4E-2"/>
    <n v="1.4999999999999999E-2"/>
  </r>
  <r>
    <s v="Epic Games, Inc."/>
    <x v="9"/>
    <s v="fortnite-admin-servicecron-stage-i-229353ce"/>
    <n v="1"/>
    <n v="2000"/>
    <n v="0"/>
    <x v="0"/>
    <s v="Other"/>
    <x v="1"/>
    <s v="fortnite-service"/>
    <s v="[DEV]"/>
    <s v="Dev Fortnite Stage"/>
    <s v="DEV"/>
    <n v="2.5999999999999999E-2"/>
    <n v="1.7000000000000001E-2"/>
    <n v="1.2E-2"/>
  </r>
  <r>
    <s v="Epic Games, Inc."/>
    <x v="1"/>
    <s v="name-server-prod-01"/>
    <n v="1"/>
    <n v="1700"/>
    <n v="160"/>
    <x v="0"/>
    <s v="Other"/>
    <x v="0"/>
    <s v="Other"/>
    <s v="Other"/>
    <s v="Other"/>
    <s v="Infinity Blade 3"/>
    <n v="4.3999999999999997E-2"/>
    <n v="2.4E-2"/>
    <n v="1.4999999999999999E-2"/>
  </r>
  <r>
    <s v="Epic Games, Inc."/>
    <x v="1"/>
    <s v="publishing-public-service-ci-i-cdb87fe7"/>
    <n v="1"/>
    <n v="1700"/>
    <n v="160"/>
    <x v="0"/>
    <s v="Other"/>
    <x v="1"/>
    <s v="publishing-service"/>
    <s v="[DEV]"/>
    <s v="Dev Public Service CI"/>
    <s v="DEV"/>
    <n v="4.3999999999999997E-2"/>
    <n v="2.4E-2"/>
    <n v="1.4999999999999999E-2"/>
  </r>
  <r>
    <s v="Epic Games, Inc."/>
    <x v="7"/>
    <s v="DOM-AWS-VA-02.epicops.net"/>
    <n v="1"/>
    <n v="3750"/>
    <n v="410"/>
    <x v="10"/>
    <s v="Other"/>
    <x v="2"/>
    <s v="Other"/>
    <s v="Other"/>
    <s v="Other"/>
    <s v="Infrastructure and Management"/>
    <n v="0.14899999999999999"/>
    <n v="9.6000000000000002E-2"/>
    <n v="7.1999999999999995E-2"/>
  </r>
  <r>
    <s v="Epic Games, Inc."/>
    <x v="1"/>
    <s v="elasticsearch-service-releaseqa-03"/>
    <n v="1"/>
    <n v="1700"/>
    <n v="160"/>
    <x v="11"/>
    <s v="Other"/>
    <x v="1"/>
    <s v="elasticsearch"/>
    <s v="[DEV]"/>
    <s v="Dev Service ReleaseQA (Other)"/>
    <s v="DEV"/>
    <n v="4.3999999999999997E-2"/>
    <n v="2.4E-2"/>
    <n v="1.4999999999999999E-2"/>
  </r>
  <r>
    <s v="Epic Games, Inc."/>
    <x v="1"/>
    <s v="fnvbulletin-website-ci-i-013713ed"/>
    <n v="1"/>
    <n v="1700"/>
    <n v="160"/>
    <x v="0"/>
    <s v="Other"/>
    <x v="1"/>
    <s v="fnvbulletin-website"/>
    <s v="[DEV]"/>
    <s v="Dev Fortnite CI"/>
    <s v="DEV"/>
    <n v="4.3999999999999997E-2"/>
    <n v="2.4E-2"/>
    <n v="1.4999999999999999E-2"/>
  </r>
  <r>
    <s v="Epic Games, Inc."/>
    <x v="8"/>
    <s v="zabbix-mariadb-01"/>
    <n v="8"/>
    <n v="30000"/>
    <n v="160"/>
    <x v="13"/>
    <s v="Other"/>
    <x v="2"/>
    <s v="Other"/>
    <s v="Zabbix Servers"/>
    <s v="Dev MariaDB"/>
    <s v="Infrastructure and Management"/>
    <n v="0.53200000000000003"/>
    <n v="0.32400000000000001"/>
    <n v="0.20899999999999999"/>
  </r>
  <r>
    <s v="Epic Games, Inc."/>
    <x v="5"/>
    <s v="mongodb-buildinfo-prod06-02"/>
    <n v="4"/>
    <n v="15000"/>
    <n v="80"/>
    <x v="1"/>
    <s v="Other"/>
    <x v="0"/>
    <s v="Other"/>
    <s v="Buildinfo Service"/>
    <s v="Dev MongoDB"/>
    <s v="Common Services (Prod06)"/>
    <n v="0.26600000000000001"/>
    <n v="0.16300000000000001"/>
    <n v="0.104"/>
  </r>
  <r>
    <s v="Epic Games, Inc."/>
    <x v="1"/>
    <s v="launcher-admin-service-stage-i-1fb0d04c"/>
    <n v="1"/>
    <n v="1700"/>
    <n v="160"/>
    <x v="0"/>
    <s v="Other"/>
    <x v="1"/>
    <s v="launcher-service"/>
    <s v="[DEV]"/>
    <s v="Dev Admin Service Stage"/>
    <s v="DEV"/>
    <n v="4.3999999999999997E-2"/>
    <n v="2.4E-2"/>
    <n v="1.4999999999999999E-2"/>
  </r>
  <r>
    <s v="Epic Games, Inc."/>
    <x v="1"/>
    <s v="redis-account01-releaseqa-02"/>
    <n v="1"/>
    <n v="1700"/>
    <n v="160"/>
    <x v="0"/>
    <s v="Other"/>
    <x v="1"/>
    <s v="redis"/>
    <s v="[DEV]"/>
    <s v="Dev Redis"/>
    <s v="DEV"/>
    <n v="4.3999999999999997E-2"/>
    <n v="2.4E-2"/>
    <n v="1.4999999999999999E-2"/>
  </r>
  <r>
    <s v="Epic Games, Inc."/>
    <x v="4"/>
    <s v="mongodb-fortnite-publictest-prod12-04"/>
    <n v="1"/>
    <n v="3750"/>
    <n v="4"/>
    <x v="5"/>
    <s v="Other"/>
    <x v="0"/>
    <s v="Other"/>
    <s v="Fortnite Service"/>
    <s v="Dev MongoDB"/>
    <s v="Fortnite"/>
    <n v="6.7000000000000004E-2"/>
    <n v="0.04"/>
    <n v="2.5999999999999999E-2"/>
  </r>
  <r>
    <s v="Epic Games, Inc."/>
    <x v="4"/>
    <s v="pgsql-common-ci-01"/>
    <n v="1"/>
    <n v="3750"/>
    <n v="4"/>
    <x v="8"/>
    <s v="Other"/>
    <x v="1"/>
    <s v="pgsql"/>
    <s v="[DEV]"/>
    <s v="Dev Common CI"/>
    <s v="DEV"/>
    <n v="6.7000000000000004E-2"/>
    <n v="0.04"/>
    <n v="2.5999999999999999E-2"/>
  </r>
  <r>
    <s v="Epic Games, Inc."/>
    <x v="2"/>
    <s v="redis-fortnite-prod11-02"/>
    <n v="2"/>
    <n v="7500"/>
    <n v="32"/>
    <x v="0"/>
    <s v="Other"/>
    <x v="0"/>
    <s v="Other"/>
    <s v="Fortnite Service"/>
    <s v="Other"/>
    <s v="Fortnite"/>
    <n v="0.13300000000000001"/>
    <n v="8.1000000000000003E-2"/>
    <n v="5.1999999999999998E-2"/>
  </r>
  <r>
    <s v="Epic Games, Inc."/>
    <x v="9"/>
    <s v="account-public-service-common-ci-i-dfe50e33"/>
    <n v="1"/>
    <n v="2000"/>
    <n v="0"/>
    <x v="0"/>
    <s v="Other"/>
    <x v="1"/>
    <s v="account-service"/>
    <s v="[DEV]"/>
    <s v="Dev Common CI"/>
    <s v="DEV"/>
    <n v="2.5999999999999999E-2"/>
    <n v="1.7000000000000001E-2"/>
    <n v="1.2E-2"/>
  </r>
  <r>
    <s v="Epic Games, Inc."/>
    <x v="1"/>
    <s v="pgsql-common-releaseqa-02"/>
    <n v="1"/>
    <n v="1700"/>
    <n v="160"/>
    <x v="8"/>
    <s v="Other"/>
    <x v="1"/>
    <s v="pgsql"/>
    <s v="[DEV]"/>
    <s v="Dev Common ReleaseQA"/>
    <s v="DEV"/>
    <n v="4.3999999999999997E-2"/>
    <n v="2.4E-2"/>
    <n v="1.4999999999999999E-2"/>
  </r>
  <r>
    <s v="Epic Games, Inc."/>
    <x v="6"/>
    <s v="management-limited-02"/>
    <n v="2"/>
    <n v="4000"/>
    <n v="0"/>
    <x v="0"/>
    <s v="Other"/>
    <x v="2"/>
    <s v="Other"/>
    <s v="Management Servers"/>
    <s v="Other"/>
    <s v="Infrastructure and Management"/>
    <n v="5.1999999999999998E-2"/>
    <n v="3.4000000000000002E-2"/>
    <n v="2.3E-2"/>
  </r>
  <r>
    <s v="Epic Games, Inc."/>
    <x v="4"/>
    <s v="adminportal-website-stage-i-c2f8f592"/>
    <n v="1"/>
    <n v="3750"/>
    <n v="4"/>
    <x v="0"/>
    <s v="Other"/>
    <x v="0"/>
    <s v="Other"/>
    <s v="Adminportal"/>
    <s v="Dev Website Stage"/>
    <s v="Staging"/>
    <n v="6.7000000000000004E-2"/>
    <n v="0.04"/>
    <n v="2.5999999999999999E-2"/>
  </r>
  <r>
    <s v="Epic Games, Inc."/>
    <x v="1"/>
    <s v="persona-public-service-ci-i-d7d066fa"/>
    <n v="1"/>
    <n v="1700"/>
    <n v="160"/>
    <x v="0"/>
    <s v="Other"/>
    <x v="1"/>
    <s v="persona-service"/>
    <s v="[DEV]"/>
    <s v="Dev Public Service CI"/>
    <s v="DEV"/>
    <n v="4.3999999999999997E-2"/>
    <n v="2.4E-2"/>
    <n v="1.4999999999999999E-2"/>
  </r>
  <r>
    <s v="Epic Games, Inc."/>
    <x v="1"/>
    <s v="mongodb-common-stage-05"/>
    <n v="1"/>
    <n v="1700"/>
    <n v="160"/>
    <x v="0"/>
    <s v="Other"/>
    <x v="0"/>
    <s v="Other"/>
    <s v="Mongodb Common"/>
    <s v="Dev MongoDB"/>
    <s v="Staging"/>
    <n v="4.3999999999999997E-2"/>
    <n v="2.4E-2"/>
    <n v="1.4999999999999999E-2"/>
  </r>
  <r>
    <s v="Epic Games, Inc."/>
    <x v="1"/>
    <s v="mongodb-common-ci-04"/>
    <n v="1"/>
    <n v="1700"/>
    <n v="160"/>
    <x v="14"/>
    <s v="Other"/>
    <x v="1"/>
    <s v="mongodb"/>
    <s v="[DEV]"/>
    <s v="Dev Common CI"/>
    <s v="DEV"/>
    <n v="4.3999999999999997E-2"/>
    <n v="2.4E-2"/>
    <n v="1.4999999999999999E-2"/>
  </r>
  <r>
    <s v="Epic Games, Inc."/>
    <x v="14"/>
    <s v="vbulletin-website-prod04-i-ca0f7699"/>
    <n v="8"/>
    <n v="15000"/>
    <n v="160"/>
    <x v="0"/>
    <s v="Other"/>
    <x v="0"/>
    <s v="Other"/>
    <s v="UE Vbulletin"/>
    <s v="Other"/>
    <s v="VBulletin (Prod04)"/>
    <n v="0.42"/>
    <n v="0.248"/>
    <n v="0.157"/>
  </r>
  <r>
    <s v="Epic Games, Inc."/>
    <x v="4"/>
    <s v="mongodb-tigase-ci-03"/>
    <n v="1"/>
    <n v="3750"/>
    <n v="4"/>
    <x v="1"/>
    <s v="Other"/>
    <x v="1"/>
    <s v="mongodb"/>
    <s v="[DEV]"/>
    <s v="Dev MongoDB"/>
    <s v="DEV"/>
    <n v="6.7000000000000004E-2"/>
    <n v="0.04"/>
    <n v="2.5999999999999999E-2"/>
  </r>
  <r>
    <s v="Epic Games, Inc."/>
    <x v="5"/>
    <s v="pgsql-orderprocessor-ecomprod01-02"/>
    <n v="4"/>
    <n v="15000"/>
    <n v="80"/>
    <x v="1"/>
    <s v="Other"/>
    <x v="0"/>
    <s v="Other"/>
    <s v="OrderProcessor Service"/>
    <s v="Other"/>
    <s v="Ecom (Prod01)"/>
    <n v="0.26600000000000001"/>
    <n v="0.16300000000000001"/>
    <n v="0.104"/>
  </r>
  <r>
    <s v="Epic Games, Inc."/>
    <x v="15"/>
    <s v="firstboot-01"/>
    <n v="16"/>
    <n v="30000"/>
    <n v="320"/>
    <x v="0"/>
    <s v="Other"/>
    <x v="2"/>
    <s v="Other"/>
    <s v="Firstboot Servers"/>
    <s v="Other"/>
    <s v="Infrastructure and Management"/>
    <n v="0.84"/>
    <n v="0.497"/>
    <n v="0.314"/>
  </r>
  <r>
    <s v="Epic Games, Inc."/>
    <x v="1"/>
    <s v="redis-common-releaseqa-02"/>
    <n v="1"/>
    <n v="1700"/>
    <n v="160"/>
    <x v="0"/>
    <s v="Other"/>
    <x v="1"/>
    <s v="redis"/>
    <s v="[DEV]"/>
    <s v="Dev Common ReleaseQA"/>
    <s v="DEV"/>
    <n v="4.3999999999999997E-2"/>
    <n v="2.4E-2"/>
    <n v="1.4999999999999999E-2"/>
  </r>
  <r>
    <s v="Epic Games, Inc."/>
    <x v="1"/>
    <s v="elasticsearch-service-gamedev-02"/>
    <n v="1"/>
    <n v="1700"/>
    <n v="160"/>
    <x v="11"/>
    <s v="Other"/>
    <x v="1"/>
    <s v="elasticsearch"/>
    <s v="[DEV]"/>
    <s v="Dev Service Gamedev (Other)"/>
    <s v="DEV"/>
    <n v="4.3999999999999997E-2"/>
    <n v="2.4E-2"/>
    <n v="1.4999999999999999E-2"/>
  </r>
  <r>
    <s v="Epic Games, Inc."/>
    <x v="1"/>
    <s v="orderprocessor-admin-service-stage-i-dad83df0"/>
    <n v="1"/>
    <n v="1700"/>
    <n v="160"/>
    <x v="0"/>
    <s v="Other"/>
    <x v="0"/>
    <s v="Other"/>
    <s v="OrderProcessor Service"/>
    <s v="Dev Admin Service Load Test"/>
    <s v="Staging"/>
    <n v="4.3999999999999997E-2"/>
    <n v="2.4E-2"/>
    <n v="1.4999999999999999E-2"/>
  </r>
  <r>
    <s v="Epic Games, Inc."/>
    <x v="1"/>
    <s v="coderedemption-admin-service-releaseqa-i-ed6b60c6"/>
    <n v="1"/>
    <n v="1700"/>
    <n v="160"/>
    <x v="0"/>
    <s v="Other"/>
    <x v="1"/>
    <s v="coderedemption-service"/>
    <s v="[DEV]"/>
    <s v="Dev Admin Service ReleaseQA"/>
    <s v="DEV"/>
    <n v="4.3999999999999997E-2"/>
    <n v="2.4E-2"/>
    <n v="1.4999999999999999E-2"/>
  </r>
  <r>
    <s v="Epic Games, Inc."/>
    <x v="1"/>
    <s v="publishing-admin-service-releaseqa-i-fcb90ad1"/>
    <n v="1"/>
    <n v="1700"/>
    <n v="160"/>
    <x v="0"/>
    <s v="Other"/>
    <x v="1"/>
    <s v="publishing-service"/>
    <s v="[DEV]"/>
    <s v="Dev Admin Service ReleaseQA"/>
    <s v="DEV"/>
    <n v="4.3999999999999997E-2"/>
    <n v="2.4E-2"/>
    <n v="1.4999999999999999E-2"/>
  </r>
  <r>
    <s v="Epic Games, Inc."/>
    <x v="6"/>
    <s v="mariadb-galera-cluster-common-ci-02"/>
    <n v="2"/>
    <n v="4000"/>
    <n v="0"/>
    <x v="1"/>
    <s v="Other"/>
    <x v="1"/>
    <s v="mariadb"/>
    <s v="[DEV]"/>
    <s v="Dev Common CI"/>
    <s v="DEV"/>
    <n v="5.1999999999999998E-2"/>
    <n v="3.4000000000000002E-2"/>
    <n v="2.3E-2"/>
  </r>
  <r>
    <s v="Epic Games, Inc."/>
    <x v="12"/>
    <s v="redis-account02-prod03-02"/>
    <n v="32"/>
    <n v="60000"/>
    <n v="640"/>
    <x v="0"/>
    <s v="Other"/>
    <x v="0"/>
    <s v="Other"/>
    <s v="Account Service"/>
    <s v="Other"/>
    <s v="Account Services (Prod03)"/>
    <n v="1.68"/>
    <n v="0.99199999999999999"/>
    <n v="0.628"/>
  </r>
  <r>
    <s v="Epic Games, Inc."/>
    <x v="4"/>
    <s v="apidocs-website-ci-01"/>
    <n v="1"/>
    <n v="3750"/>
    <n v="4"/>
    <x v="12"/>
    <s v="Other"/>
    <x v="1"/>
    <s v="apidocs-website"/>
    <s v="[DEV]"/>
    <s v="Dev Website CI"/>
    <s v="DEV"/>
    <n v="6.7000000000000004E-2"/>
    <n v="0.04"/>
    <n v="2.5999999999999999E-2"/>
  </r>
  <r>
    <s v="Epic Games, Inc."/>
    <x v="0"/>
    <s v="jmeter-lt-05"/>
    <n v="2"/>
    <n v="3750"/>
    <n v="32"/>
    <x v="0"/>
    <s v="Other"/>
    <x v="1"/>
    <s v="jmeter"/>
    <s v="[DEV]"/>
    <s v="Dev Service Load Test (Other)"/>
    <s v="DEV"/>
    <n v="0.105"/>
    <n v="6.2E-2"/>
    <n v="3.9E-2"/>
  </r>
  <r>
    <s v="Epic Games, Inc."/>
    <x v="1"/>
    <s v="redis-account01-stage-02"/>
    <n v="1"/>
    <n v="1700"/>
    <n v="160"/>
    <x v="0"/>
    <s v="Other"/>
    <x v="0"/>
    <s v="Other"/>
    <s v="Account Service"/>
    <s v="Other"/>
    <s v="Staging"/>
    <n v="4.3999999999999997E-2"/>
    <n v="2.4E-2"/>
    <n v="1.4999999999999999E-2"/>
  </r>
  <r>
    <s v="Epic Games, Inc."/>
    <x v="4"/>
    <s v="mongodb-catalogadmin-management02-04"/>
    <n v="1"/>
    <n v="3750"/>
    <n v="4"/>
    <x v="7"/>
    <s v="Other"/>
    <x v="0"/>
    <s v="Other"/>
    <s v="Catalogadmin Service"/>
    <s v="Dev MongoDB"/>
    <s v="Infrastructure and Management"/>
    <n v="6.7000000000000004E-2"/>
    <n v="0.04"/>
    <n v="2.5999999999999999E-2"/>
  </r>
  <r>
    <s v="Epic Games, Inc."/>
    <x v="1"/>
    <s v="mongodb-common-releaseqa-05"/>
    <n v="1"/>
    <n v="1700"/>
    <n v="160"/>
    <x v="0"/>
    <s v="Other"/>
    <x v="1"/>
    <s v="mongodb"/>
    <s v="[DEV]"/>
    <s v="Dev Common ReleaseQA"/>
    <s v="DEV"/>
    <n v="4.3999999999999997E-2"/>
    <n v="2.4E-2"/>
    <n v="1.4999999999999999E-2"/>
  </r>
  <r>
    <s v="Epic Games, Inc."/>
    <x v="5"/>
    <s v="mongodb-fortnite-prod11-01"/>
    <n v="4"/>
    <n v="15000"/>
    <n v="80"/>
    <x v="1"/>
    <s v="Other"/>
    <x v="0"/>
    <s v="Other"/>
    <s v="Fortnite Service"/>
    <s v="Dev MongoDB"/>
    <s v="Fortnite"/>
    <n v="0.26600000000000001"/>
    <n v="0.16300000000000001"/>
    <n v="0.104"/>
  </r>
  <r>
    <s v="Epic Games, Inc."/>
    <x v="9"/>
    <s v="fnvbulletin-website-gamedev-i-aba06347"/>
    <n v="1"/>
    <n v="2000"/>
    <n v="0"/>
    <x v="0"/>
    <s v="Other"/>
    <x v="1"/>
    <s v="fnvbulletin-website"/>
    <s v="[DEV]"/>
    <s v="Dev Fortnite Gamedev"/>
    <s v="DEV"/>
    <n v="2.5999999999999999E-2"/>
    <n v="1.7000000000000001E-2"/>
    <n v="1.2E-2"/>
  </r>
  <r>
    <s v="Epic Games, Inc."/>
    <x v="1"/>
    <s v="fortnite-admin-service-ci-i-0f0864e5"/>
    <n v="1"/>
    <n v="1700"/>
    <n v="160"/>
    <x v="0"/>
    <s v="Other"/>
    <x v="1"/>
    <s v="fortnite-service"/>
    <s v="[DEV]"/>
    <s v="Dev Fortnite CI"/>
    <s v="DEV"/>
    <n v="4.3999999999999997E-2"/>
    <n v="2.4E-2"/>
    <n v="1.4999999999999999E-2"/>
  </r>
  <r>
    <s v="Epic Games, Inc."/>
    <x v="1"/>
    <s v="entitlement-admin-servicecron-ci-i-6172d941"/>
    <n v="1"/>
    <n v="1700"/>
    <n v="160"/>
    <x v="0"/>
    <s v="Other"/>
    <x v="1"/>
    <s v="entitlement-service"/>
    <s v="[DEV]"/>
    <s v="Dev Admin Service CI"/>
    <s v="DEV"/>
    <n v="4.3999999999999997E-2"/>
    <n v="2.4E-2"/>
    <n v="1.4999999999999999E-2"/>
  </r>
  <r>
    <s v="Epic Games, Inc."/>
    <x v="1"/>
    <s v="fortnite-public-service-ci-i-e10d9e81"/>
    <n v="1"/>
    <n v="1700"/>
    <n v="160"/>
    <x v="0"/>
    <s v="Other"/>
    <x v="1"/>
    <s v="fortnite-service"/>
    <s v="[DEV]"/>
    <s v="Dev Fortnite CI"/>
    <s v="DEV"/>
    <n v="4.3999999999999997E-2"/>
    <n v="2.4E-2"/>
    <n v="1.4999999999999999E-2"/>
  </r>
  <r>
    <s v="Epic Games, Inc."/>
    <x v="1"/>
    <s v="launcher-admin-service-releaseqa-i-b754d1e4"/>
    <n v="1"/>
    <n v="1700"/>
    <n v="160"/>
    <x v="0"/>
    <s v="Other"/>
    <x v="1"/>
    <s v="launcher-service"/>
    <s v="[DEV]"/>
    <s v="Dev Admin Service ReleaseQA"/>
    <s v="DEV"/>
    <n v="4.3999999999999997E-2"/>
    <n v="2.4E-2"/>
    <n v="1.4999999999999999E-2"/>
  </r>
  <r>
    <s v="Epic Games, Inc."/>
    <x v="1"/>
    <s v="redis-login-gamedev-02"/>
    <n v="1"/>
    <n v="1700"/>
    <n v="160"/>
    <x v="0"/>
    <s v="Other"/>
    <x v="1"/>
    <s v="redis"/>
    <s v="[DEV]"/>
    <s v="Dev Redis"/>
    <s v="DEV"/>
    <n v="4.3999999999999997E-2"/>
    <n v="2.4E-2"/>
    <n v="1.4999999999999999E-2"/>
  </r>
  <r>
    <s v="Epic Games, Inc."/>
    <x v="15"/>
    <s v="firstboot-02"/>
    <n v="16"/>
    <n v="30000"/>
    <n v="320"/>
    <x v="0"/>
    <s v="Other"/>
    <x v="2"/>
    <s v="Other"/>
    <s v="Firstboot Servers"/>
    <s v="Other"/>
    <s v="Infrastructure and Management"/>
    <n v="0.84"/>
    <n v="0.497"/>
    <n v="0.314"/>
  </r>
  <r>
    <s v="Epic Games, Inc."/>
    <x v="5"/>
    <s v="pgsql-payment-ecomprod02-02"/>
    <n v="4"/>
    <n v="15000"/>
    <n v="80"/>
    <x v="7"/>
    <s v="Other"/>
    <x v="0"/>
    <s v="Other"/>
    <s v="Paymentv2 Service"/>
    <s v="Other"/>
    <s v="Ecom (Prod02)"/>
    <n v="0.26600000000000001"/>
    <n v="0.16300000000000001"/>
    <n v="0.104"/>
  </r>
  <r>
    <s v="Epic Games, Inc."/>
    <x v="4"/>
    <s v="docs-website-ci-i-c4406229"/>
    <n v="1"/>
    <n v="3750"/>
    <n v="4"/>
    <x v="0"/>
    <s v="Other"/>
    <x v="1"/>
    <s v="docs-website"/>
    <s v="[DEV]"/>
    <s v="Dev Website CI"/>
    <s v="DEV"/>
    <n v="6.7000000000000004E-2"/>
    <n v="0.04"/>
    <n v="2.5999999999999999E-2"/>
  </r>
  <r>
    <s v="Epic Games, Inc."/>
    <x v="5"/>
    <s v="mongodb-catalog-prod06-03"/>
    <n v="4"/>
    <n v="15000"/>
    <n v="80"/>
    <x v="1"/>
    <s v="Other"/>
    <x v="0"/>
    <s v="Other"/>
    <s v="Catalog Service"/>
    <s v="Dev MongoDB"/>
    <s v="Common Services (Prod06)"/>
    <n v="0.26600000000000001"/>
    <n v="0.16300000000000001"/>
    <n v="0.104"/>
  </r>
  <r>
    <s v="Epic Games, Inc."/>
    <x v="1"/>
    <s v="mongodb-common-gamedev-01"/>
    <n v="1"/>
    <n v="1700"/>
    <n v="160"/>
    <x v="15"/>
    <s v="Other"/>
    <x v="1"/>
    <s v="mongodb"/>
    <s v="[DEV]"/>
    <s v="Dev Common Gamedev"/>
    <s v="DEV"/>
    <n v="4.3999999999999997E-2"/>
    <n v="2.4E-2"/>
    <n v="1.4999999999999999E-2"/>
  </r>
  <r>
    <s v="Epic Games, Inc."/>
    <x v="9"/>
    <s v="shoppingcart-public-service-stage-i-4e80cbb5"/>
    <n v="1"/>
    <n v="2000"/>
    <n v="0"/>
    <x v="0"/>
    <s v="Other"/>
    <x v="0"/>
    <s v="Other"/>
    <s v="Shoppingcart Service"/>
    <s v="Dev Public Service Stage"/>
    <s v="Staging"/>
    <n v="2.5999999999999999E-2"/>
    <n v="1.7000000000000001E-2"/>
    <n v="1.2E-2"/>
  </r>
  <r>
    <s v="Epic Games, Inc."/>
    <x v="6"/>
    <s v="mariadb-galera-cluster-common-ci-01"/>
    <n v="2"/>
    <n v="4000"/>
    <n v="0"/>
    <x v="1"/>
    <s v="Other"/>
    <x v="1"/>
    <s v="mariadb"/>
    <s v="[DEV]"/>
    <s v="Dev Common CI"/>
    <s v="DEV"/>
    <n v="5.1999999999999998E-2"/>
    <n v="3.4000000000000002E-2"/>
    <n v="2.3E-2"/>
  </r>
  <r>
    <s v="Epic Games, Inc."/>
    <x v="9"/>
    <s v="account-admin-servicecron-common-gamedev-i-cdd5f323"/>
    <n v="1"/>
    <n v="2000"/>
    <n v="0"/>
    <x v="0"/>
    <s v="Other"/>
    <x v="1"/>
    <s v="account-service"/>
    <s v="[DEV]"/>
    <s v="Dev Common Gamedev"/>
    <s v="DEV"/>
    <n v="2.5999999999999999E-2"/>
    <n v="1.7000000000000001E-2"/>
    <n v="1.2E-2"/>
  </r>
  <r>
    <s v="Epic Games, Inc."/>
    <x v="1"/>
    <s v="fortnite-admin-service-releaseapproved-gamedev-i-7cc57b51"/>
    <n v="1"/>
    <n v="1700"/>
    <n v="160"/>
    <x v="0"/>
    <s v="Other"/>
    <x v="1"/>
    <s v="fortnite-service"/>
    <s v="[DEV]"/>
    <s v="Dev Fortnite Gamedev"/>
    <s v="DEV"/>
    <n v="4.3999999999999997E-2"/>
    <n v="2.4E-2"/>
    <n v="1.4999999999999999E-2"/>
  </r>
  <r>
    <s v="Epic Games, Inc."/>
    <x v="2"/>
    <s v="mongodb-common-prod07-03"/>
    <n v="2"/>
    <n v="7500"/>
    <n v="32"/>
    <x v="16"/>
    <s v="Other"/>
    <x v="0"/>
    <s v="Other"/>
    <s v="Mongodb Common"/>
    <s v="Dev MongoDB"/>
    <s v="Common Website (Prod07)"/>
    <n v="0.13300000000000001"/>
    <n v="8.1000000000000003E-2"/>
    <n v="5.1999999999999998E-2"/>
  </r>
  <r>
    <s v="Epic Games, Inc."/>
    <x v="4"/>
    <s v="pgsql-atlassian-ci-04"/>
    <n v="1"/>
    <n v="3750"/>
    <n v="4"/>
    <x v="17"/>
    <s v="Other"/>
    <x v="0"/>
    <s v="Other"/>
    <s v="Atlassian Suite"/>
    <s v="Other"/>
    <s v="DEV"/>
    <n v="6.7000000000000004E-2"/>
    <n v="0.04"/>
    <n v="2.5999999999999999E-2"/>
  </r>
  <r>
    <s v="Epic Games, Inc."/>
    <x v="1"/>
    <s v="mongodb-common-ci-03"/>
    <n v="1"/>
    <n v="1700"/>
    <n v="160"/>
    <x v="7"/>
    <s v="Other"/>
    <x v="1"/>
    <s v="mongodb"/>
    <s v="[DEV]"/>
    <s v="Dev Common CI"/>
    <s v="DEV"/>
    <n v="4.3999999999999997E-2"/>
    <n v="2.4E-2"/>
    <n v="1.4999999999999999E-2"/>
  </r>
  <r>
    <s v="Epic Games, Inc."/>
    <x v="1"/>
    <s v="mariadb-common-ci-03"/>
    <n v="1"/>
    <n v="1700"/>
    <n v="160"/>
    <x v="7"/>
    <s v="Other"/>
    <x v="1"/>
    <s v="mariadb"/>
    <s v="[DEV]"/>
    <s v="Dev Common CI"/>
    <s v="DEV"/>
    <n v="4.3999999999999997E-2"/>
    <n v="2.4E-2"/>
    <n v="1.4999999999999999E-2"/>
  </r>
  <r>
    <s v="Epic Games, Inc."/>
    <x v="5"/>
    <s v="mongodb-launcher-prod06-01"/>
    <n v="4"/>
    <n v="15000"/>
    <n v="80"/>
    <x v="1"/>
    <s v="Other"/>
    <x v="0"/>
    <s v="Other"/>
    <s v="Launcher Service"/>
    <s v="Dev MongoDB"/>
    <s v="Common Services (Prod06)"/>
    <n v="0.26600000000000001"/>
    <n v="0.16300000000000001"/>
    <n v="0.104"/>
  </r>
  <r>
    <s v="Epic Games, Inc."/>
    <x v="1"/>
    <s v="mongodb-common-stage-01"/>
    <n v="1"/>
    <n v="1700"/>
    <n v="160"/>
    <x v="7"/>
    <s v="Other"/>
    <x v="0"/>
    <s v="Other"/>
    <s v="Mongodb Common"/>
    <s v="Dev MongoDB"/>
    <s v="Staging"/>
    <n v="4.3999999999999997E-2"/>
    <n v="2.4E-2"/>
    <n v="1.4999999999999999E-2"/>
  </r>
  <r>
    <s v="Epic Games, Inc."/>
    <x v="9"/>
    <s v="activitystream-public-service-releaseqa-i-7d322997"/>
    <n v="1"/>
    <n v="2000"/>
    <n v="0"/>
    <x v="0"/>
    <s v="Other"/>
    <x v="1"/>
    <s v="activitystream-service"/>
    <s v="[DEV]"/>
    <s v="Dev Public Service ReleaseQA"/>
    <s v="DEV"/>
    <n v="2.5999999999999999E-2"/>
    <n v="1.7000000000000001E-2"/>
    <n v="1.2E-2"/>
  </r>
  <r>
    <s v="Epic Games, Inc."/>
    <x v="9"/>
    <s v="kcontrol1-mgmt-02"/>
    <n v="1"/>
    <n v="2000"/>
    <n v="0"/>
    <x v="18"/>
    <s v="Other"/>
    <x v="1"/>
    <s v="Unknown"/>
    <s v="[DEV]"/>
    <s v="Other"/>
    <s v="DEV"/>
    <n v="2.5999999999999999E-2"/>
    <n v="1.7000000000000001E-2"/>
    <n v="1.2E-2"/>
  </r>
  <r>
    <s v="Epic Games, Inc."/>
    <x v="1"/>
    <s v="mongodb-common-gamedev-03"/>
    <n v="1"/>
    <n v="1700"/>
    <n v="160"/>
    <x v="15"/>
    <s v="Other"/>
    <x v="1"/>
    <s v="mongodb"/>
    <s v="[DEV]"/>
    <s v="Dev Common Gamedev"/>
    <s v="DEV"/>
    <n v="4.3999999999999997E-2"/>
    <n v="2.4E-2"/>
    <n v="1.4999999999999999E-2"/>
  </r>
  <r>
    <s v="Epic Games, Inc."/>
    <x v="5"/>
    <s v="mongodb-coderedemption-prod06-04"/>
    <n v="4"/>
    <n v="15000"/>
    <n v="80"/>
    <x v="7"/>
    <s v="Other"/>
    <x v="0"/>
    <s v="Other"/>
    <s v="Coderedemption"/>
    <s v="Dev MongoDB"/>
    <s v="Common Services (Prod06)"/>
    <n v="0.26600000000000001"/>
    <n v="0.16300000000000001"/>
    <n v="0.104"/>
  </r>
  <r>
    <s v="Epic Games, Inc."/>
    <x v="1"/>
    <s v="fortnite-admin-servicecron-releaseapproved-gamedev-i-d9c37df4"/>
    <n v="1"/>
    <n v="1700"/>
    <n v="160"/>
    <x v="0"/>
    <s v="Other"/>
    <x v="1"/>
    <s v="fortnite-service"/>
    <s v="[DEV]"/>
    <s v="Dev Fortnite Gamedev"/>
    <s v="DEV"/>
    <n v="4.3999999999999997E-2"/>
    <n v="2.4E-2"/>
    <n v="1.4999999999999999E-2"/>
  </r>
  <r>
    <s v="Epic Games, Inc."/>
    <x v="1"/>
    <s v="mongodb-buildinfo-prod06-05"/>
    <n v="1"/>
    <n v="1700"/>
    <n v="160"/>
    <x v="0"/>
    <s v="Other"/>
    <x v="0"/>
    <s v="Other"/>
    <s v="Buildinfo Service"/>
    <s v="Dev MongoDB"/>
    <s v="Common Services (Prod06)"/>
    <n v="4.3999999999999997E-2"/>
    <n v="2.4E-2"/>
    <n v="1.4999999999999999E-2"/>
  </r>
  <r>
    <s v="Epic Games, Inc."/>
    <x v="2"/>
    <s v="mongodb-persona-prod06-04"/>
    <n v="2"/>
    <n v="7500"/>
    <n v="32"/>
    <x v="7"/>
    <s v="Other"/>
    <x v="0"/>
    <s v="Other"/>
    <s v="Persona Service"/>
    <s v="Dev MongoDB"/>
    <s v="Common Services (Prod06)"/>
    <n v="0.13300000000000001"/>
    <n v="8.1000000000000003E-2"/>
    <n v="5.1999999999999998E-2"/>
  </r>
  <r>
    <s v="Epic Games, Inc."/>
    <x v="1"/>
    <s v="launcher-public-service-gamedev-i-e879e0b8"/>
    <n v="1"/>
    <n v="1700"/>
    <n v="160"/>
    <x v="0"/>
    <s v="Other"/>
    <x v="1"/>
    <s v="launcher-service"/>
    <s v="[DEV]"/>
    <s v="Dev Public Service Gamedev"/>
    <s v="DEV"/>
    <n v="4.3999999999999997E-2"/>
    <n v="2.4E-2"/>
    <n v="1.4999999999999999E-2"/>
  </r>
  <r>
    <s v="Epic Games, Inc."/>
    <x v="1"/>
    <s v="entitlement-admin-servicecron-stage-i-05e9d154"/>
    <n v="1"/>
    <n v="1700"/>
    <n v="160"/>
    <x v="0"/>
    <s v="Other"/>
    <x v="0"/>
    <s v="Other"/>
    <s v="Entitlement Service"/>
    <s v="Dev Admin Service Load Test"/>
    <s v="Staging"/>
    <n v="4.3999999999999997E-2"/>
    <n v="2.4E-2"/>
    <n v="1.4999999999999999E-2"/>
  </r>
  <r>
    <s v="Epic Games, Inc."/>
    <x v="1"/>
    <s v="shoppingcart-admin-service-gamedev-i-d6207ffc"/>
    <n v="1"/>
    <n v="1700"/>
    <n v="160"/>
    <x v="0"/>
    <s v="Other"/>
    <x v="1"/>
    <s v="shoppingcart-service"/>
    <s v="[DEV]"/>
    <s v="Dev Admin Service Gamedev"/>
    <s v="DEV"/>
    <n v="4.3999999999999997E-2"/>
    <n v="2.4E-2"/>
    <n v="1.4999999999999999E-2"/>
  </r>
  <r>
    <s v="Epic Games, Inc."/>
    <x v="1"/>
    <s v="mongodb-common-prod07-05"/>
    <n v="1"/>
    <n v="1700"/>
    <n v="160"/>
    <x v="0"/>
    <s v="Other"/>
    <x v="0"/>
    <s v="Other"/>
    <s v="Mongodb Common"/>
    <s v="Dev MongoDB"/>
    <s v="Common Website (Prod07)"/>
    <n v="4.3999999999999997E-2"/>
    <n v="2.4E-2"/>
    <n v="1.4999999999999999E-2"/>
  </r>
  <r>
    <s v="Epic Games, Inc."/>
    <x v="5"/>
    <s v="redis-launcher-prod06-01"/>
    <n v="4"/>
    <n v="15000"/>
    <n v="80"/>
    <x v="0"/>
    <s v="Other"/>
    <x v="0"/>
    <s v="Other"/>
    <s v="Launcher Service"/>
    <s v="Other"/>
    <s v="Common Services (Prod06)"/>
    <n v="0.26600000000000001"/>
    <n v="0.16300000000000001"/>
    <n v="0.104"/>
  </r>
  <r>
    <s v="Epic Games, Inc."/>
    <x v="15"/>
    <s v="redis-account02-prod03-01"/>
    <n v="16"/>
    <n v="30000"/>
    <n v="320"/>
    <x v="0"/>
    <s v="Other"/>
    <x v="0"/>
    <s v="Other"/>
    <s v="Account Service"/>
    <s v="Other"/>
    <s v="Account Services (Prod03)"/>
    <n v="0.84"/>
    <n v="0.497"/>
    <n v="0.314"/>
  </r>
  <r>
    <s v="Epic Games, Inc."/>
    <x v="1"/>
    <s v="launcher-admin-service-ci-i-71da3521"/>
    <n v="1"/>
    <n v="1700"/>
    <n v="160"/>
    <x v="0"/>
    <s v="Other"/>
    <x v="1"/>
    <s v="launcher-service"/>
    <s v="[DEV]"/>
    <s v="Dev Admin Service CI"/>
    <s v="DEV"/>
    <n v="4.3999999999999997E-2"/>
    <n v="2.4E-2"/>
    <n v="1.4999999999999999E-2"/>
  </r>
  <r>
    <s v="Epic Games, Inc."/>
    <x v="6"/>
    <s v="mongodb-fortnite-prod11-05"/>
    <n v="2"/>
    <n v="4000"/>
    <n v="0"/>
    <x v="0"/>
    <s v="Other"/>
    <x v="0"/>
    <s v="Other"/>
    <s v="Fortnite Service"/>
    <s v="Dev MongoDB"/>
    <s v="Fortnite"/>
    <n v="5.1999999999999998E-2"/>
    <n v="3.4000000000000002E-2"/>
    <n v="2.3E-2"/>
  </r>
  <r>
    <s v="Epic Games, Inc."/>
    <x v="5"/>
    <s v="pgsql-orderprocessor-ecomprod01-03"/>
    <n v="4"/>
    <n v="15000"/>
    <n v="80"/>
    <x v="5"/>
    <s v="Other"/>
    <x v="0"/>
    <s v="Other"/>
    <s v="OrderProcessor Service"/>
    <s v="Other"/>
    <s v="Ecom (Prod01)"/>
    <n v="0.26600000000000001"/>
    <n v="0.16300000000000001"/>
    <n v="0.104"/>
  </r>
  <r>
    <s v="Epic Games, Inc."/>
    <x v="8"/>
    <s v="mongodb-prod-01"/>
    <n v="8"/>
    <n v="30000"/>
    <n v="160"/>
    <x v="19"/>
    <s v="Other"/>
    <x v="0"/>
    <s v="Other"/>
    <s v="Sword Service"/>
    <s v="Dev MongoDB"/>
    <s v="Infinity Blade 3"/>
    <n v="0.53200000000000003"/>
    <n v="0.32400000000000001"/>
    <n v="0.20899999999999999"/>
  </r>
  <r>
    <s v="Epic Games, Inc."/>
    <x v="8"/>
    <s v="mariadb-common-prod04-01"/>
    <n v="8"/>
    <n v="30000"/>
    <n v="160"/>
    <x v="20"/>
    <s v="Other"/>
    <x v="0"/>
    <s v="Other"/>
    <s v="Mariadb Common"/>
    <s v="Dev MariaDB"/>
    <s v="VBulletin (Prod04)"/>
    <n v="0.53200000000000003"/>
    <n v="0.32400000000000001"/>
    <n v="0.20899999999999999"/>
  </r>
  <r>
    <s v="Epic Games, Inc."/>
    <x v="1"/>
    <s v="paymentv2-public-service-releaseqa-i-72304421"/>
    <n v="1"/>
    <n v="1700"/>
    <n v="160"/>
    <x v="0"/>
    <s v="Other"/>
    <x v="1"/>
    <s v="paymentv2-service"/>
    <s v="[DEV]"/>
    <s v="Dev Public Service ReleaseQA"/>
    <s v="DEV"/>
    <n v="4.3999999999999997E-2"/>
    <n v="2.4E-2"/>
    <n v="1.4999999999999999E-2"/>
  </r>
  <r>
    <s v="Epic Games, Inc."/>
    <x v="1"/>
    <s v="catalogadmin-website-ci-i-3f1236d3"/>
    <n v="1"/>
    <n v="1700"/>
    <n v="160"/>
    <x v="0"/>
    <s v="Other"/>
    <x v="1"/>
    <s v="catalogadmin-website"/>
    <s v="[DEV]"/>
    <s v="Dev Website CI"/>
    <s v="DEV"/>
    <n v="4.3999999999999997E-2"/>
    <n v="2.4E-2"/>
    <n v="1.4999999999999999E-2"/>
  </r>
  <r>
    <s v="Epic Games, Inc."/>
    <x v="1"/>
    <s v="mongodb-coderedemption-prod06-05"/>
    <n v="1"/>
    <n v="1700"/>
    <n v="160"/>
    <x v="0"/>
    <s v="Other"/>
    <x v="0"/>
    <s v="Other"/>
    <s v="Coderedemption"/>
    <s v="Dev MongoDB"/>
    <s v="Common Services (Prod06)"/>
    <n v="4.3999999999999997E-2"/>
    <n v="2.4E-2"/>
    <n v="1.4999999999999999E-2"/>
  </r>
  <r>
    <s v="Epic Games, Inc."/>
    <x v="1"/>
    <s v="redis-sword-gamedev-02"/>
    <n v="1"/>
    <n v="1700"/>
    <n v="160"/>
    <x v="0"/>
    <s v="Other"/>
    <x v="1"/>
    <s v="redis"/>
    <s v="[DEV]"/>
    <s v="Dev Redis"/>
    <s v="DEV"/>
    <n v="4.3999999999999997E-2"/>
    <n v="2.4E-2"/>
    <n v="1.4999999999999999E-2"/>
  </r>
  <r>
    <s v="Epic Games, Inc."/>
    <x v="1"/>
    <s v="fortnite-admin-service-main-gamedev-i-564ef005"/>
    <n v="1"/>
    <n v="1700"/>
    <n v="160"/>
    <x v="0"/>
    <s v="Other"/>
    <x v="1"/>
    <s v="fortnite-service"/>
    <s v="[DEV]"/>
    <s v="Dev Fortnite Gamedev"/>
    <s v="DEV"/>
    <n v="4.3999999999999997E-2"/>
    <n v="2.4E-2"/>
    <n v="1.4999999999999999E-2"/>
  </r>
  <r>
    <s v="Epic Games, Inc."/>
    <x v="11"/>
    <s v="pgsql-atlassian-ci-01"/>
    <n v="2"/>
    <n v="15000"/>
    <n v="32"/>
    <x v="1"/>
    <s v="Other"/>
    <x v="0"/>
    <s v="Other"/>
    <s v="Atlassian Suite"/>
    <s v="Other"/>
    <s v="DEV"/>
    <n v="0.17499999999999999"/>
    <n v="9.2999999999999999E-2"/>
    <n v="6.0999999999999999E-2"/>
  </r>
  <r>
    <s v="Epic Games, Inc."/>
    <x v="1"/>
    <s v="fulfillment-admin-service-ci-i-6dce4786"/>
    <n v="1"/>
    <n v="1700"/>
    <n v="160"/>
    <x v="0"/>
    <s v="Other"/>
    <x v="1"/>
    <s v="fulfillment-service"/>
    <s v="[DEV]"/>
    <s v="Dev Admin Service CI"/>
    <s v="DEV"/>
    <n v="4.3999999999999997E-2"/>
    <n v="2.4E-2"/>
    <n v="1.4999999999999999E-2"/>
  </r>
  <r>
    <s v="Epic Games, Inc."/>
    <x v="4"/>
    <s v="pgsql-adminportal-management-01"/>
    <n v="1"/>
    <n v="3750"/>
    <n v="4"/>
    <x v="8"/>
    <s v="Other"/>
    <x v="0"/>
    <s v="Other"/>
    <s v="Adminportal"/>
    <s v="Other"/>
    <s v="Infrastructure and Management"/>
    <n v="6.7000000000000004E-2"/>
    <n v="0.04"/>
    <n v="2.5999999999999999E-2"/>
  </r>
  <r>
    <s v="Epic Games, Inc."/>
    <x v="9"/>
    <s v="orion-public-service-stage-i-ba662641"/>
    <n v="1"/>
    <n v="2000"/>
    <n v="0"/>
    <x v="0"/>
    <s v="Other"/>
    <x v="0"/>
    <s v="Other"/>
    <s v="Other"/>
    <s v="Dev Public Service Stage"/>
    <s v="Staging"/>
    <n v="2.5999999999999999E-2"/>
    <n v="1.7000000000000001E-2"/>
    <n v="1.2E-2"/>
  </r>
  <r>
    <s v="Epic Games, Inc."/>
    <x v="7"/>
    <s v="nexus-server-01"/>
    <n v="1"/>
    <n v="3750"/>
    <n v="410"/>
    <x v="12"/>
    <s v="Other"/>
    <x v="2"/>
    <s v="Other"/>
    <s v="Other"/>
    <s v="Other"/>
    <s v="DEV"/>
    <n v="8.6999999999999994E-2"/>
    <n v="4.7E-2"/>
    <n v="2.9000000000000001E-2"/>
  </r>
  <r>
    <s v="Epic Games, Inc."/>
    <x v="4"/>
    <s v="zabbix-java-gateway-01"/>
    <n v="1"/>
    <n v="3750"/>
    <n v="4"/>
    <x v="0"/>
    <s v="Other"/>
    <x v="2"/>
    <s v="Other"/>
    <s v="Zabbix Servers"/>
    <s v="Other"/>
    <s v="Infrastructure and Management"/>
    <n v="6.7000000000000004E-2"/>
    <n v="0.04"/>
    <n v="2.5999999999999999E-2"/>
  </r>
  <r>
    <s v="Epic Games, Inc."/>
    <x v="7"/>
    <s v="pgsql-epiccms-01"/>
    <n v="1"/>
    <n v="3750"/>
    <n v="410"/>
    <x v="8"/>
    <s v="Other"/>
    <x v="0"/>
    <s v="Other"/>
    <s v="EpicCMS (EpicCMS)"/>
    <s v="Other"/>
    <s v="Epic CMS"/>
    <n v="8.6999999999999994E-2"/>
    <n v="4.7E-2"/>
    <n v="2.9000000000000001E-2"/>
  </r>
  <r>
    <s v="Epic Games, Inc."/>
    <x v="2"/>
    <s v="redis-fortnite-prod11-01"/>
    <n v="2"/>
    <n v="7500"/>
    <n v="32"/>
    <x v="0"/>
    <s v="Other"/>
    <x v="0"/>
    <s v="Other"/>
    <s v="Fortnite Service"/>
    <s v="Other"/>
    <s v="Fortnite"/>
    <n v="0.13300000000000001"/>
    <n v="8.1000000000000003E-2"/>
    <n v="5.1999999999999998E-2"/>
  </r>
  <r>
    <s v="Epic Games, Inc."/>
    <x v="9"/>
    <s v="lightswitch-admin-service-stage-i-be145e53"/>
    <n v="1"/>
    <n v="2000"/>
    <n v="0"/>
    <x v="0"/>
    <s v="Other"/>
    <x v="0"/>
    <s v="Other"/>
    <s v="Lightswitch Service"/>
    <s v="Dev Admin Service Load Test"/>
    <s v="Staging"/>
    <n v="2.5999999999999999E-2"/>
    <n v="1.7000000000000001E-2"/>
    <n v="1.2E-2"/>
  </r>
  <r>
    <s v="Epic Games, Inc."/>
    <x v="4"/>
    <s v="adminportal-website-stage-i-0a738d5a"/>
    <n v="1"/>
    <n v="3750"/>
    <n v="4"/>
    <x v="0"/>
    <s v="Other"/>
    <x v="0"/>
    <s v="Other"/>
    <s v="Adminportal"/>
    <s v="Dev Website Stage"/>
    <s v="Staging"/>
    <n v="6.7000000000000004E-2"/>
    <n v="0.04"/>
    <n v="2.5999999999999999E-2"/>
  </r>
  <r>
    <s v="Epic Games, Inc."/>
    <x v="1"/>
    <s v="entitlement-admin-service-releaseqa-i-18d4644b"/>
    <n v="1"/>
    <n v="1700"/>
    <n v="160"/>
    <x v="0"/>
    <s v="Other"/>
    <x v="1"/>
    <s v="entitlement-service"/>
    <s v="[DEV]"/>
    <s v="Dev Admin Service ReleaseQA"/>
    <s v="DEV"/>
    <n v="4.3999999999999997E-2"/>
    <n v="2.4E-2"/>
    <n v="1.4999999999999999E-2"/>
  </r>
  <r>
    <s v="Epic Games, Inc."/>
    <x v="8"/>
    <s v="log-management-01"/>
    <n v="8"/>
    <n v="30000"/>
    <n v="160"/>
    <x v="21"/>
    <s v="Other"/>
    <x v="3"/>
    <s v="Other"/>
    <s v="Log Management"/>
    <s v="Other"/>
    <s v="Infrastructure and Management"/>
    <n v="0.53200000000000003"/>
    <n v="0.32400000000000001"/>
    <n v="0.20899999999999999"/>
  </r>
  <r>
    <s v="Epic Games, Inc."/>
    <x v="5"/>
    <s v="mongodb-launcher-prod06-02"/>
    <n v="4"/>
    <n v="15000"/>
    <n v="80"/>
    <x v="1"/>
    <s v="Other"/>
    <x v="0"/>
    <s v="Other"/>
    <s v="Launcher Service"/>
    <s v="Dev MongoDB"/>
    <s v="Common Services (Prod06)"/>
    <n v="0.26600000000000001"/>
    <n v="0.16300000000000001"/>
    <n v="0.104"/>
  </r>
  <r>
    <s v="Epic Games, Inc."/>
    <x v="1"/>
    <s v="redis-account01-releaseqa-01"/>
    <n v="1"/>
    <n v="1700"/>
    <n v="160"/>
    <x v="0"/>
    <s v="Other"/>
    <x v="1"/>
    <s v="redis"/>
    <s v="[DEV]"/>
    <s v="Dev Redis"/>
    <s v="DEV"/>
    <n v="4.3999999999999997E-2"/>
    <n v="2.4E-2"/>
    <n v="1.4999999999999999E-2"/>
  </r>
  <r>
    <s v="Epic Games, Inc."/>
    <x v="1"/>
    <s v="dhendler-test-vm-01"/>
    <n v="1"/>
    <n v="1700"/>
    <n v="160"/>
    <x v="0"/>
    <s v="Other"/>
    <x v="1"/>
    <s v="Unknown"/>
    <s v="[DEV]"/>
    <s v="Other"/>
    <s v="DEV"/>
    <n v="4.3999999999999997E-2"/>
    <n v="2.4E-2"/>
    <n v="1.4999999999999999E-2"/>
  </r>
  <r>
    <s v="Epic Games, Inc."/>
    <x v="1"/>
    <s v="redis-account02-stage-02"/>
    <n v="1"/>
    <n v="1700"/>
    <n v="160"/>
    <x v="0"/>
    <s v="Other"/>
    <x v="0"/>
    <s v="Other"/>
    <s v="Account Service"/>
    <s v="Other"/>
    <s v="Staging"/>
    <n v="4.3999999999999997E-2"/>
    <n v="2.4E-2"/>
    <n v="1.4999999999999999E-2"/>
  </r>
  <r>
    <s v="Epic Games, Inc."/>
    <x v="1"/>
    <s v="redis-account02-releaseqa-01"/>
    <n v="1"/>
    <n v="1700"/>
    <n v="160"/>
    <x v="0"/>
    <s v="Other"/>
    <x v="1"/>
    <s v="redis"/>
    <s v="[DEV]"/>
    <s v="Dev Redis"/>
    <s v="DEV"/>
    <n v="4.3999999999999997E-2"/>
    <n v="2.4E-2"/>
    <n v="1.4999999999999999E-2"/>
  </r>
  <r>
    <s v="Epic Games, Inc."/>
    <x v="8"/>
    <s v="mariadb-common-prod04-02"/>
    <n v="8"/>
    <n v="30000"/>
    <n v="160"/>
    <x v="7"/>
    <s v="Other"/>
    <x v="0"/>
    <s v="Other"/>
    <s v="Mariadb Common"/>
    <s v="Dev MariaDB"/>
    <s v="VBulletin (Prod04)"/>
    <n v="0.53200000000000003"/>
    <n v="0.32400000000000001"/>
    <n v="0.20899999999999999"/>
  </r>
  <r>
    <s v="Epic Games, Inc."/>
    <x v="8"/>
    <s v="mongodb-account-prod03-03"/>
    <n v="8"/>
    <n v="30000"/>
    <n v="160"/>
    <x v="1"/>
    <s v="Other"/>
    <x v="0"/>
    <s v="Other"/>
    <s v="Account Service"/>
    <s v="Dev MongoDB"/>
    <s v="Account Services (Prod03)"/>
    <n v="0.53200000000000003"/>
    <n v="0.32400000000000001"/>
    <n v="0.20899999999999999"/>
  </r>
  <r>
    <s v="Epic Games, Inc."/>
    <x v="1"/>
    <s v="rabbitmq-common-gamedev-03"/>
    <n v="1"/>
    <n v="1700"/>
    <n v="160"/>
    <x v="0"/>
    <s v="Other"/>
    <x v="1"/>
    <s v="rabbitmq"/>
    <s v="[DEV]"/>
    <s v="Dev Common Gamedev"/>
    <s v="DEV"/>
    <n v="4.3999999999999997E-2"/>
    <n v="2.4E-2"/>
    <n v="1.4999999999999999E-2"/>
  </r>
  <r>
    <s v="Epic Games, Inc."/>
    <x v="1"/>
    <s v="redis-common-gamedev-02"/>
    <n v="1"/>
    <n v="1700"/>
    <n v="160"/>
    <x v="0"/>
    <s v="Other"/>
    <x v="1"/>
    <s v="redis"/>
    <s v="[DEV]"/>
    <s v="Dev Common Gamedev"/>
    <s v="DEV"/>
    <n v="4.3999999999999997E-2"/>
    <n v="2.4E-2"/>
    <n v="1.4999999999999999E-2"/>
  </r>
  <r>
    <s v="Epic Games, Inc."/>
    <x v="4"/>
    <s v="mongodb-tigase-ci-02"/>
    <n v="1"/>
    <n v="3750"/>
    <n v="4"/>
    <x v="1"/>
    <s v="Other"/>
    <x v="1"/>
    <s v="mongodb"/>
    <s v="[DEV]"/>
    <s v="Dev MongoDB"/>
    <s v="DEV"/>
    <n v="6.7000000000000004E-2"/>
    <n v="0.04"/>
    <n v="2.5999999999999999E-2"/>
  </r>
  <r>
    <s v="Epic Games, Inc."/>
    <x v="5"/>
    <s v="mongodb-catalog-prod06-01"/>
    <n v="4"/>
    <n v="15000"/>
    <n v="80"/>
    <x v="1"/>
    <s v="Other"/>
    <x v="0"/>
    <s v="Other"/>
    <s v="Catalog Service"/>
    <s v="Dev MongoDB"/>
    <s v="Common Services (Prod06)"/>
    <n v="0.26600000000000001"/>
    <n v="0.16300000000000001"/>
    <n v="0.104"/>
  </r>
  <r>
    <s v="Epic Games, Inc."/>
    <x v="9"/>
    <s v="fortnite-website-releaseqa-i-1dd630f1"/>
    <n v="1"/>
    <n v="2000"/>
    <n v="0"/>
    <x v="0"/>
    <s v="Other"/>
    <x v="1"/>
    <s v="fortnite-website"/>
    <s v="[DEV]"/>
    <s v="Dev Fortnite ReleaseQA"/>
    <s v="DEV"/>
    <n v="2.5999999999999999E-2"/>
    <n v="1.7000000000000001E-2"/>
    <n v="1.2E-2"/>
  </r>
  <r>
    <s v="Epic Games, Inc."/>
    <x v="1"/>
    <s v="login-service-common-gamedev-i-fb6b5683"/>
    <n v="1"/>
    <n v="1700"/>
    <n v="160"/>
    <x v="0"/>
    <s v="Other"/>
    <x v="1"/>
    <s v="login-service"/>
    <s v="[DEV]"/>
    <s v="Dev Common Gamedev"/>
    <s v="DEV"/>
    <n v="4.3999999999999997E-2"/>
    <n v="2.4E-2"/>
    <n v="1.4999999999999999E-2"/>
  </r>
  <r>
    <s v="Epic Games, Inc."/>
    <x v="1"/>
    <s v="mariadb-common-ci-02"/>
    <n v="1"/>
    <n v="1700"/>
    <n v="160"/>
    <x v="1"/>
    <s v="Other"/>
    <x v="1"/>
    <s v="mariadb"/>
    <s v="[DEV]"/>
    <s v="Dev Common CI"/>
    <s v="DEV"/>
    <n v="4.3999999999999997E-2"/>
    <n v="2.4E-2"/>
    <n v="1.4999999999999999E-2"/>
  </r>
  <r>
    <s v="Epic Games, Inc."/>
    <x v="1"/>
    <s v="catalogadmin-website-stage-i-fe9a7fd4"/>
    <n v="1"/>
    <n v="1700"/>
    <n v="160"/>
    <x v="0"/>
    <s v="Other"/>
    <x v="0"/>
    <s v="Other"/>
    <s v="Catalogadmin Service"/>
    <s v="Dev Website Stage"/>
    <s v="Staging"/>
    <n v="4.3999999999999997E-2"/>
    <n v="2.4E-2"/>
    <n v="1.4999999999999999E-2"/>
  </r>
  <r>
    <s v="Epic Games, Inc."/>
    <x v="1"/>
    <s v="mongodb-common-ci-05"/>
    <n v="1"/>
    <n v="1700"/>
    <n v="160"/>
    <x v="0"/>
    <s v="Other"/>
    <x v="1"/>
    <s v="mongodb"/>
    <s v="[DEV]"/>
    <s v="Dev Common CI"/>
    <s v="DEV"/>
    <n v="4.3999999999999997E-2"/>
    <n v="2.4E-2"/>
    <n v="1.4999999999999999E-2"/>
  </r>
  <r>
    <s v="Epic Games, Inc."/>
    <x v="14"/>
    <s v="mediawiki-website-prod05-i-f90a73aa"/>
    <n v="8"/>
    <n v="15000"/>
    <n v="160"/>
    <x v="0"/>
    <s v="Other"/>
    <x v="0"/>
    <s v="Other"/>
    <s v="Mediawiki"/>
    <s v="Other"/>
    <s v="MediaWiki (Prod05)"/>
    <n v="0.42"/>
    <n v="0.248"/>
    <n v="0.157"/>
  </r>
  <r>
    <s v="Epic Games, Inc."/>
    <x v="7"/>
    <s v="ue-website-gamedev-i-5b0d3b7a"/>
    <n v="1"/>
    <n v="3750"/>
    <n v="410"/>
    <x v="0"/>
    <s v="Other"/>
    <x v="1"/>
    <s v="ue-website"/>
    <s v="[DEV]"/>
    <s v="Dev UnrealEngine Gamedev"/>
    <s v="DEV"/>
    <n v="8.6999999999999994E-2"/>
    <n v="4.7E-2"/>
    <n v="2.9000000000000001E-2"/>
  </r>
  <r>
    <s v="Epic Games, Inc."/>
    <x v="2"/>
    <s v="mongodb-common-prod07-02"/>
    <n v="2"/>
    <n v="7500"/>
    <n v="32"/>
    <x v="16"/>
    <s v="Other"/>
    <x v="0"/>
    <s v="Other"/>
    <s v="Mongodb Common"/>
    <s v="Dev MongoDB"/>
    <s v="Common Website (Prod07)"/>
    <n v="0.13300000000000001"/>
    <n v="8.1000000000000003E-2"/>
    <n v="5.1999999999999998E-2"/>
  </r>
  <r>
    <s v="Epic Games, Inc."/>
    <x v="9"/>
    <s v="persona-admin-service-ci-i-d5d2bc39"/>
    <n v="1"/>
    <n v="2000"/>
    <n v="0"/>
    <x v="0"/>
    <s v="Other"/>
    <x v="1"/>
    <s v="persona-service"/>
    <s v="[DEV]"/>
    <s v="Dev Admin Service CI"/>
    <s v="DEV"/>
    <n v="2.5999999999999999E-2"/>
    <n v="1.7000000000000001E-2"/>
    <n v="1.2E-2"/>
  </r>
  <r>
    <s v="Epic Games, Inc."/>
    <x v="1"/>
    <s v="name-server-prod-03"/>
    <n v="1"/>
    <n v="1700"/>
    <n v="160"/>
    <x v="0"/>
    <s v="Other"/>
    <x v="0"/>
    <s v="Other"/>
    <s v="Other"/>
    <s v="Other"/>
    <s v="Infinity Blade 3"/>
    <n v="4.3999999999999997E-2"/>
    <n v="2.4E-2"/>
    <n v="1.4999999999999999E-2"/>
  </r>
  <r>
    <s v="Epic Games, Inc."/>
    <x v="1"/>
    <s v="fortnite-public-service-latest-gamedev-i-68283739"/>
    <n v="1"/>
    <n v="1700"/>
    <n v="160"/>
    <x v="0"/>
    <s v="Other"/>
    <x v="1"/>
    <s v="fortnite-service"/>
    <s v="[DEV]"/>
    <s v="Dev Fortnite Gamedev"/>
    <s v="DEV"/>
    <n v="4.3999999999999997E-2"/>
    <n v="2.4E-2"/>
    <n v="1.4999999999999999E-2"/>
  </r>
  <r>
    <s v="Epic Games, Inc."/>
    <x v="1"/>
    <s v="redis-common-stage-01"/>
    <n v="1"/>
    <n v="1700"/>
    <n v="160"/>
    <x v="0"/>
    <s v="Other"/>
    <x v="0"/>
    <s v="Other"/>
    <s v="Other"/>
    <s v="Other"/>
    <s v="Staging"/>
    <n v="4.3999999999999997E-2"/>
    <n v="2.4E-2"/>
    <n v="1.4999999999999999E-2"/>
  </r>
  <r>
    <s v="Epic Games, Inc."/>
    <x v="1"/>
    <s v="catalogadmin-website-releaseqa-i-37d88c1c"/>
    <n v="1"/>
    <n v="1700"/>
    <n v="160"/>
    <x v="0"/>
    <s v="Other"/>
    <x v="1"/>
    <s v="catalogadmin-website"/>
    <s v="[DEV]"/>
    <s v="Dev Website ReleaseQA"/>
    <s v="DEV"/>
    <n v="4.3999999999999997E-2"/>
    <n v="2.4E-2"/>
    <n v="1.4999999999999999E-2"/>
  </r>
  <r>
    <s v="Epic Games, Inc."/>
    <x v="7"/>
    <s v="yum-repo-prod-01"/>
    <n v="1"/>
    <n v="3750"/>
    <n v="410"/>
    <x v="3"/>
    <s v="Other"/>
    <x v="2"/>
    <s v="Other"/>
    <s v="Yum Repo"/>
    <s v="Other"/>
    <s v="Infrastructure and Management"/>
    <n v="8.6999999999999994E-2"/>
    <n v="4.7E-2"/>
    <n v="2.9000000000000001E-2"/>
  </r>
  <r>
    <s v="Epic Games, Inc."/>
    <x v="4"/>
    <s v="pgsql-common-ci-02"/>
    <n v="1"/>
    <n v="3750"/>
    <n v="4"/>
    <x v="8"/>
    <s v="Other"/>
    <x v="1"/>
    <s v="pgsql"/>
    <s v="[DEV]"/>
    <s v="Dev Common CI"/>
    <s v="DEV"/>
    <n v="6.7000000000000004E-2"/>
    <n v="0.04"/>
    <n v="2.5999999999999999E-2"/>
  </r>
  <r>
    <s v="Epic Games, Inc."/>
    <x v="0"/>
    <s v="jmeter-lt-11"/>
    <n v="2"/>
    <n v="3750"/>
    <n v="32"/>
    <x v="0"/>
    <s v="Other"/>
    <x v="1"/>
    <s v="jmeter"/>
    <s v="[DEV]"/>
    <s v="Dev Service Load Test (Other)"/>
    <s v="DEV"/>
    <n v="0.105"/>
    <n v="6.2E-2"/>
    <n v="3.9E-2"/>
  </r>
  <r>
    <s v="Epic Games, Inc."/>
    <x v="0"/>
    <s v="jmeter-lt-13"/>
    <n v="2"/>
    <n v="3750"/>
    <n v="32"/>
    <x v="0"/>
    <s v="Other"/>
    <x v="1"/>
    <s v="jmeter"/>
    <s v="[DEV]"/>
    <s v="Dev Service Load Test (Other)"/>
    <s v="DEV"/>
    <n v="0.105"/>
    <n v="6.2E-2"/>
    <n v="3.9E-2"/>
  </r>
  <r>
    <s v="Epic Games, Inc."/>
    <x v="0"/>
    <s v="jmeter-lt-15"/>
    <n v="2"/>
    <n v="3750"/>
    <n v="32"/>
    <x v="0"/>
    <s v="Other"/>
    <x v="1"/>
    <s v="jmeter"/>
    <s v="[DEV]"/>
    <s v="Dev Service Load Test (Other)"/>
    <s v="DEV"/>
    <n v="0.105"/>
    <n v="6.2E-2"/>
    <n v="3.9E-2"/>
  </r>
  <r>
    <s v="Epic Games, Inc."/>
    <x v="0"/>
    <s v="jmeter-lt-17"/>
    <n v="2"/>
    <n v="3750"/>
    <n v="32"/>
    <x v="0"/>
    <s v="Other"/>
    <x v="1"/>
    <s v="jmeter"/>
    <s v="[DEV]"/>
    <s v="Dev Service Load Test (Other)"/>
    <s v="DEV"/>
    <n v="0.105"/>
    <n v="6.2E-2"/>
    <n v="3.9E-2"/>
  </r>
  <r>
    <s v="Epic Games, Inc."/>
    <x v="0"/>
    <s v="jmeter-lt-19"/>
    <n v="2"/>
    <n v="3750"/>
    <n v="32"/>
    <x v="0"/>
    <s v="Other"/>
    <x v="1"/>
    <s v="jmeter"/>
    <s v="[DEV]"/>
    <s v="Dev Service Load Test (Other)"/>
    <s v="DEV"/>
    <n v="0.105"/>
    <n v="6.2E-2"/>
    <n v="3.9E-2"/>
  </r>
  <r>
    <s v="Epic Games, Inc."/>
    <x v="1"/>
    <s v="coderedemption-admin-service-gamedev-i-dd4379f7"/>
    <n v="1"/>
    <n v="1700"/>
    <n v="160"/>
    <x v="0"/>
    <s v="Other"/>
    <x v="1"/>
    <s v="coderedemption-service"/>
    <s v="[DEV]"/>
    <s v="Dev Admin Service Gamedev"/>
    <s v="DEV"/>
    <n v="4.3999999999999997E-2"/>
    <n v="2.4E-2"/>
    <n v="1.4999999999999999E-2"/>
  </r>
  <r>
    <s v="Epic Games, Inc."/>
    <x v="7"/>
    <s v="fakepayment-01"/>
    <n v="1"/>
    <n v="3750"/>
    <n v="410"/>
    <x v="0"/>
    <s v="Other"/>
    <x v="1"/>
    <s v="Unknown"/>
    <s v="[DEV]"/>
    <s v="Other"/>
    <s v="DEV"/>
    <n v="8.6999999999999994E-2"/>
    <n v="4.7E-2"/>
    <n v="2.9000000000000001E-2"/>
  </r>
  <r>
    <s v="Epic Games, Inc."/>
    <x v="2"/>
    <s v="mongodb-ut-prod10-03"/>
    <n v="2"/>
    <n v="7500"/>
    <n v="32"/>
    <x v="1"/>
    <s v="Other"/>
    <x v="0"/>
    <s v="Other"/>
    <s v="UT Service"/>
    <s v="Dev MongoDB"/>
    <s v="Unreal Tournament"/>
    <n v="0.13300000000000001"/>
    <n v="8.1000000000000003E-2"/>
    <n v="5.1999999999999998E-2"/>
  </r>
  <r>
    <s v="Epic Games, Inc."/>
    <x v="6"/>
    <s v="redis-fortnite-publictest-prod12-02"/>
    <n v="2"/>
    <n v="4000"/>
    <n v="0"/>
    <x v="0"/>
    <s v="Other"/>
    <x v="0"/>
    <s v="Other"/>
    <s v="Fortnite Service"/>
    <s v="Other"/>
    <s v="Fortnite"/>
    <n v="5.1999999999999998E-2"/>
    <n v="3.4000000000000002E-2"/>
    <n v="2.3E-2"/>
  </r>
  <r>
    <s v="Epic Games, Inc."/>
    <x v="5"/>
    <s v="mongodb-fortnite-prod11-02"/>
    <n v="4"/>
    <n v="15000"/>
    <n v="80"/>
    <x v="1"/>
    <s v="Other"/>
    <x v="0"/>
    <s v="Other"/>
    <s v="Fortnite Service"/>
    <s v="Dev MongoDB"/>
    <s v="Fortnite"/>
    <n v="0.26600000000000001"/>
    <n v="0.16300000000000001"/>
    <n v="0.104"/>
  </r>
  <r>
    <s v="Epic Games, Inc."/>
    <x v="1"/>
    <s v="mongodb-ut-prod10-05"/>
    <n v="1"/>
    <n v="1700"/>
    <n v="160"/>
    <x v="0"/>
    <s v="Other"/>
    <x v="0"/>
    <s v="Other"/>
    <s v="UT Service"/>
    <s v="Dev MongoDB"/>
    <s v="Unreal Tournament"/>
    <n v="4.3999999999999997E-2"/>
    <n v="2.4E-2"/>
    <n v="1.4999999999999999E-2"/>
  </r>
  <r>
    <s v="Epic Games, Inc."/>
    <x v="8"/>
    <s v="mariadb-mediawiki-prod05-02"/>
    <n v="8"/>
    <n v="30000"/>
    <n v="160"/>
    <x v="7"/>
    <s v="Other"/>
    <x v="0"/>
    <s v="Other"/>
    <s v="Mediawiki"/>
    <s v="Dev MariaDB"/>
    <s v="MediaWiki (Prod05)"/>
    <n v="0.53200000000000003"/>
    <n v="0.32400000000000001"/>
    <n v="0.20899999999999999"/>
  </r>
  <r>
    <s v="Epic Games, Inc."/>
    <x v="1"/>
    <s v="fulfillment-public-service-ci-i-d2da75ff"/>
    <n v="1"/>
    <n v="1700"/>
    <n v="160"/>
    <x v="0"/>
    <s v="Other"/>
    <x v="1"/>
    <s v="fulfillment-service"/>
    <s v="[DEV]"/>
    <s v="Dev Public Service CI"/>
    <s v="DEV"/>
    <n v="4.3999999999999997E-2"/>
    <n v="2.4E-2"/>
    <n v="1.4999999999999999E-2"/>
  </r>
  <r>
    <s v="Epic Games, Inc."/>
    <x v="3"/>
    <s v="redis-prod-03"/>
    <n v="2"/>
    <n v="7500"/>
    <n v="850"/>
    <x v="0"/>
    <s v="Other"/>
    <x v="0"/>
    <s v="Other"/>
    <s v="Sword Service"/>
    <s v="Other"/>
    <s v="Infinity Blade 3"/>
    <n v="0.17499999999999999"/>
    <n v="9.5000000000000001E-2"/>
    <n v="5.8999999999999997E-2"/>
  </r>
  <r>
    <s v="Epic Games, Inc."/>
    <x v="1"/>
    <s v="publishing-public-service-gamedev-i-6092354a"/>
    <n v="1"/>
    <n v="1700"/>
    <n v="160"/>
    <x v="0"/>
    <s v="Other"/>
    <x v="1"/>
    <s v="publishing-service"/>
    <s v="[DEV]"/>
    <s v="Dev Public Service Gamedev"/>
    <s v="DEV"/>
    <n v="4.3999999999999997E-2"/>
    <n v="2.4E-2"/>
    <n v="1.4999999999999999E-2"/>
  </r>
  <r>
    <s v="Epic Games, Inc."/>
    <x v="9"/>
    <s v="orderprocessor-batchjob-service-releaseqa-i-1654d1fc"/>
    <n v="1"/>
    <n v="2000"/>
    <n v="0"/>
    <x v="0"/>
    <s v="Other"/>
    <x v="1"/>
    <s v="orderprocessor-service"/>
    <s v="[DEV]"/>
    <s v="Dev Service ReleaseQA (Other)"/>
    <s v="DEV"/>
    <n v="2.5999999999999999E-2"/>
    <n v="1.7000000000000001E-2"/>
    <n v="1.2E-2"/>
  </r>
  <r>
    <s v="Epic Games, Inc."/>
    <x v="9"/>
    <s v="mongodb-tigase-prod06-05"/>
    <n v="1"/>
    <n v="2000"/>
    <n v="0"/>
    <x v="0"/>
    <s v="Other"/>
    <x v="0"/>
    <s v="Other"/>
    <s v="Tigase"/>
    <s v="Dev MongoDB"/>
    <s v="Common Services (Prod06)"/>
    <n v="2.5999999999999999E-2"/>
    <n v="1.7000000000000001E-2"/>
    <n v="1.2E-2"/>
  </r>
  <r>
    <s v="Epic Games, Inc."/>
    <x v="5"/>
    <s v="redis-buildinfo-prod06-02"/>
    <n v="4"/>
    <n v="15000"/>
    <n v="80"/>
    <x v="0"/>
    <s v="Other"/>
    <x v="0"/>
    <s v="Other"/>
    <s v="Buildinfo Service"/>
    <s v="Other"/>
    <s v="Common Services (Prod06)"/>
    <n v="0.26600000000000001"/>
    <n v="0.16300000000000001"/>
    <n v="0.104"/>
  </r>
  <r>
    <s v="Epic Games, Inc."/>
    <x v="9"/>
    <s v="fnvbulletin-website-stage-i-28a360c4"/>
    <n v="1"/>
    <n v="2000"/>
    <n v="0"/>
    <x v="0"/>
    <s v="Other"/>
    <x v="0"/>
    <s v="Other"/>
    <s v="Fortnite Vbulletin"/>
    <s v="Dev Website Stage"/>
    <s v="Staging"/>
    <n v="2.5999999999999999E-2"/>
    <n v="1.7000000000000001E-2"/>
    <n v="1.2E-2"/>
  </r>
  <r>
    <s v="Epic Games, Inc."/>
    <x v="9"/>
    <s v="mongodb-tigase-stage-02"/>
    <n v="1"/>
    <n v="2000"/>
    <n v="0"/>
    <x v="1"/>
    <s v="Other"/>
    <x v="1"/>
    <s v="mongodb"/>
    <s v="[DEV]"/>
    <s v="Dev MongoDB"/>
    <s v="DEV"/>
    <n v="2.5999999999999999E-2"/>
    <n v="1.7000000000000001E-2"/>
    <n v="1.2E-2"/>
  </r>
  <r>
    <s v="Epic Games, Inc."/>
    <x v="1"/>
    <s v="redis-common-gamedev-01"/>
    <n v="1"/>
    <n v="1700"/>
    <n v="160"/>
    <x v="0"/>
    <s v="Other"/>
    <x v="1"/>
    <s v="redis"/>
    <s v="[DEV]"/>
    <s v="Dev Common Gamedev"/>
    <s v="DEV"/>
    <n v="4.3999999999999997E-2"/>
    <n v="2.4E-2"/>
    <n v="1.4999999999999999E-2"/>
  </r>
  <r>
    <s v="Epic Games, Inc."/>
    <x v="5"/>
    <s v="mongodb-entitlement-prod08-02"/>
    <n v="4"/>
    <n v="15000"/>
    <n v="80"/>
    <x v="1"/>
    <s v="Other"/>
    <x v="0"/>
    <s v="Other"/>
    <s v="Entitlement Service"/>
    <s v="Dev MongoDB"/>
    <s v="Entitlement (Prod08)"/>
    <n v="0.26600000000000001"/>
    <n v="0.16300000000000001"/>
    <n v="0.104"/>
  </r>
  <r>
    <s v="Epic Games, Inc."/>
    <x v="1"/>
    <s v="paymentv2-admin-service-releaseqa-i-ec3440bf"/>
    <n v="1"/>
    <n v="1700"/>
    <n v="160"/>
    <x v="0"/>
    <s v="Other"/>
    <x v="1"/>
    <s v="paymentv2-service"/>
    <s v="[DEV]"/>
    <s v="Dev Admin Service ReleaseQA"/>
    <s v="DEV"/>
    <n v="4.3999999999999997E-2"/>
    <n v="2.4E-2"/>
    <n v="1.4999999999999999E-2"/>
  </r>
  <r>
    <s v="Epic Games, Inc."/>
    <x v="0"/>
    <s v="yum-repo-prod-03"/>
    <n v="2"/>
    <n v="3750"/>
    <n v="32"/>
    <x v="3"/>
    <s v="Other"/>
    <x v="2"/>
    <s v="Other"/>
    <s v="Yum Repo"/>
    <s v="Other"/>
    <s v="Infrastructure and Management"/>
    <n v="0.105"/>
    <n v="6.2E-2"/>
    <n v="3.9E-2"/>
  </r>
  <r>
    <s v="Epic Games, Inc."/>
    <x v="1"/>
    <s v="commentrating-admin-service-ci-i-15d1a93f"/>
    <n v="1"/>
    <n v="1700"/>
    <n v="160"/>
    <x v="0"/>
    <s v="Other"/>
    <x v="1"/>
    <s v="commentrating-service"/>
    <s v="[DEV]"/>
    <s v="Dev Admin Service CI"/>
    <s v="DEV"/>
    <n v="4.3999999999999997E-2"/>
    <n v="2.4E-2"/>
    <n v="1.4999999999999999E-2"/>
  </r>
  <r>
    <s v="Epic Games, Inc."/>
    <x v="1"/>
    <s v="entitlement-public-service-releaseqa-i-44ac3c14"/>
    <n v="1"/>
    <n v="1700"/>
    <n v="160"/>
    <x v="0"/>
    <s v="Other"/>
    <x v="1"/>
    <s v="entitlement-service"/>
    <s v="[DEV]"/>
    <s v="Dev Public Service ReleaseQA"/>
    <s v="DEV"/>
    <n v="4.3999999999999997E-2"/>
    <n v="2.4E-2"/>
    <n v="1.4999999999999999E-2"/>
  </r>
  <r>
    <s v="Epic Games, Inc."/>
    <x v="1"/>
    <s v="launcher-public-service-ci-i-c6d83796"/>
    <n v="1"/>
    <n v="1700"/>
    <n v="160"/>
    <x v="0"/>
    <s v="Other"/>
    <x v="1"/>
    <s v="launcher-service"/>
    <s v="[DEV]"/>
    <s v="Dev Public Service CI"/>
    <s v="DEV"/>
    <n v="4.3999999999999997E-2"/>
    <n v="2.4E-2"/>
    <n v="1.4999999999999999E-2"/>
  </r>
  <r>
    <s v="Epic Games, Inc."/>
    <x v="2"/>
    <s v="mongodb-tigase-prod06-01"/>
    <n v="2"/>
    <n v="7500"/>
    <n v="32"/>
    <x v="1"/>
    <s v="Other"/>
    <x v="0"/>
    <s v="Other"/>
    <s v="Tigase"/>
    <s v="Dev MongoDB"/>
    <s v="Common Services (Prod06)"/>
    <n v="0.13300000000000001"/>
    <n v="8.1000000000000003E-2"/>
    <n v="5.1999999999999998E-2"/>
  </r>
  <r>
    <s v="Epic Games, Inc."/>
    <x v="9"/>
    <s v="activitystream-admin-service-stage-i-c64a2f2a"/>
    <n v="1"/>
    <n v="2000"/>
    <n v="0"/>
    <x v="0"/>
    <s v="Other"/>
    <x v="0"/>
    <s v="Other"/>
    <s v="ActivityStream Service"/>
    <s v="Dev Admin Service Load Test"/>
    <s v="Staging"/>
    <n v="2.5999999999999999E-2"/>
    <n v="1.7000000000000001E-2"/>
    <n v="1.2E-2"/>
  </r>
  <r>
    <s v="Epic Games, Inc."/>
    <x v="4"/>
    <s v="mongodb-fortnite-publictest-prod12-03"/>
    <n v="1"/>
    <n v="3750"/>
    <n v="4"/>
    <x v="1"/>
    <s v="Other"/>
    <x v="0"/>
    <s v="Other"/>
    <s v="Fortnite Service"/>
    <s v="Dev MongoDB"/>
    <s v="Fortnite"/>
    <n v="6.7000000000000004E-2"/>
    <n v="0.04"/>
    <n v="2.5999999999999999E-2"/>
  </r>
  <r>
    <s v="Epic Games, Inc."/>
    <x v="5"/>
    <s v="mongodb-friends-prod06-02"/>
    <n v="4"/>
    <n v="15000"/>
    <n v="80"/>
    <x v="1"/>
    <s v="Other"/>
    <x v="0"/>
    <s v="Other"/>
    <s v="Friend Service"/>
    <s v="Dev MongoDB"/>
    <s v="Common Services (Prod06)"/>
    <n v="0.26600000000000001"/>
    <n v="0.16300000000000001"/>
    <n v="0.104"/>
  </r>
  <r>
    <s v="Epic Games, Inc."/>
    <x v="1"/>
    <s v="docs-website-gamedev-i-9f722abe"/>
    <n v="1"/>
    <n v="1700"/>
    <n v="160"/>
    <x v="0"/>
    <s v="Other"/>
    <x v="1"/>
    <s v="docs-website"/>
    <s v="[DEV]"/>
    <s v="Dev Website Gamedev"/>
    <s v="DEV"/>
    <n v="4.3999999999999997E-2"/>
    <n v="2.4E-2"/>
    <n v="1.4999999999999999E-2"/>
  </r>
  <r>
    <s v="Epic Games, Inc."/>
    <x v="5"/>
    <s v="mongodb-fortnite-prod11-03"/>
    <n v="4"/>
    <n v="15000"/>
    <n v="80"/>
    <x v="1"/>
    <s v="Other"/>
    <x v="0"/>
    <s v="Other"/>
    <s v="Fortnite Service"/>
    <s v="Dev MongoDB"/>
    <s v="Fortnite"/>
    <n v="0.26600000000000001"/>
    <n v="0.16300000000000001"/>
    <n v="0.104"/>
  </r>
  <r>
    <s v="Epic Games, Inc."/>
    <x v="4"/>
    <s v="mongodb-tigase-prod06-03"/>
    <n v="1"/>
    <n v="3750"/>
    <n v="4"/>
    <x v="1"/>
    <s v="Other"/>
    <x v="0"/>
    <s v="Other"/>
    <s v="Tigase"/>
    <s v="Dev MongoDB"/>
    <s v="Common Services (Prod06)"/>
    <n v="6.7000000000000004E-2"/>
    <n v="0.04"/>
    <n v="2.5999999999999999E-2"/>
  </r>
  <r>
    <s v="Epic Games, Inc."/>
    <x v="16"/>
    <s v="mongodb-account-prod03-01"/>
    <n v="8"/>
    <n v="61000"/>
    <n v="1440"/>
    <x v="0"/>
    <s v="Other"/>
    <x v="0"/>
    <s v="Other"/>
    <s v="Account Service"/>
    <s v="Dev MongoDB"/>
    <s v="Account Services (Prod03)"/>
    <n v="1.7050000000000001"/>
    <n v="0.71199999999999997"/>
    <n v="0.42299999999999999"/>
  </r>
  <r>
    <s v="Epic Games, Inc."/>
    <x v="8"/>
    <s v="mariadb-common-prod04-03"/>
    <n v="8"/>
    <n v="30000"/>
    <n v="160"/>
    <x v="20"/>
    <s v="Other"/>
    <x v="0"/>
    <s v="Other"/>
    <s v="Mariadb Common"/>
    <s v="Dev MariaDB"/>
    <s v="VBulletin (Prod04)"/>
    <n v="0.53200000000000003"/>
    <n v="0.32400000000000001"/>
    <n v="0.20899999999999999"/>
  </r>
  <r>
    <s v="Epic Games, Inc."/>
    <x v="1"/>
    <s v="catalogv2-admin-service-gamedev-i-46c10515"/>
    <n v="1"/>
    <n v="1700"/>
    <n v="160"/>
    <x v="0"/>
    <s v="Other"/>
    <x v="1"/>
    <s v="catalogv2-service"/>
    <s v="[DEV]"/>
    <s v="Dev Admin Service Gamedev"/>
    <s v="DEV"/>
    <n v="4.3999999999999997E-2"/>
    <n v="2.4E-2"/>
    <n v="1.4999999999999999E-2"/>
  </r>
  <r>
    <s v="Epic Games, Inc."/>
    <x v="5"/>
    <s v="elasticsearch-catalog-prod06-02"/>
    <n v="4"/>
    <n v="15000"/>
    <n v="80"/>
    <x v="1"/>
    <s v="Other"/>
    <x v="0"/>
    <s v="Other"/>
    <s v="Catalog Service"/>
    <s v="Other"/>
    <s v="Common Services (Prod06)"/>
    <n v="0.26600000000000001"/>
    <n v="0.16300000000000001"/>
    <n v="0.104"/>
  </r>
  <r>
    <s v="Epic Games, Inc."/>
    <x v="1"/>
    <s v="catalogv2-admin-service-stage-i-835c55a9"/>
    <n v="1"/>
    <n v="1700"/>
    <n v="160"/>
    <x v="0"/>
    <s v="Other"/>
    <x v="0"/>
    <s v="Other"/>
    <s v="Catalog Service"/>
    <s v="Dev Admin Service Load Test"/>
    <s v="Staging"/>
    <n v="4.3999999999999997E-2"/>
    <n v="2.4E-2"/>
    <n v="1.4999999999999999E-2"/>
  </r>
  <r>
    <s v="Epic Games, Inc."/>
    <x v="1"/>
    <s v="rabbitmq-common-gamedev-01"/>
    <n v="1"/>
    <n v="1700"/>
    <n v="160"/>
    <x v="0"/>
    <s v="Other"/>
    <x v="1"/>
    <s v="rabbitmq"/>
    <s v="[DEV]"/>
    <s v="Dev Common Gamedev"/>
    <s v="DEV"/>
    <n v="4.3999999999999997E-2"/>
    <n v="2.4E-2"/>
    <n v="1.4999999999999999E-2"/>
  </r>
  <r>
    <s v="Epic Games, Inc."/>
    <x v="1"/>
    <s v="fulfillment-public-service-gamedev-i-e0fb710b"/>
    <n v="1"/>
    <n v="1700"/>
    <n v="160"/>
    <x v="0"/>
    <s v="Other"/>
    <x v="1"/>
    <s v="fulfillment-service"/>
    <s v="[DEV]"/>
    <s v="Dev Public Service Gamedev"/>
    <s v="DEV"/>
    <n v="4.3999999999999997E-2"/>
    <n v="2.4E-2"/>
    <n v="1.4999999999999999E-2"/>
  </r>
  <r>
    <s v="Epic Games, Inc."/>
    <x v="1"/>
    <s v="pgsql-common-stage-03"/>
    <n v="1"/>
    <n v="1700"/>
    <n v="160"/>
    <x v="2"/>
    <s v="Other"/>
    <x v="0"/>
    <s v="Other"/>
    <s v="Postgres Common"/>
    <s v="Other"/>
    <s v="Staging"/>
    <n v="4.3999999999999997E-2"/>
    <n v="2.4E-2"/>
    <n v="1.4999999999999999E-2"/>
  </r>
  <r>
    <s v="Epic Games, Inc."/>
    <x v="1"/>
    <s v="mongodb-launcher-prod06-05"/>
    <n v="1"/>
    <n v="1700"/>
    <n v="160"/>
    <x v="0"/>
    <s v="Other"/>
    <x v="0"/>
    <s v="Other"/>
    <s v="Launcher Service"/>
    <s v="Dev MongoDB"/>
    <s v="Common Services (Prod06)"/>
    <n v="4.3999999999999997E-2"/>
    <n v="2.4E-2"/>
    <n v="1.4999999999999999E-2"/>
  </r>
  <r>
    <s v="Epic Games, Inc."/>
    <x v="4"/>
    <s v="mongodb-tigase-ci-04"/>
    <n v="1"/>
    <n v="3750"/>
    <n v="4"/>
    <x v="7"/>
    <s v="Other"/>
    <x v="1"/>
    <s v="mongodb"/>
    <s v="[DEV]"/>
    <s v="Dev MongoDB"/>
    <s v="DEV"/>
    <n v="6.7000000000000004E-2"/>
    <n v="0.04"/>
    <n v="2.5999999999999999E-2"/>
  </r>
  <r>
    <s v="Epic Games, Inc."/>
    <x v="2"/>
    <s v="mongodb-ut-prod10-02"/>
    <n v="2"/>
    <n v="7500"/>
    <n v="32"/>
    <x v="1"/>
    <s v="Other"/>
    <x v="0"/>
    <s v="Other"/>
    <s v="UT Service"/>
    <s v="Dev MongoDB"/>
    <s v="Unreal Tournament"/>
    <n v="0.13300000000000001"/>
    <n v="8.1000000000000003E-2"/>
    <n v="5.1999999999999998E-2"/>
  </r>
  <r>
    <s v="Epic Games, Inc."/>
    <x v="9"/>
    <s v="mongodb-fortnite-publictest-prod12-05"/>
    <n v="1"/>
    <n v="2000"/>
    <n v="0"/>
    <x v="0"/>
    <s v="Other"/>
    <x v="0"/>
    <s v="Other"/>
    <s v="Fortnite Service"/>
    <s v="Dev MongoDB"/>
    <s v="Fortnite"/>
    <n v="2.5999999999999999E-2"/>
    <n v="1.7000000000000001E-2"/>
    <n v="1.2E-2"/>
  </r>
  <r>
    <s v="Epic Games, Inc."/>
    <x v="9"/>
    <s v="mongodb-tigase-stage-03"/>
    <n v="1"/>
    <n v="2000"/>
    <n v="0"/>
    <x v="1"/>
    <s v="Other"/>
    <x v="1"/>
    <s v="mongodb"/>
    <s v="[DEV]"/>
    <s v="Dev MongoDB"/>
    <s v="DEV"/>
    <n v="2.5999999999999999E-2"/>
    <n v="1.7000000000000001E-2"/>
    <n v="1.2E-2"/>
  </r>
  <r>
    <s v="Epic Games, Inc."/>
    <x v="5"/>
    <s v="mongodb-coderedemption-prod06-03"/>
    <n v="4"/>
    <n v="15000"/>
    <n v="80"/>
    <x v="1"/>
    <s v="Other"/>
    <x v="0"/>
    <s v="Other"/>
    <s v="Coderedemption"/>
    <s v="Dev MongoDB"/>
    <s v="Common Services (Prod06)"/>
    <n v="0.26600000000000001"/>
    <n v="0.16300000000000001"/>
    <n v="0.104"/>
  </r>
  <r>
    <s v="Epic Games, Inc."/>
    <x v="1"/>
    <s v="redis-account02-releaseqa-02"/>
    <n v="1"/>
    <n v="1700"/>
    <n v="160"/>
    <x v="0"/>
    <s v="Other"/>
    <x v="1"/>
    <s v="redis"/>
    <s v="[DEV]"/>
    <s v="Dev Redis"/>
    <s v="DEV"/>
    <n v="4.3999999999999997E-2"/>
    <n v="2.4E-2"/>
    <n v="1.4999999999999999E-2"/>
  </r>
  <r>
    <s v="Epic Games, Inc."/>
    <x v="10"/>
    <s v="gateway-dev-1a"/>
    <n v="1"/>
    <n v="615"/>
    <n v="160"/>
    <x v="6"/>
    <s v="Other"/>
    <x v="1"/>
    <s v="gateway-dev"/>
    <s v="[DEV]"/>
    <s v="Other"/>
    <s v="Infrastructure and Management"/>
    <n v="0.02"/>
    <n v="1.2E-2"/>
    <n v="8.0000000000000002E-3"/>
  </r>
  <r>
    <s v="Epic Games, Inc."/>
    <x v="1"/>
    <s v="pgsql-common-releaseqa-03"/>
    <n v="1"/>
    <n v="1700"/>
    <n v="160"/>
    <x v="2"/>
    <s v="Other"/>
    <x v="1"/>
    <s v="pgsql"/>
    <s v="[DEV]"/>
    <s v="Dev Common ReleaseQA"/>
    <s v="DEV"/>
    <n v="4.3999999999999997E-2"/>
    <n v="2.4E-2"/>
    <n v="1.4999999999999999E-2"/>
  </r>
  <r>
    <s v="Epic Games, Inc."/>
    <x v="14"/>
    <s v="mediawiki-website-prod05-i-01e091ea"/>
    <n v="8"/>
    <n v="15000"/>
    <n v="160"/>
    <x v="0"/>
    <s v="Other"/>
    <x v="0"/>
    <s v="Other"/>
    <s v="Mediawiki"/>
    <s v="Other"/>
    <s v="MediaWiki (Prod05)"/>
    <n v="0.42"/>
    <n v="0.248"/>
    <n v="0.157"/>
  </r>
  <r>
    <s v="Epic Games, Inc."/>
    <x v="1"/>
    <s v="orderprocessor-admin-service-releaseqa-i-8161cdac"/>
    <n v="1"/>
    <n v="1700"/>
    <n v="160"/>
    <x v="0"/>
    <s v="Other"/>
    <x v="1"/>
    <s v="orderprocessor-service"/>
    <s v="[DEV]"/>
    <s v="Dev Admin Service ReleaseQA"/>
    <s v="DEV"/>
    <n v="4.3999999999999997E-2"/>
    <n v="2.4E-2"/>
    <n v="1.4999999999999999E-2"/>
  </r>
  <r>
    <s v="Epic Games, Inc."/>
    <x v="9"/>
    <s v="kcontrol1-mgmt-03"/>
    <n v="1"/>
    <n v="2000"/>
    <n v="0"/>
    <x v="18"/>
    <s v="Other"/>
    <x v="1"/>
    <s v="Unknown"/>
    <s v="[DEV]"/>
    <s v="Other"/>
    <s v="DEV"/>
    <n v="2.5999999999999999E-2"/>
    <n v="1.7000000000000001E-2"/>
    <n v="1.2E-2"/>
  </r>
  <r>
    <s v="Epic Games, Inc."/>
    <x v="1"/>
    <s v="mongodb-common-releaseqa-01"/>
    <n v="1"/>
    <n v="1700"/>
    <n v="160"/>
    <x v="7"/>
    <s v="Other"/>
    <x v="1"/>
    <s v="mongodb"/>
    <s v="[DEV]"/>
    <s v="Dev Common ReleaseQA"/>
    <s v="DEV"/>
    <n v="4.3999999999999997E-2"/>
    <n v="2.4E-2"/>
    <n v="1.4999999999999999E-2"/>
  </r>
  <r>
    <s v="Epic Games, Inc."/>
    <x v="6"/>
    <s v="mongodb-persona-prod06-05"/>
    <n v="2"/>
    <n v="4000"/>
    <n v="0"/>
    <x v="0"/>
    <s v="Other"/>
    <x v="0"/>
    <s v="Other"/>
    <s v="Persona Service"/>
    <s v="Dev MongoDB"/>
    <s v="Common Services (Prod06)"/>
    <n v="5.1999999999999998E-2"/>
    <n v="3.4000000000000002E-2"/>
    <n v="2.3E-2"/>
  </r>
  <r>
    <s v="Epic Games, Inc."/>
    <x v="2"/>
    <s v="mongodb-persona-prod06-03"/>
    <n v="2"/>
    <n v="7500"/>
    <n v="32"/>
    <x v="1"/>
    <s v="Other"/>
    <x v="0"/>
    <s v="Other"/>
    <s v="Persona Service"/>
    <s v="Dev MongoDB"/>
    <s v="Common Services (Prod06)"/>
    <n v="0.13300000000000001"/>
    <n v="8.1000000000000003E-2"/>
    <n v="5.1999999999999998E-2"/>
  </r>
  <r>
    <s v="Epic Games, Inc."/>
    <x v="8"/>
    <s v="mongodb-account-prod03-02"/>
    <n v="8"/>
    <n v="30000"/>
    <n v="160"/>
    <x v="1"/>
    <s v="Other"/>
    <x v="0"/>
    <s v="Other"/>
    <s v="Account Service"/>
    <s v="Dev MongoDB"/>
    <s v="Account Services (Prod03)"/>
    <n v="0.53200000000000003"/>
    <n v="0.32400000000000001"/>
    <n v="0.20899999999999999"/>
  </r>
  <r>
    <s v="Epic Games, Inc."/>
    <x v="1"/>
    <s v="fortnite-public-service-main-gamedev-i-e353eab0"/>
    <n v="1"/>
    <n v="1700"/>
    <n v="160"/>
    <x v="0"/>
    <s v="Other"/>
    <x v="1"/>
    <s v="fortnite-service"/>
    <s v="[DEV]"/>
    <s v="Dev Fortnite Gamedev"/>
    <s v="DEV"/>
    <n v="4.3999999999999997E-2"/>
    <n v="2.4E-2"/>
    <n v="1.4999999999999999E-2"/>
  </r>
  <r>
    <s v="Epic Games, Inc."/>
    <x v="1"/>
    <s v="subscriptionv2-public-service-ci-i-a95965f8"/>
    <n v="1"/>
    <n v="1700"/>
    <n v="160"/>
    <x v="0"/>
    <s v="Other"/>
    <x v="1"/>
    <s v="subscriptionv2-service"/>
    <s v="[DEV]"/>
    <s v="Dev Public Service CI"/>
    <s v="DEV"/>
    <n v="4.3999999999999997E-2"/>
    <n v="2.4E-2"/>
    <n v="1.4999999999999999E-2"/>
  </r>
  <r>
    <s v="Epic Games, Inc."/>
    <x v="5"/>
    <s v="pgsql-payment-ecomprod02-03"/>
    <n v="4"/>
    <n v="15000"/>
    <n v="80"/>
    <x v="20"/>
    <s v="Other"/>
    <x v="0"/>
    <s v="Other"/>
    <s v="Paymentv2 Service"/>
    <s v="Other"/>
    <s v="Ecom (Prod02)"/>
    <n v="0.26600000000000001"/>
    <n v="0.16300000000000001"/>
    <n v="0.104"/>
  </r>
  <r>
    <s v="Epic Games, Inc."/>
    <x v="1"/>
    <s v="mariadb-common-ci-01"/>
    <n v="1"/>
    <n v="1700"/>
    <n v="160"/>
    <x v="1"/>
    <s v="Other"/>
    <x v="1"/>
    <s v="mariadb"/>
    <s v="[DEV]"/>
    <s v="Dev Common CI"/>
    <s v="DEV"/>
    <n v="4.3999999999999997E-2"/>
    <n v="2.4E-2"/>
    <n v="1.4999999999999999E-2"/>
  </r>
  <r>
    <s v="Epic Games, Inc."/>
    <x v="9"/>
    <s v="riak-common-gamedev-01"/>
    <n v="1"/>
    <n v="2000"/>
    <n v="0"/>
    <x v="8"/>
    <s v="Other"/>
    <x v="1"/>
    <s v="riak"/>
    <s v="[DEV]"/>
    <s v="Dev Common Gamedev"/>
    <s v="DEV"/>
    <n v="2.5999999999999999E-2"/>
    <n v="1.7000000000000001E-2"/>
    <n v="1.2E-2"/>
  </r>
  <r>
    <s v="Epic Games, Inc."/>
    <x v="9"/>
    <s v="mongodb-tigase-releaseqa-04"/>
    <n v="1"/>
    <n v="2000"/>
    <n v="0"/>
    <x v="7"/>
    <s v="Other"/>
    <x v="1"/>
    <s v="mongodb"/>
    <s v="[DEV]"/>
    <s v="Dev MongoDB"/>
    <s v="DEV"/>
    <n v="2.5999999999999999E-2"/>
    <n v="1.7000000000000001E-2"/>
    <n v="1.2E-2"/>
  </r>
  <r>
    <s v="Epic Games, Inc."/>
    <x v="9"/>
    <s v="lightswitch-public-service-releaseqa-i-c4307a29"/>
    <n v="1"/>
    <n v="2000"/>
    <n v="0"/>
    <x v="0"/>
    <s v="Other"/>
    <x v="1"/>
    <s v="lightswitch-service"/>
    <s v="[DEV]"/>
    <s v="Dev Public Service ReleaseQA"/>
    <s v="DEV"/>
    <n v="2.5999999999999999E-2"/>
    <n v="1.7000000000000001E-2"/>
    <n v="1.2E-2"/>
  </r>
  <r>
    <s v="Epic Games, Inc."/>
    <x v="1"/>
    <s v="orderprocessor-public-service-releaseqa-i-fa61cdd7"/>
    <n v="1"/>
    <n v="1700"/>
    <n v="160"/>
    <x v="0"/>
    <s v="Other"/>
    <x v="1"/>
    <s v="orderprocessor-service"/>
    <s v="[DEV]"/>
    <s v="Dev Public Service ReleaseQA"/>
    <s v="DEV"/>
    <n v="4.3999999999999997E-2"/>
    <n v="2.4E-2"/>
    <n v="1.4999999999999999E-2"/>
  </r>
  <r>
    <s v="Epic Games, Inc."/>
    <x v="1"/>
    <s v="paymentv2-admin-service-gamedev-i-9973aac9"/>
    <n v="1"/>
    <n v="1700"/>
    <n v="160"/>
    <x v="0"/>
    <s v="Other"/>
    <x v="1"/>
    <s v="paymentv2-service"/>
    <s v="[DEV]"/>
    <s v="Dev Admin Service Gamedev"/>
    <s v="DEV"/>
    <n v="4.3999999999999997E-2"/>
    <n v="2.4E-2"/>
    <n v="1.4999999999999999E-2"/>
  </r>
  <r>
    <s v="Epic Games, Inc."/>
    <x v="1"/>
    <s v="subscriptionv2-public-service-gamedev-i-30815960"/>
    <n v="1"/>
    <n v="1700"/>
    <n v="160"/>
    <x v="0"/>
    <s v="Other"/>
    <x v="1"/>
    <s v="subscriptionv2-service"/>
    <s v="[DEV]"/>
    <s v="Dev Public Service Gamedev"/>
    <s v="DEV"/>
    <n v="4.3999999999999997E-2"/>
    <n v="2.4E-2"/>
    <n v="1.4999999999999999E-2"/>
  </r>
  <r>
    <s v="Epic Games, Inc."/>
    <x v="5"/>
    <s v="mongodb-buildinfo-prod06-04"/>
    <n v="4"/>
    <n v="15000"/>
    <n v="80"/>
    <x v="7"/>
    <s v="Other"/>
    <x v="0"/>
    <s v="Other"/>
    <s v="Buildinfo Service"/>
    <s v="Dev MongoDB"/>
    <s v="Common Services (Prod06)"/>
    <n v="0.26600000000000001"/>
    <n v="0.16300000000000001"/>
    <n v="0.104"/>
  </r>
  <r>
    <s v="Epic Games, Inc."/>
    <x v="9"/>
    <s v="mongodb-tigase-stage-04"/>
    <n v="1"/>
    <n v="2000"/>
    <n v="0"/>
    <x v="7"/>
    <s v="Other"/>
    <x v="1"/>
    <s v="mongodb"/>
    <s v="[DEV]"/>
    <s v="Dev MongoDB"/>
    <s v="DEV"/>
    <n v="2.5999999999999999E-2"/>
    <n v="1.7000000000000001E-2"/>
    <n v="1.2E-2"/>
  </r>
  <r>
    <s v="Epic Games, Inc."/>
    <x v="9"/>
    <s v="persona-admin-service-stage-i-50c029bd"/>
    <n v="1"/>
    <n v="2000"/>
    <n v="0"/>
    <x v="0"/>
    <s v="Other"/>
    <x v="0"/>
    <s v="Other"/>
    <s v="Persona Service"/>
    <s v="Dev Admin Service Load Test"/>
    <s v="Staging"/>
    <n v="2.5999999999999999E-2"/>
    <n v="1.7000000000000001E-2"/>
    <n v="1.2E-2"/>
  </r>
  <r>
    <s v="Epic Games, Inc."/>
    <x v="1"/>
    <s v="fortnite-admin-servicecron-latest-gamedev-i-05e13f56"/>
    <n v="1"/>
    <n v="1700"/>
    <n v="160"/>
    <x v="0"/>
    <s v="Other"/>
    <x v="1"/>
    <s v="fortnite-service"/>
    <s v="[DEV]"/>
    <s v="Dev Fortnite Gamedev"/>
    <s v="DEV"/>
    <n v="4.3999999999999997E-2"/>
    <n v="2.4E-2"/>
    <n v="1.4999999999999999E-2"/>
  </r>
  <r>
    <s v="Epic Games, Inc."/>
    <x v="1"/>
    <s v="launcher-admin-service-gamedev-i-af76cffc"/>
    <n v="1"/>
    <n v="1700"/>
    <n v="160"/>
    <x v="0"/>
    <s v="Other"/>
    <x v="1"/>
    <s v="launcher-service"/>
    <s v="[DEV]"/>
    <s v="Dev Admin Service Gamedev"/>
    <s v="DEV"/>
    <n v="4.3999999999999997E-2"/>
    <n v="2.4E-2"/>
    <n v="1.4999999999999999E-2"/>
  </r>
  <r>
    <s v="Epic Games, Inc."/>
    <x v="0"/>
    <s v="fortnite-maintenance-website-prod07-i-249e55c8"/>
    <n v="2"/>
    <n v="3750"/>
    <n v="32"/>
    <x v="0"/>
    <s v="Other"/>
    <x v="0"/>
    <s v="Other"/>
    <s v="Fortnite Website"/>
    <s v="Other"/>
    <s v="Fortnite"/>
    <n v="0.105"/>
    <n v="6.2E-2"/>
    <n v="3.9E-2"/>
  </r>
  <r>
    <s v="Epic Games, Inc."/>
    <x v="9"/>
    <s v="pgsql-bdr-cluster-common-ci-03"/>
    <n v="1"/>
    <n v="2000"/>
    <n v="0"/>
    <x v="1"/>
    <s v="Other"/>
    <x v="1"/>
    <s v="pgsql"/>
    <s v="[DEV]"/>
    <s v="Dev Common CI"/>
    <s v="DEV"/>
    <n v="2.5999999999999999E-2"/>
    <n v="1.7000000000000001E-2"/>
    <n v="1.2E-2"/>
  </r>
  <r>
    <s v="Epic Games, Inc."/>
    <x v="1"/>
    <s v="login-service-sword-gamedev-i-ec8b45bc"/>
    <n v="1"/>
    <n v="1700"/>
    <n v="160"/>
    <x v="0"/>
    <s v="Other"/>
    <x v="1"/>
    <s v="login-service"/>
    <s v="[DEV]"/>
    <s v="Dev Infinity Blade"/>
    <s v="DEV"/>
    <n v="4.3999999999999997E-2"/>
    <n v="2.4E-2"/>
    <n v="1.4999999999999999E-2"/>
  </r>
  <r>
    <s v="Epic Games, Inc."/>
    <x v="1"/>
    <s v="commentrating-admin-service-releaseqa-i-b21e3799"/>
    <n v="1"/>
    <n v="1700"/>
    <n v="160"/>
    <x v="0"/>
    <s v="Other"/>
    <x v="1"/>
    <s v="commentrating-service"/>
    <s v="[DEV]"/>
    <s v="Dev Admin Service ReleaseQA"/>
    <s v="DEV"/>
    <n v="4.3999999999999997E-2"/>
    <n v="2.4E-2"/>
    <n v="1.4999999999999999E-2"/>
  </r>
  <r>
    <s v="Epic Games, Inc."/>
    <x v="9"/>
    <s v="mariadb-common-releaseqa-01"/>
    <n v="1"/>
    <n v="2000"/>
    <n v="0"/>
    <x v="7"/>
    <s v="Other"/>
    <x v="1"/>
    <s v="mariadb"/>
    <s v="[DEV]"/>
    <s v="Dev Common ReleaseQA"/>
    <s v="DEV"/>
    <n v="2.5999999999999999E-2"/>
    <n v="1.7000000000000001E-2"/>
    <n v="1.2E-2"/>
  </r>
  <r>
    <s v="Epic Games, Inc."/>
    <x v="9"/>
    <s v="mongodb-tigase-releaseqa-03"/>
    <n v="1"/>
    <n v="2000"/>
    <n v="0"/>
    <x v="1"/>
    <s v="Other"/>
    <x v="1"/>
    <s v="mongodb"/>
    <s v="[DEV]"/>
    <s v="Dev MongoDB"/>
    <s v="DEV"/>
    <n v="2.5999999999999999E-2"/>
    <n v="1.7000000000000001E-2"/>
    <n v="1.2E-2"/>
  </r>
  <r>
    <s v="Epic Games, Inc."/>
    <x v="1"/>
    <s v="orderprocessor-admin-service-ci-i-82120aa9"/>
    <n v="1"/>
    <n v="1700"/>
    <n v="160"/>
    <x v="0"/>
    <s v="Other"/>
    <x v="1"/>
    <s v="orderprocessor-service"/>
    <s v="[DEV]"/>
    <s v="Dev Admin Service CI"/>
    <s v="DEV"/>
    <n v="4.3999999999999997E-2"/>
    <n v="2.4E-2"/>
    <n v="1.4999999999999999E-2"/>
  </r>
  <r>
    <s v="Epic Games, Inc."/>
    <x v="1"/>
    <s v="buildinfo-public-service-gamedev-i-706bd223"/>
    <n v="1"/>
    <n v="1700"/>
    <n v="160"/>
    <x v="0"/>
    <s v="Other"/>
    <x v="1"/>
    <s v="buildinfo-service"/>
    <s v="[DEV]"/>
    <s v="Dev Public Service Gamedev"/>
    <s v="DEV"/>
    <n v="4.3999999999999997E-2"/>
    <n v="2.4E-2"/>
    <n v="1.4999999999999999E-2"/>
  </r>
  <r>
    <s v="Epic Games, Inc."/>
    <x v="8"/>
    <s v="mongodb-prod-02"/>
    <n v="8"/>
    <n v="30000"/>
    <n v="160"/>
    <x v="1"/>
    <s v="Other"/>
    <x v="0"/>
    <s v="Other"/>
    <s v="Sword Service"/>
    <s v="Dev MongoDB"/>
    <s v="Infinity Blade 3"/>
    <n v="0.53200000000000003"/>
    <n v="0.32400000000000001"/>
    <n v="0.20899999999999999"/>
  </r>
  <r>
    <s v="Epic Games, Inc."/>
    <x v="1"/>
    <s v="rabbitmq-common-ci-01"/>
    <n v="1"/>
    <n v="1700"/>
    <n v="160"/>
    <x v="0"/>
    <s v="Other"/>
    <x v="1"/>
    <s v="rabbitmq"/>
    <s v="[DEV]"/>
    <s v="Dev Common CI"/>
    <s v="DEV"/>
    <n v="4.3999999999999997E-2"/>
    <n v="2.4E-2"/>
    <n v="1.4999999999999999E-2"/>
  </r>
  <r>
    <s v="Epic Games, Inc."/>
    <x v="1"/>
    <s v="paymentv2-public-service-gamedev-i-bd46baee"/>
    <n v="1"/>
    <n v="1700"/>
    <n v="160"/>
    <x v="0"/>
    <s v="Other"/>
    <x v="1"/>
    <s v="paymentv2-service"/>
    <s v="[DEV]"/>
    <s v="Dev Public Service Gamedev"/>
    <s v="DEV"/>
    <n v="4.3999999999999997E-2"/>
    <n v="2.4E-2"/>
    <n v="1.4999999999999999E-2"/>
  </r>
  <r>
    <s v="Epic Games, Inc."/>
    <x v="8"/>
    <s v="mongodb-prod-03"/>
    <n v="8"/>
    <n v="30000"/>
    <n v="160"/>
    <x v="1"/>
    <s v="Other"/>
    <x v="0"/>
    <s v="Other"/>
    <s v="Sword Service"/>
    <s v="Dev MongoDB"/>
    <s v="Infinity Blade 3"/>
    <n v="0.53200000000000003"/>
    <n v="0.32400000000000001"/>
    <n v="0.20899999999999999"/>
  </r>
  <r>
    <s v="Epic Games, Inc."/>
    <x v="9"/>
    <s v="lightswitch-admin-service-releaseqa-i-60f8eb8b"/>
    <n v="1"/>
    <n v="2000"/>
    <n v="0"/>
    <x v="0"/>
    <s v="Other"/>
    <x v="1"/>
    <s v="lightswitch-service"/>
    <s v="[DEV]"/>
    <s v="Dev Admin Service ReleaseQA"/>
    <s v="DEV"/>
    <n v="2.5999999999999999E-2"/>
    <n v="1.7000000000000001E-2"/>
    <n v="1.2E-2"/>
  </r>
  <r>
    <s v="Epic Games, Inc."/>
    <x v="12"/>
    <s v="redis-account01-prod03-02"/>
    <n v="32"/>
    <n v="60000"/>
    <n v="640"/>
    <x v="0"/>
    <s v="Other"/>
    <x v="0"/>
    <s v="Other"/>
    <s v="Account Service"/>
    <s v="Other"/>
    <s v="Account Services (Prod03)"/>
    <n v="1.68"/>
    <n v="0.99199999999999999"/>
    <n v="0.628"/>
  </r>
  <r>
    <s v="Epic Games, Inc."/>
    <x v="1"/>
    <s v="ocean-admin-service-ci-i-303e1c1b"/>
    <n v="1"/>
    <n v="1700"/>
    <n v="160"/>
    <x v="0"/>
    <s v="Other"/>
    <x v="1"/>
    <s v="ocean-service"/>
    <s v="[DEV]"/>
    <s v="Dev Admin Service CI"/>
    <s v="DEV"/>
    <n v="4.3999999999999997E-2"/>
    <n v="2.4E-2"/>
    <n v="1.4999999999999999E-2"/>
  </r>
  <r>
    <s v="Epic Games, Inc."/>
    <x v="1"/>
    <s v="publishing-admin-service-gamedev-i-9ee754b3"/>
    <n v="1"/>
    <n v="1700"/>
    <n v="160"/>
    <x v="0"/>
    <s v="Other"/>
    <x v="1"/>
    <s v="publishing-service"/>
    <s v="[DEV]"/>
    <s v="Dev Admin Service Gamedev"/>
    <s v="DEV"/>
    <n v="4.3999999999999997E-2"/>
    <n v="2.4E-2"/>
    <n v="1.4999999999999999E-2"/>
  </r>
  <r>
    <s v="Epic Games, Inc."/>
    <x v="1"/>
    <s v="commentrating-public-service-releaseqa-i-78fcd152"/>
    <n v="1"/>
    <n v="1700"/>
    <n v="160"/>
    <x v="0"/>
    <s v="Other"/>
    <x v="1"/>
    <s v="commentrating-service"/>
    <s v="[DEV]"/>
    <s v="Dev Public Service ReleaseQA"/>
    <s v="DEV"/>
    <n v="4.3999999999999997E-2"/>
    <n v="2.4E-2"/>
    <n v="1.4999999999999999E-2"/>
  </r>
  <r>
    <s v="Epic Games, Inc."/>
    <x v="9"/>
    <s v="mongodb-tigase-ci-05"/>
    <n v="1"/>
    <n v="2000"/>
    <n v="0"/>
    <x v="0"/>
    <s v="Other"/>
    <x v="1"/>
    <s v="mongodb"/>
    <s v="[DEV]"/>
    <s v="Dev MongoDB"/>
    <s v="DEV"/>
    <n v="2.5999999999999999E-2"/>
    <n v="1.7000000000000001E-2"/>
    <n v="1.2E-2"/>
  </r>
  <r>
    <s v="Epic Games, Inc."/>
    <x v="14"/>
    <s v="vbulletin-website-prod04-i-871d14a9"/>
    <n v="8"/>
    <n v="15000"/>
    <n v="160"/>
    <x v="0"/>
    <s v="Other"/>
    <x v="0"/>
    <s v="Other"/>
    <s v="UE Vbulletin"/>
    <s v="Other"/>
    <s v="VBulletin (Prod04)"/>
    <n v="0.42"/>
    <n v="0.248"/>
    <n v="0.157"/>
  </r>
  <r>
    <s v="Epic Games, Inc."/>
    <x v="1"/>
    <s v="pgsql-common-gamedev-01"/>
    <n v="1"/>
    <n v="1700"/>
    <n v="160"/>
    <x v="8"/>
    <s v="Other"/>
    <x v="1"/>
    <s v="pgsql"/>
    <s v="[DEV]"/>
    <s v="Dev Common Gamedev"/>
    <s v="DEV"/>
    <n v="4.3999999999999997E-2"/>
    <n v="2.4E-2"/>
    <n v="1.4999999999999999E-2"/>
  </r>
  <r>
    <s v="Epic Games, Inc."/>
    <x v="1"/>
    <s v="ut-public-service-ci-i-c20d7291"/>
    <n v="1"/>
    <n v="1700"/>
    <n v="160"/>
    <x v="0"/>
    <s v="Other"/>
    <x v="1"/>
    <s v="ut-service"/>
    <s v="[DEV]"/>
    <s v="Dev Unreal Tournament CI"/>
    <s v="DEV"/>
    <n v="4.3999999999999997E-2"/>
    <n v="2.4E-2"/>
    <n v="1.4999999999999999E-2"/>
  </r>
  <r>
    <s v="Epic Games, Inc."/>
    <x v="9"/>
    <s v="riak-common-ci-05"/>
    <n v="1"/>
    <n v="2000"/>
    <n v="0"/>
    <x v="8"/>
    <s v="Other"/>
    <x v="1"/>
    <s v="riak"/>
    <s v="[DEV]"/>
    <s v="Dev Common CI"/>
    <s v="DEV"/>
    <n v="2.5999999999999999E-2"/>
    <n v="1.7000000000000001E-2"/>
    <n v="1.2E-2"/>
  </r>
  <r>
    <s v="Epic Games, Inc."/>
    <x v="1"/>
    <s v="launcher-public-service-releaseqa-i-a154d1f2"/>
    <n v="1"/>
    <n v="1700"/>
    <n v="160"/>
    <x v="0"/>
    <s v="Other"/>
    <x v="1"/>
    <s v="launcher-service"/>
    <s v="[DEV]"/>
    <s v="Dev Public Service ReleaseQA"/>
    <s v="DEV"/>
    <n v="4.3999999999999997E-2"/>
    <n v="2.4E-2"/>
    <n v="1.4999999999999999E-2"/>
  </r>
  <r>
    <s v="Epic Games, Inc."/>
    <x v="1"/>
    <s v="shoppingcart-public-service-ci-i-423d6e69"/>
    <n v="1"/>
    <n v="1700"/>
    <n v="160"/>
    <x v="0"/>
    <s v="Other"/>
    <x v="1"/>
    <s v="shoppingcart-service"/>
    <s v="[DEV]"/>
    <s v="Dev Public Service CI"/>
    <s v="DEV"/>
    <n v="4.3999999999999997E-2"/>
    <n v="2.4E-2"/>
    <n v="1.4999999999999999E-2"/>
  </r>
  <r>
    <s v="Epic Games, Inc."/>
    <x v="9"/>
    <s v="riak-common-ci-02"/>
    <n v="1"/>
    <n v="2000"/>
    <n v="0"/>
    <x v="8"/>
    <s v="Other"/>
    <x v="1"/>
    <s v="riak"/>
    <s v="[DEV]"/>
    <s v="Dev Common CI"/>
    <s v="DEV"/>
    <n v="2.5999999999999999E-2"/>
    <n v="1.7000000000000001E-2"/>
    <n v="1.2E-2"/>
  </r>
  <r>
    <s v="Epic Games, Inc."/>
    <x v="1"/>
    <s v="fulfillment-admin-service-releaseqa-i-796fe754"/>
    <n v="1"/>
    <n v="1700"/>
    <n v="160"/>
    <x v="0"/>
    <s v="Other"/>
    <x v="1"/>
    <s v="fulfillment-service"/>
    <s v="[DEV]"/>
    <s v="Dev Admin Service ReleaseQA"/>
    <s v="DEV"/>
    <n v="4.3999999999999997E-2"/>
    <n v="2.4E-2"/>
    <n v="1.4999999999999999E-2"/>
  </r>
  <r>
    <s v="Epic Games, Inc."/>
    <x v="1"/>
    <s v="mongodb-common-gamedev-02"/>
    <n v="1"/>
    <n v="1700"/>
    <n v="160"/>
    <x v="15"/>
    <s v="Other"/>
    <x v="1"/>
    <s v="mongodb"/>
    <s v="[DEV]"/>
    <s v="Dev Common Gamedev"/>
    <s v="DEV"/>
    <n v="4.3999999999999997E-2"/>
    <n v="2.4E-2"/>
    <n v="1.4999999999999999E-2"/>
  </r>
  <r>
    <s v="Epic Games, Inc."/>
    <x v="1"/>
    <s v="elasticsearch-service-stage-01"/>
    <n v="1"/>
    <n v="1700"/>
    <n v="160"/>
    <x v="11"/>
    <s v="Other"/>
    <x v="0"/>
    <s v="Other"/>
    <s v="ElasticSearch Common"/>
    <s v="Other"/>
    <s v="Staging"/>
    <n v="4.3999999999999997E-2"/>
    <n v="2.4E-2"/>
    <n v="1.4999999999999999E-2"/>
  </r>
  <r>
    <s v="Epic Games, Inc."/>
    <x v="1"/>
    <s v="catalogv2-admin-service-releaseqa-i-34edba1e"/>
    <n v="1"/>
    <n v="1700"/>
    <n v="160"/>
    <x v="0"/>
    <s v="Other"/>
    <x v="1"/>
    <s v="catalogv2-service"/>
    <s v="[DEV]"/>
    <s v="Dev Admin Service ReleaseQA"/>
    <s v="DEV"/>
    <n v="4.3999999999999997E-2"/>
    <n v="2.4E-2"/>
    <n v="1.4999999999999999E-2"/>
  </r>
  <r>
    <s v="Epic Games, Inc."/>
    <x v="2"/>
    <s v="zabbix-mariadb-04"/>
    <n v="2"/>
    <n v="7500"/>
    <n v="32"/>
    <x v="2"/>
    <s v="Other"/>
    <x v="2"/>
    <s v="Other"/>
    <s v="Zabbix Servers"/>
    <s v="Dev MariaDB"/>
    <s v="Infrastructure and Management"/>
    <n v="0.13300000000000001"/>
    <n v="8.1000000000000003E-2"/>
    <n v="5.1999999999999998E-2"/>
  </r>
  <r>
    <s v="Epic Games, Inc."/>
    <x v="1"/>
    <s v="sword-service-gamedev-i-51f23901"/>
    <n v="1"/>
    <n v="1700"/>
    <n v="160"/>
    <x v="0"/>
    <s v="Other"/>
    <x v="1"/>
    <s v="sword-service"/>
    <s v="[DEV]"/>
    <s v="Dev Infinity Blade"/>
    <s v="DEV"/>
    <n v="4.3999999999999997E-2"/>
    <n v="2.4E-2"/>
    <n v="1.4999999999999999E-2"/>
  </r>
  <r>
    <s v="Epic Games, Inc."/>
    <x v="10"/>
    <s v="gateway-dev-1e"/>
    <n v="1"/>
    <n v="615"/>
    <n v="160"/>
    <x v="6"/>
    <s v="Other"/>
    <x v="1"/>
    <s v="gateway-dev"/>
    <s v="[DEV]"/>
    <s v="Other"/>
    <s v="Infrastructure and Management"/>
    <n v="0.02"/>
    <n v="1.2E-2"/>
    <n v="8.0000000000000002E-3"/>
  </r>
  <r>
    <s v="Epic Games, Inc."/>
    <x v="1"/>
    <s v="elasticsearch-service-ci-01"/>
    <n v="1"/>
    <n v="1700"/>
    <n v="160"/>
    <x v="11"/>
    <s v="Other"/>
    <x v="1"/>
    <s v="elasticsearch"/>
    <s v="[DEV]"/>
    <s v="Dev Service CI (Other)"/>
    <s v="DEV"/>
    <n v="4.3999999999999997E-2"/>
    <n v="2.4E-2"/>
    <n v="1.4999999999999999E-2"/>
  </r>
  <r>
    <s v="Epic Games, Inc."/>
    <x v="2"/>
    <s v="mongodb-common-prod07-04"/>
    <n v="2"/>
    <n v="7500"/>
    <n v="32"/>
    <x v="22"/>
    <s v="Other"/>
    <x v="0"/>
    <s v="Other"/>
    <s v="Mongodb Common"/>
    <s v="Dev MongoDB"/>
    <s v="Common Website (Prod07)"/>
    <n v="0.13300000000000001"/>
    <n v="8.1000000000000003E-2"/>
    <n v="5.1999999999999998E-2"/>
  </r>
  <r>
    <s v="Epic Games, Inc."/>
    <x v="9"/>
    <s v="mongodb-tigase-gamedev-02"/>
    <n v="1"/>
    <n v="2000"/>
    <n v="0"/>
    <x v="1"/>
    <s v="Other"/>
    <x v="1"/>
    <s v="mongodb"/>
    <s v="[DEV]"/>
    <s v="Dev MongoDB"/>
    <s v="DEV"/>
    <n v="2.5999999999999999E-2"/>
    <n v="1.7000000000000001E-2"/>
    <n v="1.2E-2"/>
  </r>
  <r>
    <s v="Epic Games, Inc."/>
    <x v="9"/>
    <s v="lightswitch-admin-service-ci-i-a4a7b44f"/>
    <n v="1"/>
    <n v="2000"/>
    <n v="0"/>
    <x v="0"/>
    <s v="Other"/>
    <x v="1"/>
    <s v="lightswitch-service"/>
    <s v="[DEV]"/>
    <s v="Dev Admin Service CI"/>
    <s v="DEV"/>
    <n v="2.5999999999999999E-2"/>
    <n v="1.7000000000000001E-2"/>
    <n v="1.2E-2"/>
  </r>
  <r>
    <s v="Epic Games, Inc."/>
    <x v="1"/>
    <s v="paymentv2-admin-service-ci-i-bca20c9c"/>
    <n v="1"/>
    <n v="1700"/>
    <n v="160"/>
    <x v="0"/>
    <s v="Other"/>
    <x v="1"/>
    <s v="paymentv2-service"/>
    <s v="[DEV]"/>
    <s v="Dev Admin Service CI"/>
    <s v="DEV"/>
    <n v="4.3999999999999997E-2"/>
    <n v="2.4E-2"/>
    <n v="1.4999999999999999E-2"/>
  </r>
  <r>
    <s v="Epic Games, Inc."/>
    <x v="5"/>
    <s v="pgsql-subscription-ecomprod01-01"/>
    <n v="4"/>
    <n v="15000"/>
    <n v="80"/>
    <x v="7"/>
    <s v="Other"/>
    <x v="0"/>
    <s v="Other"/>
    <s v="SubscriptionV2 Service"/>
    <s v="Other"/>
    <s v="Ecom (Prod01)"/>
    <n v="0.26600000000000001"/>
    <n v="0.16300000000000001"/>
    <n v="0.104"/>
  </r>
  <r>
    <s v="Epic Games, Inc."/>
    <x v="6"/>
    <s v="management-limited-01"/>
    <n v="2"/>
    <n v="4000"/>
    <n v="0"/>
    <x v="0"/>
    <s v="Other"/>
    <x v="2"/>
    <s v="Other"/>
    <s v="Management Servers"/>
    <s v="Other"/>
    <s v="Infrastructure and Management"/>
    <n v="5.1999999999999998E-2"/>
    <n v="3.4000000000000002E-2"/>
    <n v="2.3E-2"/>
  </r>
  <r>
    <s v="Epic Games, Inc."/>
    <x v="7"/>
    <s v="account-admin-service-stage-i-9e03d1be"/>
    <n v="1"/>
    <n v="3750"/>
    <n v="410"/>
    <x v="0"/>
    <s v="Other"/>
    <x v="0"/>
    <s v="Other"/>
    <s v="Account Service"/>
    <s v="Dev Admin Service Load Test"/>
    <s v="Staging"/>
    <n v="8.6999999999999994E-2"/>
    <n v="4.7E-2"/>
    <n v="2.9000000000000001E-2"/>
  </r>
  <r>
    <s v="Epic Games, Inc."/>
    <x v="1"/>
    <s v="mariadb-common-stage-01"/>
    <n v="1"/>
    <n v="1700"/>
    <n v="160"/>
    <x v="7"/>
    <s v="Other"/>
    <x v="0"/>
    <s v="Other"/>
    <s v="Mariadb Common"/>
    <s v="Dev MariaDB"/>
    <s v="Staging"/>
    <n v="4.3999999999999997E-2"/>
    <n v="2.4E-2"/>
    <n v="1.4999999999999999E-2"/>
  </r>
  <r>
    <s v="Epic Games, Inc."/>
    <x v="8"/>
    <s v="zabbix-server-01"/>
    <n v="8"/>
    <n v="30000"/>
    <n v="160"/>
    <x v="0"/>
    <s v="Other"/>
    <x v="2"/>
    <s v="Other"/>
    <s v="Zabbix Servers"/>
    <s v="Other"/>
    <s v="Infrastructure and Management"/>
    <n v="0.53200000000000003"/>
    <n v="0.32400000000000001"/>
    <n v="0.20899999999999999"/>
  </r>
  <r>
    <s v="Epic Games, Inc."/>
    <x v="1"/>
    <s v="publishing-public-service-releaseqa-i-7b369551"/>
    <n v="1"/>
    <n v="1700"/>
    <n v="160"/>
    <x v="0"/>
    <s v="Other"/>
    <x v="1"/>
    <s v="publishing-service"/>
    <s v="[DEV]"/>
    <s v="Dev Public Service ReleaseQA"/>
    <s v="DEV"/>
    <n v="4.3999999999999997E-2"/>
    <n v="2.4E-2"/>
    <n v="1.4999999999999999E-2"/>
  </r>
  <r>
    <s v="Epic Games, Inc."/>
    <x v="9"/>
    <s v="kcontrol1-mgmt-01"/>
    <n v="1"/>
    <n v="2000"/>
    <n v="0"/>
    <x v="18"/>
    <s v="Other"/>
    <x v="1"/>
    <s v="Unknown"/>
    <s v="[DEV]"/>
    <s v="Other"/>
    <s v="DEV"/>
    <n v="2.5999999999999999E-2"/>
    <n v="1.7000000000000001E-2"/>
    <n v="1.2E-2"/>
  </r>
  <r>
    <s v="Epic Games, Inc."/>
    <x v="1"/>
    <s v="redis-launcher-stage-01"/>
    <n v="1"/>
    <n v="1700"/>
    <n v="160"/>
    <x v="0"/>
    <s v="Other"/>
    <x v="0"/>
    <s v="Other"/>
    <s v="Launcher Service"/>
    <s v="Other"/>
    <s v="Staging"/>
    <n v="4.3999999999999997E-2"/>
    <n v="2.4E-2"/>
    <n v="1.4999999999999999E-2"/>
  </r>
  <r>
    <s v="Epic Games, Inc."/>
    <x v="5"/>
    <s v="redis-launcher-prod06-02"/>
    <n v="4"/>
    <n v="15000"/>
    <n v="80"/>
    <x v="0"/>
    <s v="Other"/>
    <x v="0"/>
    <s v="Other"/>
    <s v="Launcher Service"/>
    <s v="Other"/>
    <s v="Common Services (Prod06)"/>
    <n v="0.26600000000000001"/>
    <n v="0.16300000000000001"/>
    <n v="0.104"/>
  </r>
  <r>
    <s v="Epic Games, Inc."/>
    <x v="0"/>
    <s v="jmeter-lt-01"/>
    <n v="2"/>
    <n v="3750"/>
    <n v="32"/>
    <x v="0"/>
    <s v="Other"/>
    <x v="1"/>
    <s v="jmeter"/>
    <s v="[DEV]"/>
    <s v="Dev Service Load Test (Other)"/>
    <s v="DEV"/>
    <n v="0.105"/>
    <n v="6.2E-2"/>
    <n v="3.9E-2"/>
  </r>
  <r>
    <s v="Epic Games, Inc."/>
    <x v="0"/>
    <s v="jmeter-lt-10"/>
    <n v="2"/>
    <n v="3750"/>
    <n v="32"/>
    <x v="0"/>
    <s v="Other"/>
    <x v="1"/>
    <s v="jmeter"/>
    <s v="[DEV]"/>
    <s v="Dev Service Load Test (Other)"/>
    <s v="DEV"/>
    <n v="0.105"/>
    <n v="6.2E-2"/>
    <n v="3.9E-2"/>
  </r>
  <r>
    <s v="Epic Games, Inc."/>
    <x v="4"/>
    <s v="mongodb-tigase-ci-01"/>
    <n v="1"/>
    <n v="3750"/>
    <n v="4"/>
    <x v="1"/>
    <s v="Other"/>
    <x v="1"/>
    <s v="mongodb"/>
    <s v="[DEV]"/>
    <s v="Dev MongoDB"/>
    <s v="DEV"/>
    <n v="6.7000000000000004E-2"/>
    <n v="0.04"/>
    <n v="2.5999999999999999E-2"/>
  </r>
  <r>
    <s v="Epic Games, Inc."/>
    <x v="9"/>
    <s v="lightswitch-public-service-ci-i-6a551f87"/>
    <n v="1"/>
    <n v="2000"/>
    <n v="0"/>
    <x v="0"/>
    <s v="Other"/>
    <x v="1"/>
    <s v="lightswitch-service"/>
    <s v="[DEV]"/>
    <s v="Dev Public Service CI"/>
    <s v="DEV"/>
    <n v="2.5999999999999999E-2"/>
    <n v="1.7000000000000001E-2"/>
    <n v="1.2E-2"/>
  </r>
  <r>
    <s v="Epic Games, Inc."/>
    <x v="1"/>
    <s v="subscriptionv2-admin-service-ci-i-95eb8579"/>
    <n v="1"/>
    <n v="1700"/>
    <n v="160"/>
    <x v="0"/>
    <s v="Other"/>
    <x v="1"/>
    <s v="subscriptionv2-service"/>
    <s v="[DEV]"/>
    <s v="Dev Admin Service CI"/>
    <s v="DEV"/>
    <n v="4.3999999999999997E-2"/>
    <n v="2.4E-2"/>
    <n v="1.4999999999999999E-2"/>
  </r>
  <r>
    <s v="Epic Games, Inc."/>
    <x v="9"/>
    <s v="mongodb-tigase-stage-05"/>
    <n v="1"/>
    <n v="2000"/>
    <n v="0"/>
    <x v="0"/>
    <s v="Other"/>
    <x v="1"/>
    <s v="mongodb"/>
    <s v="[DEV]"/>
    <s v="Dev MongoDB"/>
    <s v="DEV"/>
    <n v="2.5999999999999999E-2"/>
    <n v="1.7000000000000001E-2"/>
    <n v="1.2E-2"/>
  </r>
  <r>
    <s v="Epic Games, Inc."/>
    <x v="1"/>
    <s v="mongodb-account-prod03-05"/>
    <n v="1"/>
    <n v="1700"/>
    <n v="160"/>
    <x v="0"/>
    <s v="Other"/>
    <x v="0"/>
    <s v="Other"/>
    <s v="Account Service"/>
    <s v="Dev MongoDB"/>
    <s v="Account Services (Prod03)"/>
    <n v="4.3999999999999997E-2"/>
    <n v="2.4E-2"/>
    <n v="1.4999999999999999E-2"/>
  </r>
  <r>
    <s v="Epic Games, Inc."/>
    <x v="9"/>
    <s v="riak-common-gamedev-02"/>
    <n v="1"/>
    <n v="2000"/>
    <n v="0"/>
    <x v="8"/>
    <s v="Other"/>
    <x v="1"/>
    <s v="riak"/>
    <s v="[DEV]"/>
    <s v="Dev Common Gamedev"/>
    <s v="DEV"/>
    <n v="2.5999999999999999E-2"/>
    <n v="1.7000000000000001E-2"/>
    <n v="1.2E-2"/>
  </r>
  <r>
    <s v="Epic Games, Inc."/>
    <x v="1"/>
    <s v="redis-common-ci-01"/>
    <n v="1"/>
    <n v="1700"/>
    <n v="160"/>
    <x v="0"/>
    <s v="Other"/>
    <x v="1"/>
    <s v="redis"/>
    <s v="[DEV]"/>
    <s v="Dev Common CI"/>
    <s v="DEV"/>
    <n v="4.3999999999999997E-2"/>
    <n v="2.4E-2"/>
    <n v="1.4999999999999999E-2"/>
  </r>
  <r>
    <s v="Epic Games, Inc."/>
    <x v="1"/>
    <s v="ut-public-service-gamedev-i-be520eee"/>
    <n v="1"/>
    <n v="1700"/>
    <n v="160"/>
    <x v="0"/>
    <s v="Other"/>
    <x v="1"/>
    <s v="ut-service"/>
    <s v="[DEV]"/>
    <s v="Dev Unreal Tournament Gamedev"/>
    <s v="DEV"/>
    <n v="4.3999999999999997E-2"/>
    <n v="2.4E-2"/>
    <n v="1.4999999999999999E-2"/>
  </r>
  <r>
    <s v="Epic Games, Inc."/>
    <x v="1"/>
    <s v="mariadb-common-gamedev-03"/>
    <n v="1"/>
    <n v="1700"/>
    <n v="160"/>
    <x v="7"/>
    <s v="Other"/>
    <x v="1"/>
    <s v="mariadb"/>
    <s v="[DEV]"/>
    <s v="Dev Common Gamedev"/>
    <s v="DEV"/>
    <n v="4.3999999999999997E-2"/>
    <n v="2.4E-2"/>
    <n v="1.4999999999999999E-2"/>
  </r>
  <r>
    <s v="Epic Games, Inc."/>
    <x v="1"/>
    <s v="adminportal-website-gamedev-i-9c9937e0"/>
    <n v="1"/>
    <n v="1700"/>
    <n v="160"/>
    <x v="0"/>
    <s v="Other"/>
    <x v="1"/>
    <s v="adminportal-website"/>
    <s v="[DEV]"/>
    <s v="Dev Website Gamedev"/>
    <s v="DEV"/>
    <n v="4.3999999999999997E-2"/>
    <n v="2.4E-2"/>
    <n v="1.4999999999999999E-2"/>
  </r>
  <r>
    <s v="Epic Games, Inc."/>
    <x v="9"/>
    <s v="pgsql-bdr-cluster-common-ci-01"/>
    <n v="1"/>
    <n v="2000"/>
    <n v="0"/>
    <x v="12"/>
    <s v="Other"/>
    <x v="1"/>
    <s v="pgsql"/>
    <s v="[DEV]"/>
    <s v="Dev Common CI"/>
    <s v="DEV"/>
    <n v="2.5999999999999999E-2"/>
    <n v="1.7000000000000001E-2"/>
    <n v="1.2E-2"/>
  </r>
  <r>
    <s v="Epic Games, Inc."/>
    <x v="1"/>
    <s v="elasticsearch-service-gamedev-01"/>
    <n v="1"/>
    <n v="1700"/>
    <n v="160"/>
    <x v="11"/>
    <s v="Other"/>
    <x v="1"/>
    <s v="elasticsearch"/>
    <s v="[DEV]"/>
    <s v="Dev Service Gamedev (Other)"/>
    <s v="DEV"/>
    <n v="4.3999999999999997E-2"/>
    <n v="2.4E-2"/>
    <n v="1.4999999999999999E-2"/>
  </r>
  <r>
    <s v="Epic Games, Inc."/>
    <x v="2"/>
    <s v="mongodb-persona-prod06-01"/>
    <n v="2"/>
    <n v="7500"/>
    <n v="32"/>
    <x v="1"/>
    <s v="Other"/>
    <x v="0"/>
    <s v="Other"/>
    <s v="Persona Service"/>
    <s v="Dev MongoDB"/>
    <s v="Common Services (Prod06)"/>
    <n v="0.13300000000000001"/>
    <n v="8.1000000000000003E-2"/>
    <n v="5.1999999999999998E-2"/>
  </r>
  <r>
    <s v="Epic Games, Inc."/>
    <x v="5"/>
    <s v="pgsql-commentrating-prod06-02"/>
    <n v="4"/>
    <n v="15000"/>
    <n v="80"/>
    <x v="1"/>
    <s v="Other"/>
    <x v="0"/>
    <s v="Other"/>
    <s v="Commentrating Service"/>
    <s v="Other"/>
    <s v="Common Services (Prod06)"/>
    <n v="0.26600000000000001"/>
    <n v="0.16300000000000001"/>
    <n v="0.104"/>
  </r>
  <r>
    <s v="Epic Games, Inc."/>
    <x v="5"/>
    <s v="mongodb-catalog-prod06-02"/>
    <n v="4"/>
    <n v="15000"/>
    <n v="80"/>
    <x v="1"/>
    <s v="Other"/>
    <x v="0"/>
    <s v="Other"/>
    <s v="Catalog Service"/>
    <s v="Dev MongoDB"/>
    <s v="Common Services (Prod06)"/>
    <n v="0.26600000000000001"/>
    <n v="0.16300000000000001"/>
    <n v="0.104"/>
  </r>
  <r>
    <s v="Epic Games, Inc."/>
    <x v="1"/>
    <s v="fortnite-admin-servicecron-approved-gamedev-i-ed52ecbe"/>
    <n v="1"/>
    <n v="1700"/>
    <n v="160"/>
    <x v="0"/>
    <s v="Other"/>
    <x v="1"/>
    <s v="fortnite-service"/>
    <s v="[DEV]"/>
    <s v="Dev Fortnite Gamedev"/>
    <s v="DEV"/>
    <n v="4.3999999999999997E-2"/>
    <n v="2.4E-2"/>
    <n v="1.4999999999999999E-2"/>
  </r>
  <r>
    <s v="Epic Games, Inc."/>
    <x v="3"/>
    <s v="rabbitmq-prod-01"/>
    <n v="2"/>
    <n v="7500"/>
    <n v="850"/>
    <x v="0"/>
    <s v="Other"/>
    <x v="0"/>
    <s v="Other"/>
    <s v="Other"/>
    <s v="Other"/>
    <s v="Infinity Blade 3"/>
    <n v="0.17499999999999999"/>
    <n v="9.5000000000000001E-2"/>
    <n v="5.8999999999999997E-2"/>
  </r>
  <r>
    <s v="Epic Games, Inc."/>
    <x v="1"/>
    <s v="subscriptionv2-admin-service-stage-i-a96dd4fa"/>
    <n v="1"/>
    <n v="1700"/>
    <n v="160"/>
    <x v="0"/>
    <s v="Other"/>
    <x v="0"/>
    <s v="Other"/>
    <s v="SubscriptionV2 Service"/>
    <s v="Dev Admin Service Load Test"/>
    <s v="Staging"/>
    <n v="4.3999999999999997E-2"/>
    <n v="2.4E-2"/>
    <n v="1.4999999999999999E-2"/>
  </r>
  <r>
    <s v="Epic Games, Inc."/>
    <x v="4"/>
    <s v="mongodb-lightswitch-prod06-01"/>
    <n v="1"/>
    <n v="3750"/>
    <n v="4"/>
    <x v="7"/>
    <s v="Other"/>
    <x v="0"/>
    <s v="Other"/>
    <s v="Lightswitch Service"/>
    <s v="Dev MongoDB"/>
    <s v="Common Services (Prod06)"/>
    <n v="6.7000000000000004E-2"/>
    <n v="0.04"/>
    <n v="2.5999999999999999E-2"/>
  </r>
  <r>
    <s v="Epic Games, Inc."/>
    <x v="5"/>
    <s v="mongodb-friends-prod06-04"/>
    <n v="4"/>
    <n v="15000"/>
    <n v="80"/>
    <x v="5"/>
    <s v="Other"/>
    <x v="0"/>
    <s v="Other"/>
    <s v="Friend Service"/>
    <s v="Dev MongoDB"/>
    <s v="Common Services (Prod06)"/>
    <n v="0.26600000000000001"/>
    <n v="0.16300000000000001"/>
    <n v="0.104"/>
  </r>
  <r>
    <s v="Epic Games, Inc."/>
    <x v="9"/>
    <s v="persona-admin-service-releaseqa-i-d91e7735"/>
    <n v="1"/>
    <n v="2000"/>
    <n v="0"/>
    <x v="0"/>
    <s v="Other"/>
    <x v="1"/>
    <s v="persona-service"/>
    <s v="[DEV]"/>
    <s v="Dev Admin Service ReleaseQA"/>
    <s v="DEV"/>
    <n v="2.5999999999999999E-2"/>
    <n v="1.7000000000000001E-2"/>
    <n v="1.2E-2"/>
  </r>
  <r>
    <s v="Epic Games, Inc."/>
    <x v="1"/>
    <s v="shoppingcart-admin-service-ci-i-28a1fd02"/>
    <n v="1"/>
    <n v="1700"/>
    <n v="160"/>
    <x v="0"/>
    <s v="Other"/>
    <x v="1"/>
    <s v="shoppingcart-service"/>
    <s v="[DEV]"/>
    <s v="Dev Admin Service CI"/>
    <s v="DEV"/>
    <n v="4.3999999999999997E-2"/>
    <n v="2.4E-2"/>
    <n v="1.4999999999999999E-2"/>
  </r>
  <r>
    <s v="Epic Games, Inc."/>
    <x v="5"/>
    <s v="elasticsearch-catalog-prod06-03"/>
    <n v="4"/>
    <n v="15000"/>
    <n v="80"/>
    <x v="1"/>
    <s v="Other"/>
    <x v="0"/>
    <s v="Other"/>
    <s v="Catalog Service"/>
    <s v="Other"/>
    <s v="Common Services (Prod06)"/>
    <n v="0.26600000000000001"/>
    <n v="0.16300000000000001"/>
    <n v="0.104"/>
  </r>
  <r>
    <s v="Epic Games, Inc."/>
    <x v="1"/>
    <s v="mongodb-common-gamedev-04"/>
    <n v="1"/>
    <n v="1700"/>
    <n v="160"/>
    <x v="23"/>
    <s v="Other"/>
    <x v="1"/>
    <s v="mongodb"/>
    <s v="[DEV]"/>
    <s v="Dev Common Gamedev"/>
    <s v="DEV"/>
    <n v="4.3999999999999997E-2"/>
    <n v="2.4E-2"/>
    <n v="1.4999999999999999E-2"/>
  </r>
  <r>
    <s v="Epic Games, Inc."/>
    <x v="9"/>
    <s v="mongodb-tigase-releaseqa-05"/>
    <n v="1"/>
    <n v="2000"/>
    <n v="0"/>
    <x v="0"/>
    <s v="Other"/>
    <x v="1"/>
    <s v="mongodb"/>
    <s v="[DEV]"/>
    <s v="Dev MongoDB"/>
    <s v="DEV"/>
    <n v="2.5999999999999999E-2"/>
    <n v="1.7000000000000001E-2"/>
    <n v="1.2E-2"/>
  </r>
  <r>
    <s v="Epic Games, Inc."/>
    <x v="9"/>
    <s v="mongodb-tigase-gamedev-05"/>
    <n v="1"/>
    <n v="2000"/>
    <n v="0"/>
    <x v="0"/>
    <s v="Other"/>
    <x v="1"/>
    <s v="mongodb"/>
    <s v="[DEV]"/>
    <s v="Dev MongoDB"/>
    <s v="DEV"/>
    <n v="2.5999999999999999E-2"/>
    <n v="1.7000000000000001E-2"/>
    <n v="1.2E-2"/>
  </r>
  <r>
    <s v="Epic Games, Inc."/>
    <x v="9"/>
    <s v="fnvbulletin-website-releaseqa-i-66bd7e8a"/>
    <n v="1"/>
    <n v="2000"/>
    <n v="0"/>
    <x v="0"/>
    <s v="Other"/>
    <x v="1"/>
    <s v="fnvbulletin-website"/>
    <s v="[DEV]"/>
    <s v="Dev Fortnite ReleaseQA"/>
    <s v="DEV"/>
    <n v="2.5999999999999999E-2"/>
    <n v="1.7000000000000001E-2"/>
    <n v="1.2E-2"/>
  </r>
  <r>
    <s v="Epic Games, Inc."/>
    <x v="1"/>
    <s v="mongodb-catalogadmin-management02-05"/>
    <n v="1"/>
    <n v="1700"/>
    <n v="160"/>
    <x v="0"/>
    <s v="Other"/>
    <x v="0"/>
    <s v="Other"/>
    <s v="Catalogadmin Service"/>
    <s v="Dev MongoDB"/>
    <s v="Infrastructure and Management"/>
    <n v="4.3999999999999997E-2"/>
    <n v="2.4E-2"/>
    <n v="1.4999999999999999E-2"/>
  </r>
  <r>
    <s v="Epic Games, Inc."/>
    <x v="1"/>
    <s v="friends-public-service-ci-i-4d5e621c"/>
    <n v="1"/>
    <n v="1700"/>
    <n v="160"/>
    <x v="0"/>
    <s v="Other"/>
    <x v="1"/>
    <s v="friends-service"/>
    <s v="[DEV]"/>
    <s v="Dev Public Service CI"/>
    <s v="DEV"/>
    <n v="4.3999999999999997E-2"/>
    <n v="2.4E-2"/>
    <n v="1.4999999999999999E-2"/>
  </r>
  <r>
    <s v="Epic Games, Inc."/>
    <x v="1"/>
    <s v="pgsql-common-stage-02"/>
    <n v="1"/>
    <n v="1700"/>
    <n v="160"/>
    <x v="8"/>
    <s v="Other"/>
    <x v="0"/>
    <s v="Other"/>
    <s v="Postgres Common"/>
    <s v="Other"/>
    <s v="Staging"/>
    <n v="4.3999999999999997E-2"/>
    <n v="2.4E-2"/>
    <n v="1.4999999999999999E-2"/>
  </r>
  <r>
    <s v="Epic Games, Inc."/>
    <x v="1"/>
    <s v="uestage-website-epiccms-i-bc48f157"/>
    <n v="1"/>
    <n v="1700"/>
    <n v="160"/>
    <x v="0"/>
    <s v="Other"/>
    <x v="0"/>
    <s v="Other"/>
    <s v="UE Website"/>
    <s v="Dev Website Stage"/>
    <s v="Staging"/>
    <n v="4.3999999999999997E-2"/>
    <n v="2.4E-2"/>
    <n v="1.4999999999999999E-2"/>
  </r>
  <r>
    <s v="Epic Games, Inc."/>
    <x v="10"/>
    <s v="michael-test-01"/>
    <n v="1"/>
    <n v="615"/>
    <n v="160"/>
    <x v="0"/>
    <s v="Other"/>
    <x v="1"/>
    <s v="Unknown"/>
    <s v="[DEV]"/>
    <s v="Other"/>
    <s v="DEV"/>
    <n v="0.02"/>
    <n v="1.2E-2"/>
    <n v="8.0000000000000002E-3"/>
  </r>
  <r>
    <s v="Epic Games, Inc."/>
    <x v="15"/>
    <s v="mongodb-friends-prod06-01"/>
    <n v="16"/>
    <n v="30000"/>
    <n v="320"/>
    <x v="1"/>
    <s v="Other"/>
    <x v="0"/>
    <s v="Other"/>
    <s v="Friend Service"/>
    <s v="Dev MongoDB"/>
    <s v="Common Services (Prod06)"/>
    <n v="0.84"/>
    <n v="0.497"/>
    <n v="0.314"/>
  </r>
  <r>
    <s v="Epic Games, Inc."/>
    <x v="9"/>
    <s v="fortnite-website-releaseqa-i-4c7ceea6"/>
    <n v="1"/>
    <n v="2000"/>
    <n v="0"/>
    <x v="0"/>
    <s v="Other"/>
    <x v="1"/>
    <s v="fortnite-website"/>
    <s v="[DEV]"/>
    <s v="Dev Fortnite ReleaseQA"/>
    <s v="DEV"/>
    <n v="2.5999999999999999E-2"/>
    <n v="1.7000000000000001E-2"/>
    <n v="1.2E-2"/>
  </r>
  <r>
    <s v="Epic Games, Inc."/>
    <x v="4"/>
    <s v="mongodb-ut-prod10-04"/>
    <n v="1"/>
    <n v="3750"/>
    <n v="4"/>
    <x v="5"/>
    <s v="Other"/>
    <x v="0"/>
    <s v="Other"/>
    <s v="UT Service"/>
    <s v="Dev MongoDB"/>
    <s v="Unreal Tournament"/>
    <n v="6.7000000000000004E-2"/>
    <n v="0.04"/>
    <n v="2.5999999999999999E-2"/>
  </r>
  <r>
    <s v="Epic Games, Inc."/>
    <x v="9"/>
    <s v="mongodb-tigase-gamedev-03"/>
    <n v="1"/>
    <n v="2000"/>
    <n v="0"/>
    <x v="1"/>
    <s v="Other"/>
    <x v="1"/>
    <s v="mongodb"/>
    <s v="[DEV]"/>
    <s v="Dev MongoDB"/>
    <s v="DEV"/>
    <n v="2.5999999999999999E-2"/>
    <n v="1.7000000000000001E-2"/>
    <n v="1.2E-2"/>
  </r>
  <r>
    <s v="Epic Games, Inc."/>
    <x v="1"/>
    <s v="buildinfo-admin-service-releaseqa-i-b0cf53e0"/>
    <n v="1"/>
    <n v="1700"/>
    <n v="160"/>
    <x v="0"/>
    <s v="Other"/>
    <x v="1"/>
    <s v="buildinfo-service"/>
    <s v="[DEV]"/>
    <s v="Dev Admin Service ReleaseQA"/>
    <s v="DEV"/>
    <n v="4.3999999999999997E-2"/>
    <n v="2.4E-2"/>
    <n v="1.4999999999999999E-2"/>
  </r>
  <r>
    <s v="Epic Games, Inc."/>
    <x v="7"/>
    <s v="pgsql-epiccms-02"/>
    <n v="1"/>
    <n v="3750"/>
    <n v="410"/>
    <x v="8"/>
    <s v="Other"/>
    <x v="0"/>
    <s v="Other"/>
    <s v="EpicCMS (EpicCMS)"/>
    <s v="Other"/>
    <s v="Epic CMS"/>
    <n v="8.6999999999999994E-2"/>
    <n v="4.7E-2"/>
    <n v="2.9000000000000001E-2"/>
  </r>
  <r>
    <s v="Epic Games, Inc."/>
    <x v="1"/>
    <s v="redis-sword-gamedev-01"/>
    <n v="1"/>
    <n v="1700"/>
    <n v="160"/>
    <x v="0"/>
    <s v="Other"/>
    <x v="1"/>
    <s v="redis"/>
    <s v="[DEV]"/>
    <s v="Dev Redis"/>
    <s v="DEV"/>
    <n v="4.3999999999999997E-2"/>
    <n v="2.4E-2"/>
    <n v="1.4999999999999999E-2"/>
  </r>
  <r>
    <s v="Epic Games, Inc."/>
    <x v="3"/>
    <s v="redis-prod-01"/>
    <n v="2"/>
    <n v="7500"/>
    <n v="850"/>
    <x v="0"/>
    <s v="Other"/>
    <x v="0"/>
    <s v="Other"/>
    <s v="Sword Service"/>
    <s v="Other"/>
    <s v="Infinity Blade 3"/>
    <n v="0.17499999999999999"/>
    <n v="9.5000000000000001E-2"/>
    <n v="5.8999999999999997E-2"/>
  </r>
  <r>
    <s v="Epic Games, Inc."/>
    <x v="1"/>
    <s v="buildinfo-public-service-ci-i-c131de91"/>
    <n v="1"/>
    <n v="1700"/>
    <n v="160"/>
    <x v="0"/>
    <s v="Other"/>
    <x v="1"/>
    <s v="buildinfo-service"/>
    <s v="[DEV]"/>
    <s v="Dev Public Service CI"/>
    <s v="DEV"/>
    <n v="4.3999999999999997E-2"/>
    <n v="2.4E-2"/>
    <n v="1.4999999999999999E-2"/>
  </r>
  <r>
    <s v="Epic Games, Inc."/>
    <x v="1"/>
    <s v="fortnite-admin-servicecron-testing-gamedev-i-461ba516"/>
    <n v="1"/>
    <n v="1700"/>
    <n v="160"/>
    <x v="0"/>
    <s v="Other"/>
    <x v="1"/>
    <s v="fortnite-service"/>
    <s v="[DEV]"/>
    <s v="Dev Fortnite Gamedev"/>
    <s v="DEV"/>
    <n v="4.3999999999999997E-2"/>
    <n v="2.4E-2"/>
    <n v="1.4999999999999999E-2"/>
  </r>
  <r>
    <s v="Epic Games, Inc."/>
    <x v="9"/>
    <s v="riak-common-gamedev-03"/>
    <n v="1"/>
    <n v="2000"/>
    <n v="0"/>
    <x v="8"/>
    <s v="Other"/>
    <x v="1"/>
    <s v="riak"/>
    <s v="[DEV]"/>
    <s v="Dev Common Gamedev"/>
    <s v="DEV"/>
    <n v="2.5999999999999999E-2"/>
    <n v="1.7000000000000001E-2"/>
    <n v="1.2E-2"/>
  </r>
  <r>
    <s v="Epic Games, Inc."/>
    <x v="1"/>
    <s v="mongodb-common-stage-03"/>
    <n v="1"/>
    <n v="1700"/>
    <n v="160"/>
    <x v="7"/>
    <s v="Other"/>
    <x v="0"/>
    <s v="Other"/>
    <s v="Mongodb Common"/>
    <s v="Dev MongoDB"/>
    <s v="Staging"/>
    <n v="4.3999999999999997E-2"/>
    <n v="2.4E-2"/>
    <n v="1.4999999999999999E-2"/>
  </r>
  <r>
    <s v="Epic Games, Inc."/>
    <x v="0"/>
    <s v="sphinx-fnvbulletin-prod04-01"/>
    <n v="2"/>
    <n v="3750"/>
    <n v="32"/>
    <x v="7"/>
    <s v="Other"/>
    <x v="0"/>
    <s v="Other"/>
    <s v="Fortnite Vbulletin"/>
    <s v="Other"/>
    <s v="Fortnite"/>
    <n v="0.105"/>
    <n v="6.2E-2"/>
    <n v="3.9E-2"/>
  </r>
  <r>
    <s v="Epic Games, Inc."/>
    <x v="1"/>
    <s v="login-service-common-gamedev-i-cc26ebaa"/>
    <n v="1"/>
    <n v="1700"/>
    <n v="160"/>
    <x v="0"/>
    <s v="Other"/>
    <x v="1"/>
    <s v="login-service"/>
    <s v="[DEV]"/>
    <s v="Dev Common Gamedev"/>
    <s v="DEV"/>
    <n v="4.3999999999999997E-2"/>
    <n v="2.4E-2"/>
    <n v="1.4999999999999999E-2"/>
  </r>
  <r>
    <s v="Epic Games, Inc."/>
    <x v="9"/>
    <s v="mongodb-tigase-gamedev-04"/>
    <n v="1"/>
    <n v="2000"/>
    <n v="0"/>
    <x v="7"/>
    <s v="Other"/>
    <x v="1"/>
    <s v="mongodb"/>
    <s v="[DEV]"/>
    <s v="Dev MongoDB"/>
    <s v="DEV"/>
    <n v="2.5999999999999999E-2"/>
    <n v="1.7000000000000001E-2"/>
    <n v="1.2E-2"/>
  </r>
  <r>
    <s v="Epic Games, Inc."/>
    <x v="7"/>
    <s v="fortnite-website-gamedev-i-9a6398c9"/>
    <n v="1"/>
    <n v="3750"/>
    <n v="410"/>
    <x v="0"/>
    <s v="Other"/>
    <x v="1"/>
    <s v="fortnite-website"/>
    <s v="[DEV]"/>
    <s v="Dev Fortnite Gamedev"/>
    <s v="DEV"/>
    <n v="8.6999999999999994E-2"/>
    <n v="4.7E-2"/>
    <n v="2.9000000000000001E-2"/>
  </r>
  <r>
    <s v="Epic Games, Inc."/>
    <x v="4"/>
    <s v="mongodb-fortnite-publictest-prod12-02"/>
    <n v="1"/>
    <n v="3750"/>
    <n v="4"/>
    <x v="1"/>
    <s v="Other"/>
    <x v="0"/>
    <s v="Other"/>
    <s v="Fortnite Service"/>
    <s v="Dev MongoDB"/>
    <s v="Fortnite"/>
    <n v="6.7000000000000004E-2"/>
    <n v="0.04"/>
    <n v="2.5999999999999999E-2"/>
  </r>
  <r>
    <s v="Epic Games, Inc."/>
    <x v="1"/>
    <s v="adminportal-website-releaseqa-i-cb5f8fe0"/>
    <n v="1"/>
    <n v="1700"/>
    <n v="160"/>
    <x v="0"/>
    <s v="Other"/>
    <x v="1"/>
    <s v="adminportal-website"/>
    <s v="[DEV]"/>
    <s v="Dev Website ReleaseQA"/>
    <s v="DEV"/>
    <n v="4.3999999999999997E-2"/>
    <n v="2.4E-2"/>
    <n v="1.4999999999999999E-2"/>
  </r>
  <r>
    <s v="Epic Games, Inc."/>
    <x v="9"/>
    <s v="activitystream-admin-service-ci-i-1a4845f0"/>
    <n v="1"/>
    <n v="2000"/>
    <n v="0"/>
    <x v="0"/>
    <s v="Other"/>
    <x v="1"/>
    <s v="activitystream-service"/>
    <s v="[DEV]"/>
    <s v="Dev Admin Service CI"/>
    <s v="DEV"/>
    <n v="2.5999999999999999E-2"/>
    <n v="1.7000000000000001E-2"/>
    <n v="1.2E-2"/>
  </r>
  <r>
    <s v="Epic Games, Inc."/>
    <x v="0"/>
    <s v="jmeter-lt-08"/>
    <n v="2"/>
    <n v="3750"/>
    <n v="32"/>
    <x v="0"/>
    <s v="Other"/>
    <x v="1"/>
    <s v="jmeter"/>
    <s v="[DEV]"/>
    <s v="Dev Service Load Test (Other)"/>
    <s v="DEV"/>
    <n v="0.105"/>
    <n v="6.2E-2"/>
    <n v="3.9E-2"/>
  </r>
  <r>
    <s v="Epic Games, Inc."/>
    <x v="17"/>
    <s v="confluence-atlassian-ci-01"/>
    <n v="4"/>
    <n v="7500"/>
    <n v="80"/>
    <x v="11"/>
    <s v="Other"/>
    <x v="0"/>
    <s v="Other"/>
    <s v="Atlassian Suite"/>
    <s v="Other"/>
    <s v="DEV"/>
    <n v="0.21"/>
    <n v="0.125"/>
    <n v="7.9000000000000001E-2"/>
  </r>
  <r>
    <s v="Epic Games, Inc."/>
    <x v="5"/>
    <s v="mongodb-friends-prod06-03"/>
    <n v="4"/>
    <n v="15000"/>
    <n v="80"/>
    <x v="1"/>
    <s v="Other"/>
    <x v="0"/>
    <s v="Other"/>
    <s v="Friend Service"/>
    <s v="Dev MongoDB"/>
    <s v="Common Services (Prod06)"/>
    <n v="0.26600000000000001"/>
    <n v="0.16300000000000001"/>
    <n v="0.104"/>
  </r>
  <r>
    <s v="Epic Games, Inc."/>
    <x v="1"/>
    <s v="mongodb-config-common-ci-03"/>
    <n v="1"/>
    <n v="1700"/>
    <n v="160"/>
    <x v="1"/>
    <s v="Other"/>
    <x v="1"/>
    <s v="mongodb"/>
    <s v="[DEV]"/>
    <s v="Dev Common CI"/>
    <s v="DEV"/>
    <n v="4.3999999999999997E-2"/>
    <n v="2.4E-2"/>
    <n v="1.4999999999999999E-2"/>
  </r>
  <r>
    <s v="Epic Games, Inc."/>
    <x v="5"/>
    <s v="redis-buildinfo-prod06-01"/>
    <n v="4"/>
    <n v="15000"/>
    <n v="80"/>
    <x v="0"/>
    <s v="Other"/>
    <x v="0"/>
    <s v="Other"/>
    <s v="Buildinfo Service"/>
    <s v="Other"/>
    <s v="Common Services (Prod06)"/>
    <n v="0.26600000000000001"/>
    <n v="0.16300000000000001"/>
    <n v="0.104"/>
  </r>
  <r>
    <s v="Epic Games, Inc."/>
    <x v="1"/>
    <s v="elasticsearch-service-releaseqa-02"/>
    <n v="1"/>
    <n v="1700"/>
    <n v="160"/>
    <x v="11"/>
    <s v="Other"/>
    <x v="1"/>
    <s v="elasticsearch"/>
    <s v="[DEV]"/>
    <s v="Dev Service ReleaseQA (Other)"/>
    <s v="DEV"/>
    <n v="4.3999999999999997E-2"/>
    <n v="2.4E-2"/>
    <n v="1.4999999999999999E-2"/>
  </r>
  <r>
    <s v="Epic Games, Inc."/>
    <x v="4"/>
    <s v="mongodb-fortnite-publictest-prod12-01"/>
    <n v="1"/>
    <n v="3750"/>
    <n v="4"/>
    <x v="1"/>
    <s v="Other"/>
    <x v="0"/>
    <s v="Other"/>
    <s v="Fortnite Service"/>
    <s v="Dev MongoDB"/>
    <s v="Fortnite"/>
    <n v="6.7000000000000004E-2"/>
    <n v="0.04"/>
    <n v="2.5999999999999999E-2"/>
  </r>
  <r>
    <s v="Epic Games, Inc."/>
    <x v="8"/>
    <s v="mariadb-mediawiki-prod05-01"/>
    <n v="8"/>
    <n v="30000"/>
    <n v="160"/>
    <x v="7"/>
    <s v="Other"/>
    <x v="0"/>
    <s v="Other"/>
    <s v="Mediawiki"/>
    <s v="Dev MariaDB"/>
    <s v="MediaWiki (Prod05)"/>
    <n v="0.53200000000000003"/>
    <n v="0.32400000000000001"/>
    <n v="0.20899999999999999"/>
  </r>
  <r>
    <s v="Epic Games, Inc."/>
    <x v="7"/>
    <s v="account-admin-servicecron-stage-i-12bc1132"/>
    <n v="1"/>
    <n v="3750"/>
    <n v="410"/>
    <x v="0"/>
    <s v="Other"/>
    <x v="0"/>
    <s v="Other"/>
    <s v="Account Service"/>
    <s v="Dev Admin Service Load Test"/>
    <s v="Staging"/>
    <n v="8.6999999999999994E-2"/>
    <n v="4.7E-2"/>
    <n v="2.9000000000000001E-2"/>
  </r>
  <r>
    <s v="Epic Games, Inc."/>
    <x v="1"/>
    <s v="paymentv2-public-service-ci-i-936a8078"/>
    <n v="1"/>
    <n v="1700"/>
    <n v="160"/>
    <x v="0"/>
    <s v="Other"/>
    <x v="1"/>
    <s v="paymentv2-service"/>
    <s v="[DEV]"/>
    <s v="Dev Public Service CI"/>
    <s v="DEV"/>
    <n v="4.3999999999999997E-2"/>
    <n v="2.4E-2"/>
    <n v="1.4999999999999999E-2"/>
  </r>
  <r>
    <s v="Epic Games, Inc."/>
    <x v="0"/>
    <s v="gateway-prod-1d"/>
    <n v="2"/>
    <n v="3750"/>
    <n v="32"/>
    <x v="6"/>
    <s v="Other"/>
    <x v="0"/>
    <s v="Other"/>
    <s v="Other"/>
    <s v="Other"/>
    <s v="Infrastructure and Management"/>
    <n v="0.105"/>
    <n v="6.2E-2"/>
    <n v="3.9E-2"/>
  </r>
  <r>
    <s v="Epic Games, Inc."/>
    <x v="1"/>
    <s v="fakechase-service-stage-i-7f66752e"/>
    <n v="1"/>
    <n v="1700"/>
    <n v="160"/>
    <x v="0"/>
    <s v="Other"/>
    <x v="0"/>
    <s v="Other"/>
    <s v="Other"/>
    <s v="Other"/>
    <s v="Staging"/>
    <n v="4.3999999999999997E-2"/>
    <n v="2.4E-2"/>
    <n v="1.4999999999999999E-2"/>
  </r>
  <r>
    <s v="Epic Games, Inc."/>
    <x v="1"/>
    <s v="orderprocessor-public-service-gamedev-i-a963a3fa"/>
    <n v="1"/>
    <n v="1700"/>
    <n v="160"/>
    <x v="0"/>
    <s v="Other"/>
    <x v="1"/>
    <s v="orderprocessor-service"/>
    <s v="[DEV]"/>
    <s v="Dev Public Service Gamedev"/>
    <s v="DEV"/>
    <n v="4.3999999999999997E-2"/>
    <n v="2.4E-2"/>
    <n v="1.4999999999999999E-2"/>
  </r>
  <r>
    <s v="Epic Games, Inc."/>
    <x v="5"/>
    <s v="mongodb-coderedemption-prod06-01"/>
    <n v="4"/>
    <n v="15000"/>
    <n v="80"/>
    <x v="1"/>
    <s v="Other"/>
    <x v="0"/>
    <s v="Other"/>
    <s v="Coderedemption"/>
    <s v="Dev MongoDB"/>
    <s v="Common Services (Prod06)"/>
    <n v="0.26600000000000001"/>
    <n v="0.16300000000000001"/>
    <n v="0.104"/>
  </r>
  <r>
    <s v="Epic Games, Inc."/>
    <x v="4"/>
    <s v="epiccms-website-ci-i-014b372f"/>
    <n v="1"/>
    <n v="3750"/>
    <n v="4"/>
    <x v="0"/>
    <s v="Other"/>
    <x v="1"/>
    <s v="epiccms-website"/>
    <s v="[DEV]"/>
    <s v="Dev Website CI"/>
    <s v="DEV"/>
    <n v="6.7000000000000004E-2"/>
    <n v="0.04"/>
    <n v="2.5999999999999999E-2"/>
  </r>
  <r>
    <s v="Epic Games, Inc."/>
    <x v="1"/>
    <s v="ut-admin-servicecron-gamedev-i-dc0d728f"/>
    <n v="1"/>
    <n v="1700"/>
    <n v="160"/>
    <x v="0"/>
    <s v="Other"/>
    <x v="1"/>
    <s v="ut-service"/>
    <s v="[DEV]"/>
    <s v="Dev Unreal Tournament Gamedev"/>
    <s v="DEV"/>
    <n v="4.3999999999999997E-2"/>
    <n v="2.4E-2"/>
    <n v="1.4999999999999999E-2"/>
  </r>
  <r>
    <s v="Epic Games, Inc."/>
    <x v="4"/>
    <s v="mongodb-tigase-prod06-02"/>
    <n v="1"/>
    <n v="3750"/>
    <n v="4"/>
    <x v="1"/>
    <s v="Other"/>
    <x v="0"/>
    <s v="Other"/>
    <s v="Tigase"/>
    <s v="Dev MongoDB"/>
    <s v="Common Services (Prod06)"/>
    <n v="6.7000000000000004E-2"/>
    <n v="0.04"/>
    <n v="2.5999999999999999E-2"/>
  </r>
  <r>
    <s v="Epic Games, Inc."/>
    <x v="1"/>
    <s v="mongodb-prod-05"/>
    <n v="1"/>
    <n v="1700"/>
    <n v="160"/>
    <x v="0"/>
    <s v="Other"/>
    <x v="0"/>
    <s v="Other"/>
    <s v="Sword Service"/>
    <s v="Dev MongoDB"/>
    <s v="Infinity Blade 3"/>
    <n v="4.3999999999999997E-2"/>
    <n v="2.4E-2"/>
    <n v="1.4999999999999999E-2"/>
  </r>
  <r>
    <s v="Epic Games, Inc."/>
    <x v="4"/>
    <s v="pgsql-atlassian-ci-03"/>
    <n v="1"/>
    <n v="3750"/>
    <n v="4"/>
    <x v="1"/>
    <s v="Other"/>
    <x v="0"/>
    <s v="Other"/>
    <s v="Atlassian Suite"/>
    <s v="Other"/>
    <s v="DEV"/>
    <n v="6.7000000000000004E-2"/>
    <n v="0.04"/>
    <n v="2.5999999999999999E-2"/>
  </r>
  <r>
    <s v="Epic Games, Inc."/>
    <x v="1"/>
    <s v="priceengine-public-service-ci-i-63b48949"/>
    <n v="1"/>
    <n v="1700"/>
    <n v="160"/>
    <x v="0"/>
    <s v="Other"/>
    <x v="1"/>
    <s v="priceengine-service"/>
    <s v="[DEV]"/>
    <s v="Dev Public Service CI"/>
    <s v="DEV"/>
    <n v="4.3999999999999997E-2"/>
    <n v="2.4E-2"/>
    <n v="1.4999999999999999E-2"/>
  </r>
  <r>
    <s v="Epic Games, Inc."/>
    <x v="4"/>
    <s v="mongodb-ut-prod10-01"/>
    <n v="1"/>
    <n v="3750"/>
    <n v="4"/>
    <x v="1"/>
    <s v="Other"/>
    <x v="0"/>
    <s v="Other"/>
    <s v="UT Service"/>
    <s v="Dev MongoDB"/>
    <s v="Unreal Tournament"/>
    <n v="6.7000000000000004E-2"/>
    <n v="0.04"/>
    <n v="2.5999999999999999E-2"/>
  </r>
  <r>
    <s v="Epic Games, Inc."/>
    <x v="1"/>
    <s v="fulfillment-admin-service-stage-i-77c97d9c"/>
    <n v="1"/>
    <n v="1700"/>
    <n v="160"/>
    <x v="0"/>
    <s v="Other"/>
    <x v="0"/>
    <s v="Other"/>
    <s v="Fulfillment Service"/>
    <s v="Dev Admin Service Load Test"/>
    <s v="Staging"/>
    <n v="4.3999999999999997E-2"/>
    <n v="2.4E-2"/>
    <n v="1.4999999999999999E-2"/>
  </r>
  <r>
    <s v="Epic Games, Inc."/>
    <x v="3"/>
    <s v="zabbix-mariadb-03"/>
    <n v="2"/>
    <n v="7500"/>
    <n v="850"/>
    <x v="24"/>
    <s v="Other"/>
    <x v="2"/>
    <s v="Other"/>
    <s v="Zabbix Servers"/>
    <s v="Dev MariaDB"/>
    <s v="Infrastructure and Management"/>
    <n v="0.17499999999999999"/>
    <n v="9.5000000000000001E-2"/>
    <n v="5.8999999999999997E-2"/>
  </r>
  <r>
    <s v="Epic Games, Inc."/>
    <x v="1"/>
    <s v="pgsql-common-releaseqa-01"/>
    <n v="1"/>
    <n v="1700"/>
    <n v="160"/>
    <x v="8"/>
    <s v="Other"/>
    <x v="1"/>
    <s v="pgsql"/>
    <s v="[DEV]"/>
    <s v="Dev Common ReleaseQA"/>
    <s v="DEV"/>
    <n v="4.3999999999999997E-2"/>
    <n v="2.4E-2"/>
    <n v="1.4999999999999999E-2"/>
  </r>
  <r>
    <s v="Epic Games, Inc."/>
    <x v="9"/>
    <s v="lightswitch-public-service-gamedev-i-0f899ae4"/>
    <n v="1"/>
    <n v="2000"/>
    <n v="0"/>
    <x v="0"/>
    <s v="Other"/>
    <x v="1"/>
    <s v="lightswitch-service"/>
    <s v="[DEV]"/>
    <s v="Dev Public Service Gamedev"/>
    <s v="DEV"/>
    <n v="2.5999999999999999E-2"/>
    <n v="1.7000000000000001E-2"/>
    <n v="1.2E-2"/>
  </r>
  <r>
    <s v="Epic Games, Inc."/>
    <x v="5"/>
    <s v="mongodb-launcher-prod06-03"/>
    <n v="4"/>
    <n v="15000"/>
    <n v="80"/>
    <x v="1"/>
    <s v="Other"/>
    <x v="0"/>
    <s v="Other"/>
    <s v="Launcher Service"/>
    <s v="Dev MongoDB"/>
    <s v="Common Services (Prod06)"/>
    <n v="0.26600000000000001"/>
    <n v="0.16300000000000001"/>
    <n v="0.104"/>
  </r>
  <r>
    <s v="Epic Games, Inc."/>
    <x v="1"/>
    <s v="login-service-sword-gamedev-i-9ec429cd"/>
    <n v="1"/>
    <n v="1700"/>
    <n v="160"/>
    <x v="0"/>
    <s v="Other"/>
    <x v="1"/>
    <s v="login-service"/>
    <s v="[DEV]"/>
    <s v="Dev Infinity Blade"/>
    <s v="DEV"/>
    <n v="4.3999999999999997E-2"/>
    <n v="2.4E-2"/>
    <n v="1.4999999999999999E-2"/>
  </r>
  <r>
    <s v="Epic Games, Inc."/>
    <x v="1"/>
    <s v="friends-public-service-releaseqa-i-aed2b145"/>
    <n v="1"/>
    <n v="1700"/>
    <n v="160"/>
    <x v="0"/>
    <s v="Other"/>
    <x v="1"/>
    <s v="friends-service"/>
    <s v="[DEV]"/>
    <s v="Dev Public Service ReleaseQA"/>
    <s v="DEV"/>
    <n v="4.3999999999999997E-2"/>
    <n v="2.4E-2"/>
    <n v="1.4999999999999999E-2"/>
  </r>
  <r>
    <s v="Epic Games, Inc."/>
    <x v="1"/>
    <s v="mongodb-catalog-prod06-05"/>
    <n v="1"/>
    <n v="1700"/>
    <n v="160"/>
    <x v="0"/>
    <s v="Other"/>
    <x v="0"/>
    <s v="Other"/>
    <s v="Catalog Service"/>
    <s v="Dev MongoDB"/>
    <s v="Common Services (Prod06)"/>
    <n v="4.3999999999999997E-2"/>
    <n v="2.4E-2"/>
    <n v="1.4999999999999999E-2"/>
  </r>
  <r>
    <s v="Epic Games, Inc."/>
    <x v="1"/>
    <s v="fortnite-admin-servicecron-playtest-gamedev-i-d61da386"/>
    <n v="1"/>
    <n v="1700"/>
    <n v="160"/>
    <x v="0"/>
    <s v="Other"/>
    <x v="1"/>
    <s v="fortnite-service"/>
    <s v="[DEV]"/>
    <s v="Dev Fortnite Gamedev"/>
    <s v="DEV"/>
    <n v="4.3999999999999997E-2"/>
    <n v="2.4E-2"/>
    <n v="1.4999999999999999E-2"/>
  </r>
  <r>
    <s v="Epic Games, Inc."/>
    <x v="5"/>
    <s v="elasticsearch-catalog-prod06-01"/>
    <n v="4"/>
    <n v="15000"/>
    <n v="80"/>
    <x v="1"/>
    <s v="Other"/>
    <x v="0"/>
    <s v="Other"/>
    <s v="Catalog Service"/>
    <s v="Other"/>
    <s v="Common Services (Prod06)"/>
    <n v="0.26600000000000001"/>
    <n v="0.16300000000000001"/>
    <n v="0.104"/>
  </r>
  <r>
    <s v="Epic Games, Inc."/>
    <x v="1"/>
    <s v="mariadb-common-stage-02"/>
    <n v="1"/>
    <n v="1700"/>
    <n v="160"/>
    <x v="7"/>
    <s v="Other"/>
    <x v="0"/>
    <s v="Other"/>
    <s v="Mariadb Common"/>
    <s v="Dev MariaDB"/>
    <s v="Staging"/>
    <n v="4.3999999999999997E-2"/>
    <n v="2.4E-2"/>
    <n v="1.4999999999999999E-2"/>
  </r>
  <r>
    <s v="Epic Games, Inc."/>
    <x v="6"/>
    <s v="mongodb-friends-prod06-05"/>
    <n v="2"/>
    <n v="4000"/>
    <n v="0"/>
    <x v="0"/>
    <s v="Other"/>
    <x v="0"/>
    <s v="Other"/>
    <s v="Friend Service"/>
    <s v="Dev MongoDB"/>
    <s v="Common Services (Prod06)"/>
    <n v="5.1999999999999998E-2"/>
    <n v="3.4000000000000002E-2"/>
    <n v="2.3E-2"/>
  </r>
  <r>
    <s v="Epic Games, Inc."/>
    <x v="0"/>
    <s v="jmeter-lt-12"/>
    <n v="2"/>
    <n v="3750"/>
    <n v="32"/>
    <x v="0"/>
    <s v="Other"/>
    <x v="1"/>
    <s v="jmeter"/>
    <s v="[DEV]"/>
    <s v="Dev Service Load Test (Other)"/>
    <s v="DEV"/>
    <n v="0.105"/>
    <n v="6.2E-2"/>
    <n v="3.9E-2"/>
  </r>
  <r>
    <s v="Epic Games, Inc."/>
    <x v="0"/>
    <s v="jmeter-lt-14"/>
    <n v="2"/>
    <n v="3750"/>
    <n v="32"/>
    <x v="0"/>
    <s v="Other"/>
    <x v="1"/>
    <s v="jmeter"/>
    <s v="[DEV]"/>
    <s v="Dev Service Load Test (Other)"/>
    <s v="DEV"/>
    <n v="0.105"/>
    <n v="6.2E-2"/>
    <n v="3.9E-2"/>
  </r>
  <r>
    <s v="Epic Games, Inc."/>
    <x v="0"/>
    <s v="jmeter-lt-16"/>
    <n v="2"/>
    <n v="3750"/>
    <n v="32"/>
    <x v="0"/>
    <s v="Other"/>
    <x v="1"/>
    <s v="jmeter"/>
    <s v="[DEV]"/>
    <s v="Dev Service Load Test (Other)"/>
    <s v="DEV"/>
    <n v="0.105"/>
    <n v="6.2E-2"/>
    <n v="3.9E-2"/>
  </r>
  <r>
    <s v="Epic Games, Inc."/>
    <x v="0"/>
    <s v="jmeter-lt-18"/>
    <n v="2"/>
    <n v="3750"/>
    <n v="32"/>
    <x v="0"/>
    <s v="Other"/>
    <x v="1"/>
    <s v="jmeter"/>
    <s v="[DEV]"/>
    <s v="Dev Service Load Test (Other)"/>
    <s v="DEV"/>
    <n v="0.105"/>
    <n v="6.2E-2"/>
    <n v="3.9E-2"/>
  </r>
  <r>
    <s v="Epic Games, Inc."/>
    <x v="0"/>
    <s v="jmeter-lt-20"/>
    <n v="2"/>
    <n v="3750"/>
    <n v="32"/>
    <x v="0"/>
    <s v="Other"/>
    <x v="1"/>
    <s v="jmeter"/>
    <s v="[DEV]"/>
    <s v="Dev Service Load Test (Other)"/>
    <s v="DEV"/>
    <n v="0.105"/>
    <n v="6.2E-2"/>
    <n v="3.9E-2"/>
  </r>
  <r>
    <s v="Epic Games, Inc."/>
    <x v="1"/>
    <s v="redis-launcher-stage-02"/>
    <n v="1"/>
    <n v="1700"/>
    <n v="160"/>
    <x v="0"/>
    <s v="Other"/>
    <x v="0"/>
    <s v="Other"/>
    <s v="Launcher Service"/>
    <s v="Other"/>
    <s v="Staging"/>
    <n v="4.3999999999999997E-2"/>
    <n v="2.4E-2"/>
    <n v="1.4999999999999999E-2"/>
  </r>
  <r>
    <s v="Epic Games, Inc."/>
    <x v="1"/>
    <s v="entitlement-admin-service-ci-i-b96a59c4"/>
    <n v="1"/>
    <n v="1700"/>
    <n v="160"/>
    <x v="0"/>
    <s v="Other"/>
    <x v="1"/>
    <s v="entitlement-service"/>
    <s v="[DEV]"/>
    <s v="Dev Admin Service CI"/>
    <s v="DEV"/>
    <n v="4.3999999999999997E-2"/>
    <n v="2.4E-2"/>
    <n v="1.4999999999999999E-2"/>
  </r>
  <r>
    <s v="Epic Games, Inc."/>
    <x v="14"/>
    <s v="ue-website-prod07-i-317ee2dc"/>
    <n v="8"/>
    <n v="15000"/>
    <n v="160"/>
    <x v="0"/>
    <s v="Other"/>
    <x v="0"/>
    <s v="Other"/>
    <s v="UE Website"/>
    <s v="Other"/>
    <s v="Unreal Engine"/>
    <n v="0.42"/>
    <n v="0.248"/>
    <n v="0.157"/>
  </r>
  <r>
    <s v="Epic Games, Inc."/>
    <x v="9"/>
    <s v="activitystream-public-service-gamedev-i-39a2aad3"/>
    <n v="1"/>
    <n v="2000"/>
    <n v="0"/>
    <x v="0"/>
    <s v="Other"/>
    <x v="1"/>
    <s v="activitystream-service"/>
    <s v="[DEV]"/>
    <s v="Dev Public Service Gamedev"/>
    <s v="DEV"/>
    <n v="2.5999999999999999E-2"/>
    <n v="1.7000000000000001E-2"/>
    <n v="1.2E-2"/>
  </r>
  <r>
    <s v="Epic Games, Inc."/>
    <x v="1"/>
    <s v="mongodb-common-stage-04"/>
    <n v="1"/>
    <n v="1700"/>
    <n v="160"/>
    <x v="20"/>
    <s v="Other"/>
    <x v="0"/>
    <s v="Other"/>
    <s v="Mongodb Common"/>
    <s v="Dev MongoDB"/>
    <s v="Staging"/>
    <n v="4.3999999999999997E-2"/>
    <n v="2.4E-2"/>
    <n v="1.4999999999999999E-2"/>
  </r>
  <r>
    <s v="Epic Games, Inc."/>
    <x v="1"/>
    <s v="orderprocessor-public-service-ci-i-abad0ffb"/>
    <n v="1"/>
    <n v="1700"/>
    <n v="160"/>
    <x v="0"/>
    <s v="Other"/>
    <x v="1"/>
    <s v="orderprocessor-service"/>
    <s v="[DEV]"/>
    <s v="Dev Public Service CI"/>
    <s v="DEV"/>
    <n v="4.3999999999999997E-2"/>
    <n v="2.4E-2"/>
    <n v="1.4999999999999999E-2"/>
  </r>
  <r>
    <s v="Epic Games, Inc."/>
    <x v="5"/>
    <s v="mongodb-coderedemption-prod06-02"/>
    <n v="4"/>
    <n v="15000"/>
    <n v="80"/>
    <x v="1"/>
    <s v="Other"/>
    <x v="0"/>
    <s v="Other"/>
    <s v="Coderedemption"/>
    <s v="Dev MongoDB"/>
    <s v="Common Services (Prod06)"/>
    <n v="0.26600000000000001"/>
    <n v="0.16300000000000001"/>
    <n v="0.104"/>
  </r>
  <r>
    <s v="Epic Games, Inc."/>
    <x v="9"/>
    <s v="persona-admin-service-gamedev-i-88f81165"/>
    <n v="1"/>
    <n v="2000"/>
    <n v="0"/>
    <x v="0"/>
    <s v="Other"/>
    <x v="1"/>
    <s v="persona-service"/>
    <s v="[DEV]"/>
    <s v="Dev Admin Service Gamedev"/>
    <s v="DEV"/>
    <n v="2.5999999999999999E-2"/>
    <n v="1.7000000000000001E-2"/>
    <n v="1.2E-2"/>
  </r>
  <r>
    <s v="Epic Games, Inc."/>
    <x v="1"/>
    <s v="fortnite-admin-servicecron-releasetesting-gamedev-i-e9bf01c4"/>
    <n v="1"/>
    <n v="1700"/>
    <n v="160"/>
    <x v="0"/>
    <s v="Other"/>
    <x v="1"/>
    <s v="fortnite-service"/>
    <s v="[DEV]"/>
    <s v="Dev Fortnite Gamedev"/>
    <s v="DEV"/>
    <n v="4.3999999999999997E-2"/>
    <n v="2.4E-2"/>
    <n v="1.4999999999999999E-2"/>
  </r>
  <r>
    <s v="Epic Games, Inc."/>
    <x v="1"/>
    <s v="mariadb-common-stage-03"/>
    <n v="1"/>
    <n v="1700"/>
    <n v="160"/>
    <x v="14"/>
    <s v="Other"/>
    <x v="0"/>
    <s v="Other"/>
    <s v="Mariadb Common"/>
    <s v="Dev MariaDB"/>
    <s v="Staging"/>
    <n v="4.3999999999999997E-2"/>
    <n v="2.4E-2"/>
    <n v="1.4999999999999999E-2"/>
  </r>
  <r>
    <s v="Epic Games, Inc."/>
    <x v="1"/>
    <s v="orderprocessor-admin-service-gamedev-i-f66ad91c"/>
    <n v="1"/>
    <n v="1700"/>
    <n v="160"/>
    <x v="0"/>
    <s v="Other"/>
    <x v="1"/>
    <s v="orderprocessor-service"/>
    <s v="[DEV]"/>
    <s v="Dev Admin Service Gamedev"/>
    <s v="DEV"/>
    <n v="4.3999999999999997E-2"/>
    <n v="2.4E-2"/>
    <n v="1.4999999999999999E-2"/>
  </r>
  <r>
    <s v="Epic Games, Inc."/>
    <x v="1"/>
    <s v="redis-common-releaseqa-01"/>
    <n v="1"/>
    <n v="1700"/>
    <n v="160"/>
    <x v="0"/>
    <s v="Other"/>
    <x v="1"/>
    <s v="redis"/>
    <s v="[DEV]"/>
    <s v="Dev Common ReleaseQA"/>
    <s v="DEV"/>
    <n v="4.3999999999999997E-2"/>
    <n v="2.4E-2"/>
    <n v="1.4999999999999999E-2"/>
  </r>
  <r>
    <s v="Epic Games, Inc."/>
    <x v="0"/>
    <s v="fortnite-maintenance-website-prod07-i-5180c0bb"/>
    <n v="2"/>
    <n v="3750"/>
    <n v="32"/>
    <x v="0"/>
    <s v="Other"/>
    <x v="0"/>
    <s v="Other"/>
    <s v="Fortnite Website"/>
    <s v="Other"/>
    <s v="Fortnite"/>
    <n v="0.105"/>
    <n v="6.2E-2"/>
    <n v="3.9E-2"/>
  </r>
  <r>
    <s v="Epic Games, Inc."/>
    <x v="1"/>
    <s v="mongodb-common-gamedev-05"/>
    <n v="1"/>
    <n v="1700"/>
    <n v="160"/>
    <x v="0"/>
    <s v="Other"/>
    <x v="1"/>
    <s v="mongodb"/>
    <s v="[DEV]"/>
    <s v="Dev Common Gamedev"/>
    <s v="DEV"/>
    <n v="4.3999999999999997E-2"/>
    <n v="2.4E-2"/>
    <n v="1.4999999999999999E-2"/>
  </r>
  <r>
    <s v="Epic Games, Inc."/>
    <x v="1"/>
    <s v="subscriptionv2-admin-service-releaseqa-i-16286246"/>
    <n v="1"/>
    <n v="1700"/>
    <n v="160"/>
    <x v="0"/>
    <s v="Other"/>
    <x v="1"/>
    <s v="subscriptionv2-service"/>
    <s v="[DEV]"/>
    <s v="Dev Admin Service ReleaseQA"/>
    <s v="DEV"/>
    <n v="4.3999999999999997E-2"/>
    <n v="2.4E-2"/>
    <n v="1.4999999999999999E-2"/>
  </r>
  <r>
    <s v="Epic Games, Inc."/>
    <x v="1"/>
    <s v="catalogv2-public-service-ci-i-86f254d6"/>
    <n v="1"/>
    <n v="1700"/>
    <n v="160"/>
    <x v="0"/>
    <s v="Other"/>
    <x v="1"/>
    <s v="catalogv2-service"/>
    <s v="[DEV]"/>
    <s v="Dev Public Service CI"/>
    <s v="DEV"/>
    <n v="4.3999999999999997E-2"/>
    <n v="2.4E-2"/>
    <n v="1.4999999999999999E-2"/>
  </r>
  <r>
    <s v="Epic Games, Inc."/>
    <x v="1"/>
    <s v="subscriptionv2-public-service-stage-i-4458e117"/>
    <n v="1"/>
    <n v="1700"/>
    <n v="160"/>
    <x v="0"/>
    <s v="Other"/>
    <x v="0"/>
    <s v="Other"/>
    <s v="SubscriptionV2 Service"/>
    <s v="Dev Public Service Stage"/>
    <s v="Staging"/>
    <n v="4.3999999999999997E-2"/>
    <n v="2.4E-2"/>
    <n v="1.4999999999999999E-2"/>
  </r>
  <r>
    <s v="Epic Games, Inc."/>
    <x v="1"/>
    <s v="fortnite-public-service-releaseapproved-gamedev-i-2269bcc9"/>
    <n v="1"/>
    <n v="1700"/>
    <n v="160"/>
    <x v="0"/>
    <s v="Other"/>
    <x v="1"/>
    <s v="fortnite-service"/>
    <s v="[DEV]"/>
    <s v="Dev Fortnite Gamedev"/>
    <s v="DEV"/>
    <n v="4.3999999999999997E-2"/>
    <n v="2.4E-2"/>
    <n v="1.4999999999999999E-2"/>
  </r>
  <r>
    <s v="Epic Games, Inc."/>
    <x v="4"/>
    <s v="mongodb-catalogadmin-management02-03"/>
    <n v="1"/>
    <n v="3750"/>
    <n v="4"/>
    <x v="1"/>
    <s v="Other"/>
    <x v="0"/>
    <s v="Other"/>
    <s v="Catalogadmin Service"/>
    <s v="Dev MongoDB"/>
    <s v="Infrastructure and Management"/>
    <n v="6.7000000000000004E-2"/>
    <n v="0.04"/>
    <n v="2.5999999999999999E-2"/>
  </r>
  <r>
    <s v="Epic Games, Inc."/>
    <x v="1"/>
    <s v="slackbot-ci-01"/>
    <n v="1"/>
    <n v="1700"/>
    <n v="160"/>
    <x v="0"/>
    <s v="Other"/>
    <x v="1"/>
    <s v="slackbot"/>
    <s v="[DEV]"/>
    <s v="Other"/>
    <s v="DEV"/>
    <n v="4.3999999999999997E-2"/>
    <n v="2.4E-2"/>
    <n v="1.4999999999999999E-2"/>
  </r>
  <r>
    <s v="Epic Games, Inc."/>
    <x v="1"/>
    <s v="account-public-service-common-gamedev-i-2c58c60d"/>
    <n v="1"/>
    <n v="1700"/>
    <n v="160"/>
    <x v="0"/>
    <s v="Other"/>
    <x v="1"/>
    <s v="account-service"/>
    <s v="[DEV]"/>
    <s v="Dev Common Gamedev"/>
    <s v="DEV"/>
    <n v="4.3999999999999997E-2"/>
    <n v="2.4E-2"/>
    <n v="1.4999999999999999E-2"/>
  </r>
  <r>
    <s v="Epic Games, Inc."/>
    <x v="5"/>
    <s v="mongodb-fortnite-prod11-04"/>
    <n v="4"/>
    <n v="15000"/>
    <n v="80"/>
    <x v="5"/>
    <s v="Other"/>
    <x v="0"/>
    <s v="Other"/>
    <s v="Fortnite Service"/>
    <s v="Dev MongoDB"/>
    <s v="Fortnite"/>
    <n v="0.26600000000000001"/>
    <n v="0.16300000000000001"/>
    <n v="0.104"/>
  </r>
  <r>
    <s v="Epic Games, Inc."/>
    <x v="7"/>
    <s v="fakechase-01"/>
    <n v="1"/>
    <n v="3750"/>
    <n v="410"/>
    <x v="0"/>
    <s v="Other"/>
    <x v="1"/>
    <s v="fakechase-service"/>
    <s v="[DEV]"/>
    <s v="Other"/>
    <s v="DEV"/>
    <n v="8.6999999999999994E-2"/>
    <n v="4.7E-2"/>
    <n v="2.9000000000000001E-2"/>
  </r>
  <r>
    <s v="Epic Games, Inc."/>
    <x v="1"/>
    <s v="pgsql-common-stage-01"/>
    <n v="1"/>
    <n v="1700"/>
    <n v="160"/>
    <x v="8"/>
    <s v="Other"/>
    <x v="0"/>
    <s v="Other"/>
    <s v="Postgres Common"/>
    <s v="Other"/>
    <s v="Staging"/>
    <n v="4.3999999999999997E-2"/>
    <n v="2.4E-2"/>
    <n v="1.4999999999999999E-2"/>
  </r>
  <r>
    <s v="Epic Games, Inc."/>
    <x v="1"/>
    <s v="fortnitestage-website-epiccms-i-1e6ee6f3"/>
    <n v="1"/>
    <n v="1700"/>
    <n v="160"/>
    <x v="0"/>
    <s v="Other"/>
    <x v="0"/>
    <s v="Other"/>
    <s v="Fortnite Website"/>
    <s v="Dev Website Stage"/>
    <s v="Fortnite"/>
    <n v="4.3999999999999997E-2"/>
    <n v="2.4E-2"/>
    <n v="1.4999999999999999E-2"/>
  </r>
  <r>
    <s v="Epic Games, Inc."/>
    <x v="7"/>
    <s v="DOM-AWS-VA-01.epicops.net"/>
    <n v="1"/>
    <n v="3750"/>
    <n v="410"/>
    <x v="10"/>
    <s v="Other"/>
    <x v="2"/>
    <s v="Other"/>
    <s v="Other"/>
    <s v="Other"/>
    <s v="Infrastructure and Management"/>
    <n v="0.14899999999999999"/>
    <n v="9.6000000000000002E-2"/>
    <n v="7.1999999999999995E-2"/>
  </r>
  <r>
    <s v="Epic Games, Inc."/>
    <x v="1"/>
    <s v="rabbitmq-common-gamedev-02"/>
    <n v="1"/>
    <n v="1700"/>
    <n v="160"/>
    <x v="0"/>
    <s v="Other"/>
    <x v="1"/>
    <s v="rabbitmq"/>
    <s v="[DEV]"/>
    <s v="Dev Common Gamedev"/>
    <s v="DEV"/>
    <n v="4.3999999999999997E-2"/>
    <n v="2.4E-2"/>
    <n v="1.4999999999999999E-2"/>
  </r>
  <r>
    <s v="Epic Games, Inc."/>
    <x v="1"/>
    <s v="catalogv2-public-service-gamedev-i-4dc2061e"/>
    <n v="1"/>
    <n v="1700"/>
    <n v="160"/>
    <x v="0"/>
    <s v="Other"/>
    <x v="1"/>
    <s v="catalogv2-service"/>
    <s v="[DEV]"/>
    <s v="Dev Public Service Gamedev"/>
    <s v="DEV"/>
    <n v="4.3999999999999997E-2"/>
    <n v="2.4E-2"/>
    <n v="1.4999999999999999E-2"/>
  </r>
  <r>
    <s v="Epic Games, Inc."/>
    <x v="1"/>
    <s v="mariadb-common-gamedev-02"/>
    <n v="1"/>
    <n v="1700"/>
    <n v="160"/>
    <x v="1"/>
    <s v="Other"/>
    <x v="1"/>
    <s v="mariadb"/>
    <s v="[DEV]"/>
    <s v="Dev Common Gamedev"/>
    <s v="DEV"/>
    <n v="4.3999999999999997E-2"/>
    <n v="2.4E-2"/>
    <n v="1.4999999999999999E-2"/>
  </r>
  <r>
    <s v="Epic Games, Inc."/>
    <x v="9"/>
    <s v="orion-admin-service-ci-i-6360ea8f"/>
    <n v="1"/>
    <n v="2000"/>
    <n v="0"/>
    <x v="0"/>
    <s v="Other"/>
    <x v="1"/>
    <s v="orion-service"/>
    <s v="[DEV]"/>
    <s v="Dev Admin Service CI"/>
    <s v="DEV"/>
    <n v="2.5999999999999999E-2"/>
    <n v="1.7000000000000001E-2"/>
    <n v="1.2E-2"/>
  </r>
  <r>
    <s v="Epic Games, Inc."/>
    <x v="10"/>
    <s v="dave-test-02"/>
    <n v="1"/>
    <n v="615"/>
    <n v="160"/>
    <x v="0"/>
    <s v="Other"/>
    <x v="1"/>
    <s v="Unknown"/>
    <s v="[DEV]"/>
    <s v="Other"/>
    <s v="DEV"/>
    <n v="0.02"/>
    <n v="1.2E-2"/>
    <n v="8.0000000000000002E-3"/>
  </r>
  <r>
    <s v="Epic Games, Inc."/>
    <x v="9"/>
    <s v="mariadb-common-releaseqa-03"/>
    <n v="1"/>
    <n v="2000"/>
    <n v="0"/>
    <x v="14"/>
    <s v="Other"/>
    <x v="1"/>
    <s v="mariadb"/>
    <s v="[DEV]"/>
    <s v="Dev Common ReleaseQA"/>
    <s v="DEV"/>
    <n v="2.5999999999999999E-2"/>
    <n v="1.7000000000000001E-2"/>
    <n v="1.2E-2"/>
  </r>
  <r>
    <s v="Epic Games, Inc."/>
    <x v="1"/>
    <s v="buildinfo-public-service-releaseqa-i-bad24eea"/>
    <n v="1"/>
    <n v="1700"/>
    <n v="160"/>
    <x v="0"/>
    <s v="Other"/>
    <x v="1"/>
    <s v="buildinfo-service"/>
    <s v="[DEV]"/>
    <s v="Dev Public Service ReleaseQA"/>
    <s v="DEV"/>
    <n v="4.3999999999999997E-2"/>
    <n v="2.4E-2"/>
    <n v="1.4999999999999999E-2"/>
  </r>
  <r>
    <s v="Epic Games, Inc."/>
    <x v="4"/>
    <s v="mongodb-catalogadmin-management02-01"/>
    <n v="1"/>
    <n v="3750"/>
    <n v="4"/>
    <x v="1"/>
    <s v="Other"/>
    <x v="0"/>
    <s v="Other"/>
    <s v="Catalogadmin Service"/>
    <s v="Dev MongoDB"/>
    <s v="Infrastructure and Management"/>
    <n v="6.7000000000000004E-2"/>
    <n v="0.04"/>
    <n v="2.5999999999999999E-2"/>
  </r>
  <r>
    <s v="Epic Games, Inc."/>
    <x v="1"/>
    <s v="redis-login-gamedev-01"/>
    <n v="1"/>
    <n v="1700"/>
    <n v="160"/>
    <x v="0"/>
    <s v="Other"/>
    <x v="1"/>
    <s v="redis"/>
    <s v="[DEV]"/>
    <s v="Dev Redis"/>
    <s v="DEV"/>
    <n v="4.3999999999999997E-2"/>
    <n v="2.4E-2"/>
    <n v="1.4999999999999999E-2"/>
  </r>
  <r>
    <s v="Epic Games, Inc."/>
    <x v="5"/>
    <s v="pgsql-commentrating-prod06-01"/>
    <n v="4"/>
    <n v="15000"/>
    <n v="80"/>
    <x v="1"/>
    <s v="Other"/>
    <x v="0"/>
    <s v="Other"/>
    <s v="Commentrating Service"/>
    <s v="Other"/>
    <s v="Common Services (Prod06)"/>
    <n v="0.26600000000000001"/>
    <n v="0.16300000000000001"/>
    <n v="0.104"/>
  </r>
  <r>
    <s v="Epic Games, Inc."/>
    <x v="1"/>
    <s v="mongodb-common-ci-02"/>
    <n v="1"/>
    <n v="1700"/>
    <n v="160"/>
    <x v="7"/>
    <s v="Other"/>
    <x v="1"/>
    <s v="mongodb"/>
    <s v="[DEV]"/>
    <s v="Dev Common CI"/>
    <s v="DEV"/>
    <n v="4.3999999999999997E-2"/>
    <n v="2.4E-2"/>
    <n v="1.4999999999999999E-2"/>
  </r>
  <r>
    <s v="Epic Games, Inc."/>
    <x v="0"/>
    <s v="sphinx-vbulletin-prod04-01"/>
    <n v="2"/>
    <n v="3750"/>
    <n v="32"/>
    <x v="8"/>
    <s v="Other"/>
    <x v="0"/>
    <s v="Other"/>
    <s v="Other"/>
    <s v="Other"/>
    <s v="VBulletin (Prod04)"/>
    <n v="0.105"/>
    <n v="6.2E-2"/>
    <n v="3.9E-2"/>
  </r>
  <r>
    <s v="Epic Games, Inc."/>
    <x v="1"/>
    <s v="redis-common-stage-02"/>
    <n v="1"/>
    <n v="1700"/>
    <n v="160"/>
    <x v="0"/>
    <s v="Other"/>
    <x v="0"/>
    <s v="Other"/>
    <s v="Other"/>
    <s v="Other"/>
    <s v="Staging"/>
    <n v="4.3999999999999997E-2"/>
    <n v="2.4E-2"/>
    <n v="1.4999999999999999E-2"/>
  </r>
  <r>
    <s v="Epic Games, Inc."/>
    <x v="1"/>
    <s v="rabbitmq-common-ci-03"/>
    <n v="1"/>
    <n v="1700"/>
    <n v="160"/>
    <x v="0"/>
    <s v="Other"/>
    <x v="1"/>
    <s v="rabbitmq"/>
    <s v="[DEV]"/>
    <s v="Dev Common CI"/>
    <s v="DEV"/>
    <n v="4.3999999999999997E-2"/>
    <n v="2.4E-2"/>
    <n v="1.4999999999999999E-2"/>
  </r>
  <r>
    <s v="Epic Games, Inc."/>
    <x v="6"/>
    <s v="mariadb-galera-cluster-common-ci-03"/>
    <n v="2"/>
    <n v="4000"/>
    <n v="0"/>
    <x v="7"/>
    <s v="Other"/>
    <x v="1"/>
    <s v="mariadb"/>
    <s v="[DEV]"/>
    <s v="Dev Common CI"/>
    <s v="DEV"/>
    <n v="5.1999999999999998E-2"/>
    <n v="3.4000000000000002E-2"/>
    <n v="2.3E-2"/>
  </r>
  <r>
    <s v="Epic Games, Inc."/>
    <x v="1"/>
    <s v="buildinfo-admin-service-gamedev-i-3a68d169"/>
    <n v="1"/>
    <n v="1700"/>
    <n v="160"/>
    <x v="0"/>
    <s v="Other"/>
    <x v="1"/>
    <s v="buildinfo-service"/>
    <s v="[DEV]"/>
    <s v="Dev Admin Service Gamedev"/>
    <s v="DEV"/>
    <n v="4.3999999999999997E-2"/>
    <n v="2.4E-2"/>
    <n v="1.4999999999999999E-2"/>
  </r>
  <r>
    <s v="Epic Games, Inc."/>
    <x v="1"/>
    <s v="coderedemption-public-service-ci-i-9bf473b1"/>
    <n v="1"/>
    <n v="1700"/>
    <n v="160"/>
    <x v="0"/>
    <s v="Other"/>
    <x v="1"/>
    <s v="coderedemption-service"/>
    <s v="[DEV]"/>
    <s v="Dev Public Service CI"/>
    <s v="DEV"/>
    <n v="4.3999999999999997E-2"/>
    <n v="2.4E-2"/>
    <n v="1.4999999999999999E-2"/>
  </r>
  <r>
    <s v="Epic Games, Inc."/>
    <x v="0"/>
    <s v="jmeter-lt-07"/>
    <n v="2"/>
    <n v="3750"/>
    <n v="32"/>
    <x v="0"/>
    <s v="Other"/>
    <x v="1"/>
    <s v="jmeter"/>
    <s v="[DEV]"/>
    <s v="Dev Service Load Test (Other)"/>
    <s v="DEV"/>
    <n v="0.105"/>
    <n v="6.2E-2"/>
    <n v="3.9E-2"/>
  </r>
  <r>
    <s v="Epic Games, Inc."/>
    <x v="1"/>
    <s v="publishing-admin-service-ci-i-6819af45"/>
    <n v="1"/>
    <n v="1700"/>
    <n v="160"/>
    <x v="0"/>
    <s v="Other"/>
    <x v="1"/>
    <s v="publishing-service"/>
    <s v="[DEV]"/>
    <s v="Dev Admin Service CI"/>
    <s v="DEV"/>
    <n v="4.3999999999999997E-2"/>
    <n v="2.4E-2"/>
    <n v="1.4999999999999999E-2"/>
  </r>
  <r>
    <s v="Epic Games, Inc."/>
    <x v="1"/>
    <s v="mongodb-common-releaseqa-04"/>
    <n v="1"/>
    <n v="1700"/>
    <n v="160"/>
    <x v="20"/>
    <s v="Other"/>
    <x v="1"/>
    <s v="mongodb"/>
    <s v="[DEV]"/>
    <s v="Dev Common ReleaseQA"/>
    <s v="DEV"/>
    <n v="4.3999999999999997E-2"/>
    <n v="2.4E-2"/>
    <n v="1.4999999999999999E-2"/>
  </r>
  <r>
    <s v="Epic Games, Inc."/>
    <x v="1"/>
    <s v="fortnite-admin-service-releasetesting-gamedev-i-edbf01c0"/>
    <n v="1"/>
    <n v="1700"/>
    <n v="160"/>
    <x v="0"/>
    <s v="Other"/>
    <x v="1"/>
    <s v="fortnite-service"/>
    <s v="[DEV]"/>
    <s v="Dev Fortnite Gamedev"/>
    <s v="DEV"/>
    <n v="4.3999999999999997E-2"/>
    <n v="2.4E-2"/>
    <n v="1.4999999999999999E-2"/>
  </r>
  <r>
    <s v="Epic Games, Inc."/>
    <x v="1"/>
    <s v="commentrating-admin-service-stage-i-2b7a5101"/>
    <n v="1"/>
    <n v="1700"/>
    <n v="160"/>
    <x v="0"/>
    <s v="Other"/>
    <x v="0"/>
    <s v="Other"/>
    <s v="Commentrating Service"/>
    <s v="Dev Admin Service Load Test"/>
    <s v="Staging"/>
    <n v="4.3999999999999997E-2"/>
    <n v="2.4E-2"/>
    <n v="1.4999999999999999E-2"/>
  </r>
  <r>
    <s v="Epic Games, Inc."/>
    <x v="1"/>
    <s v="redis-common-ci-02"/>
    <n v="1"/>
    <n v="1700"/>
    <n v="160"/>
    <x v="0"/>
    <s v="Other"/>
    <x v="1"/>
    <s v="redis"/>
    <s v="[DEV]"/>
    <s v="Dev Common CI"/>
    <s v="DEV"/>
    <n v="4.3999999999999997E-2"/>
    <n v="2.4E-2"/>
    <n v="1.4999999999999999E-2"/>
  </r>
  <r>
    <s v="Epic Games, Inc."/>
    <x v="1"/>
    <s v="mongodb-entitlement-prod08-05"/>
    <n v="1"/>
    <n v="1700"/>
    <n v="160"/>
    <x v="0"/>
    <s v="Other"/>
    <x v="0"/>
    <s v="Other"/>
    <s v="Entitlement Service"/>
    <s v="Dev MongoDB"/>
    <s v="Entitlement (Prod08)"/>
    <n v="4.3999999999999997E-2"/>
    <n v="2.4E-2"/>
    <n v="1.4999999999999999E-2"/>
  </r>
  <r>
    <s v="Epic Games, Inc."/>
    <x v="1"/>
    <s v="catalogv2-public-service-releaseqa-i-a9317882"/>
    <n v="1"/>
    <n v="1700"/>
    <n v="160"/>
    <x v="0"/>
    <s v="Other"/>
    <x v="1"/>
    <s v="catalogv2-service"/>
    <s v="[DEV]"/>
    <s v="Dev Public Service ReleaseQA"/>
    <s v="DEV"/>
    <n v="4.3999999999999997E-2"/>
    <n v="2.4E-2"/>
    <n v="1.4999999999999999E-2"/>
  </r>
  <r>
    <s v="Epic Games, Inc."/>
    <x v="1"/>
    <s v="elasticsearch-service-ci-03"/>
    <n v="1"/>
    <n v="1700"/>
    <n v="160"/>
    <x v="11"/>
    <s v="Other"/>
    <x v="1"/>
    <s v="elasticsearch"/>
    <s v="[DEV]"/>
    <s v="Dev Service CI (Other)"/>
    <s v="DEV"/>
    <n v="4.3999999999999997E-2"/>
    <n v="2.4E-2"/>
    <n v="1.4999999999999999E-2"/>
  </r>
  <r>
    <s v="Epic Games, Inc."/>
    <x v="12"/>
    <s v="redis-account01-prod03-01"/>
    <n v="32"/>
    <n v="60000"/>
    <n v="640"/>
    <x v="0"/>
    <s v="Other"/>
    <x v="0"/>
    <s v="Other"/>
    <s v="Account Service"/>
    <s v="Other"/>
    <s v="Account Services (Prod03)"/>
    <n v="1.68"/>
    <n v="0.99199999999999999"/>
    <n v="0.628"/>
  </r>
  <r>
    <s v="Epic Games, Inc."/>
    <x v="8"/>
    <s v="log-management-02"/>
    <n v="8"/>
    <n v="30000"/>
    <n v="160"/>
    <x v="21"/>
    <s v="Other"/>
    <x v="3"/>
    <s v="Other"/>
    <s v="Log Management"/>
    <s v="Other"/>
    <s v="Infrastructure and Management"/>
    <n v="0.53200000000000003"/>
    <n v="0.32400000000000001"/>
    <n v="0.20899999999999999"/>
  </r>
  <r>
    <s v="Epic Games, Inc."/>
    <x v="2"/>
    <s v="zabbix-server-04"/>
    <n v="2"/>
    <n v="7500"/>
    <n v="32"/>
    <x v="0"/>
    <s v="Other"/>
    <x v="2"/>
    <s v="Other"/>
    <s v="Zabbix Servers"/>
    <s v="Other"/>
    <s v="Infrastructure and Management"/>
    <n v="0.13300000000000001"/>
    <n v="8.1000000000000003E-2"/>
    <n v="5.1999999999999998E-2"/>
  </r>
  <r>
    <s v="Epic Games, Inc."/>
    <x v="2"/>
    <s v="mongodb-common-prod07-01"/>
    <n v="2"/>
    <n v="7500"/>
    <n v="32"/>
    <x v="16"/>
    <s v="Other"/>
    <x v="0"/>
    <s v="Other"/>
    <s v="Mongodb Common"/>
    <s v="Dev MongoDB"/>
    <s v="Common Website (Prod07)"/>
    <n v="0.13300000000000001"/>
    <n v="8.1000000000000003E-2"/>
    <n v="5.1999999999999998E-2"/>
  </r>
  <r>
    <s v="Epic Games, Inc."/>
    <x v="1"/>
    <s v="fortnite-public-service-releasetesting-gamedev-i-ecbf01c1"/>
    <n v="1"/>
    <n v="1700"/>
    <n v="160"/>
    <x v="0"/>
    <s v="Other"/>
    <x v="1"/>
    <s v="fortnite-service"/>
    <s v="[DEV]"/>
    <s v="Dev Fortnite Gamedev"/>
    <s v="DEV"/>
    <n v="4.3999999999999997E-2"/>
    <n v="2.4E-2"/>
    <n v="1.4999999999999999E-2"/>
  </r>
  <r>
    <s v="Epic Games, Inc."/>
    <x v="1"/>
    <s v="friends-public-service-gamedev-i-5b0628b0"/>
    <n v="1"/>
    <n v="1700"/>
    <n v="160"/>
    <x v="0"/>
    <s v="Other"/>
    <x v="1"/>
    <s v="friends-service"/>
    <s v="[DEV]"/>
    <s v="Dev Public Service Gamedev"/>
    <s v="DEV"/>
    <n v="4.3999999999999997E-2"/>
    <n v="2.4E-2"/>
    <n v="1.4999999999999999E-2"/>
  </r>
  <r>
    <s v="Epic Games, Inc."/>
    <x v="9"/>
    <s v="fortnite-admin-service-stage-i-5c9353b0"/>
    <n v="1"/>
    <n v="2000"/>
    <n v="0"/>
    <x v="0"/>
    <s v="Other"/>
    <x v="1"/>
    <s v="fortnite-service"/>
    <s v="[DEV]"/>
    <s v="Dev Fortnite Stage"/>
    <s v="DEV"/>
    <n v="2.5999999999999999E-2"/>
    <n v="1.7000000000000001E-2"/>
    <n v="1.2E-2"/>
  </r>
  <r>
    <s v="Epic Games, Inc."/>
    <x v="9"/>
    <s v="mongodb-tigase-stage-01"/>
    <n v="1"/>
    <n v="2000"/>
    <n v="0"/>
    <x v="1"/>
    <s v="Other"/>
    <x v="1"/>
    <s v="mongodb"/>
    <s v="[DEV]"/>
    <s v="Dev MongoDB"/>
    <s v="DEV"/>
    <n v="2.5999999999999999E-2"/>
    <n v="1.7000000000000001E-2"/>
    <n v="1.2E-2"/>
  </r>
  <r>
    <s v="Epic Games, Inc."/>
    <x v="1"/>
    <s v="buildinfo-admin-service-ci-i-2b1f2901"/>
    <n v="1"/>
    <n v="1700"/>
    <n v="160"/>
    <x v="0"/>
    <s v="Other"/>
    <x v="1"/>
    <s v="buildinfo-service"/>
    <s v="[DEV]"/>
    <s v="Dev Admin Service CI"/>
    <s v="DEV"/>
    <n v="4.3999999999999997E-2"/>
    <n v="2.4E-2"/>
    <n v="1.4999999999999999E-2"/>
  </r>
  <r>
    <s v="Epic Games, Inc."/>
    <x v="1"/>
    <s v="elasticsearch-service-ci-02"/>
    <n v="1"/>
    <n v="1700"/>
    <n v="160"/>
    <x v="11"/>
    <s v="Other"/>
    <x v="1"/>
    <s v="elasticsearch"/>
    <s v="[DEV]"/>
    <s v="Dev Service CI (Other)"/>
    <s v="DEV"/>
    <n v="4.3999999999999997E-2"/>
    <n v="2.4E-2"/>
    <n v="1.4999999999999999E-2"/>
  </r>
  <r>
    <s v="Epic Games, Inc."/>
    <x v="5"/>
    <s v="mongodb-catalog-prod06-04"/>
    <n v="4"/>
    <n v="15000"/>
    <n v="80"/>
    <x v="7"/>
    <s v="Other"/>
    <x v="0"/>
    <s v="Other"/>
    <s v="Catalog Service"/>
    <s v="Dev MongoDB"/>
    <s v="Common Services (Prod06)"/>
    <n v="0.26600000000000001"/>
    <n v="0.16300000000000001"/>
    <n v="0.104"/>
  </r>
  <r>
    <s v="Epic Games, Inc."/>
    <x v="1"/>
    <s v="mongodb-common-releaseqa-03"/>
    <n v="1"/>
    <n v="1700"/>
    <n v="160"/>
    <x v="7"/>
    <s v="Other"/>
    <x v="1"/>
    <s v="mongodb"/>
    <s v="[DEV]"/>
    <s v="Dev Common ReleaseQA"/>
    <s v="DEV"/>
    <n v="4.3999999999999997E-2"/>
    <n v="2.4E-2"/>
    <n v="1.4999999999999999E-2"/>
  </r>
  <r>
    <s v="Epic Games, Inc."/>
    <x v="17"/>
    <s v="crucible-atlassian-ci-01"/>
    <n v="4"/>
    <n v="7500"/>
    <n v="80"/>
    <x v="0"/>
    <s v="Other"/>
    <x v="0"/>
    <s v="Other"/>
    <s v="Atlassian Suite"/>
    <s v="Other"/>
    <s v="DEV"/>
    <n v="0.21"/>
    <n v="0.125"/>
    <n v="7.9000000000000001E-2"/>
  </r>
  <r>
    <s v="Epic Games, Inc."/>
    <x v="9"/>
    <s v="riak-common-ci-04"/>
    <n v="1"/>
    <n v="2000"/>
    <n v="0"/>
    <x v="25"/>
    <s v="Other"/>
    <x v="1"/>
    <s v="riak"/>
    <s v="[DEV]"/>
    <s v="Dev Common CI"/>
    <s v="DEV"/>
    <n v="2.5999999999999999E-2"/>
    <n v="1.7000000000000001E-2"/>
    <n v="1.2E-2"/>
  </r>
  <r>
    <s v="Epic Games, Inc."/>
    <x v="5"/>
    <s v="pgsql-subscription-ecomprod01-03"/>
    <n v="4"/>
    <n v="15000"/>
    <n v="80"/>
    <x v="20"/>
    <s v="Other"/>
    <x v="0"/>
    <s v="Other"/>
    <s v="SubscriptionV2 Service"/>
    <s v="Other"/>
    <s v="Ecom (Prod01)"/>
    <n v="0.26600000000000001"/>
    <n v="0.16300000000000001"/>
    <n v="0.104"/>
  </r>
  <r>
    <s v="Epic Games, Inc."/>
    <x v="0"/>
    <s v="maintenance-website-prod07-i-f278c0a2"/>
    <n v="2"/>
    <n v="3750"/>
    <n v="32"/>
    <x v="0"/>
    <s v="Other"/>
    <x v="0"/>
    <s v="Other"/>
    <s v="Other"/>
    <s v="Other"/>
    <s v="Common Website (Prod07)"/>
    <n v="0.105"/>
    <n v="6.2E-2"/>
    <n v="3.9E-2"/>
  </r>
  <r>
    <s v="Epic Games, Inc."/>
    <x v="8"/>
    <s v="mariadb-mediawiki-prod05-03"/>
    <n v="8"/>
    <n v="30000"/>
    <n v="160"/>
    <x v="26"/>
    <s v="Other"/>
    <x v="0"/>
    <s v="Other"/>
    <s v="Mediawiki"/>
    <s v="Dev MariaDB"/>
    <s v="MediaWiki (Prod05)"/>
    <n v="0.53200000000000003"/>
    <n v="0.32400000000000001"/>
    <n v="0.20899999999999999"/>
  </r>
  <r>
    <s v="Epic Games, Inc."/>
    <x v="9"/>
    <s v="mariadb-common-releaseqa-02"/>
    <n v="1"/>
    <n v="2000"/>
    <n v="0"/>
    <x v="7"/>
    <s v="Other"/>
    <x v="1"/>
    <s v="mariadb"/>
    <s v="[DEV]"/>
    <s v="Dev Common ReleaseQA"/>
    <s v="DEV"/>
    <n v="2.5999999999999999E-2"/>
    <n v="1.7000000000000001E-2"/>
    <n v="1.2E-2"/>
  </r>
  <r>
    <s v="Epic Games, Inc."/>
    <x v="1"/>
    <s v="paymentv2-public-service-stage-i-57853c04"/>
    <n v="1"/>
    <n v="1700"/>
    <n v="160"/>
    <x v="0"/>
    <s v="Other"/>
    <x v="0"/>
    <s v="Other"/>
    <s v="Paymentv2 Service"/>
    <s v="Dev Public Service Stage"/>
    <s v="Staging"/>
    <n v="4.3999999999999997E-2"/>
    <n v="2.4E-2"/>
    <n v="1.4999999999999999E-2"/>
  </r>
  <r>
    <s v="Epic Games, Inc."/>
    <x v="1"/>
    <s v="pgsql-common-gamedev-02"/>
    <n v="1"/>
    <n v="1700"/>
    <n v="160"/>
    <x v="8"/>
    <s v="Other"/>
    <x v="1"/>
    <s v="pgsql"/>
    <s v="[DEV]"/>
    <s v="Dev Common Gamedev"/>
    <s v="DEV"/>
    <n v="4.3999999999999997E-2"/>
    <n v="2.4E-2"/>
    <n v="1.4999999999999999E-2"/>
  </r>
  <r>
    <s v="Epic Games, Inc."/>
    <x v="1"/>
    <s v="elasticsearch-service-stage-02"/>
    <n v="1"/>
    <n v="1700"/>
    <n v="160"/>
    <x v="11"/>
    <s v="Other"/>
    <x v="0"/>
    <s v="Other"/>
    <s v="ElasticSearch Common"/>
    <s v="Other"/>
    <s v="Staging"/>
    <n v="4.3999999999999997E-2"/>
    <n v="2.4E-2"/>
    <n v="1.4999999999999999E-2"/>
  </r>
  <r>
    <s v="Epic Games, Inc."/>
    <x v="1"/>
    <s v="coderedemption-admin-service-ci-i-015446ea"/>
    <n v="1"/>
    <n v="1700"/>
    <n v="160"/>
    <x v="0"/>
    <s v="Other"/>
    <x v="1"/>
    <s v="coderedemption-service"/>
    <s v="[DEV]"/>
    <s v="Dev Admin Service CI"/>
    <s v="DEV"/>
    <n v="4.3999999999999997E-2"/>
    <n v="2.4E-2"/>
    <n v="1.4999999999999999E-2"/>
  </r>
  <r>
    <s v="Epic Games, Inc."/>
    <x v="1"/>
    <s v="rabbitmq-common-ci-02"/>
    <n v="1"/>
    <n v="1700"/>
    <n v="160"/>
    <x v="0"/>
    <s v="Other"/>
    <x v="1"/>
    <s v="rabbitmq"/>
    <s v="[DEV]"/>
    <s v="Dev Common CI"/>
    <s v="DEV"/>
    <n v="4.3999999999999997E-2"/>
    <n v="2.4E-2"/>
    <n v="1.4999999999999999E-2"/>
  </r>
  <r>
    <s v="Epic Games, Inc."/>
    <x v="1"/>
    <s v="coderedemption-public-service-stage-i-85bcb2af"/>
    <n v="1"/>
    <n v="1700"/>
    <n v="160"/>
    <x v="0"/>
    <s v="Other"/>
    <x v="0"/>
    <s v="Other"/>
    <s v="Coderedemption"/>
    <s v="Dev Public Service Stage"/>
    <s v="Staging"/>
    <n v="4.3999999999999997E-2"/>
    <n v="2.4E-2"/>
    <n v="1.4999999999999999E-2"/>
  </r>
  <r>
    <s v="Epic Games, Inc."/>
    <x v="9"/>
    <s v="lightswitch-admin-service-gamedev-i-365e14db"/>
    <n v="1"/>
    <n v="2000"/>
    <n v="0"/>
    <x v="0"/>
    <s v="Other"/>
    <x v="1"/>
    <s v="lightswitch-service"/>
    <s v="[DEV]"/>
    <s v="Dev Admin Service Gamedev"/>
    <s v="DEV"/>
    <n v="2.5999999999999999E-2"/>
    <n v="1.7000000000000001E-2"/>
    <n v="1.2E-2"/>
  </r>
  <r>
    <s v="Epic Games, Inc."/>
    <x v="8"/>
    <s v="mongodb-prod-04"/>
    <n v="8"/>
    <n v="30000"/>
    <n v="160"/>
    <x v="27"/>
    <s v="Other"/>
    <x v="0"/>
    <s v="Other"/>
    <s v="Sword Service"/>
    <s v="Dev MongoDB"/>
    <s v="Infinity Blade 3"/>
    <n v="0.53200000000000003"/>
    <n v="0.32400000000000001"/>
    <n v="0.20899999999999999"/>
  </r>
  <r>
    <s v="Epic Games, Inc."/>
    <x v="1"/>
    <s v="entitlement-public-service-ci-i-87bba7fa"/>
    <n v="1"/>
    <n v="1700"/>
    <n v="160"/>
    <x v="0"/>
    <s v="Other"/>
    <x v="1"/>
    <s v="entitlement-service"/>
    <s v="[DEV]"/>
    <s v="Dev Public Service CI"/>
    <s v="DEV"/>
    <n v="4.3999999999999997E-2"/>
    <n v="2.4E-2"/>
    <n v="1.4999999999999999E-2"/>
  </r>
  <r>
    <s v="Epic Games, Inc."/>
    <x v="9"/>
    <s v="riak-common-gamedev-05"/>
    <n v="1"/>
    <n v="2000"/>
    <n v="0"/>
    <x v="8"/>
    <s v="Other"/>
    <x v="1"/>
    <s v="riak"/>
    <s v="[DEV]"/>
    <s v="Dev Common Gamedev"/>
    <s v="DEV"/>
    <n v="2.5999999999999999E-2"/>
    <n v="1.7000000000000001E-2"/>
    <n v="1.2E-2"/>
  </r>
  <r>
    <s v="Epic Games, Inc."/>
    <x v="5"/>
    <s v="pgsql-subscription-ecomprod01-02"/>
    <n v="4"/>
    <n v="15000"/>
    <n v="80"/>
    <x v="7"/>
    <s v="Other"/>
    <x v="0"/>
    <s v="Other"/>
    <s v="SubscriptionV2 Service"/>
    <s v="Other"/>
    <s v="Ecom (Prod01)"/>
    <n v="0.26600000000000001"/>
    <n v="0.16300000000000001"/>
    <n v="0.104"/>
  </r>
  <r>
    <s v="Epic Games, Inc."/>
    <x v="1"/>
    <s v="fulfillment-admin-service-gamedev-i-cd8f07e0"/>
    <n v="1"/>
    <n v="1700"/>
    <n v="160"/>
    <x v="0"/>
    <s v="Other"/>
    <x v="1"/>
    <s v="fulfillment-service"/>
    <s v="[DEV]"/>
    <s v="Dev Admin Service Gamedev"/>
    <s v="DEV"/>
    <n v="4.3999999999999997E-2"/>
    <n v="2.4E-2"/>
    <n v="1.4999999999999999E-2"/>
  </r>
  <r>
    <s v="Epic Games, Inc."/>
    <x v="1"/>
    <s v="mongodb-common-ci-01"/>
    <n v="1"/>
    <n v="1700"/>
    <n v="160"/>
    <x v="7"/>
    <s v="Other"/>
    <x v="1"/>
    <s v="mongodb"/>
    <s v="[DEV]"/>
    <s v="Dev Common CI"/>
    <s v="DEV"/>
    <n v="4.3999999999999997E-2"/>
    <n v="2.4E-2"/>
    <n v="1.4999999999999999E-2"/>
  </r>
  <r>
    <s v="Epic Games, Inc."/>
    <x v="4"/>
    <s v="pgsql-common-ci-03"/>
    <n v="1"/>
    <n v="3750"/>
    <n v="4"/>
    <x v="2"/>
    <s v="Other"/>
    <x v="1"/>
    <s v="pgsql"/>
    <s v="[DEV]"/>
    <s v="Dev Common CI"/>
    <s v="DEV"/>
    <n v="6.7000000000000004E-2"/>
    <n v="0.04"/>
    <n v="2.5999999999999999E-2"/>
  </r>
  <r>
    <s v="Epic Games, Inc."/>
    <x v="9"/>
    <s v="orderprocessor-batchjob-service-stage-i-78a75d92"/>
    <n v="1"/>
    <n v="2000"/>
    <n v="0"/>
    <x v="0"/>
    <s v="Other"/>
    <x v="0"/>
    <s v="Other"/>
    <s v="OrderProcessor Service"/>
    <s v="Other"/>
    <s v="Staging"/>
    <n v="2.5999999999999999E-2"/>
    <n v="1.7000000000000001E-2"/>
    <n v="1.2E-2"/>
  </r>
  <r>
    <s v="Epic Games, Inc."/>
    <x v="14"/>
    <s v="ue-website-prod07-i-55bb5e78"/>
    <n v="8"/>
    <n v="15000"/>
    <n v="160"/>
    <x v="0"/>
    <s v="Other"/>
    <x v="0"/>
    <s v="Other"/>
    <s v="UE Website"/>
    <s v="Other"/>
    <s v="Unreal Engine"/>
    <n v="0.42"/>
    <n v="0.248"/>
    <n v="0.157"/>
  </r>
  <r>
    <s v="Epic Games, Inc."/>
    <x v="1"/>
    <s v="subscriptionv2-admin-service-gamedev-i-d7835b87"/>
    <n v="1"/>
    <n v="1700"/>
    <n v="160"/>
    <x v="0"/>
    <s v="Other"/>
    <x v="1"/>
    <s v="subscriptionv2-service"/>
    <s v="[DEV]"/>
    <s v="Dev Admin Service Gamedev"/>
    <s v="DEV"/>
    <n v="4.3999999999999997E-2"/>
    <n v="2.4E-2"/>
    <n v="1.4999999999999999E-2"/>
  </r>
  <r>
    <s v="Epic Games, Inc."/>
    <x v="5"/>
    <s v="mongodb-entitlement-prod08-03"/>
    <n v="4"/>
    <n v="15000"/>
    <n v="80"/>
    <x v="1"/>
    <s v="Other"/>
    <x v="0"/>
    <s v="Other"/>
    <s v="Entitlement Service"/>
    <s v="Dev MongoDB"/>
    <s v="Entitlement (Prod08)"/>
    <n v="0.26600000000000001"/>
    <n v="0.16300000000000001"/>
    <n v="0.104"/>
  </r>
  <r>
    <s v="Epic Games, Inc."/>
    <x v="9"/>
    <s v="activitystream-public-service-ci-i-3f4b46d5"/>
    <n v="1"/>
    <n v="2000"/>
    <n v="0"/>
    <x v="0"/>
    <s v="Other"/>
    <x v="1"/>
    <s v="activitystream-service"/>
    <s v="[DEV]"/>
    <s v="Dev Public Service CI"/>
    <s v="DEV"/>
    <n v="2.5999999999999999E-2"/>
    <n v="1.7000000000000001E-2"/>
    <n v="1.2E-2"/>
  </r>
  <r>
    <s v="Epic Games, Inc."/>
    <x v="1"/>
    <s v="mongodb-common-stage-02"/>
    <n v="1"/>
    <n v="1700"/>
    <n v="160"/>
    <x v="7"/>
    <s v="Other"/>
    <x v="0"/>
    <s v="Other"/>
    <s v="Mongodb Common"/>
    <s v="Dev MongoDB"/>
    <s v="Staging"/>
    <n v="4.3999999999999997E-2"/>
    <n v="2.4E-2"/>
    <n v="1.4999999999999999E-2"/>
  </r>
  <r>
    <s v="Epic Games, Inc."/>
    <x v="9"/>
    <s v="shoppingcart-admin-service-stage-i-6d250f81"/>
    <n v="1"/>
    <n v="2000"/>
    <n v="0"/>
    <x v="0"/>
    <s v="Other"/>
    <x v="0"/>
    <s v="Other"/>
    <s v="Shoppingcart Service"/>
    <s v="Dev Admin Service Load Test"/>
    <s v="Staging"/>
    <n v="2.5999999999999999E-2"/>
    <n v="1.7000000000000001E-2"/>
    <n v="1.2E-2"/>
  </r>
  <r>
    <s v="Epic Games, Inc."/>
    <x v="17"/>
    <s v="jira-atlassian-ci-01"/>
    <n v="4"/>
    <n v="7500"/>
    <n v="80"/>
    <x v="28"/>
    <s v="Other"/>
    <x v="0"/>
    <s v="Other"/>
    <s v="Atlassian Suite"/>
    <s v="Other"/>
    <s v="DEV"/>
    <n v="0.21"/>
    <n v="0.125"/>
    <n v="7.9000000000000001E-2"/>
  </r>
  <r>
    <s v="Epic Games, Inc."/>
    <x v="1"/>
    <s v="priceengine-admin-service-ci-i-60c7f74b"/>
    <n v="1"/>
    <n v="1700"/>
    <n v="160"/>
    <x v="0"/>
    <s v="Other"/>
    <x v="1"/>
    <s v="priceengine-service"/>
    <s v="[DEV]"/>
    <s v="Dev Admin Service CI"/>
    <s v="DEV"/>
    <n v="4.3999999999999997E-2"/>
    <n v="2.4E-2"/>
    <n v="1.4999999999999999E-2"/>
  </r>
  <r>
    <s v="Epic Games, Inc."/>
    <x v="1"/>
    <s v="fortnite-website-stage-i-b1a8645d"/>
    <n v="1"/>
    <n v="1700"/>
    <n v="160"/>
    <x v="0"/>
    <s v="Other"/>
    <x v="0"/>
    <s v="Other"/>
    <s v="Fortnite Website"/>
    <s v="Dev Website Stage"/>
    <s v="Fortnite"/>
    <n v="4.3999999999999997E-2"/>
    <n v="2.4E-2"/>
    <n v="1.4999999999999999E-2"/>
  </r>
  <r>
    <s v="Epic Games, Inc."/>
    <x v="9"/>
    <s v="mongodb-tigase-releaseqa-01"/>
    <n v="1"/>
    <n v="2000"/>
    <n v="0"/>
    <x v="1"/>
    <s v="Other"/>
    <x v="1"/>
    <s v="mongodb"/>
    <s v="[DEV]"/>
    <s v="Dev MongoDB"/>
    <s v="DEV"/>
    <n v="2.5999999999999999E-2"/>
    <n v="1.7000000000000001E-2"/>
    <n v="1.2E-2"/>
  </r>
  <r>
    <s v="Epic Games, Inc."/>
    <x v="1"/>
    <s v="elasticsearch-service-gamedev-03"/>
    <n v="1"/>
    <n v="1700"/>
    <n v="160"/>
    <x v="11"/>
    <s v="Other"/>
    <x v="1"/>
    <s v="elasticsearch"/>
    <s v="[DEV]"/>
    <s v="Dev Service Gamedev (Other)"/>
    <s v="DEV"/>
    <n v="4.3999999999999997E-2"/>
    <n v="2.4E-2"/>
    <n v="1.4999999999999999E-2"/>
  </r>
  <r>
    <s v="Epic Games, Inc."/>
    <x v="0"/>
    <s v="jmeter-lt-02"/>
    <n v="2"/>
    <n v="3750"/>
    <n v="32"/>
    <x v="0"/>
    <s v="Other"/>
    <x v="1"/>
    <s v="jmeter"/>
    <s v="[DEV]"/>
    <s v="Dev Service Load Test (Other)"/>
    <s v="DEV"/>
    <n v="0.105"/>
    <n v="6.2E-2"/>
    <n v="3.9E-2"/>
  </r>
  <r>
    <s v="Epic Games, Inc."/>
    <x v="10"/>
    <s v="gateway-dev-1d"/>
    <n v="1"/>
    <n v="615"/>
    <n v="160"/>
    <x v="6"/>
    <s v="Other"/>
    <x v="1"/>
    <s v="gateway-dev"/>
    <s v="[DEV]"/>
    <s v="Other"/>
    <s v="Infrastructure and Management"/>
    <n v="0.02"/>
    <n v="1.2E-2"/>
    <n v="8.0000000000000002E-3"/>
  </r>
  <r>
    <s v="Epic Games, Inc."/>
    <x v="6"/>
    <s v="cron-analytics-management-01"/>
    <n v="2"/>
    <n v="4000"/>
    <n v="0"/>
    <x v="0"/>
    <s v="Other"/>
    <x v="2"/>
    <s v="Other"/>
    <s v="Other"/>
    <s v="Other"/>
    <s v="Infrastructure and Management"/>
    <n v="5.1999999999999998E-2"/>
    <n v="3.4000000000000002E-2"/>
    <n v="2.3E-2"/>
  </r>
  <r>
    <s v="Epic Games, Inc."/>
    <x v="4"/>
    <s v="pgsql-adminportal-management-02"/>
    <n v="1"/>
    <n v="3750"/>
    <n v="4"/>
    <x v="8"/>
    <s v="Other"/>
    <x v="0"/>
    <s v="Other"/>
    <s v="Adminportal"/>
    <s v="Other"/>
    <s v="Infrastructure and Management"/>
    <n v="6.7000000000000004E-2"/>
    <n v="0.04"/>
    <n v="2.5999999999999999E-2"/>
  </r>
  <r>
    <s v="Epic Games, Inc."/>
    <x v="1"/>
    <s v="entitlement-admin-servicecron-releaseqa-i-80cc7cd3"/>
    <n v="1"/>
    <n v="1700"/>
    <n v="160"/>
    <x v="0"/>
    <s v="Other"/>
    <x v="1"/>
    <s v="entitlement-service"/>
    <s v="[DEV]"/>
    <s v="Dev Admin Service ReleaseQA"/>
    <s v="DEV"/>
    <n v="4.3999999999999997E-2"/>
    <n v="2.4E-2"/>
    <n v="1.4999999999999999E-2"/>
  </r>
  <r>
    <s v="Epic Games, Inc."/>
    <x v="9"/>
    <s v="riak-common-ci-01"/>
    <n v="1"/>
    <n v="2000"/>
    <n v="0"/>
    <x v="8"/>
    <s v="Other"/>
    <x v="1"/>
    <s v="riak"/>
    <s v="[DEV]"/>
    <s v="Dev Common CI"/>
    <s v="DEV"/>
    <n v="2.5999999999999999E-2"/>
    <n v="1.7000000000000001E-2"/>
    <n v="1.2E-2"/>
  </r>
  <r>
    <s v="Epic Games, Inc."/>
    <x v="1"/>
    <s v="elasticsearch-service-releaseqa-01"/>
    <n v="1"/>
    <n v="1700"/>
    <n v="160"/>
    <x v="11"/>
    <s v="Other"/>
    <x v="1"/>
    <s v="elasticsearch"/>
    <s v="[DEV]"/>
    <s v="Dev Service ReleaseQA (Other)"/>
    <s v="DEV"/>
    <n v="4.3999999999999997E-2"/>
    <n v="2.4E-2"/>
    <n v="1.4999999999999999E-2"/>
  </r>
  <r>
    <s v="Epic Games, Inc."/>
    <x v="0"/>
    <s v="fortniteprod07-website-epiccms-01"/>
    <n v="2"/>
    <n v="3750"/>
    <n v="32"/>
    <x v="0"/>
    <s v="Other"/>
    <x v="0"/>
    <s v="Other"/>
    <s v="Fortnite Website"/>
    <s v="Other"/>
    <s v="Fortnite"/>
    <n v="0.105"/>
    <n v="6.2E-2"/>
    <n v="3.9E-2"/>
  </r>
  <r>
    <s v="Epic Games, Inc."/>
    <x v="5"/>
    <s v="pgsql-payment-ecomprod02-01"/>
    <n v="4"/>
    <n v="15000"/>
    <n v="80"/>
    <x v="7"/>
    <s v="Other"/>
    <x v="0"/>
    <s v="Other"/>
    <s v="Paymentv2 Service"/>
    <s v="Other"/>
    <s v="Ecom (Prod02)"/>
    <n v="0.26600000000000001"/>
    <n v="0.16300000000000001"/>
    <n v="0.104"/>
  </r>
  <r>
    <s v="Epic Games, Inc."/>
    <x v="5"/>
    <s v="pgsql-orderprocessor-ecomprod01-01"/>
    <n v="4"/>
    <n v="15000"/>
    <n v="80"/>
    <x v="1"/>
    <s v="Other"/>
    <x v="0"/>
    <s v="Other"/>
    <s v="OrderProcessor Service"/>
    <s v="Other"/>
    <s v="Ecom (Prod01)"/>
    <n v="0.26600000000000001"/>
    <n v="0.16300000000000001"/>
    <n v="0.104"/>
  </r>
  <r>
    <s v="Epic Games, Inc."/>
    <x v="1"/>
    <s v="redis-account02-stage-01"/>
    <n v="1"/>
    <n v="1700"/>
    <n v="160"/>
    <x v="0"/>
    <s v="Other"/>
    <x v="0"/>
    <s v="Other"/>
    <s v="Account Service"/>
    <s v="Other"/>
    <s v="Staging"/>
    <n v="4.3999999999999997E-2"/>
    <n v="2.4E-2"/>
    <n v="1.4999999999999999E-2"/>
  </r>
  <r>
    <s v="Epic Games, Inc."/>
    <x v="1"/>
    <s v="mongodb-config-common-ci-02"/>
    <n v="1"/>
    <n v="1700"/>
    <n v="160"/>
    <x v="1"/>
    <s v="Other"/>
    <x v="1"/>
    <s v="mongodb"/>
    <s v="[DEV]"/>
    <s v="Dev Common CI"/>
    <s v="DEV"/>
    <n v="4.3999999999999997E-2"/>
    <n v="2.4E-2"/>
    <n v="1.4999999999999999E-2"/>
  </r>
  <r>
    <s v="Epic Games, Inc."/>
    <x v="9"/>
    <s v="orion-public-service-ci-i-7b60ea97"/>
    <n v="1"/>
    <n v="2000"/>
    <n v="0"/>
    <x v="0"/>
    <s v="Other"/>
    <x v="1"/>
    <s v="orion-service"/>
    <s v="[DEV]"/>
    <s v="Dev Public Service CI"/>
    <s v="DEV"/>
    <n v="2.5999999999999999E-2"/>
    <n v="1.7000000000000001E-2"/>
    <n v="1.2E-2"/>
  </r>
  <r>
    <s v="Epic Games, Inc."/>
    <x v="1"/>
    <s v="publishing-admin-service-stage-i-45f538ae"/>
    <n v="1"/>
    <n v="1700"/>
    <n v="160"/>
    <x v="0"/>
    <s v="Other"/>
    <x v="0"/>
    <s v="Other"/>
    <s v="Publishing Service"/>
    <s v="Dev Admin Service Load Test"/>
    <s v="Staging"/>
    <n v="4.3999999999999997E-2"/>
    <n v="2.4E-2"/>
    <n v="1.4999999999999999E-2"/>
  </r>
  <r>
    <s v="Epic Games, Inc."/>
    <x v="9"/>
    <s v="mongodb-tigase-gamedev-01"/>
    <n v="1"/>
    <n v="2000"/>
    <n v="0"/>
    <x v="1"/>
    <s v="Other"/>
    <x v="1"/>
    <s v="mongodb"/>
    <s v="[DEV]"/>
    <s v="Dev MongoDB"/>
    <s v="DEV"/>
    <n v="2.5999999999999999E-2"/>
    <n v="1.7000000000000001E-2"/>
    <n v="1.2E-2"/>
  </r>
  <r>
    <s v="Epic Games, Inc."/>
    <x v="1"/>
    <s v="name-server-prod-02"/>
    <n v="1"/>
    <n v="1700"/>
    <n v="160"/>
    <x v="0"/>
    <s v="Other"/>
    <x v="0"/>
    <s v="Other"/>
    <s v="Other"/>
    <s v="Other"/>
    <s v="Infinity Blade 3"/>
    <n v="4.3999999999999997E-2"/>
    <n v="2.4E-2"/>
    <n v="1.4999999999999999E-2"/>
  </r>
  <r>
    <s v="Epic Games, Inc."/>
    <x v="1"/>
    <s v="mongodb-common-releaseqa-02"/>
    <n v="1"/>
    <n v="1700"/>
    <n v="160"/>
    <x v="7"/>
    <s v="Other"/>
    <x v="1"/>
    <s v="mongodb"/>
    <s v="[DEV]"/>
    <s v="Dev Common ReleaseQA"/>
    <s v="DEV"/>
    <n v="4.3999999999999997E-2"/>
    <n v="2.4E-2"/>
    <n v="1.4999999999999999E-2"/>
  </r>
  <r>
    <s v="Epic Games, Inc."/>
    <x v="1"/>
    <s v="utvbulletin-website-ci-i-85595d69"/>
    <n v="1"/>
    <n v="1700"/>
    <n v="160"/>
    <x v="0"/>
    <s v="Other"/>
    <x v="1"/>
    <s v="utvbulletin-website"/>
    <s v="[DEV]"/>
    <s v="Dev Unreal Tournament CI"/>
    <s v="DEV"/>
    <n v="4.3999999999999997E-2"/>
    <n v="2.4E-2"/>
    <n v="1.4999999999999999E-2"/>
  </r>
  <r>
    <s v="Epic Games, Inc."/>
    <x v="1"/>
    <s v="vbulletin-website-ci-i-ed535701"/>
    <n v="1"/>
    <n v="1700"/>
    <n v="160"/>
    <x v="0"/>
    <s v="Other"/>
    <x v="1"/>
    <s v="vbulletin-website"/>
    <s v="[DEV]"/>
    <s v="Dev Website CI"/>
    <s v="DEV"/>
    <n v="4.3999999999999997E-2"/>
    <n v="2.4E-2"/>
    <n v="1.4999999999999999E-2"/>
  </r>
  <r>
    <s v="Epic Games, Inc."/>
    <x v="1"/>
    <s v="vbulletin-website-gamedev-i-d377733f"/>
    <n v="1"/>
    <n v="1700"/>
    <n v="160"/>
    <x v="0"/>
    <s v="Other"/>
    <x v="1"/>
    <s v="vbulletin-website"/>
    <s v="[DEV]"/>
    <s v="Dev Website Gamedev"/>
    <s v="DEV"/>
    <n v="4.3999999999999997E-2"/>
    <n v="2.4E-2"/>
    <n v="1.4999999999999999E-2"/>
  </r>
  <r>
    <s v="Epic Games, Inc."/>
    <x v="4"/>
    <s v="accountportal-website-releaseqa-i-ad2c2841"/>
    <n v="1"/>
    <n v="3750"/>
    <n v="4"/>
    <x v="0"/>
    <s v="Other"/>
    <x v="1"/>
    <s v="accountportal-website"/>
    <s v="[DEV]"/>
    <s v="Dev Website ReleaseQA"/>
    <s v="DEV"/>
    <n v="6.7000000000000004E-2"/>
    <n v="0.04"/>
    <n v="2.5999999999999999E-2"/>
  </r>
  <r>
    <s v="Epic Games, Inc."/>
    <x v="4"/>
    <s v="accountportal-website-stage-i-6c90bd97"/>
    <n v="1"/>
    <n v="3750"/>
    <n v="4"/>
    <x v="0"/>
    <s v="Other"/>
    <x v="0"/>
    <s v="Other"/>
    <s v="Accountportal"/>
    <s v="Dev Website Stage"/>
    <s v="Staging"/>
    <n v="6.7000000000000004E-2"/>
    <n v="0.04"/>
    <n v="2.5999999999999999E-2"/>
  </r>
  <r>
    <s v="Epic Games, Inc."/>
    <x v="9"/>
    <s v="mediawiki-website-gamedev-i-81ceca6d"/>
    <n v="1"/>
    <n v="2000"/>
    <n v="0"/>
    <x v="0"/>
    <s v="Other"/>
    <x v="1"/>
    <s v="mediawiki-website"/>
    <s v="[DEV]"/>
    <s v="Dev Website Gamedev"/>
    <s v="DEV"/>
    <n v="2.5999999999999999E-2"/>
    <n v="1.7000000000000001E-2"/>
    <n v="1.2E-2"/>
  </r>
  <r>
    <s v="Epic Games, Inc."/>
    <x v="9"/>
    <s v="mediawiki-website-ci-i-61c1c58d"/>
    <n v="1"/>
    <n v="2000"/>
    <n v="0"/>
    <x v="0"/>
    <s v="Other"/>
    <x v="1"/>
    <s v="mediawiki-website"/>
    <s v="[DEV]"/>
    <s v="Dev Website CI"/>
    <s v="DEV"/>
    <n v="2.5999999999999999E-2"/>
    <n v="1.7000000000000001E-2"/>
    <n v="1.2E-2"/>
  </r>
  <r>
    <s v="Epic Games, Inc."/>
    <x v="9"/>
    <s v="mediawiki-website-gamedev-i-117e52ea"/>
    <n v="1"/>
    <n v="2000"/>
    <n v="0"/>
    <x v="0"/>
    <s v="Other"/>
    <x v="1"/>
    <s v="mediawiki-website"/>
    <s v="[DEV]"/>
    <s v="Dev Website Gamedev"/>
    <s v="DEV"/>
    <n v="2.5999999999999999E-2"/>
    <n v="1.7000000000000001E-2"/>
    <n v="1.2E-2"/>
  </r>
  <r>
    <s v="Epic Games, Inc."/>
    <x v="9"/>
    <s v="mediawiki-website-ci-i-7e674b85"/>
    <n v="1"/>
    <n v="2000"/>
    <n v="0"/>
    <x v="0"/>
    <s v="Other"/>
    <x v="1"/>
    <s v="mediawiki-website"/>
    <s v="[DEV]"/>
    <s v="Dev Website CI"/>
    <s v="DEV"/>
    <n v="2.5999999999999999E-2"/>
    <n v="1.7000000000000001E-2"/>
    <n v="1.2E-2"/>
  </r>
  <r>
    <s v="Epic Games, Inc."/>
    <x v="1"/>
    <s v="mediawiki-website-stage-i-5fcaceb3"/>
    <n v="1"/>
    <n v="1700"/>
    <n v="160"/>
    <x v="0"/>
    <s v="Other"/>
    <x v="1"/>
    <s v="mediawiki-website"/>
    <s v="[DEV]"/>
    <s v="Dev Website Stage"/>
    <s v="DEV"/>
    <n v="4.3999999999999997E-2"/>
    <n v="2.4E-2"/>
    <n v="1.4999999999999999E-2"/>
  </r>
  <r>
    <s v="Epic Games, Inc."/>
    <x v="6"/>
    <s v="mariadb-galera-cluster-gamedev-03"/>
    <n v="2"/>
    <n v="4000"/>
    <n v="0"/>
    <x v="7"/>
    <s v="Other"/>
    <x v="1"/>
    <s v="mariadb"/>
    <s v="[DEV]"/>
    <s v="Dev MariaDB"/>
    <s v="DEV"/>
    <n v="5.1999999999999998E-2"/>
    <n v="3.4000000000000002E-2"/>
    <n v="2.3E-2"/>
  </r>
  <r>
    <s v="Epic Games, Inc."/>
    <x v="6"/>
    <s v="mariadb-galera-cluster-gamedev-02"/>
    <n v="2"/>
    <n v="4000"/>
    <n v="0"/>
    <x v="1"/>
    <s v="Other"/>
    <x v="1"/>
    <s v="mariadb"/>
    <s v="[DEV]"/>
    <s v="Dev MariaDB"/>
    <s v="DEV"/>
    <n v="5.1999999999999998E-2"/>
    <n v="3.4000000000000002E-2"/>
    <n v="2.3E-2"/>
  </r>
  <r>
    <s v="Epic Games, Inc."/>
    <x v="6"/>
    <s v="mariadb-galera-cluster-gamedev-01"/>
    <n v="2"/>
    <n v="4000"/>
    <n v="0"/>
    <x v="1"/>
    <s v="Other"/>
    <x v="1"/>
    <s v="mariadb"/>
    <s v="[DEV]"/>
    <s v="Dev MariaDB"/>
    <s v="DEV"/>
    <n v="5.1999999999999998E-2"/>
    <n v="3.4000000000000002E-2"/>
    <n v="2.3E-2"/>
  </r>
  <r>
    <s v="Epic Games, Inc."/>
    <x v="10"/>
    <s v="michael-ansible-01"/>
    <n v="1"/>
    <n v="615"/>
    <n v="160"/>
    <x v="0"/>
    <s v="Other"/>
    <x v="1"/>
    <s v="Unknown"/>
    <s v="[DEV]"/>
    <s v="Other"/>
    <s v="DEV"/>
    <n v="0.02"/>
    <n v="1.2E-2"/>
    <n v="8.0000000000000002E-3"/>
  </r>
  <r>
    <s v="Epic Games, Inc."/>
    <x v="9"/>
    <s v="tracking-website-stage-i-c4e6023e"/>
    <n v="1"/>
    <n v="2000"/>
    <n v="0"/>
    <x v="0"/>
    <s v="Other"/>
    <x v="0"/>
    <s v="Other"/>
    <s v="Tracking Website"/>
    <s v="Dev Website Stage"/>
    <s v="Staging"/>
    <n v="2.5999999999999999E-2"/>
    <n v="1.7000000000000001E-2"/>
    <n v="1.2E-2"/>
  </r>
  <r>
    <s v="Epic Games, Inc."/>
    <x v="14"/>
    <s v="ueprod07v2-website-epiccms-i-f624d60c"/>
    <n v="8"/>
    <n v="15000"/>
    <n v="160"/>
    <x v="0"/>
    <s v="Other"/>
    <x v="0"/>
    <s v="Other"/>
    <s v="UE Website"/>
    <s v="Other"/>
    <s v="Unreal Engine"/>
    <n v="0.42"/>
    <n v="0.248"/>
    <n v="0.157"/>
  </r>
  <r>
    <s v="Epic Games, Inc."/>
    <x v="10"/>
    <s v="jsongraphite-env"/>
    <n v="1"/>
    <n v="615"/>
    <n v="160"/>
    <x v="6"/>
    <s v="Other"/>
    <x v="3"/>
    <s v="Other"/>
    <s v="Other"/>
    <s v="Other"/>
    <s v="Infrastructure and Management"/>
    <n v="0.02"/>
    <n v="1.2E-2"/>
    <n v="8.0000000000000002E-3"/>
  </r>
  <r>
    <s v="Epic Games, Inc."/>
    <x v="0"/>
    <s v="utprod07-website-epiccms-01"/>
    <n v="2"/>
    <n v="3750"/>
    <n v="32"/>
    <x v="0"/>
    <s v="Other"/>
    <x v="0"/>
    <s v="Other"/>
    <s v="UT Website"/>
    <s v="Other"/>
    <s v="Unreal Tournament"/>
    <n v="0.105"/>
    <n v="6.2E-2"/>
    <n v="3.9E-2"/>
  </r>
  <r>
    <s v="Epic Games, Inc."/>
    <x v="6"/>
    <s v="management-limited-04"/>
    <n v="2"/>
    <n v="4000"/>
    <n v="0"/>
    <x v="0"/>
    <s v="Other"/>
    <x v="2"/>
    <s v="Other"/>
    <s v="Management Servers"/>
    <s v="Other"/>
    <s v="Infrastructure and Management"/>
    <n v="5.1999999999999998E-2"/>
    <n v="3.4000000000000002E-2"/>
    <n v="2.3E-2"/>
  </r>
  <r>
    <s v="Epic Games, Inc."/>
    <x v="9"/>
    <s v="chat-public-service-stage-i-53ce15bc"/>
    <n v="1"/>
    <n v="2000"/>
    <n v="0"/>
    <x v="0"/>
    <s v="Other"/>
    <x v="0"/>
    <s v="Other"/>
    <s v="Chat Service"/>
    <s v="Dev Public Service Stage"/>
    <s v="Staging"/>
    <n v="2.5999999999999999E-2"/>
    <n v="1.7000000000000001E-2"/>
    <n v="1.2E-2"/>
  </r>
  <r>
    <s v="Epic Games, Inc."/>
    <x v="9"/>
    <s v="lightswitch-public-service-stage-i-874e947d"/>
    <n v="1"/>
    <n v="2000"/>
    <n v="0"/>
    <x v="0"/>
    <s v="Other"/>
    <x v="0"/>
    <s v="Other"/>
    <s v="Lightswitch Service"/>
    <s v="Dev Public Service Stage"/>
    <s v="Staging"/>
    <n v="2.5999999999999999E-2"/>
    <n v="1.7000000000000001E-2"/>
    <n v="1.2E-2"/>
  </r>
  <r>
    <s v="Epic Games, Inc."/>
    <x v="4"/>
    <s v="accountportal-website-gdc-stage-i-f4b2151b"/>
    <n v="1"/>
    <n v="3750"/>
    <n v="4"/>
    <x v="0"/>
    <s v="Other"/>
    <x v="0"/>
    <s v="Other"/>
    <s v="Accountportal"/>
    <s v="Dev Website Stage"/>
    <s v="Staging"/>
    <n v="6.7000000000000004E-2"/>
    <n v="0.04"/>
    <n v="2.5999999999999999E-2"/>
  </r>
  <r>
    <s v="Epic Games, Inc."/>
    <x v="9"/>
    <s v="buildinfo-public-service-stage-i-13e648e9"/>
    <n v="1"/>
    <n v="2000"/>
    <n v="0"/>
    <x v="0"/>
    <s v="Other"/>
    <x v="1"/>
    <s v="buildinfo-service"/>
    <s v="[DEV]"/>
    <s v="Dev Public Service Stage"/>
    <s v="DEV"/>
    <n v="2.5999999999999999E-2"/>
    <n v="1.7000000000000001E-2"/>
    <n v="1.2E-2"/>
  </r>
  <r>
    <s v="Epic Games, Inc."/>
    <x v="9"/>
    <s v="survey-public-service-ci-i-7439978e"/>
    <n v="1"/>
    <n v="2000"/>
    <n v="0"/>
    <x v="0"/>
    <s v="Other"/>
    <x v="1"/>
    <s v="survey-service"/>
    <s v="[DEV]"/>
    <s v="Dev Public Service CI"/>
    <s v="DEV"/>
    <n v="2.5999999999999999E-2"/>
    <n v="1.7000000000000001E-2"/>
    <n v="1.2E-2"/>
  </r>
  <r>
    <s v="Epic Games, Inc."/>
    <x v="6"/>
    <s v="management-limited-03"/>
    <n v="2"/>
    <n v="4000"/>
    <n v="0"/>
    <x v="12"/>
    <s v="Other"/>
    <x v="3"/>
    <s v="Other"/>
    <s v="Other"/>
    <s v="Other"/>
    <s v="Infrastructure and Management"/>
    <n v="5.1999999999999998E-2"/>
    <n v="3.4000000000000002E-2"/>
    <n v="2.3E-2"/>
  </r>
  <r>
    <s v="Epic Games, Inc."/>
    <x v="9"/>
    <s v="uestore-website-releaseqa-i-1f64ccf0"/>
    <n v="1"/>
    <n v="2000"/>
    <n v="0"/>
    <x v="0"/>
    <s v="Other"/>
    <x v="1"/>
    <s v="uestore-website"/>
    <s v="[DEV]"/>
    <s v="Dev UnrealEngine ReleaseQA"/>
    <s v="DEV"/>
    <n v="2.5999999999999999E-2"/>
    <n v="1.7000000000000001E-2"/>
    <n v="1.2E-2"/>
  </r>
  <r>
    <s v="Epic Games, Inc."/>
    <x v="9"/>
    <s v="uestore-website-releaseqa-i-c51fb43f"/>
    <n v="1"/>
    <n v="2000"/>
    <n v="0"/>
    <x v="0"/>
    <s v="Other"/>
    <x v="1"/>
    <s v="uestore-website"/>
    <s v="[DEV]"/>
    <s v="Dev UnrealEngine ReleaseQA"/>
    <s v="DEV"/>
    <n v="2.5999999999999999E-2"/>
    <n v="1.7000000000000001E-2"/>
    <n v="1.2E-2"/>
  </r>
  <r>
    <s v="Epic Games, Inc."/>
    <x v="6"/>
    <s v="metrics-sqsd-common-01"/>
    <n v="2"/>
    <n v="4000"/>
    <n v="0"/>
    <x v="12"/>
    <s v="Other"/>
    <x v="0"/>
    <s v="Other"/>
    <s v="Launcher Metrics"/>
    <s v="Other"/>
    <s v="Infrastructure and Management"/>
    <n v="5.1999999999999998E-2"/>
    <n v="3.4000000000000002E-2"/>
    <n v="2.3E-2"/>
  </r>
  <r>
    <s v="Epic Games, Inc."/>
    <x v="9"/>
    <s v="docs-website-stage-i-c547fa3f"/>
    <n v="1"/>
    <n v="2000"/>
    <n v="0"/>
    <x v="0"/>
    <s v="Other"/>
    <x v="1"/>
    <s v="docs-website"/>
    <s v="[DEV]"/>
    <s v="Dev Website Stage"/>
    <s v="DEV"/>
    <n v="2.5999999999999999E-2"/>
    <n v="1.7000000000000001E-2"/>
    <n v="1.2E-2"/>
  </r>
  <r>
    <s v="Epic Games, Inc."/>
    <x v="9"/>
    <s v="vbulletin-website-gdc-stage-i-63912c8c"/>
    <n v="1"/>
    <n v="2000"/>
    <n v="0"/>
    <x v="0"/>
    <s v="Other"/>
    <x v="1"/>
    <s v="vbulletin-website"/>
    <s v="[DEV]"/>
    <s v="Dev Website Stage"/>
    <s v="DEV"/>
    <n v="2.5999999999999999E-2"/>
    <n v="1.7000000000000001E-2"/>
    <n v="1.2E-2"/>
  </r>
  <r>
    <s v="Epic Games, Inc."/>
    <x v="9"/>
    <s v="priceengine-public-service-stage-i-1940fef6"/>
    <n v="1"/>
    <n v="2000"/>
    <n v="0"/>
    <x v="0"/>
    <s v="Other"/>
    <x v="0"/>
    <s v="Other"/>
    <s v="Priceengine Service"/>
    <s v="Dev Public Service Stage"/>
    <s v="Staging"/>
    <n v="2.5999999999999999E-2"/>
    <n v="1.7000000000000001E-2"/>
    <n v="1.2E-2"/>
  </r>
  <r>
    <s v="Epic Games, Inc."/>
    <x v="9"/>
    <s v="priceengine-admin-service-stage-i-af2d9755"/>
    <n v="1"/>
    <n v="2000"/>
    <n v="0"/>
    <x v="0"/>
    <s v="Other"/>
    <x v="0"/>
    <s v="Other"/>
    <s v="Priceengine Service"/>
    <s v="Dev Admin Service Load Test"/>
    <s v="Staging"/>
    <n v="2.5999999999999999E-2"/>
    <n v="1.7000000000000001E-2"/>
    <n v="1.2E-2"/>
  </r>
  <r>
    <s v="Epic Games, Inc."/>
    <x v="18"/>
    <s v="vistara-management03-01"/>
    <n v="4"/>
    <n v="15000"/>
    <n v="1690"/>
    <x v="0"/>
    <s v="Other"/>
    <x v="2"/>
    <s v="Other"/>
    <s v="Vistara Mgmt"/>
    <s v="Other"/>
    <s v="Infrastructure and Management"/>
    <n v="0.35"/>
    <n v="0.191"/>
    <n v="0.11700000000000001"/>
  </r>
  <r>
    <s v="Epic Games, Inc."/>
    <x v="1"/>
    <s v="catalogv2-public-service-stage-i-49ee61a6"/>
    <n v="1"/>
    <n v="1700"/>
    <n v="160"/>
    <x v="0"/>
    <s v="Other"/>
    <x v="0"/>
    <s v="Other"/>
    <s v="Catalog Service"/>
    <s v="Dev Public Service Stage"/>
    <s v="Staging"/>
    <n v="4.3999999999999997E-2"/>
    <n v="2.4E-2"/>
    <n v="1.4999999999999999E-2"/>
  </r>
  <r>
    <s v="Epic Games, Inc."/>
    <x v="4"/>
    <s v="accountportal-website-gdc-stage-i-299d0bd3"/>
    <n v="1"/>
    <n v="3750"/>
    <n v="4"/>
    <x v="0"/>
    <s v="Other"/>
    <x v="0"/>
    <s v="Other"/>
    <s v="Accountportal"/>
    <s v="Dev Website Stage"/>
    <s v="Staging"/>
    <n v="6.7000000000000004E-2"/>
    <n v="0.04"/>
    <n v="2.5999999999999999E-2"/>
  </r>
  <r>
    <s v="Epic Games, Inc."/>
    <x v="4"/>
    <s v="accountportal-website-releaseqa-i-529a0ca8"/>
    <n v="1"/>
    <n v="3750"/>
    <n v="4"/>
    <x v="0"/>
    <s v="Other"/>
    <x v="1"/>
    <s v="accountportal-website"/>
    <s v="[DEV]"/>
    <s v="Dev Website ReleaseQA"/>
    <s v="DEV"/>
    <n v="6.7000000000000004E-2"/>
    <n v="0.04"/>
    <n v="2.5999999999999999E-2"/>
  </r>
  <r>
    <s v="Epic Games, Inc."/>
    <x v="4"/>
    <s v="accountportal-website-gamedev-i-3c9d0bc6"/>
    <n v="1"/>
    <n v="3750"/>
    <n v="4"/>
    <x v="0"/>
    <s v="Other"/>
    <x v="1"/>
    <s v="accountportal-website"/>
    <s v="[DEV]"/>
    <s v="Dev Website Gamedev"/>
    <s v="DEV"/>
    <n v="6.7000000000000004E-2"/>
    <n v="0.04"/>
    <n v="2.5999999999999999E-2"/>
  </r>
  <r>
    <s v="Epic Games, Inc."/>
    <x v="4"/>
    <s v="accountportal-website-stage-i-26820ac9"/>
    <n v="1"/>
    <n v="3750"/>
    <n v="4"/>
    <x v="0"/>
    <s v="Other"/>
    <x v="0"/>
    <s v="Other"/>
    <s v="Accountportal"/>
    <s v="Dev Website Stage"/>
    <s v="Staging"/>
    <n v="6.7000000000000004E-2"/>
    <n v="0.04"/>
    <n v="2.5999999999999999E-2"/>
  </r>
  <r>
    <s v="Epic Games, Inc."/>
    <x v="4"/>
    <s v="accountportal-website-gamedev-i-c8870f27"/>
    <n v="1"/>
    <n v="3750"/>
    <n v="4"/>
    <x v="0"/>
    <s v="Other"/>
    <x v="1"/>
    <s v="accountportal-website"/>
    <s v="[DEV]"/>
    <s v="Dev Website Gamedev"/>
    <s v="DEV"/>
    <n v="6.7000000000000004E-2"/>
    <n v="0.04"/>
    <n v="2.5999999999999999E-2"/>
  </r>
  <r>
    <s v="Epic Games, Inc."/>
    <x v="4"/>
    <s v="accountportal-website-stage-i-418e18bb"/>
    <n v="1"/>
    <n v="3750"/>
    <n v="4"/>
    <x v="0"/>
    <s v="Other"/>
    <x v="0"/>
    <s v="Other"/>
    <s v="Accountportal"/>
    <s v="Dev Website Stage"/>
    <s v="Staging"/>
    <n v="6.7000000000000004E-2"/>
    <n v="0.04"/>
    <n v="2.5999999999999999E-2"/>
  </r>
  <r>
    <s v="Epic Games, Inc."/>
    <x v="4"/>
    <s v="accountportal-website-gdc-stage-i-e89b1307"/>
    <n v="1"/>
    <n v="3750"/>
    <n v="4"/>
    <x v="0"/>
    <s v="Other"/>
    <x v="0"/>
    <s v="Other"/>
    <s v="Accountportal"/>
    <s v="Dev Website Stage"/>
    <s v="Staging"/>
    <n v="6.7000000000000004E-2"/>
    <n v="0.04"/>
    <n v="2.5999999999999999E-2"/>
  </r>
  <r>
    <s v="Epic Games, Inc."/>
    <x v="9"/>
    <s v="friends-public-service-stage-i-b91b8e56"/>
    <n v="1"/>
    <n v="2000"/>
    <n v="0"/>
    <x v="0"/>
    <s v="Other"/>
    <x v="1"/>
    <s v="friends-service"/>
    <s v="[DEV]"/>
    <s v="Dev Public Service Stage"/>
    <s v="DEV"/>
    <n v="2.5999999999999999E-2"/>
    <n v="1.7000000000000001E-2"/>
    <n v="1.2E-2"/>
  </r>
  <r>
    <s v="Epic Games, Inc."/>
    <x v="1"/>
    <s v="launcher-public-service-stage-i-4d0a9fa2"/>
    <n v="1"/>
    <n v="1700"/>
    <n v="160"/>
    <x v="0"/>
    <s v="Other"/>
    <x v="1"/>
    <s v="launcher-service"/>
    <s v="[DEV]"/>
    <s v="Dev Public Service Stage"/>
    <s v="DEV"/>
    <n v="4.3999999999999997E-2"/>
    <n v="2.4E-2"/>
    <n v="1.4999999999999999E-2"/>
  </r>
  <r>
    <s v="Epic Games, Inc."/>
    <x v="1"/>
    <s v="orderprocessor-public-service-stage-i-b131a45e"/>
    <n v="1"/>
    <n v="1700"/>
    <n v="160"/>
    <x v="0"/>
    <s v="Other"/>
    <x v="0"/>
    <s v="Other"/>
    <s v="OrderProcessor Service"/>
    <s v="Dev Public Service Stage"/>
    <s v="Staging"/>
    <n v="4.3999999999999997E-2"/>
    <n v="2.4E-2"/>
    <n v="1.4999999999999999E-2"/>
  </r>
  <r>
    <s v="Epic Games, Inc."/>
    <x v="9"/>
    <s v="persona-public-service-stage-i-c432a72b"/>
    <n v="1"/>
    <n v="2000"/>
    <n v="0"/>
    <x v="0"/>
    <s v="Other"/>
    <x v="0"/>
    <s v="Other"/>
    <s v="Persona Service"/>
    <s v="Dev Public Service Stage"/>
    <s v="Staging"/>
    <n v="2.5999999999999999E-2"/>
    <n v="1.7000000000000001E-2"/>
    <n v="1.2E-2"/>
  </r>
  <r>
    <s v="Epic Games, Inc."/>
    <x v="1"/>
    <s v="publishing-public-service-stage-i-5e27b2b1"/>
    <n v="1"/>
    <n v="1700"/>
    <n v="160"/>
    <x v="0"/>
    <s v="Other"/>
    <x v="0"/>
    <s v="Other"/>
    <s v="Publishing Service"/>
    <s v="Dev Public Service Stage"/>
    <s v="Staging"/>
    <n v="4.3999999999999997E-2"/>
    <n v="2.4E-2"/>
    <n v="1.4999999999999999E-2"/>
  </r>
  <r>
    <s v="Epic Games, Inc."/>
    <x v="14"/>
    <s v="vbulletin-website-prod04-i-90db477f"/>
    <n v="8"/>
    <n v="15000"/>
    <n v="160"/>
    <x v="0"/>
    <s v="Other"/>
    <x v="0"/>
    <s v="Other"/>
    <s v="UE Vbulletin"/>
    <s v="Other"/>
    <s v="VBulletin (Prod04)"/>
    <n v="0.42"/>
    <n v="0.248"/>
    <n v="0.157"/>
  </r>
  <r>
    <s v="Epic Games, Inc."/>
    <x v="14"/>
    <s v="vbulletin-website-prod04-i-bc3fa546"/>
    <n v="8"/>
    <n v="15000"/>
    <n v="160"/>
    <x v="0"/>
    <s v="Other"/>
    <x v="0"/>
    <s v="Other"/>
    <s v="UE Vbulletin"/>
    <s v="Other"/>
    <s v="VBulletin (Prod04)"/>
    <n v="0.42"/>
    <n v="0.248"/>
    <n v="0.157"/>
  </r>
  <r>
    <s v="Epic Games, Inc."/>
    <x v="19"/>
    <s v="elasticsearch-metrics-common-03"/>
    <n v="4"/>
    <n v="30500"/>
    <n v="720"/>
    <x v="0"/>
    <s v="Other"/>
    <x v="0"/>
    <s v="Other"/>
    <s v="Launcher Metrics"/>
    <s v="Other"/>
    <s v="Infrastructure and Management"/>
    <n v="0.85299999999999998"/>
    <n v="0.35499999999999998"/>
    <n v="0.21199999999999999"/>
  </r>
  <r>
    <s v="Epic Games, Inc."/>
    <x v="19"/>
    <s v="elasticsearch-metrics-common-01"/>
    <n v="4"/>
    <n v="30500"/>
    <n v="720"/>
    <x v="0"/>
    <s v="Other"/>
    <x v="0"/>
    <s v="Other"/>
    <s v="Launcher Metrics"/>
    <s v="Other"/>
    <s v="Infrastructure and Management"/>
    <n v="0.85299999999999998"/>
    <n v="0.35499999999999998"/>
    <n v="0.21199999999999999"/>
  </r>
  <r>
    <s v="Epic Games, Inc."/>
    <x v="19"/>
    <s v="elasticsearch-metrics-common-04"/>
    <n v="4"/>
    <n v="30500"/>
    <n v="720"/>
    <x v="0"/>
    <s v="Other"/>
    <x v="0"/>
    <s v="Other"/>
    <s v="Launcher Metrics"/>
    <s v="Other"/>
    <s v="Infrastructure and Management"/>
    <n v="0.85299999999999998"/>
    <n v="0.35499999999999998"/>
    <n v="0.21199999999999999"/>
  </r>
  <r>
    <s v="Epic Games, Inc."/>
    <x v="19"/>
    <s v="elasticsearch-metrics-common-02"/>
    <n v="4"/>
    <n v="30500"/>
    <n v="720"/>
    <x v="0"/>
    <s v="Other"/>
    <x v="0"/>
    <s v="Other"/>
    <s v="Launcher Metrics"/>
    <s v="Other"/>
    <s v="Infrastructure and Management"/>
    <n v="0.85299999999999998"/>
    <n v="0.35499999999999998"/>
    <n v="0.21199999999999999"/>
  </r>
  <r>
    <s v="Epic Games, Inc."/>
    <x v="6"/>
    <s v="metrics-poller-common-nicktest"/>
    <n v="2"/>
    <n v="4000"/>
    <n v="0"/>
    <x v="0"/>
    <s v="Other"/>
    <x v="3"/>
    <s v="Other"/>
    <s v="Launcher Metrics"/>
    <s v="Other"/>
    <s v="DEV"/>
    <n v="5.1999999999999998E-2"/>
    <n v="3.4000000000000002E-2"/>
    <n v="2.3E-2"/>
  </r>
  <r>
    <s v="Epic Games, Inc."/>
    <x v="10"/>
    <s v="aws-dom-test_micro"/>
    <n v="1"/>
    <n v="615"/>
    <n v="160"/>
    <x v="0"/>
    <s v="Other"/>
    <x v="1"/>
    <s v="Unknown"/>
    <s v="[DEV]"/>
    <s v="Other"/>
    <s v="DEV"/>
    <n v="0.02"/>
    <n v="1.2E-2"/>
    <n v="8.0000000000000002E-3"/>
  </r>
  <r>
    <s v="Epic Games, Inc."/>
    <x v="5"/>
    <s v="crash-01.aws.epicgames.net"/>
    <n v="4"/>
    <n v="15000"/>
    <n v="80"/>
    <x v="29"/>
    <s v="Other"/>
    <x v="3"/>
    <s v="Other"/>
    <s v="Other"/>
    <s v="Other"/>
    <s v="DEV"/>
    <n v="0.51800000000000002"/>
    <n v="0.33200000000000002"/>
    <n v="0.255"/>
  </r>
  <r>
    <s v="Epic Games, Inc."/>
    <x v="6"/>
    <s v="metrics-poller-common-01"/>
    <n v="2"/>
    <n v="4000"/>
    <n v="0"/>
    <x v="0"/>
    <s v="Other"/>
    <x v="3"/>
    <s v="Other"/>
    <s v="Launcher Metrics"/>
    <s v="Other"/>
    <s v="DEV"/>
    <n v="5.1999999999999998E-2"/>
    <n v="3.4000000000000002E-2"/>
    <n v="2.3E-2"/>
  </r>
  <r>
    <s v="Epic Games, Inc."/>
    <x v="2"/>
    <s v="mongodb-chat-prod06-02"/>
    <n v="2"/>
    <n v="7500"/>
    <n v="32"/>
    <x v="1"/>
    <s v="Other"/>
    <x v="0"/>
    <s v="Other"/>
    <s v="Chat Service"/>
    <s v="Dev MongoDB"/>
    <s v="Common Services (Prod06)"/>
    <n v="0.13300000000000001"/>
    <n v="8.1000000000000003E-2"/>
    <n v="5.1999999999999998E-2"/>
  </r>
  <r>
    <s v="Epic Games, Inc."/>
    <x v="2"/>
    <s v="mongodb-chat-prod06-01"/>
    <n v="2"/>
    <n v="7500"/>
    <n v="32"/>
    <x v="1"/>
    <s v="Other"/>
    <x v="0"/>
    <s v="Other"/>
    <s v="Chat Service"/>
    <s v="Dev MongoDB"/>
    <s v="Common Services (Prod06)"/>
    <n v="0.13300000000000001"/>
    <n v="8.1000000000000003E-2"/>
    <n v="5.1999999999999998E-2"/>
  </r>
  <r>
    <s v="Epic Games, Inc."/>
    <x v="2"/>
    <s v="mongodb-chat-prod06-03"/>
    <n v="2"/>
    <n v="7500"/>
    <n v="32"/>
    <x v="1"/>
    <s v="Other"/>
    <x v="0"/>
    <s v="Other"/>
    <s v="Chat Service"/>
    <s v="Dev MongoDB"/>
    <s v="Common Services (Prod06)"/>
    <n v="0.13300000000000001"/>
    <n v="8.1000000000000003E-2"/>
    <n v="5.1999999999999998E-2"/>
  </r>
  <r>
    <s v="Epic Games, Inc."/>
    <x v="6"/>
    <s v="mongodb-chat-prod06-05"/>
    <n v="2"/>
    <n v="4000"/>
    <n v="0"/>
    <x v="0"/>
    <s v="Other"/>
    <x v="0"/>
    <s v="Other"/>
    <s v="Chat Service"/>
    <s v="Dev MongoDB"/>
    <s v="Common Services (Prod06)"/>
    <n v="5.1999999999999998E-2"/>
    <n v="3.4000000000000002E-2"/>
    <n v="2.3E-2"/>
  </r>
  <r>
    <s v="Epic Games, Inc."/>
    <x v="2"/>
    <s v="mongodb-chat-prod06-04"/>
    <n v="2"/>
    <n v="7500"/>
    <n v="32"/>
    <x v="7"/>
    <s v="Other"/>
    <x v="0"/>
    <s v="Other"/>
    <s v="Chat Service"/>
    <s v="Dev MongoDB"/>
    <s v="Common Services (Prod06)"/>
    <n v="0.13300000000000001"/>
    <n v="8.1000000000000003E-2"/>
    <n v="5.1999999999999998E-2"/>
  </r>
  <r>
    <s v="Epic Games, Inc."/>
    <x v="7"/>
    <s v="ue-website-releaseqa-i-d0067d2a"/>
    <n v="1"/>
    <n v="3750"/>
    <n v="410"/>
    <x v="0"/>
    <s v="Other"/>
    <x v="1"/>
    <s v="ue-website"/>
    <s v="[DEV]"/>
    <s v="Dev UnrealEngine ReleaseQA"/>
    <s v="DEV"/>
    <n v="8.6999999999999994E-2"/>
    <n v="4.7E-2"/>
    <n v="2.9000000000000001E-2"/>
  </r>
  <r>
    <s v="Epic Games, Inc."/>
    <x v="6"/>
    <s v="metrics-poller-common-02"/>
    <n v="2"/>
    <n v="4000"/>
    <n v="0"/>
    <x v="0"/>
    <s v="Other"/>
    <x v="3"/>
    <s v="Other"/>
    <s v="Launcher Metrics"/>
    <s v="Other"/>
    <s v="DEV"/>
    <n v="5.1999999999999998E-2"/>
    <n v="3.4000000000000002E-2"/>
    <n v="2.3E-2"/>
  </r>
  <r>
    <s v="Epic Games, Inc."/>
    <x v="9"/>
    <s v="fortnite-public-service-latest-gamedev-i-ca602025"/>
    <n v="1"/>
    <n v="2000"/>
    <n v="0"/>
    <x v="0"/>
    <s v="Other"/>
    <x v="1"/>
    <s v="fortnite-service"/>
    <s v="[DEV]"/>
    <s v="Dev Fortnite Gamedev"/>
    <s v="DEV"/>
    <n v="2.5999999999999999E-2"/>
    <n v="1.7000000000000001E-2"/>
    <n v="1.2E-2"/>
  </r>
  <r>
    <s v="Epic Games, Inc."/>
    <x v="1"/>
    <s v="orderprocessor-batchjob-service-gamedev-i-dff0a425"/>
    <n v="1"/>
    <n v="1700"/>
    <n v="160"/>
    <x v="0"/>
    <s v="Other"/>
    <x v="1"/>
    <s v="orderprocessor-service"/>
    <s v="[DEV]"/>
    <s v="Dev Service Gamedev (Other)"/>
    <s v="DEV"/>
    <n v="4.3999999999999997E-2"/>
    <n v="2.4E-2"/>
    <n v="1.4999999999999999E-2"/>
  </r>
  <r>
    <s v="Epic Games, Inc."/>
    <x v="9"/>
    <s v="ue-website-ci-i-14c29cee"/>
    <n v="1"/>
    <n v="2000"/>
    <n v="0"/>
    <x v="0"/>
    <s v="Other"/>
    <x v="1"/>
    <s v="ue-website"/>
    <s v="[DEV]"/>
    <s v="Dev UnrealEngine Load Test"/>
    <s v="DEV"/>
    <n v="2.5999999999999999E-2"/>
    <n v="1.7000000000000001E-2"/>
    <n v="1.2E-2"/>
  </r>
  <r>
    <s v="Epic Games, Inc."/>
    <x v="9"/>
    <s v="ue-website-ci-i-8a8eda65"/>
    <n v="1"/>
    <n v="2000"/>
    <n v="0"/>
    <x v="0"/>
    <s v="Other"/>
    <x v="1"/>
    <s v="ue-website"/>
    <s v="[DEV]"/>
    <s v="Dev UnrealEngine Load Test"/>
    <s v="DEV"/>
    <n v="2.5999999999999999E-2"/>
    <n v="1.7000000000000001E-2"/>
    <n v="1.2E-2"/>
  </r>
  <r>
    <s v="Epic Games, Inc."/>
    <x v="15"/>
    <s v="tigase-common-prod06-i-48f8ddb2"/>
    <n v="16"/>
    <n v="30000"/>
    <n v="320"/>
    <x v="0"/>
    <s v="Other"/>
    <x v="0"/>
    <s v="Other"/>
    <s v="Tigase"/>
    <s v="Other"/>
    <s v="Common Services (Prod06)"/>
    <n v="0.84"/>
    <n v="0.497"/>
    <n v="0.314"/>
  </r>
  <r>
    <s v="Epic Games, Inc."/>
    <x v="1"/>
    <s v="entitlement-public-service-stage-i-a349aa5f"/>
    <n v="1"/>
    <n v="1700"/>
    <n v="160"/>
    <x v="0"/>
    <s v="Other"/>
    <x v="0"/>
    <s v="Other"/>
    <s v="Entitlement Service"/>
    <s v="Dev Public Service Stage"/>
    <s v="Staging"/>
    <n v="4.3999999999999997E-2"/>
    <n v="2.4E-2"/>
    <n v="1.4999999999999999E-2"/>
  </r>
  <r>
    <s v="Epic Games, Inc."/>
    <x v="0"/>
    <s v="ue-website-stage-i-a8ae4c54"/>
    <n v="2"/>
    <n v="3750"/>
    <n v="32"/>
    <x v="0"/>
    <s v="Other"/>
    <x v="0"/>
    <s v="Other"/>
    <s v="UE Website"/>
    <s v="Dev Website Stage"/>
    <s v="Staging"/>
    <n v="0.105"/>
    <n v="6.2E-2"/>
    <n v="3.9E-2"/>
  </r>
  <r>
    <s v="Epic Games, Inc."/>
    <x v="13"/>
    <s v="i-160be6ea"/>
    <n v="1"/>
    <n v="1000"/>
    <n v="0"/>
    <x v="6"/>
    <s v="Other"/>
    <x v="3"/>
    <s v="Other"/>
    <s v="[DEV]"/>
    <s v="Other"/>
    <s v="DEV"/>
    <n v="1.2999999999999999E-2"/>
    <n v="8.9999999999999993E-3"/>
    <n v="6.0000000000000001E-3"/>
  </r>
  <r>
    <s v="Epic Games, Inc."/>
    <x v="9"/>
    <s v="tigase-common-stage-i-cfba5333"/>
    <n v="1"/>
    <n v="2000"/>
    <n v="0"/>
    <x v="0"/>
    <s v="Other"/>
    <x v="1"/>
    <s v="tigase"/>
    <s v="[DEV]"/>
    <s v="Dev Common Stage"/>
    <s v="DEV"/>
    <n v="2.5999999999999999E-2"/>
    <n v="1.7000000000000001E-2"/>
    <n v="1.2E-2"/>
  </r>
  <r>
    <s v="Epic Games, Inc."/>
    <x v="9"/>
    <s v="tigase-common-stage-i-b596b44f"/>
    <n v="1"/>
    <n v="2000"/>
    <n v="0"/>
    <x v="0"/>
    <s v="Other"/>
    <x v="1"/>
    <s v="tigase"/>
    <s v="[DEV]"/>
    <s v="Dev Common Stage"/>
    <s v="DEV"/>
    <n v="2.5999999999999999E-2"/>
    <n v="1.7000000000000001E-2"/>
    <n v="1.2E-2"/>
  </r>
  <r>
    <s v="Epic Games, Inc."/>
    <x v="9"/>
    <s v="account-public-service-common-ci-i-88251b72"/>
    <n v="1"/>
    <n v="2000"/>
    <n v="0"/>
    <x v="0"/>
    <s v="Other"/>
    <x v="1"/>
    <s v="account-service"/>
    <s v="[DEV]"/>
    <s v="Dev Common CI"/>
    <s v="DEV"/>
    <n v="2.5999999999999999E-2"/>
    <n v="1.7000000000000001E-2"/>
    <n v="1.2E-2"/>
  </r>
  <r>
    <s v="Epic Games, Inc."/>
    <x v="9"/>
    <s v="account-admin-servicecron-common-ci-i-e86d9614"/>
    <n v="1"/>
    <n v="2000"/>
    <n v="0"/>
    <x v="0"/>
    <s v="Other"/>
    <x v="1"/>
    <s v="account-service"/>
    <s v="[DEV]"/>
    <s v="Dev Common CI"/>
    <s v="DEV"/>
    <n v="2.5999999999999999E-2"/>
    <n v="1.7000000000000001E-2"/>
    <n v="1.2E-2"/>
  </r>
  <r>
    <s v="Epic Games, Inc."/>
    <x v="9"/>
    <s v="account-admin-service-common-ci-i-6f6f9493"/>
    <n v="1"/>
    <n v="2000"/>
    <n v="0"/>
    <x v="0"/>
    <s v="Other"/>
    <x v="1"/>
    <s v="account-service"/>
    <s v="[DEV]"/>
    <s v="Dev Common CI"/>
    <s v="DEV"/>
    <n v="2.5999999999999999E-2"/>
    <n v="1.7000000000000001E-2"/>
    <n v="1.2E-2"/>
  </r>
  <r>
    <s v="Epic Games, Inc."/>
    <x v="14"/>
    <s v="ut-website-prod07-i-0657acfa"/>
    <n v="8"/>
    <n v="15000"/>
    <n v="160"/>
    <x v="0"/>
    <s v="Other"/>
    <x v="0"/>
    <s v="Other"/>
    <s v="UT Website"/>
    <s v="Other"/>
    <s v="Unreal Tournament"/>
    <n v="0.42"/>
    <n v="0.248"/>
    <n v="0.157"/>
  </r>
  <r>
    <s v="Epic Games, Inc."/>
    <x v="14"/>
    <s v="ut-website-prod07-i-5246bdae"/>
    <n v="8"/>
    <n v="15000"/>
    <n v="160"/>
    <x v="0"/>
    <s v="Other"/>
    <x v="0"/>
    <s v="Other"/>
    <s v="UT Website"/>
    <s v="Other"/>
    <s v="Unreal Tournament"/>
    <n v="0.42"/>
    <n v="0.248"/>
    <n v="0.157"/>
  </r>
  <r>
    <s v="Epic Games, Inc."/>
    <x v="14"/>
    <s v="ut-website-prod07-i-5d0937a7"/>
    <n v="8"/>
    <n v="15000"/>
    <n v="160"/>
    <x v="0"/>
    <s v="Other"/>
    <x v="0"/>
    <s v="Other"/>
    <s v="UT Website"/>
    <s v="Other"/>
    <s v="Unreal Tournament"/>
    <n v="0.42"/>
    <n v="0.248"/>
    <n v="0.157"/>
  </r>
  <r>
    <s v="Epic Games, Inc."/>
    <x v="9"/>
    <s v="chat-admin-service-ci-i-acb17450"/>
    <n v="1"/>
    <n v="2000"/>
    <n v="0"/>
    <x v="0"/>
    <s v="Other"/>
    <x v="1"/>
    <s v="chat-service"/>
    <s v="[DEV]"/>
    <s v="Dev Admin Service CI"/>
    <s v="DEV"/>
    <n v="2.5999999999999999E-2"/>
    <n v="1.7000000000000001E-2"/>
    <n v="1.2E-2"/>
  </r>
  <r>
    <s v="Epic Games, Inc."/>
    <x v="0"/>
    <s v="paymentv2-admin-service-ecomprod02-i-299f5ed5"/>
    <n v="2"/>
    <n v="3750"/>
    <n v="32"/>
    <x v="0"/>
    <s v="Other"/>
    <x v="0"/>
    <s v="Other"/>
    <s v="Paymentv2 Service"/>
    <s v="Dev Admin Service Load Test"/>
    <s v="Ecom (Prod02)"/>
    <n v="0.105"/>
    <n v="6.2E-2"/>
    <n v="3.9E-2"/>
  </r>
  <r>
    <s v="Epic Games, Inc."/>
    <x v="0"/>
    <s v="paymentv2-admin-service-ecomprod02-i-5090aaaa"/>
    <n v="2"/>
    <n v="3750"/>
    <n v="32"/>
    <x v="0"/>
    <s v="Other"/>
    <x v="0"/>
    <s v="Other"/>
    <s v="Paymentv2 Service"/>
    <s v="Dev Admin Service Load Test"/>
    <s v="Ecom (Prod02)"/>
    <n v="0.105"/>
    <n v="6.2E-2"/>
    <n v="3.9E-2"/>
  </r>
  <r>
    <s v="Epic Games, Inc."/>
    <x v="0"/>
    <s v="entitlement-public-service-prod08-i-9a3c3960"/>
    <n v="2"/>
    <n v="3750"/>
    <n v="32"/>
    <x v="0"/>
    <s v="Other"/>
    <x v="0"/>
    <s v="Other"/>
    <s v="Entitlement Service"/>
    <s v="Other"/>
    <s v="Entitlement (Prod08)"/>
    <n v="0.105"/>
    <n v="6.2E-2"/>
    <n v="3.9E-2"/>
  </r>
  <r>
    <s v="Epic Games, Inc."/>
    <x v="0"/>
    <s v="entitlement-public-service-prod08-i-9b3c3961"/>
    <n v="2"/>
    <n v="3750"/>
    <n v="32"/>
    <x v="0"/>
    <s v="Other"/>
    <x v="0"/>
    <s v="Other"/>
    <s v="Entitlement Service"/>
    <s v="Other"/>
    <s v="Entitlement (Prod08)"/>
    <n v="0.105"/>
    <n v="6.2E-2"/>
    <n v="3.9E-2"/>
  </r>
  <r>
    <s v="Epic Games, Inc."/>
    <x v="0"/>
    <s v="entitlement-public-service-prod08-i-fe4e8f02"/>
    <n v="2"/>
    <n v="3750"/>
    <n v="32"/>
    <x v="0"/>
    <s v="Other"/>
    <x v="0"/>
    <s v="Other"/>
    <s v="Entitlement Service"/>
    <s v="Other"/>
    <s v="Entitlement (Prod08)"/>
    <n v="0.105"/>
    <n v="6.2E-2"/>
    <n v="3.9E-2"/>
  </r>
  <r>
    <s v="Epic Games, Inc."/>
    <x v="0"/>
    <s v="entitlement-public-service-prod08-i-f54e8f09"/>
    <n v="2"/>
    <n v="3750"/>
    <n v="32"/>
    <x v="0"/>
    <s v="Other"/>
    <x v="0"/>
    <s v="Other"/>
    <s v="Entitlement Service"/>
    <s v="Other"/>
    <s v="Entitlement (Prod08)"/>
    <n v="0.105"/>
    <n v="6.2E-2"/>
    <n v="3.9E-2"/>
  </r>
  <r>
    <s v="Epic Games, Inc."/>
    <x v="0"/>
    <s v="launcher-public-service-prod06-i-d873b224"/>
    <n v="2"/>
    <n v="3750"/>
    <n v="32"/>
    <x v="0"/>
    <s v="Other"/>
    <x v="0"/>
    <s v="Other"/>
    <s v="Launcher Service"/>
    <s v="Other"/>
    <s v="Common Services (Prod06)"/>
    <n v="0.105"/>
    <n v="6.2E-2"/>
    <n v="3.9E-2"/>
  </r>
  <r>
    <s v="Epic Games, Inc."/>
    <x v="0"/>
    <s v="launcher-public-service-prod06-i-d073b22c"/>
    <n v="2"/>
    <n v="3750"/>
    <n v="32"/>
    <x v="0"/>
    <s v="Other"/>
    <x v="0"/>
    <s v="Other"/>
    <s v="Launcher Service"/>
    <s v="Other"/>
    <s v="Common Services (Prod06)"/>
    <n v="0.105"/>
    <n v="6.2E-2"/>
    <n v="3.9E-2"/>
  </r>
  <r>
    <s v="Epic Games, Inc."/>
    <x v="0"/>
    <s v="launcher-public-service-prod06-i-60d0d59a"/>
    <n v="2"/>
    <n v="3750"/>
    <n v="32"/>
    <x v="0"/>
    <s v="Other"/>
    <x v="0"/>
    <s v="Other"/>
    <s v="Launcher Service"/>
    <s v="Other"/>
    <s v="Common Services (Prod06)"/>
    <n v="0.105"/>
    <n v="6.2E-2"/>
    <n v="3.9E-2"/>
  </r>
  <r>
    <s v="Epic Games, Inc."/>
    <x v="0"/>
    <s v="launcher-public-service-prod06-i-2fd0d5d5"/>
    <n v="2"/>
    <n v="3750"/>
    <n v="32"/>
    <x v="0"/>
    <s v="Other"/>
    <x v="0"/>
    <s v="Other"/>
    <s v="Launcher Service"/>
    <s v="Other"/>
    <s v="Common Services (Prod06)"/>
    <n v="0.105"/>
    <n v="6.2E-2"/>
    <n v="3.9E-2"/>
  </r>
  <r>
    <s v="Epic Games, Inc."/>
    <x v="0"/>
    <s v="coderedemption-admin-service-prod06-i-49f13db5"/>
    <n v="2"/>
    <n v="3750"/>
    <n v="32"/>
    <x v="0"/>
    <s v="Other"/>
    <x v="0"/>
    <s v="Other"/>
    <s v="Coderedemption"/>
    <s v="Dev Admin Service Load Test"/>
    <s v="Common Services (Prod06)"/>
    <n v="0.105"/>
    <n v="6.2E-2"/>
    <n v="3.9E-2"/>
  </r>
  <r>
    <s v="Epic Games, Inc."/>
    <x v="0"/>
    <s v="coderedemption-admin-service-prod06-i-cfe6e735"/>
    <n v="2"/>
    <n v="3750"/>
    <n v="32"/>
    <x v="0"/>
    <s v="Other"/>
    <x v="0"/>
    <s v="Other"/>
    <s v="Coderedemption"/>
    <s v="Dev Admin Service Load Test"/>
    <s v="Common Services (Prod06)"/>
    <n v="0.105"/>
    <n v="6.2E-2"/>
    <n v="3.9E-2"/>
  </r>
  <r>
    <s v="Epic Games, Inc."/>
    <x v="0"/>
    <s v="coderedemption-admin-service-prod06-i-a718d45b"/>
    <n v="2"/>
    <n v="3750"/>
    <n v="32"/>
    <x v="0"/>
    <s v="Other"/>
    <x v="0"/>
    <s v="Other"/>
    <s v="Coderedemption"/>
    <s v="Dev Admin Service Load Test"/>
    <s v="Common Services (Prod06)"/>
    <n v="0.105"/>
    <n v="6.2E-2"/>
    <n v="3.9E-2"/>
  </r>
  <r>
    <s v="Epic Games, Inc."/>
    <x v="0"/>
    <s v="coderedemption-admin-service-prod06-i-e9fbfa13"/>
    <n v="2"/>
    <n v="3750"/>
    <n v="32"/>
    <x v="0"/>
    <s v="Other"/>
    <x v="0"/>
    <s v="Other"/>
    <s v="Coderedemption"/>
    <s v="Dev Admin Service Load Test"/>
    <s v="Common Services (Prod06)"/>
    <n v="0.105"/>
    <n v="6.2E-2"/>
    <n v="3.9E-2"/>
  </r>
  <r>
    <s v="Epic Games, Inc."/>
    <x v="0"/>
    <s v="coderedemption-public-service-prod06-i-fd894601"/>
    <n v="2"/>
    <n v="3750"/>
    <n v="32"/>
    <x v="0"/>
    <s v="Other"/>
    <x v="0"/>
    <s v="Other"/>
    <s v="Coderedemption"/>
    <s v="Other"/>
    <s v="Common Services (Prod06)"/>
    <n v="0.105"/>
    <n v="6.2E-2"/>
    <n v="3.9E-2"/>
  </r>
  <r>
    <s v="Epic Games, Inc."/>
    <x v="0"/>
    <s v="coderedemption-public-service-prod06-i-115b5beb"/>
    <n v="2"/>
    <n v="3750"/>
    <n v="32"/>
    <x v="0"/>
    <s v="Other"/>
    <x v="0"/>
    <s v="Other"/>
    <s v="Coderedemption"/>
    <s v="Other"/>
    <s v="Common Services (Prod06)"/>
    <n v="0.105"/>
    <n v="6.2E-2"/>
    <n v="3.9E-2"/>
  </r>
  <r>
    <s v="Epic Games, Inc."/>
    <x v="0"/>
    <s v="orderprocessor-public-service-ecomprod01-i-f7ca050b"/>
    <n v="2"/>
    <n v="3750"/>
    <n v="32"/>
    <x v="0"/>
    <s v="Other"/>
    <x v="0"/>
    <s v="Other"/>
    <s v="OrderProcessor Service"/>
    <s v="Other"/>
    <s v="Ecom (Prod01)"/>
    <n v="0.105"/>
    <n v="6.2E-2"/>
    <n v="3.9E-2"/>
  </r>
  <r>
    <s v="Epic Games, Inc."/>
    <x v="9"/>
    <s v="chat-admin-service-gamedev-i-c702cd3b"/>
    <n v="1"/>
    <n v="2000"/>
    <n v="0"/>
    <x v="0"/>
    <s v="Other"/>
    <x v="1"/>
    <s v="chat-service"/>
    <s v="[DEV]"/>
    <s v="Dev Admin Service Gamedev"/>
    <s v="DEV"/>
    <n v="2.5999999999999999E-2"/>
    <n v="1.7000000000000001E-2"/>
    <n v="1.2E-2"/>
  </r>
  <r>
    <s v="Epic Games, Inc."/>
    <x v="0"/>
    <s v="orderprocessor-public-service-ecomprod01-i-d115152b"/>
    <n v="2"/>
    <n v="3750"/>
    <n v="32"/>
    <x v="0"/>
    <s v="Other"/>
    <x v="0"/>
    <s v="Other"/>
    <s v="OrderProcessor Service"/>
    <s v="Other"/>
    <s v="Ecom (Prod01)"/>
    <n v="0.105"/>
    <n v="6.2E-2"/>
    <n v="3.9E-2"/>
  </r>
  <r>
    <s v="Epic Games, Inc."/>
    <x v="9"/>
    <s v="chat-admin-service-releaseqa-i-2b32fdd7"/>
    <n v="1"/>
    <n v="2000"/>
    <n v="0"/>
    <x v="0"/>
    <s v="Other"/>
    <x v="1"/>
    <s v="chat-service"/>
    <s v="[DEV]"/>
    <s v="Dev Admin Service ReleaseQA"/>
    <s v="DEV"/>
    <n v="2.5999999999999999E-2"/>
    <n v="1.7000000000000001E-2"/>
    <n v="1.2E-2"/>
  </r>
  <r>
    <s v="Epic Games, Inc."/>
    <x v="9"/>
    <s v="chat-admin-service-stage-i-cbbdbd31"/>
    <n v="1"/>
    <n v="2000"/>
    <n v="0"/>
    <x v="0"/>
    <s v="Other"/>
    <x v="0"/>
    <s v="Other"/>
    <s v="Chat Service"/>
    <s v="Dev Admin Service Load Test"/>
    <s v="Staging"/>
    <n v="2.5999999999999999E-2"/>
    <n v="1.7000000000000001E-2"/>
    <n v="1.2E-2"/>
  </r>
  <r>
    <s v="Epic Games, Inc."/>
    <x v="0"/>
    <s v="chat-admin-service-prod06-i-b52a394f"/>
    <n v="2"/>
    <n v="3750"/>
    <n v="32"/>
    <x v="0"/>
    <s v="Other"/>
    <x v="0"/>
    <s v="Other"/>
    <s v="Chat Service"/>
    <s v="Dev Admin Service Load Test"/>
    <s v="Common Services (Prod06)"/>
    <n v="0.105"/>
    <n v="6.2E-2"/>
    <n v="3.9E-2"/>
  </r>
  <r>
    <s v="Epic Games, Inc."/>
    <x v="0"/>
    <s v="chat-admin-service-prod06-i-8a0fd676"/>
    <n v="2"/>
    <n v="3750"/>
    <n v="32"/>
    <x v="0"/>
    <s v="Other"/>
    <x v="0"/>
    <s v="Other"/>
    <s v="Chat Service"/>
    <s v="Dev Admin Service Load Test"/>
    <s v="Common Services (Prod06)"/>
    <n v="0.105"/>
    <n v="6.2E-2"/>
    <n v="3.9E-2"/>
  </r>
  <r>
    <s v="Epic Games, Inc."/>
    <x v="0"/>
    <s v="tracking-website-prod07-i-182e81e4"/>
    <n v="2"/>
    <n v="3750"/>
    <n v="32"/>
    <x v="0"/>
    <s v="Other"/>
    <x v="0"/>
    <s v="Other"/>
    <s v="Tracking Website"/>
    <s v="Other"/>
    <s v="Common Website (Prod07)"/>
    <n v="0.105"/>
    <n v="6.2E-2"/>
    <n v="3.9E-2"/>
  </r>
  <r>
    <s v="Epic Games, Inc."/>
    <x v="0"/>
    <s v="buildinfo-admin-service-prod06-i-40b252bd"/>
    <n v="2"/>
    <n v="3750"/>
    <n v="32"/>
    <x v="0"/>
    <s v="Other"/>
    <x v="0"/>
    <s v="Other"/>
    <s v="Buildinfo Service"/>
    <s v="Dev Admin Service Load Test"/>
    <s v="Common Services (Prod06)"/>
    <n v="0.105"/>
    <n v="6.2E-2"/>
    <n v="3.9E-2"/>
  </r>
  <r>
    <s v="Epic Games, Inc."/>
    <x v="0"/>
    <s v="buildinfo-admin-service-prod06-i-f736990b"/>
    <n v="2"/>
    <n v="3750"/>
    <n v="32"/>
    <x v="0"/>
    <s v="Other"/>
    <x v="0"/>
    <s v="Other"/>
    <s v="Buildinfo Service"/>
    <s v="Dev Admin Service Load Test"/>
    <s v="Common Services (Prod06)"/>
    <n v="0.105"/>
    <n v="6.2E-2"/>
    <n v="3.9E-2"/>
  </r>
  <r>
    <s v="Epic Games, Inc."/>
    <x v="0"/>
    <s v="tracking-website-prod07-i-9b826266"/>
    <n v="2"/>
    <n v="3750"/>
    <n v="32"/>
    <x v="0"/>
    <s v="Other"/>
    <x v="0"/>
    <s v="Other"/>
    <s v="Tracking Website"/>
    <s v="Other"/>
    <s v="Common Website (Prod07)"/>
    <n v="0.105"/>
    <n v="6.2E-2"/>
    <n v="3.9E-2"/>
  </r>
  <r>
    <s v="Epic Games, Inc."/>
    <x v="0"/>
    <s v="tracking-website-prod07-i-e4208f18"/>
    <n v="2"/>
    <n v="3750"/>
    <n v="32"/>
    <x v="0"/>
    <s v="Other"/>
    <x v="0"/>
    <s v="Other"/>
    <s v="Tracking Website"/>
    <s v="Other"/>
    <s v="Common Website (Prod07)"/>
    <n v="0.105"/>
    <n v="6.2E-2"/>
    <n v="3.9E-2"/>
  </r>
  <r>
    <s v="Epic Games, Inc."/>
    <x v="0"/>
    <s v="tracking-website-prod07-i-a58d6d58"/>
    <n v="2"/>
    <n v="3750"/>
    <n v="32"/>
    <x v="0"/>
    <s v="Other"/>
    <x v="0"/>
    <s v="Other"/>
    <s v="Tracking Website"/>
    <s v="Other"/>
    <s v="Common Website (Prod07)"/>
    <n v="0.105"/>
    <n v="6.2E-2"/>
    <n v="3.9E-2"/>
  </r>
  <r>
    <s v="Epic Games, Inc."/>
    <x v="1"/>
    <s v="fulfillment-public-service-releaseqa-i-9808a164"/>
    <n v="1"/>
    <n v="1700"/>
    <n v="160"/>
    <x v="0"/>
    <s v="Other"/>
    <x v="1"/>
    <s v="fulfillment-service"/>
    <s v="[DEV]"/>
    <s v="Dev Public Service ReleaseQA"/>
    <s v="DEV"/>
    <n v="4.3999999999999997E-2"/>
    <n v="2.4E-2"/>
    <n v="1.4999999999999999E-2"/>
  </r>
  <r>
    <s v="Epic Games, Inc."/>
    <x v="0"/>
    <s v="chat-public-service-prod06-i-00866afd"/>
    <n v="2"/>
    <n v="3750"/>
    <n v="32"/>
    <x v="0"/>
    <s v="Other"/>
    <x v="0"/>
    <s v="Other"/>
    <s v="Chat Service"/>
    <s v="Other"/>
    <s v="Common Services (Prod06)"/>
    <n v="0.105"/>
    <n v="6.2E-2"/>
    <n v="3.9E-2"/>
  </r>
  <r>
    <s v="Epic Games, Inc."/>
    <x v="0"/>
    <s v="paymentv2-public-service-ecomprod02-i-5768c2ab"/>
    <n v="2"/>
    <n v="3750"/>
    <n v="32"/>
    <x v="0"/>
    <s v="Other"/>
    <x v="0"/>
    <s v="Other"/>
    <s v="Paymentv2 Service"/>
    <s v="Other"/>
    <s v="Ecom (Prod02)"/>
    <n v="0.105"/>
    <n v="6.2E-2"/>
    <n v="3.9E-2"/>
  </r>
  <r>
    <s v="Epic Games, Inc."/>
    <x v="0"/>
    <s v="paymentv2-public-service-ecomprod02-i-393fd3c4"/>
    <n v="2"/>
    <n v="3750"/>
    <n v="32"/>
    <x v="0"/>
    <s v="Other"/>
    <x v="0"/>
    <s v="Other"/>
    <s v="Paymentv2 Service"/>
    <s v="Other"/>
    <s v="Ecom (Prod02)"/>
    <n v="0.105"/>
    <n v="6.2E-2"/>
    <n v="3.9E-2"/>
  </r>
  <r>
    <s v="Epic Games, Inc."/>
    <x v="0"/>
    <s v="fulfillment-admin-service-prod06-i-9c5bf160"/>
    <n v="2"/>
    <n v="3750"/>
    <n v="32"/>
    <x v="0"/>
    <s v="Other"/>
    <x v="0"/>
    <s v="Other"/>
    <s v="Fulfillment Service"/>
    <s v="Dev Admin Service Load Test"/>
    <s v="Common Services (Prod06)"/>
    <n v="0.105"/>
    <n v="6.2E-2"/>
    <n v="3.9E-2"/>
  </r>
  <r>
    <s v="Epic Games, Inc."/>
    <x v="0"/>
    <s v="fulfillment-admin-service-prod06-i-e511fd18"/>
    <n v="2"/>
    <n v="3750"/>
    <n v="32"/>
    <x v="0"/>
    <s v="Other"/>
    <x v="0"/>
    <s v="Other"/>
    <s v="Fulfillment Service"/>
    <s v="Dev Admin Service Load Test"/>
    <s v="Common Services (Prod06)"/>
    <n v="0.105"/>
    <n v="6.2E-2"/>
    <n v="3.9E-2"/>
  </r>
  <r>
    <s v="Epic Games, Inc."/>
    <x v="0"/>
    <s v="fulfillment-admin-service-prod06-i-066b87fb"/>
    <n v="2"/>
    <n v="3750"/>
    <n v="32"/>
    <x v="0"/>
    <s v="Other"/>
    <x v="0"/>
    <s v="Other"/>
    <s v="Fulfillment Service"/>
    <s v="Dev Admin Service Load Test"/>
    <s v="Common Services (Prod06)"/>
    <n v="0.105"/>
    <n v="6.2E-2"/>
    <n v="3.9E-2"/>
  </r>
  <r>
    <s v="Epic Games, Inc."/>
    <x v="0"/>
    <s v="adminportal-website-management-i-4da946b0"/>
    <n v="2"/>
    <n v="3750"/>
    <n v="32"/>
    <x v="0"/>
    <s v="Other"/>
    <x v="0"/>
    <s v="Other"/>
    <s v="Adminportal"/>
    <s v="Other"/>
    <s v="Infrastructure and Management"/>
    <n v="0.105"/>
    <n v="6.2E-2"/>
    <n v="3.9E-2"/>
  </r>
  <r>
    <s v="Epic Games, Inc."/>
    <x v="0"/>
    <s v="adminportal-website-management-i-ffec5903"/>
    <n v="2"/>
    <n v="3750"/>
    <n v="32"/>
    <x v="0"/>
    <s v="Other"/>
    <x v="0"/>
    <s v="Other"/>
    <s v="Adminportal"/>
    <s v="Other"/>
    <s v="Infrastructure and Management"/>
    <n v="0.105"/>
    <n v="6.2E-2"/>
    <n v="3.9E-2"/>
  </r>
  <r>
    <s v="Epic Games, Inc."/>
    <x v="0"/>
    <s v="orderprocessor-batchjob-service-ecomprod01-i-c3348a3f"/>
    <n v="2"/>
    <n v="3750"/>
    <n v="32"/>
    <x v="0"/>
    <s v="Other"/>
    <x v="0"/>
    <s v="Other"/>
    <s v="OrderProcessor Service"/>
    <s v="Other"/>
    <s v="Ecom (Prod01)"/>
    <n v="0.105"/>
    <n v="6.2E-2"/>
    <n v="3.9E-2"/>
  </r>
  <r>
    <s v="Epic Games, Inc."/>
    <x v="0"/>
    <s v="launcher-admin-service-prod06-i-911aa46d"/>
    <n v="2"/>
    <n v="3750"/>
    <n v="32"/>
    <x v="0"/>
    <s v="Other"/>
    <x v="0"/>
    <s v="Other"/>
    <s v="Launcher Service"/>
    <s v="Dev Admin Service Load Test"/>
    <s v="Common Services (Prod06)"/>
    <n v="0.105"/>
    <n v="6.2E-2"/>
    <n v="3.9E-2"/>
  </r>
  <r>
    <s v="Epic Games, Inc."/>
    <x v="0"/>
    <s v="launcher-admin-service-prod06-i-a8728355"/>
    <n v="2"/>
    <n v="3750"/>
    <n v="32"/>
    <x v="0"/>
    <s v="Other"/>
    <x v="0"/>
    <s v="Other"/>
    <s v="Launcher Service"/>
    <s v="Dev Admin Service Load Test"/>
    <s v="Common Services (Prod06)"/>
    <n v="0.105"/>
    <n v="6.2E-2"/>
    <n v="3.9E-2"/>
  </r>
  <r>
    <s v="Epic Games, Inc."/>
    <x v="0"/>
    <s v="orderprocessor-admin-service-ecomprod01-i-eae85116"/>
    <n v="2"/>
    <n v="3750"/>
    <n v="32"/>
    <x v="0"/>
    <s v="Other"/>
    <x v="0"/>
    <s v="Other"/>
    <s v="OrderProcessor Service"/>
    <s v="Dev Admin Service Load Test"/>
    <s v="Ecom (Prod01)"/>
    <n v="0.105"/>
    <n v="6.2E-2"/>
    <n v="3.9E-2"/>
  </r>
  <r>
    <s v="Epic Games, Inc."/>
    <x v="0"/>
    <s v="orderprocessor-admin-service-ecomprod01-i-24b141d9"/>
    <n v="2"/>
    <n v="3750"/>
    <n v="32"/>
    <x v="0"/>
    <s v="Other"/>
    <x v="0"/>
    <s v="Other"/>
    <s v="OrderProcessor Service"/>
    <s v="Dev Admin Service Load Test"/>
    <s v="Ecom (Prod01)"/>
    <n v="0.105"/>
    <n v="6.2E-2"/>
    <n v="3.9E-2"/>
  </r>
  <r>
    <s v="Epic Games, Inc."/>
    <x v="0"/>
    <s v="entitlement-admin-service-prod08-i-44ce33b9"/>
    <n v="2"/>
    <n v="3750"/>
    <n v="32"/>
    <x v="0"/>
    <s v="Other"/>
    <x v="0"/>
    <s v="Other"/>
    <s v="Entitlement Service"/>
    <s v="Dev Admin Service Load Test"/>
    <s v="Entitlement (Prod08)"/>
    <n v="0.105"/>
    <n v="6.2E-2"/>
    <n v="3.9E-2"/>
  </r>
  <r>
    <s v="Epic Games, Inc."/>
    <x v="0"/>
    <s v="entitlement-admin-service-prod08-i-71318b8d"/>
    <n v="2"/>
    <n v="3750"/>
    <n v="32"/>
    <x v="0"/>
    <s v="Other"/>
    <x v="0"/>
    <s v="Other"/>
    <s v="Entitlement Service"/>
    <s v="Dev Admin Service Load Test"/>
    <s v="Entitlement (Prod08)"/>
    <n v="0.105"/>
    <n v="6.2E-2"/>
    <n v="3.9E-2"/>
  </r>
  <r>
    <s v="Epic Games, Inc."/>
    <x v="0"/>
    <s v="entitlement-admin-servicecron-prod08-i-16ff7aea"/>
    <n v="2"/>
    <n v="3750"/>
    <n v="32"/>
    <x v="0"/>
    <s v="Other"/>
    <x v="0"/>
    <s v="Other"/>
    <s v="Entitlement Service"/>
    <s v="Dev Admin Service Load Test"/>
    <s v="Entitlement (Prod08)"/>
    <n v="0.105"/>
    <n v="6.2E-2"/>
    <n v="3.9E-2"/>
  </r>
  <r>
    <s v="Epic Games, Inc."/>
    <x v="2"/>
    <s v="mongodb-priceengine-ecomprod01-03"/>
    <n v="2"/>
    <n v="7500"/>
    <n v="32"/>
    <x v="1"/>
    <s v="Other"/>
    <x v="0"/>
    <s v="Other"/>
    <s v="Priceengine Service"/>
    <s v="Dev MongoDB"/>
    <s v="Ecom (Prod01)"/>
    <n v="0.13300000000000001"/>
    <n v="8.1000000000000003E-2"/>
    <n v="5.1999999999999998E-2"/>
  </r>
  <r>
    <s v="Epic Games, Inc."/>
    <x v="2"/>
    <s v="mongodb-priceengine-ecomprod01-04"/>
    <n v="2"/>
    <n v="7500"/>
    <n v="32"/>
    <x v="5"/>
    <s v="Other"/>
    <x v="0"/>
    <s v="Other"/>
    <s v="Priceengine Service"/>
    <s v="Dev MongoDB"/>
    <s v="Ecom (Prod01)"/>
    <n v="0.13300000000000001"/>
    <n v="8.1000000000000003E-2"/>
    <n v="5.1999999999999998E-2"/>
  </r>
  <r>
    <s v="Epic Games, Inc."/>
    <x v="2"/>
    <s v="mongodb-priceengine-ecomprod01-02"/>
    <n v="2"/>
    <n v="7500"/>
    <n v="32"/>
    <x v="1"/>
    <s v="Other"/>
    <x v="0"/>
    <s v="Other"/>
    <s v="Priceengine Service"/>
    <s v="Dev MongoDB"/>
    <s v="Ecom (Prod01)"/>
    <n v="0.13300000000000001"/>
    <n v="8.1000000000000003E-2"/>
    <n v="5.1999999999999998E-2"/>
  </r>
  <r>
    <s v="Epic Games, Inc."/>
    <x v="6"/>
    <s v="mongodb-priceengine-ecomprod01-05"/>
    <n v="2"/>
    <n v="4000"/>
    <n v="0"/>
    <x v="0"/>
    <s v="Other"/>
    <x v="0"/>
    <s v="Other"/>
    <s v="Priceengine Service"/>
    <s v="Dev MongoDB"/>
    <s v="Ecom (Prod01)"/>
    <n v="5.1999999999999998E-2"/>
    <n v="3.4000000000000002E-2"/>
    <n v="2.3E-2"/>
  </r>
  <r>
    <s v="Epic Games, Inc."/>
    <x v="2"/>
    <s v="mongodb-priceengine-ecomprod01-01"/>
    <n v="2"/>
    <n v="7500"/>
    <n v="32"/>
    <x v="1"/>
    <s v="Other"/>
    <x v="0"/>
    <s v="Other"/>
    <s v="Priceengine Service"/>
    <s v="Dev MongoDB"/>
    <s v="Ecom (Prod01)"/>
    <n v="0.13300000000000001"/>
    <n v="8.1000000000000003E-2"/>
    <n v="5.1999999999999998E-2"/>
  </r>
  <r>
    <s v="Epic Games, Inc."/>
    <x v="0"/>
    <s v="persona-admin-service-prod06-i-98b54965"/>
    <n v="2"/>
    <n v="3750"/>
    <n v="32"/>
    <x v="0"/>
    <s v="Other"/>
    <x v="0"/>
    <s v="Other"/>
    <s v="Persona Service"/>
    <s v="Dev Admin Service Load Test"/>
    <s v="Common Services (Prod06)"/>
    <n v="0.105"/>
    <n v="6.2E-2"/>
    <n v="3.9E-2"/>
  </r>
  <r>
    <s v="Epic Games, Inc."/>
    <x v="2"/>
    <s v="priceengine-admin-service-ecomprod01-i-aaba4657"/>
    <n v="2"/>
    <n v="7500"/>
    <n v="32"/>
    <x v="0"/>
    <s v="Other"/>
    <x v="0"/>
    <s v="Other"/>
    <s v="Priceengine Service"/>
    <s v="Dev Admin Service Load Test"/>
    <s v="Ecom (Prod01)"/>
    <n v="0.13300000000000001"/>
    <n v="8.1000000000000003E-2"/>
    <n v="5.1999999999999998E-2"/>
  </r>
  <r>
    <s v="Epic Games, Inc."/>
    <x v="2"/>
    <s v="priceengine-public-service-ecomprod01-i-fea62302"/>
    <n v="2"/>
    <n v="7500"/>
    <n v="32"/>
    <x v="0"/>
    <s v="Other"/>
    <x v="0"/>
    <s v="Other"/>
    <s v="Priceengine Service"/>
    <s v="Other"/>
    <s v="Ecom (Prod01)"/>
    <n v="0.13300000000000001"/>
    <n v="8.1000000000000003E-2"/>
    <n v="5.1999999999999998E-2"/>
  </r>
  <r>
    <s v="Epic Games, Inc."/>
    <x v="2"/>
    <s v="priceengine-admin-service-ecomprod01-i-1aa722e6"/>
    <n v="2"/>
    <n v="7500"/>
    <n v="32"/>
    <x v="0"/>
    <s v="Other"/>
    <x v="0"/>
    <s v="Other"/>
    <s v="Priceengine Service"/>
    <s v="Dev Admin Service Load Test"/>
    <s v="Ecom (Prod01)"/>
    <n v="0.13300000000000001"/>
    <n v="8.1000000000000003E-2"/>
    <n v="5.1999999999999998E-2"/>
  </r>
  <r>
    <s v="Epic Games, Inc."/>
    <x v="2"/>
    <s v="priceengine-public-service-ecomprod01-i-a6ba465b"/>
    <n v="2"/>
    <n v="7500"/>
    <n v="32"/>
    <x v="0"/>
    <s v="Other"/>
    <x v="0"/>
    <s v="Other"/>
    <s v="Priceengine Service"/>
    <s v="Other"/>
    <s v="Ecom (Prod01)"/>
    <n v="0.13300000000000001"/>
    <n v="8.1000000000000003E-2"/>
    <n v="5.1999999999999998E-2"/>
  </r>
  <r>
    <s v="Epic Games, Inc."/>
    <x v="0"/>
    <s v="fortnite-admin-service-prod11-i-96b7326a"/>
    <n v="2"/>
    <n v="3750"/>
    <n v="32"/>
    <x v="0"/>
    <s v="Other"/>
    <x v="0"/>
    <s v="Other"/>
    <s v="Fortnite Service"/>
    <s v="Dev Admin Service Load Test"/>
    <s v="Fortnite"/>
    <n v="0.105"/>
    <n v="6.2E-2"/>
    <n v="3.9E-2"/>
  </r>
  <r>
    <s v="Epic Games, Inc."/>
    <x v="0"/>
    <s v="persona-admin-service-prod06-i-d9b43125"/>
    <n v="2"/>
    <n v="3750"/>
    <n v="32"/>
    <x v="0"/>
    <s v="Other"/>
    <x v="0"/>
    <s v="Other"/>
    <s v="Persona Service"/>
    <s v="Dev Admin Service Load Test"/>
    <s v="Common Services (Prod06)"/>
    <n v="0.105"/>
    <n v="6.2E-2"/>
    <n v="3.9E-2"/>
  </r>
  <r>
    <s v="Epic Games, Inc."/>
    <x v="0"/>
    <s v="fortnite-admin-service-prod11-i-97a35f6a"/>
    <n v="2"/>
    <n v="3750"/>
    <n v="32"/>
    <x v="0"/>
    <s v="Other"/>
    <x v="0"/>
    <s v="Other"/>
    <s v="Fortnite Service"/>
    <s v="Dev Admin Service Load Test"/>
    <s v="Fortnite"/>
    <n v="0.105"/>
    <n v="6.2E-2"/>
    <n v="3.9E-2"/>
  </r>
  <r>
    <s v="Epic Games, Inc."/>
    <x v="0"/>
    <s v="persona-public-service-prod06-i-0e5adff2"/>
    <n v="2"/>
    <n v="3750"/>
    <n v="32"/>
    <x v="0"/>
    <s v="Other"/>
    <x v="0"/>
    <s v="Other"/>
    <s v="Persona Service"/>
    <s v="Other"/>
    <s v="Common Services (Prod06)"/>
    <n v="0.105"/>
    <n v="6.2E-2"/>
    <n v="3.9E-2"/>
  </r>
  <r>
    <s v="Epic Games, Inc."/>
    <x v="0"/>
    <s v="persona-public-service-prod06-i-d3fb072e"/>
    <n v="2"/>
    <n v="3750"/>
    <n v="32"/>
    <x v="0"/>
    <s v="Other"/>
    <x v="0"/>
    <s v="Other"/>
    <s v="Persona Service"/>
    <s v="Other"/>
    <s v="Common Services (Prod06)"/>
    <n v="0.105"/>
    <n v="6.2E-2"/>
    <n v="3.9E-2"/>
  </r>
  <r>
    <s v="Epic Games, Inc."/>
    <x v="9"/>
    <s v="movitech-proxy-02"/>
    <n v="1"/>
    <n v="2000"/>
    <n v="0"/>
    <x v="0"/>
    <s v="Other"/>
    <x v="3"/>
    <s v="Other"/>
    <s v="Other"/>
    <s v="Other"/>
    <s v="DEV"/>
    <n v="2.5999999999999999E-2"/>
    <n v="1.7000000000000001E-2"/>
    <n v="1.2E-2"/>
  </r>
  <r>
    <s v="Epic Games, Inc."/>
    <x v="9"/>
    <s v="vbulletin-website-releaseqa-i-67e31f9a"/>
    <n v="1"/>
    <n v="2000"/>
    <n v="0"/>
    <x v="0"/>
    <s v="Other"/>
    <x v="1"/>
    <s v="vbulletin-website"/>
    <s v="[DEV]"/>
    <s v="Dev Website ReleaseQA"/>
    <s v="DEV"/>
    <n v="2.5999999999999999E-2"/>
    <n v="1.7000000000000001E-2"/>
    <n v="1.2E-2"/>
  </r>
  <r>
    <s v="Epic Games, Inc."/>
    <x v="0"/>
    <s v="fortnite-admin-servicecron-prod11-i-db1d9827"/>
    <n v="2"/>
    <n v="3750"/>
    <n v="32"/>
    <x v="0"/>
    <s v="Other"/>
    <x v="0"/>
    <s v="Other"/>
    <s v="Fortnite Service"/>
    <s v="Dev Admin Service Load Test"/>
    <s v="Fortnite"/>
    <n v="0.105"/>
    <n v="6.2E-2"/>
    <n v="3.9E-2"/>
  </r>
  <r>
    <s v="Epic Games, Inc."/>
    <x v="4"/>
    <s v="accountportal-website-releaseqa-i-191a9de5"/>
    <n v="1"/>
    <n v="3750"/>
    <n v="4"/>
    <x v="0"/>
    <s v="Other"/>
    <x v="1"/>
    <s v="accountportal-website"/>
    <s v="[DEV]"/>
    <s v="Dev Website ReleaseQA"/>
    <s v="DEV"/>
    <n v="6.7000000000000004E-2"/>
    <n v="0.04"/>
    <n v="2.5999999999999999E-2"/>
  </r>
  <r>
    <s v="Epic Games, Inc."/>
    <x v="0"/>
    <s v="catalogadmin-website-management02-i-31098fcd"/>
    <n v="2"/>
    <n v="3750"/>
    <n v="32"/>
    <x v="0"/>
    <s v="Other"/>
    <x v="0"/>
    <s v="Other"/>
    <s v="Catalogadmin Service"/>
    <s v="Other"/>
    <s v="Infrastructure and Management"/>
    <n v="0.105"/>
    <n v="6.2E-2"/>
    <n v="3.9E-2"/>
  </r>
  <r>
    <s v="Epic Games, Inc."/>
    <x v="9"/>
    <s v="subscriptionv2-admin-service-ecomprod01-i-1e24a2e2"/>
    <n v="1"/>
    <n v="2000"/>
    <n v="0"/>
    <x v="0"/>
    <s v="Other"/>
    <x v="0"/>
    <s v="Other"/>
    <s v="SubscriptionV2 Service"/>
    <s v="Dev Admin Service Load Test"/>
    <s v="Ecom (Prod01)"/>
    <n v="2.5999999999999999E-2"/>
    <n v="1.7000000000000001E-2"/>
    <n v="1.2E-2"/>
  </r>
  <r>
    <s v="Epic Games, Inc."/>
    <x v="9"/>
    <s v="subscriptionv2-public-service-ecomprod01-i-69d82194"/>
    <n v="1"/>
    <n v="2000"/>
    <n v="0"/>
    <x v="0"/>
    <s v="Other"/>
    <x v="0"/>
    <s v="Other"/>
    <s v="SubscriptionV2 Service"/>
    <s v="Other"/>
    <s v="Ecom (Prod01)"/>
    <n v="2.5999999999999999E-2"/>
    <n v="1.7000000000000001E-2"/>
    <n v="1.2E-2"/>
  </r>
  <r>
    <s v="Epic Games, Inc."/>
    <x v="9"/>
    <s v="subscriptionv2-public-service-ecomprod01-i-6f32b493"/>
    <n v="1"/>
    <n v="2000"/>
    <n v="0"/>
    <x v="0"/>
    <s v="Other"/>
    <x v="0"/>
    <s v="Other"/>
    <s v="SubscriptionV2 Service"/>
    <s v="Other"/>
    <s v="Ecom (Prod01)"/>
    <n v="2.5999999999999999E-2"/>
    <n v="1.7000000000000001E-2"/>
    <n v="1.2E-2"/>
  </r>
  <r>
    <s v="Epic Games, Inc."/>
    <x v="0"/>
    <s v="buildinfo-public-service-prod06-i-25d42dd8"/>
    <n v="2"/>
    <n v="3750"/>
    <n v="32"/>
    <x v="0"/>
    <s v="Other"/>
    <x v="0"/>
    <s v="Other"/>
    <s v="Buildinfo Service"/>
    <s v="Other"/>
    <s v="Common Services (Prod06)"/>
    <n v="0.105"/>
    <n v="6.2E-2"/>
    <n v="3.9E-2"/>
  </r>
  <r>
    <s v="Epic Games, Inc."/>
    <x v="0"/>
    <s v="catalogadmin-website-management02-i-d2d52c2f"/>
    <n v="2"/>
    <n v="3750"/>
    <n v="32"/>
    <x v="0"/>
    <s v="Other"/>
    <x v="0"/>
    <s v="Other"/>
    <s v="Catalogadmin Service"/>
    <s v="Other"/>
    <s v="Infrastructure and Management"/>
    <n v="0.105"/>
    <n v="6.2E-2"/>
    <n v="3.9E-2"/>
  </r>
  <r>
    <s v="Epic Games, Inc."/>
    <x v="0"/>
    <s v="login-service-prod-i-e59c1232"/>
    <n v="2"/>
    <n v="3750"/>
    <n v="32"/>
    <x v="0"/>
    <s v="Other"/>
    <x v="0"/>
    <s v="Other"/>
    <s v="Sword Service"/>
    <s v="Other"/>
    <s v="Infinity Blade 3"/>
    <n v="0.105"/>
    <n v="6.2E-2"/>
    <n v="3.9E-2"/>
  </r>
  <r>
    <s v="Epic Games, Inc."/>
    <x v="0"/>
    <s v="login-service-prod-i-6837b194"/>
    <n v="2"/>
    <n v="3750"/>
    <n v="32"/>
    <x v="0"/>
    <s v="Other"/>
    <x v="0"/>
    <s v="Other"/>
    <s v="Sword Service"/>
    <s v="Other"/>
    <s v="Infinity Blade 3"/>
    <n v="0.105"/>
    <n v="6.2E-2"/>
    <n v="3.9E-2"/>
  </r>
  <r>
    <s v="Epic Games, Inc."/>
    <x v="9"/>
    <s v="subscriptionv2-admin-service-ecomprod01-i-19cd34e4"/>
    <n v="1"/>
    <n v="2000"/>
    <n v="0"/>
    <x v="0"/>
    <s v="Other"/>
    <x v="0"/>
    <s v="Other"/>
    <s v="SubscriptionV2 Service"/>
    <s v="Dev Admin Service Load Test"/>
    <s v="Ecom (Prod01)"/>
    <n v="2.5999999999999999E-2"/>
    <n v="1.7000000000000001E-2"/>
    <n v="1.2E-2"/>
  </r>
  <r>
    <s v="Epic Games, Inc."/>
    <x v="0"/>
    <s v="login-service-prod-i-10cb32ed"/>
    <n v="2"/>
    <n v="3750"/>
    <n v="32"/>
    <x v="0"/>
    <s v="Other"/>
    <x v="0"/>
    <s v="Other"/>
    <s v="Sword Service"/>
    <s v="Other"/>
    <s v="Infinity Blade 3"/>
    <n v="0.105"/>
    <n v="6.2E-2"/>
    <n v="3.9E-2"/>
  </r>
  <r>
    <s v="Epic Games, Inc."/>
    <x v="0"/>
    <s v="buildinfo-public-service-prod06-i-5438bea8"/>
    <n v="2"/>
    <n v="3750"/>
    <n v="32"/>
    <x v="0"/>
    <s v="Other"/>
    <x v="0"/>
    <s v="Other"/>
    <s v="Buildinfo Service"/>
    <s v="Other"/>
    <s v="Common Services (Prod06)"/>
    <n v="0.105"/>
    <n v="6.2E-2"/>
    <n v="3.9E-2"/>
  </r>
  <r>
    <s v="Epic Games, Inc."/>
    <x v="0"/>
    <s v="docs-website-prod07-i-85d75679"/>
    <n v="2"/>
    <n v="3750"/>
    <n v="32"/>
    <x v="0"/>
    <s v="Other"/>
    <x v="0"/>
    <s v="Other"/>
    <s v="Docs Website"/>
    <s v="Other"/>
    <s v="Common Website (Prod07)"/>
    <n v="0.105"/>
    <n v="6.2E-2"/>
    <n v="3.9E-2"/>
  </r>
  <r>
    <s v="Epic Games, Inc."/>
    <x v="0"/>
    <s v="buildinfo-public-service-prod06-i-8033ca7d"/>
    <n v="2"/>
    <n v="3750"/>
    <n v="32"/>
    <x v="0"/>
    <s v="Other"/>
    <x v="0"/>
    <s v="Other"/>
    <s v="Buildinfo Service"/>
    <s v="Other"/>
    <s v="Common Services (Prod06)"/>
    <n v="0.105"/>
    <n v="6.2E-2"/>
    <n v="3.9E-2"/>
  </r>
  <r>
    <s v="Epic Games, Inc."/>
    <x v="0"/>
    <s v="catalog-admin-service-prod06-i-c2d1503e"/>
    <n v="2"/>
    <n v="3750"/>
    <n v="32"/>
    <x v="0"/>
    <s v="Other"/>
    <x v="0"/>
    <s v="Other"/>
    <s v="Catalog Service"/>
    <s v="Dev Admin Service Load Test"/>
    <s v="Common Services (Prod06)"/>
    <n v="0.105"/>
    <n v="6.2E-2"/>
    <n v="3.9E-2"/>
  </r>
  <r>
    <s v="Epic Games, Inc."/>
    <x v="0"/>
    <s v="buildinfo-public-service-prod06-i-12d554ee"/>
    <n v="2"/>
    <n v="3750"/>
    <n v="32"/>
    <x v="0"/>
    <s v="Other"/>
    <x v="0"/>
    <s v="Other"/>
    <s v="Buildinfo Service"/>
    <s v="Other"/>
    <s v="Common Services (Prod06)"/>
    <n v="0.105"/>
    <n v="6.2E-2"/>
    <n v="3.9E-2"/>
  </r>
  <r>
    <s v="Epic Games, Inc."/>
    <x v="0"/>
    <s v="catalog-public-service-prod06-i-ca22db37"/>
    <n v="2"/>
    <n v="3750"/>
    <n v="32"/>
    <x v="0"/>
    <s v="Other"/>
    <x v="0"/>
    <s v="Other"/>
    <s v="Catalog Service"/>
    <s v="Other"/>
    <s v="Common Services (Prod06)"/>
    <n v="0.105"/>
    <n v="6.2E-2"/>
    <n v="3.9E-2"/>
  </r>
  <r>
    <s v="Epic Games, Inc."/>
    <x v="0"/>
    <s v="accountportal-website-prod07-i-b5ef6e49"/>
    <n v="2"/>
    <n v="3750"/>
    <n v="32"/>
    <x v="0"/>
    <s v="Other"/>
    <x v="0"/>
    <s v="Other"/>
    <s v="Accountportal"/>
    <s v="Other"/>
    <s v="Common Website (Prod07)"/>
    <n v="0.105"/>
    <n v="6.2E-2"/>
    <n v="3.9E-2"/>
  </r>
  <r>
    <s v="Epic Games, Inc."/>
    <x v="0"/>
    <s v="buildinfo-public-service-prod06-i-5ae362a6"/>
    <n v="2"/>
    <n v="3750"/>
    <n v="32"/>
    <x v="0"/>
    <s v="Other"/>
    <x v="0"/>
    <s v="Other"/>
    <s v="Buildinfo Service"/>
    <s v="Other"/>
    <s v="Common Services (Prod06)"/>
    <n v="0.105"/>
    <n v="6.2E-2"/>
    <n v="3.9E-2"/>
  </r>
  <r>
    <s v="Epic Games, Inc."/>
    <x v="0"/>
    <s v="buildinfo-public-service-prod06-i-56df5eaa"/>
    <n v="2"/>
    <n v="3750"/>
    <n v="32"/>
    <x v="0"/>
    <s v="Other"/>
    <x v="0"/>
    <s v="Other"/>
    <s v="Buildinfo Service"/>
    <s v="Other"/>
    <s v="Common Services (Prod06)"/>
    <n v="0.105"/>
    <n v="6.2E-2"/>
    <n v="3.9E-2"/>
  </r>
  <r>
    <s v="Epic Games, Inc."/>
    <x v="0"/>
    <s v="catalog-admin-service-prod06-i-591ae3a4"/>
    <n v="2"/>
    <n v="3750"/>
    <n v="32"/>
    <x v="0"/>
    <s v="Other"/>
    <x v="0"/>
    <s v="Other"/>
    <s v="Catalog Service"/>
    <s v="Dev Admin Service Load Test"/>
    <s v="Common Services (Prod06)"/>
    <n v="0.105"/>
    <n v="6.2E-2"/>
    <n v="3.9E-2"/>
  </r>
  <r>
    <s v="Epic Games, Inc."/>
    <x v="0"/>
    <s v="buildinfo-public-service-prod06-i-4f0cf5b2"/>
    <n v="2"/>
    <n v="3750"/>
    <n v="32"/>
    <x v="0"/>
    <s v="Other"/>
    <x v="0"/>
    <s v="Other"/>
    <s v="Buildinfo Service"/>
    <s v="Other"/>
    <s v="Common Services (Prod06)"/>
    <n v="0.105"/>
    <n v="6.2E-2"/>
    <n v="3.9E-2"/>
  </r>
  <r>
    <s v="Epic Games, Inc."/>
    <x v="0"/>
    <s v="docs-website-prod07-i-2b0ff6d6"/>
    <n v="2"/>
    <n v="3750"/>
    <n v="32"/>
    <x v="0"/>
    <s v="Other"/>
    <x v="0"/>
    <s v="Other"/>
    <s v="Docs Website"/>
    <s v="Other"/>
    <s v="Common Website (Prod07)"/>
    <n v="0.105"/>
    <n v="6.2E-2"/>
    <n v="3.9E-2"/>
  </r>
  <r>
    <s v="Epic Games, Inc."/>
    <x v="0"/>
    <s v="buildinfo-public-service-prod06-i-fc778e01"/>
    <n v="2"/>
    <n v="3750"/>
    <n v="32"/>
    <x v="0"/>
    <s v="Other"/>
    <x v="0"/>
    <s v="Other"/>
    <s v="Buildinfo Service"/>
    <s v="Other"/>
    <s v="Common Services (Prod06)"/>
    <n v="0.105"/>
    <n v="6.2E-2"/>
    <n v="3.9E-2"/>
  </r>
  <r>
    <s v="Epic Games, Inc."/>
    <x v="0"/>
    <s v="buildinfo-public-service-prod06-i-6d758c90"/>
    <n v="2"/>
    <n v="3750"/>
    <n v="32"/>
    <x v="0"/>
    <s v="Other"/>
    <x v="0"/>
    <s v="Other"/>
    <s v="Buildinfo Service"/>
    <s v="Other"/>
    <s v="Common Services (Prod06)"/>
    <n v="0.105"/>
    <n v="6.2E-2"/>
    <n v="3.9E-2"/>
  </r>
  <r>
    <s v="Epic Games, Inc."/>
    <x v="0"/>
    <s v="buildinfo-public-service-prod06-i-989b1a64"/>
    <n v="2"/>
    <n v="3750"/>
    <n v="32"/>
    <x v="0"/>
    <s v="Other"/>
    <x v="0"/>
    <s v="Other"/>
    <s v="Buildinfo Service"/>
    <s v="Other"/>
    <s v="Common Services (Prod06)"/>
    <n v="0.105"/>
    <n v="6.2E-2"/>
    <n v="3.9E-2"/>
  </r>
  <r>
    <s v="Epic Games, Inc."/>
    <x v="0"/>
    <s v="commentrating-public-service-prod06-i-a848b155"/>
    <n v="2"/>
    <n v="3750"/>
    <n v="32"/>
    <x v="0"/>
    <s v="Other"/>
    <x v="0"/>
    <s v="Other"/>
    <s v="Commentrating Service"/>
    <s v="Other"/>
    <s v="Common Services (Prod06)"/>
    <n v="0.105"/>
    <n v="6.2E-2"/>
    <n v="3.9E-2"/>
  </r>
  <r>
    <s v="Epic Games, Inc."/>
    <x v="0"/>
    <s v="commentrating-public-service-prod06-i-cdb23331"/>
    <n v="2"/>
    <n v="3750"/>
    <n v="32"/>
    <x v="0"/>
    <s v="Other"/>
    <x v="0"/>
    <s v="Other"/>
    <s v="Commentrating Service"/>
    <s v="Other"/>
    <s v="Common Services (Prod06)"/>
    <n v="0.105"/>
    <n v="6.2E-2"/>
    <n v="3.9E-2"/>
  </r>
  <r>
    <s v="Epic Games, Inc."/>
    <x v="0"/>
    <s v="commentrating-admin-service-prod06-i-9f45c463"/>
    <n v="2"/>
    <n v="3750"/>
    <n v="32"/>
    <x v="0"/>
    <s v="Other"/>
    <x v="0"/>
    <s v="Other"/>
    <s v="Commentrating Service"/>
    <s v="Dev Admin Service Load Test"/>
    <s v="Common Services (Prod06)"/>
    <n v="0.105"/>
    <n v="6.2E-2"/>
    <n v="3.9E-2"/>
  </r>
  <r>
    <s v="Epic Games, Inc."/>
    <x v="0"/>
    <s v="lightswitch-admin-service-prod06-i-d0be3f2c"/>
    <n v="2"/>
    <n v="3750"/>
    <n v="32"/>
    <x v="0"/>
    <s v="Other"/>
    <x v="0"/>
    <s v="Other"/>
    <s v="Lightswitch Service"/>
    <s v="Dev Admin Service Load Test"/>
    <s v="Common Services (Prod06)"/>
    <n v="0.105"/>
    <n v="6.2E-2"/>
    <n v="3.9E-2"/>
  </r>
  <r>
    <s v="Epic Games, Inc."/>
    <x v="0"/>
    <s v="commentrating-admin-service-prod06-i-e347be1e"/>
    <n v="2"/>
    <n v="3750"/>
    <n v="32"/>
    <x v="0"/>
    <s v="Other"/>
    <x v="0"/>
    <s v="Other"/>
    <s v="Commentrating Service"/>
    <s v="Dev Admin Service Load Test"/>
    <s v="Common Services (Prod06)"/>
    <n v="0.105"/>
    <n v="6.2E-2"/>
    <n v="3.9E-2"/>
  </r>
  <r>
    <s v="Epic Games, Inc."/>
    <x v="0"/>
    <s v="lightswitch-admin-service-prod06-i-84bc4479"/>
    <n v="2"/>
    <n v="3750"/>
    <n v="32"/>
    <x v="0"/>
    <s v="Other"/>
    <x v="0"/>
    <s v="Other"/>
    <s v="Lightswitch Service"/>
    <s v="Dev Admin Service Load Test"/>
    <s v="Common Services (Prod06)"/>
    <n v="0.105"/>
    <n v="6.2E-2"/>
    <n v="3.9E-2"/>
  </r>
  <r>
    <s v="Epic Games, Inc."/>
    <x v="0"/>
    <s v="fortnite-admin-service-publictest-prod12-i-a8a15955"/>
    <n v="2"/>
    <n v="3750"/>
    <n v="32"/>
    <x v="0"/>
    <s v="Other"/>
    <x v="0"/>
    <s v="Other"/>
    <s v="Fortnite Service"/>
    <s v="Dev Admin Service Load Test"/>
    <s v="Fortnite"/>
    <n v="0.105"/>
    <n v="6.2E-2"/>
    <n v="3.9E-2"/>
  </r>
  <r>
    <s v="Epic Games, Inc."/>
    <x v="0"/>
    <s v="lightswitch-public-service-prod06-i-069068fb"/>
    <n v="2"/>
    <n v="3750"/>
    <n v="32"/>
    <x v="0"/>
    <s v="Other"/>
    <x v="0"/>
    <s v="Other"/>
    <s v="Lightswitch Service"/>
    <s v="Other"/>
    <s v="Common Services (Prod06)"/>
    <n v="0.105"/>
    <n v="6.2E-2"/>
    <n v="3.9E-2"/>
  </r>
  <r>
    <s v="Epic Games, Inc."/>
    <x v="0"/>
    <s v="fortnite-admin-servicecron-publictest-prod12-i-2b8179d6"/>
    <n v="2"/>
    <n v="3750"/>
    <n v="32"/>
    <x v="0"/>
    <s v="Other"/>
    <x v="0"/>
    <s v="Other"/>
    <s v="Fortnite Service"/>
    <s v="Dev Admin Service Load Test"/>
    <s v="Fortnite"/>
    <n v="0.105"/>
    <n v="6.2E-2"/>
    <n v="3.9E-2"/>
  </r>
  <r>
    <s v="Epic Games, Inc."/>
    <x v="0"/>
    <s v="lightswitch-public-service-prod06-i-487bfab4"/>
    <n v="2"/>
    <n v="3750"/>
    <n v="32"/>
    <x v="0"/>
    <s v="Other"/>
    <x v="0"/>
    <s v="Other"/>
    <s v="Lightswitch Service"/>
    <s v="Other"/>
    <s v="Common Services (Prod06)"/>
    <n v="0.105"/>
    <n v="6.2E-2"/>
    <n v="3.9E-2"/>
  </r>
  <r>
    <s v="Epic Games, Inc."/>
    <x v="0"/>
    <s v="catalog-public-service-prod06-i-741f9e88"/>
    <n v="2"/>
    <n v="3750"/>
    <n v="32"/>
    <x v="0"/>
    <s v="Other"/>
    <x v="0"/>
    <s v="Other"/>
    <s v="Catalog Service"/>
    <s v="Other"/>
    <s v="Common Services (Prod06)"/>
    <n v="0.105"/>
    <n v="6.2E-2"/>
    <n v="3.9E-2"/>
  </r>
  <r>
    <s v="Epic Games, Inc."/>
    <x v="0"/>
    <s v="catalog-public-service-prod06-i-fbdf2706"/>
    <n v="2"/>
    <n v="3750"/>
    <n v="32"/>
    <x v="0"/>
    <s v="Other"/>
    <x v="0"/>
    <s v="Other"/>
    <s v="Catalog Service"/>
    <s v="Other"/>
    <s v="Common Services (Prod06)"/>
    <n v="0.105"/>
    <n v="6.2E-2"/>
    <n v="3.9E-2"/>
  </r>
  <r>
    <s v="Epic Games, Inc."/>
    <x v="0"/>
    <s v="catalog-public-service-prod06-i-5d2faea1"/>
    <n v="2"/>
    <n v="3750"/>
    <n v="32"/>
    <x v="0"/>
    <s v="Other"/>
    <x v="0"/>
    <s v="Other"/>
    <s v="Catalog Service"/>
    <s v="Other"/>
    <s v="Common Services (Prod06)"/>
    <n v="0.105"/>
    <n v="6.2E-2"/>
    <n v="3.9E-2"/>
  </r>
  <r>
    <s v="Epic Games, Inc."/>
    <x v="0"/>
    <s v="sword-service-prod-i-a4c64658"/>
    <n v="2"/>
    <n v="3750"/>
    <n v="32"/>
    <x v="0"/>
    <s v="Other"/>
    <x v="0"/>
    <s v="Other"/>
    <s v="Sword Service"/>
    <s v="Other"/>
    <s v="Infinity Blade 3"/>
    <n v="0.105"/>
    <n v="6.2E-2"/>
    <n v="3.9E-2"/>
  </r>
  <r>
    <s v="Epic Games, Inc."/>
    <x v="0"/>
    <s v="sword-service-prod-i-75dc54a2"/>
    <n v="2"/>
    <n v="3750"/>
    <n v="32"/>
    <x v="0"/>
    <s v="Other"/>
    <x v="0"/>
    <s v="Other"/>
    <s v="Sword Service"/>
    <s v="Other"/>
    <s v="Infinity Blade 3"/>
    <n v="0.105"/>
    <n v="6.2E-2"/>
    <n v="3.9E-2"/>
  </r>
  <r>
    <s v="Epic Games, Inc."/>
    <x v="0"/>
    <s v="sword-service-prod-i-8122da7c"/>
    <n v="2"/>
    <n v="3750"/>
    <n v="32"/>
    <x v="0"/>
    <s v="Other"/>
    <x v="0"/>
    <s v="Other"/>
    <s v="Sword Service"/>
    <s v="Other"/>
    <s v="Infinity Blade 3"/>
    <n v="0.105"/>
    <n v="6.2E-2"/>
    <n v="3.9E-2"/>
  </r>
  <r>
    <s v="Epic Games, Inc."/>
    <x v="0"/>
    <s v="fnvbulletin-website-prod04-i-1d05fde0"/>
    <n v="2"/>
    <n v="3750"/>
    <n v="32"/>
    <x v="0"/>
    <s v="Other"/>
    <x v="0"/>
    <s v="Other"/>
    <s v="Fortnite Vbulletin"/>
    <s v="Other"/>
    <s v="Fortnite"/>
    <n v="0.105"/>
    <n v="6.2E-2"/>
    <n v="3.9E-2"/>
  </r>
  <r>
    <s v="Epic Games, Inc."/>
    <x v="0"/>
    <s v="fnvbulletin-website-prod04-i-988d0d64"/>
    <n v="2"/>
    <n v="3750"/>
    <n v="32"/>
    <x v="0"/>
    <s v="Other"/>
    <x v="0"/>
    <s v="Other"/>
    <s v="Fortnite Vbulletin"/>
    <s v="Other"/>
    <s v="Fortnite"/>
    <n v="0.105"/>
    <n v="6.2E-2"/>
    <n v="3.9E-2"/>
  </r>
  <r>
    <s v="Epic Games, Inc."/>
    <x v="0"/>
    <s v="account-admin-servicecron-prod03-i-d17e862c"/>
    <n v="2"/>
    <n v="3750"/>
    <n v="32"/>
    <x v="0"/>
    <s v="Other"/>
    <x v="0"/>
    <s v="Other"/>
    <s v="Account Service"/>
    <s v="Dev Admin Service Load Test"/>
    <s v="Account Services (Prod03)"/>
    <n v="0.105"/>
    <n v="6.2E-2"/>
    <n v="3.9E-2"/>
  </r>
  <r>
    <s v="Epic Games, Inc."/>
    <x v="0"/>
    <s v="fortnite-public-service-prod11-i-0f9f1ff3"/>
    <n v="2"/>
    <n v="3750"/>
    <n v="32"/>
    <x v="0"/>
    <s v="Other"/>
    <x v="0"/>
    <s v="Other"/>
    <s v="Fortnite Service"/>
    <s v="Other"/>
    <s v="Fortnite"/>
    <n v="0.105"/>
    <n v="6.2E-2"/>
    <n v="3.9E-2"/>
  </r>
  <r>
    <s v="Epic Games, Inc."/>
    <x v="0"/>
    <s v="fortnite-public-service-prod11-i-7d5aa280"/>
    <n v="2"/>
    <n v="3750"/>
    <n v="32"/>
    <x v="0"/>
    <s v="Other"/>
    <x v="0"/>
    <s v="Other"/>
    <s v="Fortnite Service"/>
    <s v="Other"/>
    <s v="Fortnite"/>
    <n v="0.105"/>
    <n v="6.2E-2"/>
    <n v="3.9E-2"/>
  </r>
  <r>
    <s v="Epic Games, Inc."/>
    <x v="0"/>
    <s v="account-admin-service-prod03-i-d950a824"/>
    <n v="2"/>
    <n v="3750"/>
    <n v="32"/>
    <x v="0"/>
    <s v="Other"/>
    <x v="0"/>
    <s v="Other"/>
    <s v="Account Service"/>
    <s v="Dev Admin Service Load Test"/>
    <s v="Account Services (Prod03)"/>
    <n v="0.105"/>
    <n v="6.2E-2"/>
    <n v="3.9E-2"/>
  </r>
  <r>
    <s v="Epic Games, Inc."/>
    <x v="0"/>
    <s v="account-admin-service-prod03-i-23bb3bdf"/>
    <n v="2"/>
    <n v="3750"/>
    <n v="32"/>
    <x v="0"/>
    <s v="Other"/>
    <x v="0"/>
    <s v="Other"/>
    <s v="Account Service"/>
    <s v="Dev Admin Service Load Test"/>
    <s v="Account Services (Prod03)"/>
    <n v="0.105"/>
    <n v="6.2E-2"/>
    <n v="3.9E-2"/>
  </r>
  <r>
    <s v="Epic Games, Inc."/>
    <x v="9"/>
    <s v="vbulletin-website-stage-i-8e42ba73"/>
    <n v="1"/>
    <n v="2000"/>
    <n v="0"/>
    <x v="0"/>
    <s v="Other"/>
    <x v="1"/>
    <s v="vbulletin-website"/>
    <s v="[DEV]"/>
    <s v="Dev Website Stage"/>
    <s v="DEV"/>
    <n v="2.5999999999999999E-2"/>
    <n v="1.7000000000000001E-2"/>
    <n v="1.2E-2"/>
  </r>
  <r>
    <s v="Epic Games, Inc."/>
    <x v="9"/>
    <s v="mediawiki-website-gdc-stage-i-d543c329"/>
    <n v="1"/>
    <n v="2000"/>
    <n v="0"/>
    <x v="0"/>
    <s v="Other"/>
    <x v="1"/>
    <s v="mediawiki-website"/>
    <s v="[DEV]"/>
    <s v="Dev Website Stage"/>
    <s v="DEV"/>
    <n v="2.5999999999999999E-2"/>
    <n v="1.7000000000000001E-2"/>
    <n v="1.2E-2"/>
  </r>
  <r>
    <s v="Epic Games, Inc."/>
    <x v="9"/>
    <s v="fortnite-public-service-stage-i-5b45bda6"/>
    <n v="1"/>
    <n v="2000"/>
    <n v="0"/>
    <x v="0"/>
    <s v="Other"/>
    <x v="1"/>
    <s v="fortnite-service"/>
    <s v="[DEV]"/>
    <s v="Dev Fortnite Stage"/>
    <s v="DEV"/>
    <n v="2.5999999999999999E-2"/>
    <n v="1.7000000000000001E-2"/>
    <n v="1.2E-2"/>
  </r>
  <r>
    <s v="Epic Games, Inc."/>
    <x v="0"/>
    <s v="account-admin-service-prod03-i-95b64d68"/>
    <n v="2"/>
    <n v="3750"/>
    <n v="32"/>
    <x v="0"/>
    <s v="Other"/>
    <x v="0"/>
    <s v="Other"/>
    <s v="Account Service"/>
    <s v="Dev Admin Service Load Test"/>
    <s v="Account Services (Prod03)"/>
    <n v="0.105"/>
    <n v="6.2E-2"/>
    <n v="3.9E-2"/>
  </r>
  <r>
    <s v="Epic Games, Inc."/>
    <x v="0"/>
    <s v="account-admin-service-prod03-i-4149c9bd"/>
    <n v="2"/>
    <n v="3750"/>
    <n v="32"/>
    <x v="0"/>
    <s v="Other"/>
    <x v="0"/>
    <s v="Other"/>
    <s v="Account Service"/>
    <s v="Dev Admin Service Load Test"/>
    <s v="Account Services (Prod03)"/>
    <n v="0.105"/>
    <n v="6.2E-2"/>
    <n v="3.9E-2"/>
  </r>
  <r>
    <s v="Epic Games, Inc."/>
    <x v="0"/>
    <s v="fortnite-public-service-publictest-prod12-i-8d58d871"/>
    <n v="2"/>
    <n v="3750"/>
    <n v="32"/>
    <x v="0"/>
    <s v="Other"/>
    <x v="0"/>
    <s v="Other"/>
    <s v="Fortnite Service"/>
    <s v="Other"/>
    <s v="Fortnite"/>
    <n v="0.105"/>
    <n v="6.2E-2"/>
    <n v="3.9E-2"/>
  </r>
  <r>
    <s v="Epic Games, Inc."/>
    <x v="0"/>
    <s v="fortnite-public-service-publictest-prod12-i-71a05b8c"/>
    <n v="2"/>
    <n v="3750"/>
    <n v="32"/>
    <x v="0"/>
    <s v="Other"/>
    <x v="0"/>
    <s v="Other"/>
    <s v="Fortnite Service"/>
    <s v="Other"/>
    <s v="Fortnite"/>
    <n v="0.105"/>
    <n v="6.2E-2"/>
    <n v="3.9E-2"/>
  </r>
  <r>
    <s v="Epic Games, Inc."/>
    <x v="0"/>
    <s v="account-public-service-prod03-i-cc018130"/>
    <n v="2"/>
    <n v="3750"/>
    <n v="32"/>
    <x v="0"/>
    <s v="Other"/>
    <x v="0"/>
    <s v="Other"/>
    <s v="Account Service"/>
    <s v="Other"/>
    <s v="Account Services (Prod03)"/>
    <n v="0.105"/>
    <n v="6.2E-2"/>
    <n v="3.9E-2"/>
  </r>
  <r>
    <s v="Epic Games, Inc."/>
    <x v="0"/>
    <s v="account-public-service-prod03-i-e0f50e1d"/>
    <n v="2"/>
    <n v="3750"/>
    <n v="32"/>
    <x v="0"/>
    <s v="Other"/>
    <x v="0"/>
    <s v="Other"/>
    <s v="Account Service"/>
    <s v="Other"/>
    <s v="Account Services (Prod03)"/>
    <n v="0.105"/>
    <n v="6.2E-2"/>
    <n v="3.9E-2"/>
  </r>
  <r>
    <s v="Epic Games, Inc."/>
    <x v="0"/>
    <s v="account-public-service-prod03-i-7d0c8c81"/>
    <n v="2"/>
    <n v="3750"/>
    <n v="32"/>
    <x v="0"/>
    <s v="Other"/>
    <x v="0"/>
    <s v="Other"/>
    <s v="Account Service"/>
    <s v="Other"/>
    <s v="Account Services (Prod03)"/>
    <n v="0.105"/>
    <n v="6.2E-2"/>
    <n v="3.9E-2"/>
  </r>
  <r>
    <s v="Epic Games, Inc."/>
    <x v="0"/>
    <s v="account-public-service-prod03-i-afed1652"/>
    <n v="2"/>
    <n v="3750"/>
    <n v="32"/>
    <x v="0"/>
    <s v="Other"/>
    <x v="0"/>
    <s v="Other"/>
    <s v="Account Service"/>
    <s v="Other"/>
    <s v="Account Services (Prod03)"/>
    <n v="0.105"/>
    <n v="6.2E-2"/>
    <n v="3.9E-2"/>
  </r>
  <r>
    <s v="Epic Games, Inc."/>
    <x v="0"/>
    <s v="friends-public-service-prod06-i-f5b67308"/>
    <n v="2"/>
    <n v="3750"/>
    <n v="32"/>
    <x v="0"/>
    <s v="Other"/>
    <x v="1"/>
    <s v="friends-service"/>
    <s v="[DEV]"/>
    <s v="Other"/>
    <s v="Common Services (Prod06)"/>
    <n v="0.105"/>
    <n v="6.2E-2"/>
    <n v="3.9E-2"/>
  </r>
  <r>
    <s v="Epic Games, Inc."/>
    <x v="0"/>
    <s v="friends-public-service-prod06-i-83098b7f"/>
    <n v="2"/>
    <n v="3750"/>
    <n v="32"/>
    <x v="0"/>
    <s v="Other"/>
    <x v="1"/>
    <s v="friends-service"/>
    <s v="[DEV]"/>
    <s v="Other"/>
    <s v="Common Services (Prod06)"/>
    <n v="0.105"/>
    <n v="6.2E-2"/>
    <n v="3.9E-2"/>
  </r>
  <r>
    <s v="Epic Games, Inc."/>
    <x v="0"/>
    <s v="fulfillment-public-service-prod06-i-dda36720"/>
    <n v="2"/>
    <n v="3750"/>
    <n v="32"/>
    <x v="0"/>
    <s v="Other"/>
    <x v="0"/>
    <s v="Other"/>
    <s v="Fulfillment Service"/>
    <s v="Other"/>
    <s v="Common Services (Prod06)"/>
    <n v="0.105"/>
    <n v="6.2E-2"/>
    <n v="3.9E-2"/>
  </r>
  <r>
    <s v="Epic Games, Inc."/>
    <x v="6"/>
    <s v="account-service-ci-i-b98e0245"/>
    <n v="2"/>
    <n v="4000"/>
    <n v="0"/>
    <x v="0"/>
    <s v="Other"/>
    <x v="1"/>
    <s v="account-service"/>
    <s v="[DEV]"/>
    <s v="Dev Service CI (Other)"/>
    <s v="DEV"/>
    <n v="5.1999999999999998E-2"/>
    <n v="3.4000000000000002E-2"/>
    <n v="2.3E-2"/>
  </r>
  <r>
    <s v="Epic Games, Inc."/>
    <x v="9"/>
    <s v="mediawiki-website-releaseqa-i-237af5df"/>
    <n v="1"/>
    <n v="2000"/>
    <n v="0"/>
    <x v="0"/>
    <s v="Other"/>
    <x v="1"/>
    <s v="mediawiki-website"/>
    <s v="[DEV]"/>
    <s v="Dev Website ReleaseQA"/>
    <s v="DEV"/>
    <n v="2.5999999999999999E-2"/>
    <n v="1.7000000000000001E-2"/>
    <n v="1.2E-2"/>
  </r>
  <r>
    <s v="Epic Games, Inc."/>
    <x v="9"/>
    <s v="mediawiki-website-releaseqa-i-21ba7cdc"/>
    <n v="1"/>
    <n v="2000"/>
    <n v="0"/>
    <x v="0"/>
    <s v="Other"/>
    <x v="1"/>
    <s v="mediawiki-website"/>
    <s v="[DEV]"/>
    <s v="Dev Website ReleaseQA"/>
    <s v="DEV"/>
    <n v="2.5999999999999999E-2"/>
    <n v="1.7000000000000001E-2"/>
    <n v="1.2E-2"/>
  </r>
  <r>
    <s v="Epic Games, Inc."/>
    <x v="14"/>
    <s v="utvbulletin-website-prod04-i-f32efc0e"/>
    <n v="8"/>
    <n v="15000"/>
    <n v="160"/>
    <x v="0"/>
    <s v="Other"/>
    <x v="0"/>
    <s v="Other"/>
    <s v="UT Vbulletin"/>
    <s v="Other"/>
    <s v="Unreal Tournament"/>
    <n v="0.42"/>
    <n v="0.248"/>
    <n v="0.157"/>
  </r>
  <r>
    <s v="Epic Games, Inc."/>
    <x v="14"/>
    <s v="utvbulletin-website-prod04-i-ed2efc10"/>
    <n v="8"/>
    <n v="15000"/>
    <n v="160"/>
    <x v="0"/>
    <s v="Other"/>
    <x v="0"/>
    <s v="Other"/>
    <s v="UT Vbulletin"/>
    <s v="Other"/>
    <s v="Unreal Tournament"/>
    <n v="0.42"/>
    <n v="0.248"/>
    <n v="0.157"/>
  </r>
  <r>
    <s v="Epic Games, Inc."/>
    <x v="14"/>
    <s v="utvbulletin-website-prod04-i-588a10a4"/>
    <n v="8"/>
    <n v="15000"/>
    <n v="160"/>
    <x v="0"/>
    <s v="Other"/>
    <x v="0"/>
    <s v="Other"/>
    <s v="UT Vbulletin"/>
    <s v="Other"/>
    <s v="Unreal Tournament"/>
    <n v="0.42"/>
    <n v="0.248"/>
    <n v="0.157"/>
  </r>
  <r>
    <s v="Epic Games, Inc."/>
    <x v="14"/>
    <s v="utvbulletin-website-prod04-i-598a10a5"/>
    <n v="8"/>
    <n v="15000"/>
    <n v="160"/>
    <x v="0"/>
    <s v="Other"/>
    <x v="0"/>
    <s v="Other"/>
    <s v="UT Vbulletin"/>
    <s v="Other"/>
    <s v="Unreal Tournament"/>
    <n v="0.42"/>
    <n v="0.248"/>
    <n v="0.157"/>
  </r>
  <r>
    <s v="Epic Games, Inc."/>
    <x v="14"/>
    <s v="fortnite-website-prod07-i-e2bb641f"/>
    <n v="8"/>
    <n v="15000"/>
    <n v="160"/>
    <x v="0"/>
    <s v="Other"/>
    <x v="0"/>
    <s v="Other"/>
    <s v="Fortnite Website"/>
    <s v="Other"/>
    <s v="Fortnite"/>
    <n v="0.42"/>
    <n v="0.248"/>
    <n v="0.157"/>
  </r>
  <r>
    <s v="Epic Games, Inc."/>
    <x v="0"/>
    <s v="sphinx-utvbulletin-prod04-01v2"/>
    <n v="2"/>
    <n v="3750"/>
    <n v="32"/>
    <x v="8"/>
    <s v="Other"/>
    <x v="0"/>
    <s v="Other"/>
    <s v="UT Vbulletin"/>
    <s v="Other"/>
    <s v="Unreal Tournament"/>
    <n v="0.105"/>
    <n v="6.2E-2"/>
    <n v="3.9E-2"/>
  </r>
  <r>
    <s v="Epic Games, Inc."/>
    <x v="14"/>
    <s v="ue-website-prod07-i-394e96c4"/>
    <n v="8"/>
    <n v="15000"/>
    <n v="160"/>
    <x v="0"/>
    <s v="Other"/>
    <x v="0"/>
    <s v="Other"/>
    <s v="UE Website"/>
    <s v="Other"/>
    <s v="Unreal Engine"/>
    <n v="0.42"/>
    <n v="0.248"/>
    <n v="0.157"/>
  </r>
  <r>
    <s v="Epic Games, Inc."/>
    <x v="0"/>
    <s v="teamcity-agent-ci-10"/>
    <n v="2"/>
    <n v="3750"/>
    <n v="32"/>
    <x v="30"/>
    <s v="Other"/>
    <x v="1"/>
    <s v="Unknown"/>
    <s v="[DEV]"/>
    <s v="Other"/>
    <s v="DEV"/>
    <n v="0.105"/>
    <n v="6.2E-2"/>
    <n v="3.9E-2"/>
  </r>
  <r>
    <s v="Epic Games, Inc."/>
    <x v="9"/>
    <s v="survey-public-service-gamedev-i-6b563497"/>
    <n v="1"/>
    <n v="2000"/>
    <n v="0"/>
    <x v="0"/>
    <s v="Other"/>
    <x v="1"/>
    <s v="survey-service"/>
    <s v="[DEV]"/>
    <s v="Dev Public Service Gamedev"/>
    <s v="DEV"/>
    <n v="2.5999999999999999E-2"/>
    <n v="1.7000000000000001E-2"/>
    <n v="1.2E-2"/>
  </r>
  <r>
    <s v="Epic Games, Inc."/>
    <x v="9"/>
    <s v="survey-public-service-releaseqa-i-bc5d8741"/>
    <n v="1"/>
    <n v="2000"/>
    <n v="0"/>
    <x v="0"/>
    <s v="Other"/>
    <x v="1"/>
    <s v="survey-service"/>
    <s v="[DEV]"/>
    <s v="Dev Public Service ReleaseQA"/>
    <s v="DEV"/>
    <n v="2.5999999999999999E-2"/>
    <n v="1.7000000000000001E-2"/>
    <n v="1.2E-2"/>
  </r>
  <r>
    <s v="Epic Games, Inc."/>
    <x v="6"/>
    <s v="mongodb-survey-prod06-05"/>
    <n v="2"/>
    <n v="4000"/>
    <n v="0"/>
    <x v="0"/>
    <s v="Other"/>
    <x v="0"/>
    <s v="Other"/>
    <s v="Other"/>
    <s v="Dev MongoDB"/>
    <s v="Common Services (Prod06)"/>
    <n v="5.1999999999999998E-2"/>
    <n v="3.4000000000000002E-2"/>
    <n v="2.3E-2"/>
  </r>
  <r>
    <s v="Epic Games, Inc."/>
    <x v="2"/>
    <s v="mongodb-survey-prod06-02"/>
    <n v="2"/>
    <n v="7500"/>
    <n v="32"/>
    <x v="1"/>
    <s v="Other"/>
    <x v="0"/>
    <s v="Other"/>
    <s v="Other"/>
    <s v="Dev MongoDB"/>
    <s v="Common Services (Prod06)"/>
    <n v="0.13300000000000001"/>
    <n v="8.1000000000000003E-2"/>
    <n v="5.1999999999999998E-2"/>
  </r>
  <r>
    <s v="Epic Games, Inc."/>
    <x v="2"/>
    <s v="mongodb-survey-prod06-03"/>
    <n v="2"/>
    <n v="7500"/>
    <n v="32"/>
    <x v="1"/>
    <s v="Other"/>
    <x v="0"/>
    <s v="Other"/>
    <s v="Other"/>
    <s v="Dev MongoDB"/>
    <s v="Common Services (Prod06)"/>
    <n v="0.13300000000000001"/>
    <n v="8.1000000000000003E-2"/>
    <n v="5.1999999999999998E-2"/>
  </r>
  <r>
    <s v="Epic Games, Inc."/>
    <x v="2"/>
    <s v="mongodb-survey-prod06-04"/>
    <n v="2"/>
    <n v="7500"/>
    <n v="32"/>
    <x v="7"/>
    <s v="Other"/>
    <x v="0"/>
    <s v="Other"/>
    <s v="Other"/>
    <s v="Dev MongoDB"/>
    <s v="Common Services (Prod06)"/>
    <n v="0.13300000000000001"/>
    <n v="8.1000000000000003E-2"/>
    <n v="5.1999999999999998E-2"/>
  </r>
  <r>
    <s v="Epic Games, Inc."/>
    <x v="2"/>
    <s v="mongodb-survey-prod06-01"/>
    <n v="2"/>
    <n v="7500"/>
    <n v="32"/>
    <x v="1"/>
    <s v="Other"/>
    <x v="0"/>
    <s v="Other"/>
    <s v="Other"/>
    <s v="Dev MongoDB"/>
    <s v="Common Services (Prod06)"/>
    <n v="0.13300000000000001"/>
    <n v="8.1000000000000003E-2"/>
    <n v="5.1999999999999998E-2"/>
  </r>
  <r>
    <s v="Epic Games, Inc."/>
    <x v="0"/>
    <s v="survey-public-service-prod06-i-9a73d667"/>
    <n v="2"/>
    <n v="3750"/>
    <n v="32"/>
    <x v="0"/>
    <s v="Other"/>
    <x v="0"/>
    <s v="Other"/>
    <s v="Other"/>
    <s v="Other"/>
    <s v="Common Services (Prod06)"/>
    <n v="0.105"/>
    <n v="6.2E-2"/>
    <n v="3.9E-2"/>
  </r>
  <r>
    <s v="Epic Games, Inc."/>
    <x v="0"/>
    <s v="survey-public-service-prod06-i-a064095c"/>
    <n v="2"/>
    <n v="3750"/>
    <n v="32"/>
    <x v="0"/>
    <s v="Other"/>
    <x v="0"/>
    <s v="Other"/>
    <s v="Other"/>
    <s v="Other"/>
    <s v="Common Services (Prod06)"/>
    <n v="0.105"/>
    <n v="6.2E-2"/>
    <n v="3.9E-2"/>
  </r>
  <r>
    <s v="Epic Games, Inc."/>
    <x v="9"/>
    <s v="survey-public-service-stage-i-5c298ca1"/>
    <n v="1"/>
    <n v="2000"/>
    <n v="0"/>
    <x v="0"/>
    <s v="Other"/>
    <x v="0"/>
    <s v="Other"/>
    <s v="Other"/>
    <s v="Dev Public Service Stage"/>
    <s v="Staging"/>
    <n v="2.5999999999999999E-2"/>
    <n v="1.7000000000000001E-2"/>
    <n v="1.2E-2"/>
  </r>
  <r>
    <s v="Epic Games, Inc."/>
    <x v="4"/>
    <s v="teamcity-agent-ci-11"/>
    <n v="1"/>
    <n v="3750"/>
    <n v="4"/>
    <x v="10"/>
    <s v="Other"/>
    <x v="1"/>
    <s v="Unknown"/>
    <s v="[DEV]"/>
    <s v="Other"/>
    <s v="DEV"/>
    <n v="6.7000000000000004E-2"/>
    <n v="0.04"/>
    <n v="2.5999999999999999E-2"/>
  </r>
  <r>
    <s v="Epic Games, Inc."/>
    <x v="6"/>
    <s v="team-service-ci-i-f50daf08"/>
    <n v="2"/>
    <n v="4000"/>
    <n v="0"/>
    <x v="0"/>
    <s v="Other"/>
    <x v="1"/>
    <s v="team-service"/>
    <s v="[DEV]"/>
    <s v="Dev Service CI (Other)"/>
    <s v="DEV"/>
    <n v="5.1999999999999998E-2"/>
    <n v="3.4000000000000002E-2"/>
    <n v="2.3E-2"/>
  </r>
  <r>
    <s v="Epic Games, Inc."/>
    <x v="4"/>
    <s v="i-de8f2223"/>
    <n v="1"/>
    <n v="3750"/>
    <n v="4"/>
    <x v="6"/>
    <s v="Other"/>
    <x v="3"/>
    <s v="Other"/>
    <s v="Other"/>
    <s v="Other"/>
    <s v="DEV"/>
    <n v="6.7000000000000004E-2"/>
    <n v="0.04"/>
    <n v="2.5999999999999999E-2"/>
  </r>
  <r>
    <s v="Epic Games, Inc."/>
    <x v="6"/>
    <s v="team-service-gamedev-i-d1b9c72d"/>
    <n v="2"/>
    <n v="4000"/>
    <n v="0"/>
    <x v="0"/>
    <s v="Other"/>
    <x v="1"/>
    <s v="team-service"/>
    <s v="[DEV]"/>
    <s v="Dev Service Gamedev (Other)"/>
    <s v="DEV"/>
    <n v="5.1999999999999998E-2"/>
    <n v="3.4000000000000002E-2"/>
    <n v="2.3E-2"/>
  </r>
  <r>
    <s v="Epic Games, Inc."/>
    <x v="6"/>
    <s v="team-service-gamedev-i-f90fbf04"/>
    <n v="2"/>
    <n v="4000"/>
    <n v="0"/>
    <x v="0"/>
    <s v="Other"/>
    <x v="1"/>
    <s v="team-service"/>
    <s v="[DEV]"/>
    <s v="Dev Service Gamedev (Other)"/>
    <s v="DEV"/>
    <n v="5.1999999999999998E-2"/>
    <n v="3.4000000000000002E-2"/>
    <n v="2.3E-2"/>
  </r>
  <r>
    <s v="Epic Games, Inc."/>
    <x v="9"/>
    <s v="fortnite-admin-service-testing-stage-i-a4e9ad58"/>
    <n v="1"/>
    <n v="2000"/>
    <n v="0"/>
    <x v="0"/>
    <s v="Other"/>
    <x v="1"/>
    <s v="fortnite-service"/>
    <s v="[DEV]"/>
    <s v="Dev Fortnite Stage"/>
    <s v="DEV"/>
    <n v="2.5999999999999999E-2"/>
    <n v="1.7000000000000001E-2"/>
    <n v="1.2E-2"/>
  </r>
  <r>
    <s v="Epic Games, Inc."/>
    <x v="9"/>
    <s v="fortnite-admin-servicecron-testing-stage-i-07e8acfb"/>
    <n v="1"/>
    <n v="2000"/>
    <n v="0"/>
    <x v="0"/>
    <s v="Other"/>
    <x v="1"/>
    <s v="fortnite-service"/>
    <s v="[DEV]"/>
    <s v="Dev Fortnite Stage"/>
    <s v="DEV"/>
    <n v="2.5999999999999999E-2"/>
    <n v="1.7000000000000001E-2"/>
    <n v="1.2E-2"/>
  </r>
  <r>
    <s v="Epic Games, Inc."/>
    <x v="9"/>
    <s v="fortnite-public-service-testing-stage-i-ffe45c02"/>
    <n v="1"/>
    <n v="2000"/>
    <n v="0"/>
    <x v="0"/>
    <s v="Other"/>
    <x v="1"/>
    <s v="fortnite-service"/>
    <s v="[DEV]"/>
    <s v="Dev Fortnite Stage"/>
    <s v="DEV"/>
    <n v="2.5999999999999999E-2"/>
    <n v="1.7000000000000001E-2"/>
    <n v="1.2E-2"/>
  </r>
  <r>
    <s v="Epic Games, Inc."/>
    <x v="13"/>
    <s v="jmxtrans-poller-common-01"/>
    <n v="1"/>
    <n v="1000"/>
    <n v="0"/>
    <x v="0"/>
    <s v="Other"/>
    <x v="3"/>
    <s v="Other"/>
    <s v="Other"/>
    <s v="Other"/>
    <s v="DEV"/>
    <n v="1.2999999999999999E-2"/>
    <n v="8.9999999999999993E-3"/>
    <n v="6.0000000000000001E-3"/>
  </r>
  <r>
    <s v="Epic Games, Inc."/>
    <x v="17"/>
    <s v="fortnite-website-ci-i-f0713e0c"/>
    <n v="4"/>
    <n v="7500"/>
    <n v="80"/>
    <x v="0"/>
    <s v="Other"/>
    <x v="1"/>
    <s v="fortnite-website"/>
    <s v="[DEV]"/>
    <s v="Dev Fortnite CI"/>
    <s v="DEV"/>
    <n v="0.21"/>
    <n v="0.125"/>
    <n v="7.9000000000000001E-2"/>
  </r>
  <r>
    <s v="Epic Games, Inc."/>
    <x v="17"/>
    <s v="fortnite-website-ci-i-fca32301"/>
    <n v="4"/>
    <n v="7500"/>
    <n v="80"/>
    <x v="0"/>
    <s v="Other"/>
    <x v="1"/>
    <s v="fortnite-website"/>
    <s v="[DEV]"/>
    <s v="Dev Fortnite CI"/>
    <s v="DEV"/>
    <n v="0.21"/>
    <n v="0.125"/>
    <n v="7.9000000000000001E-2"/>
  </r>
  <r>
    <s v="Epic Games, Inc."/>
    <x v="2"/>
    <s v="pgsql-team-lt-03"/>
    <n v="2"/>
    <n v="7500"/>
    <n v="32"/>
    <x v="7"/>
    <s v="Other"/>
    <x v="1"/>
    <s v="pgsql"/>
    <s v="[DEV]"/>
    <s v="Dev Postgres SQL"/>
    <s v="DEV"/>
    <n v="0.13300000000000001"/>
    <n v="8.1000000000000003E-2"/>
    <n v="5.1999999999999998E-2"/>
  </r>
  <r>
    <s v="Epic Games, Inc."/>
    <x v="2"/>
    <s v="pgsql-team-lt-02"/>
    <n v="2"/>
    <n v="7500"/>
    <n v="32"/>
    <x v="1"/>
    <s v="Other"/>
    <x v="1"/>
    <s v="pgsql"/>
    <s v="[DEV]"/>
    <s v="Dev Postgres SQL"/>
    <s v="DEV"/>
    <n v="0.13300000000000001"/>
    <n v="8.1000000000000003E-2"/>
    <n v="5.1999999999999998E-2"/>
  </r>
  <r>
    <s v="Epic Games, Inc."/>
    <x v="2"/>
    <s v="pgsql-team-lt-01"/>
    <n v="2"/>
    <n v="7500"/>
    <n v="32"/>
    <x v="1"/>
    <s v="Other"/>
    <x v="1"/>
    <s v="pgsql"/>
    <s v="[DEV]"/>
    <s v="Dev Postgres SQL"/>
    <s v="DEV"/>
    <n v="0.13300000000000001"/>
    <n v="8.1000000000000003E-2"/>
    <n v="5.1999999999999998E-2"/>
  </r>
  <r>
    <s v="Epic Games, Inc."/>
    <x v="9"/>
    <s v="orion-admin-service-main-gamedev-i-4a3abab7"/>
    <n v="1"/>
    <n v="2000"/>
    <n v="0"/>
    <x v="0"/>
    <s v="Other"/>
    <x v="1"/>
    <s v="orion-service"/>
    <s v="[DEV]"/>
    <s v="Dev Admin Service Gamedev"/>
    <s v="DEV"/>
    <n v="2.5999999999999999E-2"/>
    <n v="1.7000000000000001E-2"/>
    <n v="1.2E-2"/>
  </r>
  <r>
    <s v="Epic Games, Inc."/>
    <x v="2"/>
    <s v="mongodb-team-lt-04"/>
    <n v="2"/>
    <n v="7500"/>
    <n v="32"/>
    <x v="7"/>
    <s v="Other"/>
    <x v="1"/>
    <s v="mongodb"/>
    <s v="[DEV]"/>
    <s v="Dev MongoDB"/>
    <s v="DEV"/>
    <n v="0.13300000000000001"/>
    <n v="8.1000000000000003E-2"/>
    <n v="5.1999999999999998E-2"/>
  </r>
  <r>
    <s v="Epic Games, Inc."/>
    <x v="6"/>
    <s v="mongodb-team-lt-05"/>
    <n v="2"/>
    <n v="4000"/>
    <n v="0"/>
    <x v="0"/>
    <s v="Other"/>
    <x v="1"/>
    <s v="mongodb"/>
    <s v="[DEV]"/>
    <s v="Dev MongoDB"/>
    <s v="DEV"/>
    <n v="5.1999999999999998E-2"/>
    <n v="3.4000000000000002E-2"/>
    <n v="2.3E-2"/>
  </r>
  <r>
    <s v="Epic Games, Inc."/>
    <x v="2"/>
    <s v="mongodb-team-lt-02"/>
    <n v="2"/>
    <n v="7500"/>
    <n v="32"/>
    <x v="1"/>
    <s v="Other"/>
    <x v="1"/>
    <s v="mongodb"/>
    <s v="[DEV]"/>
    <s v="Dev MongoDB"/>
    <s v="DEV"/>
    <n v="0.13300000000000001"/>
    <n v="8.1000000000000003E-2"/>
    <n v="5.1999999999999998E-2"/>
  </r>
  <r>
    <s v="Epic Games, Inc."/>
    <x v="2"/>
    <s v="mongodb-team-lt-01"/>
    <n v="2"/>
    <n v="7500"/>
    <n v="32"/>
    <x v="1"/>
    <s v="Other"/>
    <x v="1"/>
    <s v="mongodb"/>
    <s v="[DEV]"/>
    <s v="Dev MongoDB"/>
    <s v="DEV"/>
    <n v="0.13300000000000001"/>
    <n v="8.1000000000000003E-2"/>
    <n v="5.1999999999999998E-2"/>
  </r>
  <r>
    <s v="Epic Games, Inc."/>
    <x v="2"/>
    <s v="mongodb-team-lt-03"/>
    <n v="2"/>
    <n v="7500"/>
    <n v="32"/>
    <x v="1"/>
    <s v="Other"/>
    <x v="1"/>
    <s v="mongodb"/>
    <s v="[DEV]"/>
    <s v="Dev MongoDB"/>
    <s v="DEV"/>
    <n v="0.13300000000000001"/>
    <n v="8.1000000000000003E-2"/>
    <n v="5.1999999999999998E-2"/>
  </r>
  <r>
    <s v="Epic Games, Inc."/>
    <x v="9"/>
    <s v="orion-public-service-main-gamedev-i-7b387687"/>
    <n v="1"/>
    <n v="2000"/>
    <n v="0"/>
    <x v="0"/>
    <s v="Other"/>
    <x v="1"/>
    <s v="orion-service"/>
    <s v="[DEV]"/>
    <s v="Dev Public Service Gamedev"/>
    <s v="DEV"/>
    <n v="2.5999999999999999E-2"/>
    <n v="1.7000000000000001E-2"/>
    <n v="1.2E-2"/>
  </r>
  <r>
    <s v="Epic Games, Inc."/>
    <x v="9"/>
    <s v="orion-admin-service-latest-gamedev-i-699c1f94"/>
    <n v="1"/>
    <n v="2000"/>
    <n v="0"/>
    <x v="0"/>
    <s v="Other"/>
    <x v="1"/>
    <s v="orion-service"/>
    <s v="[DEV]"/>
    <s v="Dev Admin Service Gamedev"/>
    <s v="DEV"/>
    <n v="2.5999999999999999E-2"/>
    <n v="1.7000000000000001E-2"/>
    <n v="1.2E-2"/>
  </r>
  <r>
    <s v="Epic Games, Inc."/>
    <x v="9"/>
    <s v="orion-public-service-latest-gamedev-i-6e9c1f93"/>
    <n v="1"/>
    <n v="2000"/>
    <n v="0"/>
    <x v="0"/>
    <s v="Other"/>
    <x v="1"/>
    <s v="orion-service"/>
    <s v="[DEV]"/>
    <s v="Dev Public Service Gamedev"/>
    <s v="DEV"/>
    <n v="2.5999999999999999E-2"/>
    <n v="1.7000000000000001E-2"/>
    <n v="1.2E-2"/>
  </r>
  <r>
    <s v="Epic Games, Inc."/>
    <x v="6"/>
    <s v="team-service-releaseqa-i-5d48c5a0"/>
    <n v="2"/>
    <n v="4000"/>
    <n v="0"/>
    <x v="0"/>
    <s v="Other"/>
    <x v="1"/>
    <s v="team-service"/>
    <s v="[DEV]"/>
    <s v="Dev Service ReleaseQA (Other)"/>
    <s v="DEV"/>
    <n v="5.1999999999999998E-2"/>
    <n v="3.4000000000000002E-2"/>
    <n v="2.3E-2"/>
  </r>
  <r>
    <s v="Epic Games, Inc."/>
    <x v="6"/>
    <s v="team-service-releaseqa-i-547e36a8"/>
    <n v="2"/>
    <n v="4000"/>
    <n v="0"/>
    <x v="0"/>
    <s v="Other"/>
    <x v="1"/>
    <s v="team-service"/>
    <s v="[DEV]"/>
    <s v="Dev Service ReleaseQA (Other)"/>
    <s v="DEV"/>
    <n v="5.1999999999999998E-2"/>
    <n v="3.4000000000000002E-2"/>
    <n v="2.3E-2"/>
  </r>
  <r>
    <s v="Epic Games, Inc."/>
    <x v="0"/>
    <s v="fortnite-admin-service-publictest-prod12-i-df014a23"/>
    <n v="2"/>
    <n v="3750"/>
    <n v="32"/>
    <x v="0"/>
    <s v="Other"/>
    <x v="0"/>
    <s v="Other"/>
    <s v="Fortnite Service"/>
    <s v="Dev Admin Service Load Test"/>
    <s v="Fortnite"/>
    <n v="0.105"/>
    <n v="6.2E-2"/>
    <n v="3.9E-2"/>
  </r>
  <r>
    <s v="Epic Games, Inc."/>
    <x v="6"/>
    <s v="team-service-ci-i-695b0b95"/>
    <n v="2"/>
    <n v="4000"/>
    <n v="0"/>
    <x v="0"/>
    <s v="Other"/>
    <x v="1"/>
    <s v="team-service"/>
    <s v="[DEV]"/>
    <s v="Dev Service CI (Other)"/>
    <s v="DEV"/>
    <n v="5.1999999999999998E-2"/>
    <n v="3.4000000000000002E-2"/>
    <n v="2.3E-2"/>
  </r>
  <r>
    <s v="Epic Games, Inc."/>
    <x v="9"/>
    <s v="orion-public-service-testing-gamedev-i-bf871342"/>
    <n v="1"/>
    <n v="2000"/>
    <n v="0"/>
    <x v="0"/>
    <s v="Other"/>
    <x v="1"/>
    <s v="orion-service"/>
    <s v="[DEV]"/>
    <s v="Dev Public Service Gamedev"/>
    <s v="DEV"/>
    <n v="2.5999999999999999E-2"/>
    <n v="1.7000000000000001E-2"/>
    <n v="1.2E-2"/>
  </r>
  <r>
    <s v="Epic Games, Inc."/>
    <x v="9"/>
    <s v="orion-admin-service-testing-gamedev-i-86510c7a"/>
    <n v="1"/>
    <n v="2000"/>
    <n v="0"/>
    <x v="0"/>
    <s v="Other"/>
    <x v="1"/>
    <s v="orion-service"/>
    <s v="[DEV]"/>
    <s v="Dev Admin Service Gamedev"/>
    <s v="DEV"/>
    <n v="2.5999999999999999E-2"/>
    <n v="1.7000000000000001E-2"/>
    <n v="1.2E-2"/>
  </r>
  <r>
    <s v="Epic Games, Inc."/>
    <x v="9"/>
    <s v="orion-admin-service-approved-gamedev-i-b98a1e44"/>
    <n v="1"/>
    <n v="2000"/>
    <n v="0"/>
    <x v="0"/>
    <s v="Other"/>
    <x v="1"/>
    <s v="orion-service"/>
    <s v="[DEV]"/>
    <s v="Dev Admin Service Gamedev"/>
    <s v="DEV"/>
    <n v="2.5999999999999999E-2"/>
    <n v="1.7000000000000001E-2"/>
    <n v="1.2E-2"/>
  </r>
  <r>
    <s v="Epic Games, Inc."/>
    <x v="9"/>
    <s v="orion-public-service-approved-gamedev-i-b1d7404c"/>
    <n v="1"/>
    <n v="2000"/>
    <n v="0"/>
    <x v="0"/>
    <s v="Other"/>
    <x v="1"/>
    <s v="orion-service"/>
    <s v="[DEV]"/>
    <s v="Dev Public Service Gamedev"/>
    <s v="DEV"/>
    <n v="2.5999999999999999E-2"/>
    <n v="1.7000000000000001E-2"/>
    <n v="1.2E-2"/>
  </r>
  <r>
    <s v="Epic Games, Inc."/>
    <x v="9"/>
    <s v="ut-website-ci-i-e2570b1e"/>
    <n v="1"/>
    <n v="2000"/>
    <n v="0"/>
    <x v="0"/>
    <s v="Other"/>
    <x v="1"/>
    <s v="ut-website"/>
    <s v="[DEV]"/>
    <s v="Dev Unreal Tournament CI"/>
    <s v="DEV"/>
    <n v="2.5999999999999999E-2"/>
    <n v="1.7000000000000001E-2"/>
    <n v="1.2E-2"/>
  </r>
  <r>
    <s v="Epic Games, Inc."/>
    <x v="1"/>
    <s v="fulfillment-public-service-stage-i-fed78e02"/>
    <n v="1"/>
    <n v="1700"/>
    <n v="160"/>
    <x v="0"/>
    <s v="Other"/>
    <x v="0"/>
    <s v="Other"/>
    <s v="Fulfillment Service"/>
    <s v="Dev Public Service Stage"/>
    <s v="Staging"/>
    <n v="4.3999999999999997E-2"/>
    <n v="2.4E-2"/>
    <n v="1.4999999999999999E-2"/>
  </r>
  <r>
    <s v="Epic Games, Inc."/>
    <x v="1"/>
    <s v="fortnite-admin-servicecron-ci-i-90c79e6c"/>
    <n v="1"/>
    <n v="1700"/>
    <n v="160"/>
    <x v="0"/>
    <s v="Other"/>
    <x v="1"/>
    <s v="fortnite-service"/>
    <s v="[DEV]"/>
    <s v="Dev Fortnite CI"/>
    <s v="DEV"/>
    <n v="4.3999999999999997E-2"/>
    <n v="2.4E-2"/>
    <n v="1.4999999999999999E-2"/>
  </r>
  <r>
    <s v="Epic Games, Inc."/>
    <x v="1"/>
    <s v="buildinfo-admin-service-stage-i-a2c1985e"/>
    <n v="1"/>
    <n v="1700"/>
    <n v="160"/>
    <x v="0"/>
    <s v="Other"/>
    <x v="1"/>
    <s v="buildinfo-service"/>
    <s v="[DEV]"/>
    <s v="Dev Admin Service Stage"/>
    <s v="DEV"/>
    <n v="4.3999999999999997E-2"/>
    <n v="2.4E-2"/>
    <n v="1.4999999999999999E-2"/>
  </r>
  <r>
    <s v="Epic Games, Inc."/>
    <x v="7"/>
    <s v="account-public-service-releaseqa-i-dffba223"/>
    <n v="1"/>
    <n v="3750"/>
    <n v="410"/>
    <x v="0"/>
    <s v="Other"/>
    <x v="1"/>
    <s v="account-service"/>
    <s v="[DEV]"/>
    <s v="Dev Public Service ReleaseQA"/>
    <s v="DEV"/>
    <n v="8.6999999999999994E-2"/>
    <n v="4.7E-2"/>
    <n v="2.9000000000000001E-2"/>
  </r>
  <r>
    <s v="Epic Games, Inc."/>
    <x v="1"/>
    <s v="coderedemption-public-service-releaseqa-i-32c29bce"/>
    <n v="1"/>
    <n v="1700"/>
    <n v="160"/>
    <x v="0"/>
    <s v="Other"/>
    <x v="1"/>
    <s v="coderedemption-service"/>
    <s v="[DEV]"/>
    <s v="Dev Public Service ReleaseQA"/>
    <s v="DEV"/>
    <n v="4.3999999999999997E-2"/>
    <n v="2.4E-2"/>
    <n v="1.4999999999999999E-2"/>
  </r>
  <r>
    <s v="Epic Games, Inc."/>
    <x v="1"/>
    <s v="coderedemption-public-service-gamedev-i-19ca93e5"/>
    <n v="1"/>
    <n v="1700"/>
    <n v="160"/>
    <x v="0"/>
    <s v="Other"/>
    <x v="1"/>
    <s v="coderedemption-service"/>
    <s v="[DEV]"/>
    <s v="Dev Public Service Gamedev"/>
    <s v="DEV"/>
    <n v="4.3999999999999997E-2"/>
    <n v="2.4E-2"/>
    <n v="1.4999999999999999E-2"/>
  </r>
  <r>
    <s v="Epic Games, Inc."/>
    <x v="6"/>
    <s v="tigase-common-ci-i-4bb525b6"/>
    <n v="2"/>
    <n v="4000"/>
    <n v="0"/>
    <x v="0"/>
    <s v="Other"/>
    <x v="1"/>
    <s v="tigase"/>
    <s v="[DEV]"/>
    <s v="Dev Common CI"/>
    <s v="DEV"/>
    <n v="5.1999999999999998E-2"/>
    <n v="3.4000000000000002E-2"/>
    <n v="2.3E-2"/>
  </r>
  <r>
    <s v="Epic Games, Inc."/>
    <x v="1"/>
    <s v="buildinfo-admin-service-gamedev-i-4f8e1eb2"/>
    <n v="1"/>
    <n v="1700"/>
    <n v="160"/>
    <x v="0"/>
    <s v="Other"/>
    <x v="1"/>
    <s v="buildinfo-service"/>
    <s v="[DEV]"/>
    <s v="Dev Admin Service Gamedev"/>
    <s v="DEV"/>
    <n v="4.3999999999999997E-2"/>
    <n v="2.4E-2"/>
    <n v="1.4999999999999999E-2"/>
  </r>
  <r>
    <s v="Epic Games, Inc."/>
    <x v="6"/>
    <s v="tigase-common-ci-i-b7f6af4b"/>
    <n v="2"/>
    <n v="4000"/>
    <n v="0"/>
    <x v="0"/>
    <s v="Other"/>
    <x v="1"/>
    <s v="tigase"/>
    <s v="[DEV]"/>
    <s v="Dev Common CI"/>
    <s v="DEV"/>
    <n v="5.1999999999999998E-2"/>
    <n v="3.4000000000000002E-2"/>
    <n v="2.3E-2"/>
  </r>
  <r>
    <s v="Epic Games, Inc."/>
    <x v="9"/>
    <s v="account-admin-service-common-ci-i-1e849ac9"/>
    <n v="1"/>
    <n v="2000"/>
    <n v="0"/>
    <x v="0"/>
    <s v="Other"/>
    <x v="1"/>
    <s v="account-service"/>
    <s v="[DEV]"/>
    <s v="Dev Common CI"/>
    <s v="DEV"/>
    <n v="2.5999999999999999E-2"/>
    <n v="1.7000000000000001E-2"/>
    <n v="1.2E-2"/>
  </r>
  <r>
    <s v="Epic Games, Inc."/>
    <x v="9"/>
    <s v="chat-public-service-ci-i-79bee585"/>
    <n v="1"/>
    <n v="2000"/>
    <n v="0"/>
    <x v="0"/>
    <s v="Other"/>
    <x v="1"/>
    <s v="chat-service"/>
    <s v="[DEV]"/>
    <s v="Dev Public Service CI"/>
    <s v="DEV"/>
    <n v="2.5999999999999999E-2"/>
    <n v="1.7000000000000001E-2"/>
    <n v="1.2E-2"/>
  </r>
  <r>
    <s v="Epic Games, Inc."/>
    <x v="9"/>
    <s v="tracking-website-ci-i-14e577e9"/>
    <n v="1"/>
    <n v="2000"/>
    <n v="0"/>
    <x v="0"/>
    <s v="Other"/>
    <x v="1"/>
    <s v="tracking-website"/>
    <s v="[DEV]"/>
    <s v="Dev Website CI"/>
    <s v="DEV"/>
    <n v="2.5999999999999999E-2"/>
    <n v="1.7000000000000001E-2"/>
    <n v="1.2E-2"/>
  </r>
  <r>
    <s v="Epic Games, Inc."/>
    <x v="9"/>
    <s v="publishing-website-ci-i-7bbf2186"/>
    <n v="1"/>
    <n v="2000"/>
    <n v="0"/>
    <x v="0"/>
    <s v="Other"/>
    <x v="1"/>
    <s v="publishing-website"/>
    <s v="[DEV]"/>
    <s v="Dev Website CI"/>
    <s v="DEV"/>
    <n v="2.5999999999999999E-2"/>
    <n v="1.7000000000000001E-2"/>
    <n v="1.2E-2"/>
  </r>
  <r>
    <s v="Epic Games, Inc."/>
    <x v="6"/>
    <s v="datarouter-public-service-ci-i-cb210037"/>
    <n v="2"/>
    <n v="4000"/>
    <n v="0"/>
    <x v="0"/>
    <s v="Other"/>
    <x v="1"/>
    <s v="datarouter-service"/>
    <s v="[DEV]"/>
    <s v="Dev Unreal Tournament CI"/>
    <s v="DEV"/>
    <n v="5.1999999999999998E-2"/>
    <n v="3.4000000000000002E-2"/>
    <n v="2.3E-2"/>
  </r>
  <r>
    <s v="Epic Games, Inc."/>
    <x v="6"/>
    <s v="datarouter-public-service-ci-i-94c95069"/>
    <n v="2"/>
    <n v="4000"/>
    <n v="0"/>
    <x v="0"/>
    <s v="Other"/>
    <x v="1"/>
    <s v="datarouter-service"/>
    <s v="[DEV]"/>
    <s v="Dev Unreal Tournament CI"/>
    <s v="DEV"/>
    <n v="5.1999999999999998E-2"/>
    <n v="3.4000000000000002E-2"/>
    <n v="2.3E-2"/>
  </r>
  <r>
    <s v="Epic Games, Inc."/>
    <x v="2"/>
    <s v="pgsql-ut-prod10-03"/>
    <n v="2"/>
    <n v="7500"/>
    <n v="32"/>
    <x v="7"/>
    <s v="Other"/>
    <x v="0"/>
    <s v="Other"/>
    <s v="Other"/>
    <s v="Other"/>
    <s v="Unreal Tournament"/>
    <n v="0.13300000000000001"/>
    <n v="8.1000000000000003E-2"/>
    <n v="5.1999999999999998E-2"/>
  </r>
  <r>
    <s v="Epic Games, Inc."/>
    <x v="2"/>
    <s v="pgsql-ut-prod10-01"/>
    <n v="2"/>
    <n v="7500"/>
    <n v="32"/>
    <x v="1"/>
    <s v="Other"/>
    <x v="0"/>
    <s v="Other"/>
    <s v="Other"/>
    <s v="Other"/>
    <s v="Unreal Tournament"/>
    <n v="0.13300000000000001"/>
    <n v="8.1000000000000003E-2"/>
    <n v="5.1999999999999998E-2"/>
  </r>
  <r>
    <s v="Epic Games, Inc."/>
    <x v="2"/>
    <s v="pgsql-ut-prod10-02"/>
    <n v="2"/>
    <n v="7500"/>
    <n v="32"/>
    <x v="1"/>
    <s v="Other"/>
    <x v="0"/>
    <s v="Other"/>
    <s v="Other"/>
    <s v="Other"/>
    <s v="Unreal Tournament"/>
    <n v="0.13300000000000001"/>
    <n v="8.1000000000000003E-2"/>
    <n v="5.1999999999999998E-2"/>
  </r>
  <r>
    <s v="Epic Games, Inc."/>
    <x v="9"/>
    <s v="receipt-admin-service-ci-i-8375ec7e"/>
    <n v="1"/>
    <n v="2000"/>
    <n v="0"/>
    <x v="0"/>
    <s v="Other"/>
    <x v="1"/>
    <s v="Unknown"/>
    <s v="[DEV]"/>
    <s v="Dev Admin Service CI"/>
    <s v="DEV"/>
    <n v="2.5999999999999999E-2"/>
    <n v="1.7000000000000001E-2"/>
    <n v="1.2E-2"/>
  </r>
  <r>
    <s v="Epic Games, Inc."/>
    <x v="9"/>
    <s v="receipt-public-service-ci-i-53577baf"/>
    <n v="1"/>
    <n v="2000"/>
    <n v="0"/>
    <x v="0"/>
    <s v="Other"/>
    <x v="1"/>
    <s v="Unknown"/>
    <s v="[DEV]"/>
    <s v="Dev Public Service CI"/>
    <s v="DEV"/>
    <n v="2.5999999999999999E-2"/>
    <n v="1.7000000000000001E-2"/>
    <n v="1.2E-2"/>
  </r>
  <r>
    <s v="Epic Games, Inc."/>
    <x v="9"/>
    <s v="fortnite-admin-service-approved-gamedev-i-6d187c90"/>
    <n v="1"/>
    <n v="2000"/>
    <n v="0"/>
    <x v="0"/>
    <s v="Other"/>
    <x v="1"/>
    <s v="fortnite-service"/>
    <s v="[DEV]"/>
    <s v="Dev Fortnite Gamedev"/>
    <s v="DEV"/>
    <n v="2.5999999999999999E-2"/>
    <n v="1.7000000000000001E-2"/>
    <n v="1.2E-2"/>
  </r>
  <r>
    <s v="Epic Games, Inc."/>
    <x v="9"/>
    <s v="fortnite-admin-service-approved-gamedev-i-dc1e3120"/>
    <n v="1"/>
    <n v="2000"/>
    <n v="0"/>
    <x v="0"/>
    <s v="Other"/>
    <x v="1"/>
    <s v="fortnite-service"/>
    <s v="[DEV]"/>
    <s v="Dev Fortnite Gamedev"/>
    <s v="DEV"/>
    <n v="2.5999999999999999E-2"/>
    <n v="1.7000000000000001E-2"/>
    <n v="1.2E-2"/>
  </r>
  <r>
    <s v="Epic Games, Inc."/>
    <x v="9"/>
    <s v="fortnite-admin-service-latest-gamedev-i-d343272e"/>
    <n v="1"/>
    <n v="2000"/>
    <n v="0"/>
    <x v="0"/>
    <s v="Other"/>
    <x v="1"/>
    <s v="fortnite-service"/>
    <s v="[DEV]"/>
    <s v="Dev Fortnite Gamedev"/>
    <s v="DEV"/>
    <n v="2.5999999999999999E-2"/>
    <n v="1.7000000000000001E-2"/>
    <n v="1.2E-2"/>
  </r>
  <r>
    <s v="Epic Games, Inc."/>
    <x v="9"/>
    <s v="fortnite-admin-service-latest-gamedev-i-c4f0df38"/>
    <n v="1"/>
    <n v="2000"/>
    <n v="0"/>
    <x v="0"/>
    <s v="Other"/>
    <x v="1"/>
    <s v="fortnite-service"/>
    <s v="[DEV]"/>
    <s v="Dev Fortnite Gamedev"/>
    <s v="DEV"/>
    <n v="2.5999999999999999E-2"/>
    <n v="1.7000000000000001E-2"/>
    <n v="1.2E-2"/>
  </r>
  <r>
    <s v="Epic Games, Inc."/>
    <x v="9"/>
    <s v="fortnite-admin-service-playtest-gamedev-i-94d5fa68"/>
    <n v="1"/>
    <n v="2000"/>
    <n v="0"/>
    <x v="0"/>
    <s v="Other"/>
    <x v="1"/>
    <s v="fortnite-service"/>
    <s v="[DEV]"/>
    <s v="Dev Fortnite Gamedev"/>
    <s v="DEV"/>
    <n v="2.5999999999999999E-2"/>
    <n v="1.7000000000000001E-2"/>
    <n v="1.2E-2"/>
  </r>
  <r>
    <s v="Epic Games, Inc."/>
    <x v="9"/>
    <s v="fortnite-admin-service-playtest-gamedev-i-3c84e0c1"/>
    <n v="1"/>
    <n v="2000"/>
    <n v="0"/>
    <x v="0"/>
    <s v="Other"/>
    <x v="1"/>
    <s v="fortnite-service"/>
    <s v="[DEV]"/>
    <s v="Dev Fortnite Gamedev"/>
    <s v="DEV"/>
    <n v="2.5999999999999999E-2"/>
    <n v="1.7000000000000001E-2"/>
    <n v="1.2E-2"/>
  </r>
  <r>
    <s v="Epic Games, Inc."/>
    <x v="9"/>
    <s v="fortnite-admin-service-testing-gamedev-i-183454e5"/>
    <n v="1"/>
    <n v="2000"/>
    <n v="0"/>
    <x v="0"/>
    <s v="Other"/>
    <x v="1"/>
    <s v="fortnite-service"/>
    <s v="[DEV]"/>
    <s v="Dev Fortnite Gamedev"/>
    <s v="DEV"/>
    <n v="2.5999999999999999E-2"/>
    <n v="1.7000000000000001E-2"/>
    <n v="1.2E-2"/>
  </r>
  <r>
    <s v="Epic Games, Inc."/>
    <x v="9"/>
    <s v="fortnite-admin-service-testing-gamedev-i-02a58efe"/>
    <n v="1"/>
    <n v="2000"/>
    <n v="0"/>
    <x v="0"/>
    <s v="Other"/>
    <x v="1"/>
    <s v="fortnite-service"/>
    <s v="[DEV]"/>
    <s v="Dev Fortnite Gamedev"/>
    <s v="DEV"/>
    <n v="2.5999999999999999E-2"/>
    <n v="1.7000000000000001E-2"/>
    <n v="1.2E-2"/>
  </r>
  <r>
    <s v="Epic Games, Inc."/>
    <x v="9"/>
    <s v="fortnite-public-service-approved-gamedev-i-296808d4"/>
    <n v="1"/>
    <n v="2000"/>
    <n v="0"/>
    <x v="0"/>
    <s v="Other"/>
    <x v="1"/>
    <s v="fortnite-service"/>
    <s v="[DEV]"/>
    <s v="Dev Fortnite Gamedev"/>
    <s v="DEV"/>
    <n v="2.5999999999999999E-2"/>
    <n v="1.7000000000000001E-2"/>
    <n v="1.2E-2"/>
  </r>
  <r>
    <s v="Epic Games, Inc."/>
    <x v="9"/>
    <s v="publishing-website-releaseqa-i-509db6ac"/>
    <n v="1"/>
    <n v="2000"/>
    <n v="0"/>
    <x v="0"/>
    <s v="Other"/>
    <x v="1"/>
    <s v="publishing-website"/>
    <s v="[DEV]"/>
    <s v="Dev Website ReleaseQA"/>
    <s v="DEV"/>
    <n v="2.5999999999999999E-2"/>
    <n v="1.7000000000000001E-2"/>
    <n v="1.2E-2"/>
  </r>
  <r>
    <s v="Epic Games, Inc."/>
    <x v="6"/>
    <s v="mariadb-galera-cluster-ci-01"/>
    <n v="2"/>
    <n v="4000"/>
    <n v="0"/>
    <x v="1"/>
    <s v="Other"/>
    <x v="1"/>
    <s v="mariadb"/>
    <s v="[DEV]"/>
    <s v="Dev MariaDB"/>
    <s v="DEV"/>
    <n v="5.1999999999999998E-2"/>
    <n v="3.4000000000000002E-2"/>
    <n v="2.3E-2"/>
  </r>
  <r>
    <s v="Epic Games, Inc."/>
    <x v="6"/>
    <s v="mariadb-galera-cluster-ci-02"/>
    <n v="2"/>
    <n v="4000"/>
    <n v="0"/>
    <x v="1"/>
    <s v="Other"/>
    <x v="1"/>
    <s v="mariadb"/>
    <s v="[DEV]"/>
    <s v="Dev MariaDB"/>
    <s v="DEV"/>
    <n v="5.1999999999999998E-2"/>
    <n v="3.4000000000000002E-2"/>
    <n v="2.3E-2"/>
  </r>
  <r>
    <s v="Epic Games, Inc."/>
    <x v="6"/>
    <s v="mariadb-galera-cluster-ci-03"/>
    <n v="2"/>
    <n v="4000"/>
    <n v="0"/>
    <x v="7"/>
    <s v="Other"/>
    <x v="1"/>
    <s v="mariadb"/>
    <s v="[DEV]"/>
    <s v="Dev MariaDB"/>
    <s v="DEV"/>
    <n v="5.1999999999999998E-2"/>
    <n v="3.4000000000000002E-2"/>
    <n v="2.3E-2"/>
  </r>
  <r>
    <s v="Epic Games, Inc."/>
    <x v="9"/>
    <s v="fortnite-public-service-approved-gamedev-i-305b71cc"/>
    <n v="1"/>
    <n v="2000"/>
    <n v="0"/>
    <x v="0"/>
    <s v="Other"/>
    <x v="1"/>
    <s v="fortnite-service"/>
    <s v="[DEV]"/>
    <s v="Dev Fortnite Gamedev"/>
    <s v="DEV"/>
    <n v="2.5999999999999999E-2"/>
    <n v="1.7000000000000001E-2"/>
    <n v="1.2E-2"/>
  </r>
  <r>
    <s v="Epic Games, Inc."/>
    <x v="9"/>
    <s v="ut-website-releaseqa-i-86e5cf7a"/>
    <n v="1"/>
    <n v="2000"/>
    <n v="0"/>
    <x v="0"/>
    <s v="Other"/>
    <x v="1"/>
    <s v="ut-website"/>
    <s v="[DEV]"/>
    <s v="Dev Unreal Tournament ReleaseQA"/>
    <s v="DEV"/>
    <n v="2.5999999999999999E-2"/>
    <n v="1.7000000000000001E-2"/>
    <n v="1.2E-2"/>
  </r>
  <r>
    <s v="Epic Games, Inc."/>
    <x v="9"/>
    <s v="fortnite-public-service-playtest-gamedev-i-53e383ae"/>
    <n v="1"/>
    <n v="2000"/>
    <n v="0"/>
    <x v="0"/>
    <s v="Other"/>
    <x v="1"/>
    <s v="fortnite-service"/>
    <s v="[DEV]"/>
    <s v="Dev Fortnite Gamedev"/>
    <s v="DEV"/>
    <n v="2.5999999999999999E-2"/>
    <n v="1.7000000000000001E-2"/>
    <n v="1.2E-2"/>
  </r>
  <r>
    <s v="Epic Games, Inc."/>
    <x v="9"/>
    <s v="fortnite-public-service-testing-gamedev-i-33f191ce"/>
    <n v="1"/>
    <n v="2000"/>
    <n v="0"/>
    <x v="0"/>
    <s v="Other"/>
    <x v="1"/>
    <s v="fortnite-service"/>
    <s v="[DEV]"/>
    <s v="Dev Fortnite Gamedev"/>
    <s v="DEV"/>
    <n v="2.5999999999999999E-2"/>
    <n v="1.7000000000000001E-2"/>
    <n v="1.2E-2"/>
  </r>
  <r>
    <s v="Epic Games, Inc."/>
    <x v="9"/>
    <s v="fortnite-public-service-playtest-gamedev-i-8fcbe173"/>
    <n v="1"/>
    <n v="2000"/>
    <n v="0"/>
    <x v="0"/>
    <s v="Other"/>
    <x v="1"/>
    <s v="fortnite-service"/>
    <s v="[DEV]"/>
    <s v="Dev Fortnite Gamedev"/>
    <s v="DEV"/>
    <n v="2.5999999999999999E-2"/>
    <n v="1.7000000000000001E-2"/>
    <n v="1.2E-2"/>
  </r>
  <r>
    <s v="Epic Games, Inc."/>
    <x v="9"/>
    <s v="launcher-website-ci-i-8fdaba72"/>
    <n v="1"/>
    <n v="2000"/>
    <n v="0"/>
    <x v="0"/>
    <s v="Other"/>
    <x v="1"/>
    <s v="Unknown"/>
    <s v="[DEV]"/>
    <s v="Dev Website CI"/>
    <s v="DEV"/>
    <n v="2.5999999999999999E-2"/>
    <n v="1.7000000000000001E-2"/>
    <n v="1.2E-2"/>
  </r>
  <r>
    <s v="Epic Games, Inc."/>
    <x v="9"/>
    <s v="launcher-website-ci-i-506550ac"/>
    <n v="1"/>
    <n v="2000"/>
    <n v="0"/>
    <x v="0"/>
    <s v="Other"/>
    <x v="1"/>
    <s v="Unknown"/>
    <s v="[DEV]"/>
    <s v="Dev Website CI"/>
    <s v="DEV"/>
    <n v="2.5999999999999999E-2"/>
    <n v="1.7000000000000001E-2"/>
    <n v="1.2E-2"/>
  </r>
  <r>
    <s v="Epic Games, Inc."/>
    <x v="9"/>
    <s v="launcher-website-gamedev-i-788fec85"/>
    <n v="1"/>
    <n v="2000"/>
    <n v="0"/>
    <x v="0"/>
    <s v="Other"/>
    <x v="1"/>
    <s v="Unknown"/>
    <s v="[DEV]"/>
    <s v="Dev Website Gamedev"/>
    <s v="DEV"/>
    <n v="2.5999999999999999E-2"/>
    <n v="1.7000000000000001E-2"/>
    <n v="1.2E-2"/>
  </r>
  <r>
    <s v="Epic Games, Inc."/>
    <x v="9"/>
    <s v="launcher-website-releaseqa-i-dbd1e427"/>
    <n v="1"/>
    <n v="2000"/>
    <n v="0"/>
    <x v="0"/>
    <s v="Other"/>
    <x v="1"/>
    <s v="Unknown"/>
    <s v="[DEV]"/>
    <s v="Dev Website ReleaseQA"/>
    <s v="DEV"/>
    <n v="2.5999999999999999E-2"/>
    <n v="1.7000000000000001E-2"/>
    <n v="1.2E-2"/>
  </r>
  <r>
    <s v="Epic Games, Inc."/>
    <x v="9"/>
    <s v="launcher-website-releaseqa-i-798fec84"/>
    <n v="1"/>
    <n v="2000"/>
    <n v="0"/>
    <x v="0"/>
    <s v="Other"/>
    <x v="1"/>
    <s v="Unknown"/>
    <s v="[DEV]"/>
    <s v="Dev Website ReleaseQA"/>
    <s v="DEV"/>
    <n v="2.5999999999999999E-2"/>
    <n v="1.7000000000000001E-2"/>
    <n v="1.2E-2"/>
  </r>
  <r>
    <s v="Epic Games, Inc."/>
    <x v="9"/>
    <s v="launcher-website-gamedev-i-2cd6e3d0"/>
    <n v="1"/>
    <n v="2000"/>
    <n v="0"/>
    <x v="0"/>
    <s v="Other"/>
    <x v="1"/>
    <s v="Unknown"/>
    <s v="[DEV]"/>
    <s v="Dev Website Gamedev"/>
    <s v="DEV"/>
    <n v="2.5999999999999999E-2"/>
    <n v="1.7000000000000001E-2"/>
    <n v="1.2E-2"/>
  </r>
  <r>
    <s v="Epic Games, Inc."/>
    <x v="7"/>
    <s v="account-admin-servicecron-releaseqa-i-4cbe88b0"/>
    <n v="1"/>
    <n v="3750"/>
    <n v="410"/>
    <x v="0"/>
    <s v="Other"/>
    <x v="1"/>
    <s v="account-service"/>
    <s v="[DEV]"/>
    <s v="Dev Admin Service ReleaseQA"/>
    <s v="DEV"/>
    <n v="8.6999999999999994E-2"/>
    <n v="4.7E-2"/>
    <n v="2.9000000000000001E-2"/>
  </r>
  <r>
    <s v="Epic Games, Inc."/>
    <x v="1"/>
    <s v="buildinfo-public-service-gamedev-i-f6a5c90b"/>
    <n v="1"/>
    <n v="1700"/>
    <n v="160"/>
    <x v="0"/>
    <s v="Other"/>
    <x v="1"/>
    <s v="buildinfo-service"/>
    <s v="[DEV]"/>
    <s v="Dev Public Service Gamedev"/>
    <s v="DEV"/>
    <n v="4.3999999999999997E-2"/>
    <n v="2.4E-2"/>
    <n v="1.4999999999999999E-2"/>
  </r>
  <r>
    <s v="Epic Games, Inc."/>
    <x v="7"/>
    <s v="account-admin-service-releaseqa-i-17a4c8ea"/>
    <n v="1"/>
    <n v="3750"/>
    <n v="410"/>
    <x v="0"/>
    <s v="Other"/>
    <x v="1"/>
    <s v="account-service"/>
    <s v="[DEV]"/>
    <s v="Dev Admin Service ReleaseQA"/>
    <s v="DEV"/>
    <n v="8.6999999999999994E-2"/>
    <n v="4.7E-2"/>
    <n v="2.9000000000000001E-2"/>
  </r>
  <r>
    <s v="Epic Games, Inc."/>
    <x v="9"/>
    <s v="launcher-website-stage-i-4eb089b2"/>
    <n v="1"/>
    <n v="2000"/>
    <n v="0"/>
    <x v="0"/>
    <s v="Other"/>
    <x v="1"/>
    <s v="Unknown"/>
    <s v="[DEV]"/>
    <s v="Dev Website Stage"/>
    <s v="DEV"/>
    <n v="2.5999999999999999E-2"/>
    <n v="1.7000000000000001E-2"/>
    <n v="1.2E-2"/>
  </r>
  <r>
    <s v="Epic Games, Inc."/>
    <x v="9"/>
    <s v="launcher-website-stage-i-182d5ae5"/>
    <n v="1"/>
    <n v="2000"/>
    <n v="0"/>
    <x v="0"/>
    <s v="Other"/>
    <x v="1"/>
    <s v="Unknown"/>
    <s v="[DEV]"/>
    <s v="Dev Website Stage"/>
    <s v="DEV"/>
    <n v="2.5999999999999999E-2"/>
    <n v="1.7000000000000001E-2"/>
    <n v="1.2E-2"/>
  </r>
  <r>
    <s v="Epic Games, Inc."/>
    <x v="9"/>
    <s v="chat-public-service-releaseqa-i-609bec9d"/>
    <n v="1"/>
    <n v="2000"/>
    <n v="0"/>
    <x v="0"/>
    <s v="Other"/>
    <x v="1"/>
    <s v="chat-service"/>
    <s v="[DEV]"/>
    <s v="Dev Public Service ReleaseQA"/>
    <s v="DEV"/>
    <n v="2.5999999999999999E-2"/>
    <n v="1.7000000000000001E-2"/>
    <n v="1.2E-2"/>
  </r>
  <r>
    <s v="Epic Games, Inc."/>
    <x v="9"/>
    <s v="eulatracking-public-service-ci-i-2e7f0fd3"/>
    <n v="1"/>
    <n v="2000"/>
    <n v="0"/>
    <x v="0"/>
    <s v="Other"/>
    <x v="1"/>
    <s v="Unknown"/>
    <s v="[DEV]"/>
    <s v="Dev Public Service CI"/>
    <s v="DEV"/>
    <n v="2.5999999999999999E-2"/>
    <n v="1.7000000000000001E-2"/>
    <n v="1.2E-2"/>
  </r>
  <r>
    <s v="Epic Games, Inc."/>
    <x v="9"/>
    <s v="eulatracking-admin-service-ci-i-e67d0d1b"/>
    <n v="1"/>
    <n v="2000"/>
    <n v="0"/>
    <x v="0"/>
    <s v="Other"/>
    <x v="1"/>
    <s v="Unknown"/>
    <s v="[DEV]"/>
    <s v="Dev Admin Service CI"/>
    <s v="DEV"/>
    <n v="2.5999999999999999E-2"/>
    <n v="1.7000000000000001E-2"/>
    <n v="1.2E-2"/>
  </r>
  <r>
    <s v="Epic Games, Inc."/>
    <x v="9"/>
    <s v="eulatracking-admin-service-gamedev-i-f6b5b10a"/>
    <n v="1"/>
    <n v="2000"/>
    <n v="0"/>
    <x v="0"/>
    <s v="Other"/>
    <x v="1"/>
    <s v="Unknown"/>
    <s v="[DEV]"/>
    <s v="Dev Admin Service Gamedev"/>
    <s v="DEV"/>
    <n v="2.5999999999999999E-2"/>
    <n v="1.7000000000000001E-2"/>
    <n v="1.2E-2"/>
  </r>
  <r>
    <s v="Epic Games, Inc."/>
    <x v="9"/>
    <s v="eulatracking-public-service-gamedev-i-e1b5b11d"/>
    <n v="1"/>
    <n v="2000"/>
    <n v="0"/>
    <x v="0"/>
    <s v="Other"/>
    <x v="1"/>
    <s v="Unknown"/>
    <s v="[DEV]"/>
    <s v="Dev Public Service Gamedev"/>
    <s v="DEV"/>
    <n v="2.5999999999999999E-2"/>
    <n v="1.7000000000000001E-2"/>
    <n v="1.2E-2"/>
  </r>
  <r>
    <s v="Epic Games, Inc."/>
    <x v="9"/>
    <s v="persona-public-service-releaseqa-i-aa4a4d56"/>
    <n v="1"/>
    <n v="2000"/>
    <n v="0"/>
    <x v="0"/>
    <s v="Other"/>
    <x v="1"/>
    <s v="persona-service"/>
    <s v="[DEV]"/>
    <s v="Dev Public Service ReleaseQA"/>
    <s v="DEV"/>
    <n v="2.5999999999999999E-2"/>
    <n v="1.7000000000000001E-2"/>
    <n v="1.2E-2"/>
  </r>
  <r>
    <s v="Epic Games, Inc."/>
    <x v="9"/>
    <s v="priceengine-admin-service-releaseqa-i-331711cf"/>
    <n v="1"/>
    <n v="2000"/>
    <n v="0"/>
    <x v="0"/>
    <s v="Other"/>
    <x v="1"/>
    <s v="priceengine-service"/>
    <s v="[DEV]"/>
    <s v="Dev Admin Service ReleaseQA"/>
    <s v="DEV"/>
    <n v="2.5999999999999999E-2"/>
    <n v="1.7000000000000001E-2"/>
    <n v="1.2E-2"/>
  </r>
  <r>
    <s v="Epic Games, Inc."/>
    <x v="9"/>
    <s v="priceengine-public-service-releaseqa-i-5797eeaa"/>
    <n v="1"/>
    <n v="2000"/>
    <n v="0"/>
    <x v="0"/>
    <s v="Other"/>
    <x v="1"/>
    <s v="priceengine-service"/>
    <s v="[DEV]"/>
    <s v="Dev Public Service ReleaseQA"/>
    <s v="DEV"/>
    <n v="2.5999999999999999E-2"/>
    <n v="1.7000000000000001E-2"/>
    <n v="1.2E-2"/>
  </r>
  <r>
    <s v="Epic Games, Inc."/>
    <x v="9"/>
    <s v="shoppingcart-admin-service-releaseqa-i-68f3f194"/>
    <n v="1"/>
    <n v="2000"/>
    <n v="0"/>
    <x v="0"/>
    <s v="Other"/>
    <x v="1"/>
    <s v="shoppingcart-service"/>
    <s v="[DEV]"/>
    <s v="Dev Admin Service ReleaseQA"/>
    <s v="DEV"/>
    <n v="2.5999999999999999E-2"/>
    <n v="1.7000000000000001E-2"/>
    <n v="1.2E-2"/>
  </r>
  <r>
    <s v="Epic Games, Inc."/>
    <x v="9"/>
    <s v="shoppingcart-public-service-releaseqa-i-8e929072"/>
    <n v="1"/>
    <n v="2000"/>
    <n v="0"/>
    <x v="0"/>
    <s v="Other"/>
    <x v="1"/>
    <s v="shoppingcart-service"/>
    <s v="[DEV]"/>
    <s v="Dev Public Service ReleaseQA"/>
    <s v="DEV"/>
    <n v="2.5999999999999999E-2"/>
    <n v="1.7000000000000001E-2"/>
    <n v="1.2E-2"/>
  </r>
  <r>
    <s v="Epic Games, Inc."/>
    <x v="9"/>
    <s v="tigase-common-releaseqa-i-418c82bd"/>
    <n v="1"/>
    <n v="2000"/>
    <n v="0"/>
    <x v="0"/>
    <s v="Other"/>
    <x v="1"/>
    <s v="tigase"/>
    <s v="[DEV]"/>
    <s v="Dev Common ReleaseQA"/>
    <s v="DEV"/>
    <n v="2.5999999999999999E-2"/>
    <n v="1.7000000000000001E-2"/>
    <n v="1.2E-2"/>
  </r>
  <r>
    <s v="Epic Games, Inc."/>
    <x v="9"/>
    <s v="tigase-common-releaseqa-i-3ea7e3c3"/>
    <n v="1"/>
    <n v="2000"/>
    <n v="0"/>
    <x v="0"/>
    <s v="Other"/>
    <x v="1"/>
    <s v="tigase"/>
    <s v="[DEV]"/>
    <s v="Dev Common ReleaseQA"/>
    <s v="DEV"/>
    <n v="2.5999999999999999E-2"/>
    <n v="1.7000000000000001E-2"/>
    <n v="1.2E-2"/>
  </r>
  <r>
    <s v="Epic Games, Inc."/>
    <x v="9"/>
    <s v="orion-public-service-latest-gamedev-i-9ce5ef60"/>
    <n v="1"/>
    <n v="2000"/>
    <n v="0"/>
    <x v="0"/>
    <s v="Other"/>
    <x v="1"/>
    <s v="orion-service"/>
    <s v="[DEV]"/>
    <s v="Dev Public Service Gamedev"/>
    <s v="DEV"/>
    <n v="2.5999999999999999E-2"/>
    <n v="1.7000000000000001E-2"/>
    <n v="1.2E-2"/>
  </r>
  <r>
    <s v="Epic Games, Inc."/>
    <x v="9"/>
    <s v="orion-public-service-main-gamedev-i-ecd39311"/>
    <n v="1"/>
    <n v="2000"/>
    <n v="0"/>
    <x v="0"/>
    <s v="Other"/>
    <x v="1"/>
    <s v="orion-service"/>
    <s v="[DEV]"/>
    <s v="Dev Public Service Gamedev"/>
    <s v="DEV"/>
    <n v="2.5999999999999999E-2"/>
    <n v="1.7000000000000001E-2"/>
    <n v="1.2E-2"/>
  </r>
  <r>
    <s v="Epic Games, Inc."/>
    <x v="9"/>
    <s v="orion-admin-service-main-gamedev-i-03e4eeff"/>
    <n v="1"/>
    <n v="2000"/>
    <n v="0"/>
    <x v="0"/>
    <s v="Other"/>
    <x v="1"/>
    <s v="orion-service"/>
    <s v="[DEV]"/>
    <s v="Dev Admin Service Gamedev"/>
    <s v="DEV"/>
    <n v="2.5999999999999999E-2"/>
    <n v="1.7000000000000001E-2"/>
    <n v="1.2E-2"/>
  </r>
  <r>
    <s v="Epic Games, Inc."/>
    <x v="9"/>
    <s v="orion-admin-service-testing-gamedev-i-ead39317"/>
    <n v="1"/>
    <n v="2000"/>
    <n v="0"/>
    <x v="0"/>
    <s v="Other"/>
    <x v="1"/>
    <s v="orion-service"/>
    <s v="[DEV]"/>
    <s v="Dev Admin Service Gamedev"/>
    <s v="DEV"/>
    <n v="2.5999999999999999E-2"/>
    <n v="1.7000000000000001E-2"/>
    <n v="1.2E-2"/>
  </r>
  <r>
    <s v="Epic Games, Inc."/>
    <x v="9"/>
    <s v="orion-public-service-testing-gamedev-i-83e5ef7f"/>
    <n v="1"/>
    <n v="2000"/>
    <n v="0"/>
    <x v="0"/>
    <s v="Other"/>
    <x v="1"/>
    <s v="orion-service"/>
    <s v="[DEV]"/>
    <s v="Dev Public Service Gamedev"/>
    <s v="DEV"/>
    <n v="2.5999999999999999E-2"/>
    <n v="1.7000000000000001E-2"/>
    <n v="1.2E-2"/>
  </r>
  <r>
    <s v="Epic Games, Inc."/>
    <x v="9"/>
    <s v="orion-public-service-approved-gamedev-i-a4e5ef58"/>
    <n v="1"/>
    <n v="2000"/>
    <n v="0"/>
    <x v="0"/>
    <s v="Other"/>
    <x v="1"/>
    <s v="orion-service"/>
    <s v="[DEV]"/>
    <s v="Dev Public Service Gamedev"/>
    <s v="DEV"/>
    <n v="2.5999999999999999E-2"/>
    <n v="1.7000000000000001E-2"/>
    <n v="1.2E-2"/>
  </r>
  <r>
    <s v="Epic Games, Inc."/>
    <x v="4"/>
    <s v="backups-management01-01"/>
    <n v="1"/>
    <n v="3750"/>
    <n v="4"/>
    <x v="31"/>
    <s v="Other"/>
    <x v="2"/>
    <s v="Other"/>
    <s v="Backup management"/>
    <s v="Other"/>
    <s v="Infrastructure and Management"/>
    <n v="6.7000000000000004E-2"/>
    <n v="0.04"/>
    <n v="2.5999999999999999E-2"/>
  </r>
  <r>
    <s v="Epic Games, Inc."/>
    <x v="0"/>
    <s v="backups-management01-03"/>
    <n v="2"/>
    <n v="3750"/>
    <n v="32"/>
    <x v="31"/>
    <s v="Other"/>
    <x v="2"/>
    <s v="Other"/>
    <s v="Backup management"/>
    <s v="Other"/>
    <s v="Infrastructure and Management"/>
    <n v="0.105"/>
    <n v="6.2E-2"/>
    <n v="3.9E-2"/>
  </r>
  <r>
    <s v="Epic Games, Inc."/>
    <x v="9"/>
    <s v="ue-website-gamedev-i-9d217160"/>
    <n v="1"/>
    <n v="2000"/>
    <n v="0"/>
    <x v="0"/>
    <s v="Other"/>
    <x v="1"/>
    <s v="ue-website"/>
    <s v="[DEV]"/>
    <s v="Dev UnrealEngine Gamedev"/>
    <s v="DEV"/>
    <n v="2.5999999999999999E-2"/>
    <n v="1.7000000000000001E-2"/>
    <n v="1.2E-2"/>
  </r>
  <r>
    <s v="Epic Games, Inc."/>
    <x v="13"/>
    <s v="management-limited-amazonlinux"/>
    <n v="1"/>
    <n v="1000"/>
    <n v="0"/>
    <x v="6"/>
    <s v="Other"/>
    <x v="0"/>
    <s v="Other"/>
    <s v="Other"/>
    <s v="Other"/>
    <s v="Infrastructure and Management"/>
    <n v="1.2999999999999999E-2"/>
    <n v="8.9999999999999993E-3"/>
    <n v="6.0000000000000001E-3"/>
  </r>
  <r>
    <s v="Epic Games, Inc."/>
    <x v="9"/>
    <s v="tracking-website-releaseqa-i-9185616e"/>
    <n v="1"/>
    <n v="2000"/>
    <n v="0"/>
    <x v="0"/>
    <s v="Other"/>
    <x v="1"/>
    <s v="tracking-website"/>
    <s v="[DEV]"/>
    <s v="Dev Website ReleaseQA"/>
    <s v="DEV"/>
    <n v="2.5999999999999999E-2"/>
    <n v="1.7000000000000001E-2"/>
    <n v="1.2E-2"/>
  </r>
  <r>
    <s v="Epic Games, Inc."/>
    <x v="9"/>
    <s v="publishing-website-gamedev-i-78b15687"/>
    <n v="1"/>
    <n v="2000"/>
    <n v="0"/>
    <x v="0"/>
    <s v="Other"/>
    <x v="1"/>
    <s v="publishing-website"/>
    <s v="[DEV]"/>
    <s v="Dev Website Gamedev"/>
    <s v="DEV"/>
    <n v="2.5999999999999999E-2"/>
    <n v="1.7000000000000001E-2"/>
    <n v="1.2E-2"/>
  </r>
  <r>
    <s v="Epic Games, Inc."/>
    <x v="2"/>
    <s v="mongodb-accountportal-prod07-01"/>
    <n v="2"/>
    <n v="7500"/>
    <n v="32"/>
    <x v="1"/>
    <s v="Other"/>
    <x v="0"/>
    <s v="Other"/>
    <s v="Accountportal"/>
    <s v="Dev MongoDB"/>
    <s v="Common Website (Prod07)"/>
    <n v="0.13300000000000001"/>
    <n v="8.1000000000000003E-2"/>
    <n v="5.1999999999999998E-2"/>
  </r>
  <r>
    <s v="Epic Games, Inc."/>
    <x v="9"/>
    <s v="mongodb-accountportal-prod07-05"/>
    <n v="1"/>
    <n v="2000"/>
    <n v="0"/>
    <x v="0"/>
    <s v="Other"/>
    <x v="0"/>
    <s v="Other"/>
    <s v="Accountportal"/>
    <s v="Dev MongoDB"/>
    <s v="Common Website (Prod07)"/>
    <n v="2.5999999999999999E-2"/>
    <n v="1.7000000000000001E-2"/>
    <n v="1.2E-2"/>
  </r>
  <r>
    <s v="Epic Games, Inc."/>
    <x v="2"/>
    <s v="mongodb-accountportal-prod07-04"/>
    <n v="2"/>
    <n v="7500"/>
    <n v="32"/>
    <x v="7"/>
    <s v="Other"/>
    <x v="0"/>
    <s v="Other"/>
    <s v="Accountportal"/>
    <s v="Dev MongoDB"/>
    <s v="Common Website (Prod07)"/>
    <n v="0.13300000000000001"/>
    <n v="8.1000000000000003E-2"/>
    <n v="5.1999999999999998E-2"/>
  </r>
  <r>
    <s v="Epic Games, Inc."/>
    <x v="2"/>
    <s v="mongodb-accountportal-prod07-03"/>
    <n v="2"/>
    <n v="7500"/>
    <n v="32"/>
    <x v="1"/>
    <s v="Other"/>
    <x v="0"/>
    <s v="Other"/>
    <s v="Accountportal"/>
    <s v="Dev MongoDB"/>
    <s v="Common Website (Prod07)"/>
    <n v="0.13300000000000001"/>
    <n v="8.1000000000000003E-2"/>
    <n v="5.1999999999999998E-2"/>
  </r>
  <r>
    <s v="Epic Games, Inc."/>
    <x v="2"/>
    <s v="mongodb-accountportal-prod07-02"/>
    <n v="2"/>
    <n v="7500"/>
    <n v="32"/>
    <x v="1"/>
    <s v="Other"/>
    <x v="0"/>
    <s v="Other"/>
    <s v="Accountportal"/>
    <s v="Dev MongoDB"/>
    <s v="Common Website (Prod07)"/>
    <n v="0.13300000000000001"/>
    <n v="8.1000000000000003E-2"/>
    <n v="5.1999999999999998E-2"/>
  </r>
  <r>
    <s v="Epic Games, Inc."/>
    <x v="9"/>
    <s v="ut-website-gamedev-i-2556b5da"/>
    <n v="1"/>
    <n v="2000"/>
    <n v="0"/>
    <x v="0"/>
    <s v="Other"/>
    <x v="1"/>
    <s v="ut-website"/>
    <s v="[DEV]"/>
    <s v="Dev Unreal Tournament Gamedev"/>
    <s v="DEV"/>
    <n v="2.5999999999999999E-2"/>
    <n v="1.7000000000000001E-2"/>
    <n v="1.2E-2"/>
  </r>
  <r>
    <s v="Epic Games, Inc."/>
    <x v="9"/>
    <s v="account-admin-service-common-gamedev-i-6c846693"/>
    <n v="1"/>
    <n v="2000"/>
    <n v="0"/>
    <x v="0"/>
    <s v="Other"/>
    <x v="1"/>
    <s v="account-service"/>
    <s v="[DEV]"/>
    <s v="Dev Common Gamedev"/>
    <s v="DEV"/>
    <n v="2.5999999999999999E-2"/>
    <n v="1.7000000000000001E-2"/>
    <n v="1.2E-2"/>
  </r>
  <r>
    <s v="Epic Games, Inc."/>
    <x v="9"/>
    <s v="account-admin-service-common-gamedev-i-107ff3c6"/>
    <n v="1"/>
    <n v="2000"/>
    <n v="0"/>
    <x v="0"/>
    <s v="Other"/>
    <x v="1"/>
    <s v="account-service"/>
    <s v="[DEV]"/>
    <s v="Dev Common Gamedev"/>
    <s v="DEV"/>
    <n v="2.5999999999999999E-2"/>
    <n v="1.7000000000000001E-2"/>
    <n v="1.2E-2"/>
  </r>
  <r>
    <s v="Epic Games, Inc."/>
    <x v="6"/>
    <s v="team-service-stage-i-2b8a66d4"/>
    <n v="2"/>
    <n v="4000"/>
    <n v="0"/>
    <x v="0"/>
    <s v="Other"/>
    <x v="0"/>
    <s v="Other"/>
    <s v="Team Service"/>
    <s v="Other"/>
    <s v="Staging"/>
    <n v="5.1999999999999998E-2"/>
    <n v="3.4000000000000002E-2"/>
    <n v="2.3E-2"/>
  </r>
  <r>
    <s v="Epic Games, Inc."/>
    <x v="6"/>
    <s v="team-service-stage-i-66f9a39b"/>
    <n v="2"/>
    <n v="4000"/>
    <n v="0"/>
    <x v="0"/>
    <s v="Other"/>
    <x v="0"/>
    <s v="Other"/>
    <s v="Team Service"/>
    <s v="Other"/>
    <s v="Staging"/>
    <n v="5.1999999999999998E-2"/>
    <n v="3.4000000000000002E-2"/>
    <n v="2.3E-2"/>
  </r>
  <r>
    <s v="Epic Games, Inc."/>
    <x v="6"/>
    <s v="account-service-ci-i-71bf9b8c"/>
    <n v="2"/>
    <n v="4000"/>
    <n v="0"/>
    <x v="0"/>
    <s v="Other"/>
    <x v="3"/>
    <s v="Other"/>
    <s v="Other"/>
    <s v="Other"/>
    <s v="DEV"/>
    <n v="5.1999999999999998E-2"/>
    <n v="3.4000000000000002E-2"/>
    <n v="2.3E-2"/>
  </r>
  <r>
    <s v="Epic Games, Inc."/>
    <x v="9"/>
    <s v="chat-public-service-gamedev-i-12ca23ed"/>
    <n v="1"/>
    <n v="2000"/>
    <n v="0"/>
    <x v="0"/>
    <s v="Other"/>
    <x v="1"/>
    <s v="chat-service"/>
    <s v="[DEV]"/>
    <s v="Dev Public Service Gamedev"/>
    <s v="DEV"/>
    <n v="2.5999999999999999E-2"/>
    <n v="1.7000000000000001E-2"/>
    <n v="1.2E-2"/>
  </r>
  <r>
    <s v="Epic Games, Inc."/>
    <x v="9"/>
    <s v="ocean-admin-service-latest-gamedev-i-350ee7ca"/>
    <n v="1"/>
    <n v="2000"/>
    <n v="0"/>
    <x v="0"/>
    <s v="Other"/>
    <x v="1"/>
    <s v="ocean-service"/>
    <s v="[DEV]"/>
    <s v="Dev Admin Service Gamedev"/>
    <s v="DEV"/>
    <n v="2.5999999999999999E-2"/>
    <n v="1.7000000000000001E-2"/>
    <n v="1.2E-2"/>
  </r>
  <r>
    <s v="Epic Games, Inc."/>
    <x v="6"/>
    <s v="team-service-prod06-i-30a257cf"/>
    <n v="2"/>
    <n v="4000"/>
    <n v="0"/>
    <x v="0"/>
    <s v="Other"/>
    <x v="0"/>
    <s v="Other"/>
    <s v="Team Service"/>
    <s v="Other"/>
    <s v="Common Services (Prod06)"/>
    <n v="5.1999999999999998E-2"/>
    <n v="3.4000000000000002E-2"/>
    <n v="2.3E-2"/>
  </r>
  <r>
    <s v="Epic Games, Inc."/>
    <x v="6"/>
    <s v="team-service-prod06-i-b6c9ea4b"/>
    <n v="2"/>
    <n v="4000"/>
    <n v="0"/>
    <x v="0"/>
    <s v="Other"/>
    <x v="0"/>
    <s v="Other"/>
    <s v="Team Service"/>
    <s v="Other"/>
    <s v="Common Services (Prod06)"/>
    <n v="5.1999999999999998E-2"/>
    <n v="3.4000000000000002E-2"/>
    <n v="2.3E-2"/>
  </r>
  <r>
    <s v="Epic Games, Inc."/>
    <x v="9"/>
    <s v="ocean-public-service-latest-gamedev-i-fecf3a01"/>
    <n v="1"/>
    <n v="2000"/>
    <n v="0"/>
    <x v="0"/>
    <s v="Other"/>
    <x v="1"/>
    <s v="ocean-service"/>
    <s v="[DEV]"/>
    <s v="Dev Public Service Gamedev"/>
    <s v="DEV"/>
    <n v="2.5999999999999999E-2"/>
    <n v="1.7000000000000001E-2"/>
    <n v="1.2E-2"/>
  </r>
  <r>
    <s v="Epic Games, Inc."/>
    <x v="9"/>
    <s v="persona-public-service-gamedev-i-3e41b4c1"/>
    <n v="1"/>
    <n v="2000"/>
    <n v="0"/>
    <x v="0"/>
    <s v="Other"/>
    <x v="1"/>
    <s v="persona-service"/>
    <s v="[DEV]"/>
    <s v="Dev Public Service Gamedev"/>
    <s v="DEV"/>
    <n v="2.5999999999999999E-2"/>
    <n v="1.7000000000000001E-2"/>
    <n v="1.2E-2"/>
  </r>
  <r>
    <s v="Epic Games, Inc."/>
    <x v="9"/>
    <s v="priceengine-admin-service-gamedev-i-91aa886c"/>
    <n v="1"/>
    <n v="2000"/>
    <n v="0"/>
    <x v="0"/>
    <s v="Other"/>
    <x v="1"/>
    <s v="priceengine-service"/>
    <s v="[DEV]"/>
    <s v="Dev Admin Service Gamedev"/>
    <s v="DEV"/>
    <n v="2.5999999999999999E-2"/>
    <n v="1.7000000000000001E-2"/>
    <n v="1.2E-2"/>
  </r>
  <r>
    <s v="Epic Games, Inc."/>
    <x v="17"/>
    <s v="pgsql-team-prod06-02"/>
    <n v="4"/>
    <n v="7500"/>
    <n v="80"/>
    <x v="1"/>
    <s v="Other"/>
    <x v="0"/>
    <s v="Other"/>
    <s v="Team Service"/>
    <s v="Other"/>
    <s v="Common Services (Prod06)"/>
    <n v="0.21"/>
    <n v="0.125"/>
    <n v="7.9000000000000001E-2"/>
  </r>
  <r>
    <s v="Epic Games, Inc."/>
    <x v="17"/>
    <s v="pgsql-team-prod06-01"/>
    <n v="4"/>
    <n v="7500"/>
    <n v="80"/>
    <x v="1"/>
    <s v="Other"/>
    <x v="0"/>
    <s v="Other"/>
    <s v="Team Service"/>
    <s v="Other"/>
    <s v="Common Services (Prod06)"/>
    <n v="0.21"/>
    <n v="0.125"/>
    <n v="7.9000000000000001E-2"/>
  </r>
  <r>
    <s v="Epic Games, Inc."/>
    <x v="17"/>
    <s v="pgsql-team-prod06-03"/>
    <n v="4"/>
    <n v="7500"/>
    <n v="80"/>
    <x v="5"/>
    <s v="Other"/>
    <x v="0"/>
    <s v="Other"/>
    <s v="Team Service"/>
    <s v="Other"/>
    <s v="Common Services (Prod06)"/>
    <n v="0.21"/>
    <n v="0.125"/>
    <n v="7.9000000000000001E-2"/>
  </r>
  <r>
    <s v="Epic Games, Inc."/>
    <x v="9"/>
    <s v="receipt-admin-service-releaseqa-i-40649cbf"/>
    <n v="1"/>
    <n v="2000"/>
    <n v="0"/>
    <x v="0"/>
    <s v="Other"/>
    <x v="1"/>
    <s v="Unknown"/>
    <s v="[DEV]"/>
    <s v="Dev Admin Service ReleaseQA"/>
    <s v="DEV"/>
    <n v="2.5999999999999999E-2"/>
    <n v="1.7000000000000001E-2"/>
    <n v="1.2E-2"/>
  </r>
  <r>
    <s v="Epic Games, Inc."/>
    <x v="0"/>
    <s v="chat-public-service-prod06-i-3a5ca4c5"/>
    <n v="2"/>
    <n v="3750"/>
    <n v="32"/>
    <x v="0"/>
    <s v="Other"/>
    <x v="0"/>
    <s v="Other"/>
    <s v="Chat Service"/>
    <s v="Other"/>
    <s v="Common Services (Prod06)"/>
    <n v="0.105"/>
    <n v="6.2E-2"/>
    <n v="3.9E-2"/>
  </r>
  <r>
    <s v="Epic Games, Inc."/>
    <x v="9"/>
    <s v="receipt-public-service-releaseqa-i-30679fcf"/>
    <n v="1"/>
    <n v="2000"/>
    <n v="0"/>
    <x v="0"/>
    <s v="Other"/>
    <x v="1"/>
    <s v="Unknown"/>
    <s v="[DEV]"/>
    <s v="Dev Public Service ReleaseQA"/>
    <s v="DEV"/>
    <n v="2.5999999999999999E-2"/>
    <n v="1.7000000000000001E-2"/>
    <n v="1.2E-2"/>
  </r>
  <r>
    <s v="Epic Games, Inc."/>
    <x v="9"/>
    <s v="receipt-admin-service-gamedev-i-b9c5f444"/>
    <n v="1"/>
    <n v="2000"/>
    <n v="0"/>
    <x v="0"/>
    <s v="Other"/>
    <x v="1"/>
    <s v="Unknown"/>
    <s v="[DEV]"/>
    <s v="Dev Admin Service Gamedev"/>
    <s v="DEV"/>
    <n v="2.5999999999999999E-2"/>
    <n v="1.7000000000000001E-2"/>
    <n v="1.2E-2"/>
  </r>
  <r>
    <s v="Epic Games, Inc."/>
    <x v="9"/>
    <s v="receipt-public-service-gamedev-i-bcc7f641"/>
    <n v="1"/>
    <n v="2000"/>
    <n v="0"/>
    <x v="0"/>
    <s v="Other"/>
    <x v="1"/>
    <s v="Unknown"/>
    <s v="[DEV]"/>
    <s v="Dev Public Service Gamedev"/>
    <s v="DEV"/>
    <n v="2.5999999999999999E-2"/>
    <n v="1.7000000000000001E-2"/>
    <n v="1.2E-2"/>
  </r>
  <r>
    <s v="Epic Games, Inc."/>
    <x v="9"/>
    <s v="dean-test-docker-logging-01"/>
    <n v="1"/>
    <n v="2000"/>
    <n v="0"/>
    <x v="0"/>
    <s v="Other"/>
    <x v="1"/>
    <s v="team-service"/>
    <s v="[DEV]"/>
    <s v="Dev Service CI (Other)"/>
    <s v="DEV"/>
    <n v="2.5999999999999999E-2"/>
    <n v="1.7000000000000001E-2"/>
    <n v="1.2E-2"/>
  </r>
  <r>
    <s v="Epic Games, Inc."/>
    <x v="0"/>
    <s v="accountportal-website-prod07-i-16ebd7eb"/>
    <n v="2"/>
    <n v="3750"/>
    <n v="32"/>
    <x v="0"/>
    <s v="Other"/>
    <x v="0"/>
    <s v="Other"/>
    <s v="Accountportal"/>
    <s v="Other"/>
    <s v="Common Website (Prod07)"/>
    <n v="0.105"/>
    <n v="6.2E-2"/>
    <n v="3.9E-2"/>
  </r>
  <r>
    <s v="Epic Games, Inc."/>
    <x v="9"/>
    <s v="orion-admin-servicecron-main-gamedev-i-ed5e9912"/>
    <n v="1"/>
    <n v="2000"/>
    <n v="0"/>
    <x v="0"/>
    <s v="Other"/>
    <x v="1"/>
    <s v="orion-service"/>
    <s v="[DEV]"/>
    <s v="Dev Admin Service Gamedev"/>
    <s v="DEV"/>
    <n v="2.5999999999999999E-2"/>
    <n v="1.7000000000000001E-2"/>
    <n v="1.2E-2"/>
  </r>
  <r>
    <s v="Epic Games, Inc."/>
    <x v="9"/>
    <s v="orion-admin-servicecron-latest-gamedev-i-365097c9"/>
    <n v="1"/>
    <n v="2000"/>
    <n v="0"/>
    <x v="0"/>
    <s v="Other"/>
    <x v="1"/>
    <s v="orion-service"/>
    <s v="[DEV]"/>
    <s v="Dev Admin Service Gamedev"/>
    <s v="DEV"/>
    <n v="2.5999999999999999E-2"/>
    <n v="1.7000000000000001E-2"/>
    <n v="1.2E-2"/>
  </r>
  <r>
    <s v="Epic Games, Inc."/>
    <x v="9"/>
    <s v="orion-admin-servicecron-approved-gamedev-i-34b78bc9"/>
    <n v="1"/>
    <n v="2000"/>
    <n v="0"/>
    <x v="0"/>
    <s v="Other"/>
    <x v="1"/>
    <s v="orion-service"/>
    <s v="[DEV]"/>
    <s v="Dev Admin Service Gamedev"/>
    <s v="DEV"/>
    <n v="2.5999999999999999E-2"/>
    <n v="1.7000000000000001E-2"/>
    <n v="1.2E-2"/>
  </r>
  <r>
    <s v="Epic Games, Inc."/>
    <x v="9"/>
    <s v="orion-admin-servicecron-ci-i-2f5493d0"/>
    <n v="1"/>
    <n v="2000"/>
    <n v="0"/>
    <x v="0"/>
    <s v="Other"/>
    <x v="1"/>
    <s v="orion-service"/>
    <s v="[DEV]"/>
    <s v="Dev Admin Service CI"/>
    <s v="DEV"/>
    <n v="2.5999999999999999E-2"/>
    <n v="1.7000000000000001E-2"/>
    <n v="1.2E-2"/>
  </r>
  <r>
    <s v="Epic Games, Inc."/>
    <x v="9"/>
    <s v="orion-admin-servicecron-stage-i-c4b28e39"/>
    <n v="1"/>
    <n v="2000"/>
    <n v="0"/>
    <x v="0"/>
    <s v="Other"/>
    <x v="0"/>
    <s v="Other"/>
    <s v="Other"/>
    <s v="Dev Admin Service Load Test"/>
    <s v="Staging"/>
    <n v="2.5999999999999999E-2"/>
    <n v="1.7000000000000001E-2"/>
    <n v="1.2E-2"/>
  </r>
  <r>
    <s v="Epic Games, Inc."/>
    <x v="9"/>
    <s v="orion-admin-servicecron-testing-gamedev-i-c15e993e"/>
    <n v="1"/>
    <n v="2000"/>
    <n v="0"/>
    <x v="0"/>
    <s v="Other"/>
    <x v="1"/>
    <s v="orion-service"/>
    <s v="[DEV]"/>
    <s v="Dev Admin Service Gamedev"/>
    <s v="DEV"/>
    <n v="2.5999999999999999E-2"/>
    <n v="1.7000000000000001E-2"/>
    <n v="1.2E-2"/>
  </r>
  <r>
    <s v="Epic Games, Inc."/>
    <x v="9"/>
    <s v="fortnite-admin-servicecron-devplaytest-prod12-i-8d172e70"/>
    <n v="1"/>
    <n v="2000"/>
    <n v="0"/>
    <x v="0"/>
    <s v="Other"/>
    <x v="0"/>
    <s v="Other"/>
    <s v="Fortnite Service"/>
    <s v="Dev Admin Service Load Test"/>
    <s v="Fortnite"/>
    <n v="2.5999999999999999E-2"/>
    <n v="1.7000000000000001E-2"/>
    <n v="1.2E-2"/>
  </r>
  <r>
    <s v="Epic Games, Inc."/>
    <x v="9"/>
    <s v="fortnite-admin-service-devplaytest-prod12-i-4e152cb3"/>
    <n v="1"/>
    <n v="2000"/>
    <n v="0"/>
    <x v="0"/>
    <s v="Other"/>
    <x v="0"/>
    <s v="Other"/>
    <s v="Fortnite Service"/>
    <s v="Dev Admin Service Load Test"/>
    <s v="Fortnite"/>
    <n v="2.5999999999999999E-2"/>
    <n v="1.7000000000000001E-2"/>
    <n v="1.2E-2"/>
  </r>
  <r>
    <s v="Epic Games, Inc."/>
    <x v="9"/>
    <s v="fortnite-admin-service-devplaytest-prod12-i-14eb2beb"/>
    <n v="1"/>
    <n v="2000"/>
    <n v="0"/>
    <x v="0"/>
    <s v="Other"/>
    <x v="0"/>
    <s v="Other"/>
    <s v="Fortnite Service"/>
    <s v="Dev Admin Service Load Test"/>
    <s v="Fortnite"/>
    <n v="2.5999999999999999E-2"/>
    <n v="1.7000000000000001E-2"/>
    <n v="1.2E-2"/>
  </r>
  <r>
    <s v="Epic Games, Inc."/>
    <x v="2"/>
    <s v="jiradev-atlassian-ci-01"/>
    <n v="2"/>
    <n v="7500"/>
    <n v="32"/>
    <x v="32"/>
    <s v="Other"/>
    <x v="1"/>
    <s v="Unknown"/>
    <s v="[DEV]"/>
    <s v="Other"/>
    <s v="DEV"/>
    <n v="0.13300000000000001"/>
    <n v="8.1000000000000003E-2"/>
    <n v="5.1999999999999998E-2"/>
  </r>
  <r>
    <s v="Epic Games, Inc."/>
    <x v="9"/>
    <s v="fortnite-public-service-devplaytest-prod12-i-c7f1c83a"/>
    <n v="1"/>
    <n v="2000"/>
    <n v="0"/>
    <x v="0"/>
    <s v="Other"/>
    <x v="0"/>
    <s v="Other"/>
    <s v="Fortnite Service"/>
    <s v="Other"/>
    <s v="Fortnite"/>
    <n v="2.5999999999999999E-2"/>
    <n v="1.7000000000000001E-2"/>
    <n v="1.2E-2"/>
  </r>
  <r>
    <s v="Epic Games, Inc."/>
    <x v="9"/>
    <s v="fortnite-public-service-devplaytest-prod12-i-a408c85b"/>
    <n v="1"/>
    <n v="2000"/>
    <n v="0"/>
    <x v="0"/>
    <s v="Other"/>
    <x v="0"/>
    <s v="Other"/>
    <s v="Fortnite Service"/>
    <s v="Other"/>
    <s v="Fortnite"/>
    <n v="2.5999999999999999E-2"/>
    <n v="1.7000000000000001E-2"/>
    <n v="1.2E-2"/>
  </r>
  <r>
    <s v="Epic Games, Inc."/>
    <x v="2"/>
    <s v="mongodb-team-prod06-02"/>
    <n v="2"/>
    <n v="7500"/>
    <n v="32"/>
    <x v="1"/>
    <s v="Other"/>
    <x v="0"/>
    <s v="Other"/>
    <s v="Team Service"/>
    <s v="Dev MongoDB"/>
    <s v="Common Services (Prod06)"/>
    <n v="0.13300000000000001"/>
    <n v="8.1000000000000003E-2"/>
    <n v="5.1999999999999998E-2"/>
  </r>
  <r>
    <s v="Epic Games, Inc."/>
    <x v="2"/>
    <s v="mongodb-team-prod06-04"/>
    <n v="2"/>
    <n v="7500"/>
    <n v="32"/>
    <x v="7"/>
    <s v="Other"/>
    <x v="0"/>
    <s v="Other"/>
    <s v="Team Service"/>
    <s v="Dev MongoDB"/>
    <s v="Common Services (Prod06)"/>
    <n v="0.13300000000000001"/>
    <n v="8.1000000000000003E-2"/>
    <n v="5.1999999999999998E-2"/>
  </r>
  <r>
    <s v="Epic Games, Inc."/>
    <x v="2"/>
    <s v="mongodb-team-prod06-03"/>
    <n v="2"/>
    <n v="7500"/>
    <n v="32"/>
    <x v="1"/>
    <s v="Other"/>
    <x v="0"/>
    <s v="Other"/>
    <s v="Team Service"/>
    <s v="Dev MongoDB"/>
    <s v="Common Services (Prod06)"/>
    <n v="0.13300000000000001"/>
    <n v="8.1000000000000003E-2"/>
    <n v="5.1999999999999998E-2"/>
  </r>
  <r>
    <s v="Epic Games, Inc."/>
    <x v="6"/>
    <s v="mongodb-team-prod06-05"/>
    <n v="2"/>
    <n v="4000"/>
    <n v="0"/>
    <x v="0"/>
    <s v="Other"/>
    <x v="0"/>
    <s v="Other"/>
    <s v="Team Service"/>
    <s v="Dev MongoDB"/>
    <s v="Common Services (Prod06)"/>
    <n v="5.1999999999999998E-2"/>
    <n v="3.4000000000000002E-2"/>
    <n v="2.3E-2"/>
  </r>
  <r>
    <s v="Epic Games, Inc."/>
    <x v="2"/>
    <s v="mongodb-team-prod06-01"/>
    <n v="2"/>
    <n v="7500"/>
    <n v="32"/>
    <x v="1"/>
    <s v="Other"/>
    <x v="0"/>
    <s v="Other"/>
    <s v="Team Service"/>
    <s v="Dev MongoDB"/>
    <s v="Common Services (Prod06)"/>
    <n v="0.13300000000000001"/>
    <n v="8.1000000000000003E-2"/>
    <n v="5.1999999999999998E-2"/>
  </r>
  <r>
    <s v="Epic Games, Inc."/>
    <x v="4"/>
    <s v="mongodb-fortnite-devplaytest-prod12-04"/>
    <n v="1"/>
    <n v="3750"/>
    <n v="4"/>
    <x v="5"/>
    <s v="Other"/>
    <x v="0"/>
    <s v="Other"/>
    <s v="Fortnite Service"/>
    <s v="Dev MongoDB"/>
    <s v="Fortnite"/>
    <n v="6.7000000000000004E-2"/>
    <n v="0.04"/>
    <n v="2.5999999999999999E-2"/>
  </r>
  <r>
    <s v="Epic Games, Inc."/>
    <x v="4"/>
    <s v="mongodb-fortnite-devplaytest-prod12-02"/>
    <n v="1"/>
    <n v="3750"/>
    <n v="4"/>
    <x v="1"/>
    <s v="Other"/>
    <x v="0"/>
    <s v="Other"/>
    <s v="Fortnite Service"/>
    <s v="Dev MongoDB"/>
    <s v="Fortnite"/>
    <n v="6.7000000000000004E-2"/>
    <n v="0.04"/>
    <n v="2.5999999999999999E-2"/>
  </r>
  <r>
    <s v="Epic Games, Inc."/>
    <x v="4"/>
    <s v="mongodb-fortnite-devplaytest-prod12-03"/>
    <n v="1"/>
    <n v="3750"/>
    <n v="4"/>
    <x v="1"/>
    <s v="Other"/>
    <x v="0"/>
    <s v="Other"/>
    <s v="Fortnite Service"/>
    <s v="Dev MongoDB"/>
    <s v="Fortnite"/>
    <n v="6.7000000000000004E-2"/>
    <n v="0.04"/>
    <n v="2.5999999999999999E-2"/>
  </r>
  <r>
    <s v="Epic Games, Inc."/>
    <x v="4"/>
    <s v="mongodb-fortnite-devplaytest-prod12-01"/>
    <n v="1"/>
    <n v="3750"/>
    <n v="4"/>
    <x v="1"/>
    <s v="Other"/>
    <x v="0"/>
    <s v="Other"/>
    <s v="Fortnite Service"/>
    <s v="Dev MongoDB"/>
    <s v="Fortnite"/>
    <n v="6.7000000000000004E-2"/>
    <n v="0.04"/>
    <n v="2.5999999999999999E-2"/>
  </r>
  <r>
    <s v="Epic Games, Inc."/>
    <x v="9"/>
    <s v="mongodb-fortnite-devplaytest-prod12-05"/>
    <n v="1"/>
    <n v="2000"/>
    <n v="0"/>
    <x v="0"/>
    <s v="Other"/>
    <x v="0"/>
    <s v="Other"/>
    <s v="Fortnite Service"/>
    <s v="Dev MongoDB"/>
    <s v="Fortnite"/>
    <n v="2.5999999999999999E-2"/>
    <n v="1.7000000000000001E-2"/>
    <n v="1.2E-2"/>
  </r>
  <r>
    <s v="Epic Games, Inc."/>
    <x v="6"/>
    <s v="redis-fortnite-devplaytest-prod12-01"/>
    <n v="2"/>
    <n v="4000"/>
    <n v="0"/>
    <x v="0"/>
    <s v="Other"/>
    <x v="0"/>
    <s v="Other"/>
    <s v="Fortnite Service"/>
    <s v="Other"/>
    <s v="Fortnite"/>
    <n v="5.1999999999999998E-2"/>
    <n v="3.4000000000000002E-2"/>
    <n v="2.3E-2"/>
  </r>
  <r>
    <s v="Epic Games, Inc."/>
    <x v="6"/>
    <s v="redis-fortnite-devplaytest-prod12-02"/>
    <n v="2"/>
    <n v="4000"/>
    <n v="0"/>
    <x v="0"/>
    <s v="Other"/>
    <x v="0"/>
    <s v="Other"/>
    <s v="Fortnite Service"/>
    <s v="Other"/>
    <s v="Fortnite"/>
    <n v="5.1999999999999998E-2"/>
    <n v="3.4000000000000002E-2"/>
    <n v="2.3E-2"/>
  </r>
  <r>
    <s v="Epic Games, Inc."/>
    <x v="9"/>
    <s v="orion-admin-service-approved-gamedev-i-8d23ee72"/>
    <n v="1"/>
    <n v="2000"/>
    <n v="0"/>
    <x v="0"/>
    <s v="Other"/>
    <x v="1"/>
    <s v="orion-service"/>
    <s v="[DEV]"/>
    <s v="Dev Admin Service Gamedev"/>
    <s v="DEV"/>
    <n v="2.5999999999999999E-2"/>
    <n v="1.7000000000000001E-2"/>
    <n v="1.2E-2"/>
  </r>
  <r>
    <s v="Epic Games, Inc."/>
    <x v="9"/>
    <s v="priceengine-public-service-gamedev-i-a4a7a659"/>
    <n v="1"/>
    <n v="2000"/>
    <n v="0"/>
    <x v="0"/>
    <s v="Other"/>
    <x v="1"/>
    <s v="priceengine-service"/>
    <s v="[DEV]"/>
    <s v="Dev Public Service Gamedev"/>
    <s v="DEV"/>
    <n v="2.5999999999999999E-2"/>
    <n v="1.7000000000000001E-2"/>
    <n v="1.2E-2"/>
  </r>
  <r>
    <s v="Epic Games, Inc."/>
    <x v="9"/>
    <s v="tracking-website-gamedev-i-19a5a4e4"/>
    <n v="1"/>
    <n v="2000"/>
    <n v="0"/>
    <x v="0"/>
    <s v="Other"/>
    <x v="1"/>
    <s v="tracking-website"/>
    <s v="[DEV]"/>
    <s v="Dev Website Gamedev"/>
    <s v="DEV"/>
    <n v="2.5999999999999999E-2"/>
    <n v="1.7000000000000001E-2"/>
    <n v="1.2E-2"/>
  </r>
  <r>
    <s v="Epic Games, Inc."/>
    <x v="9"/>
    <s v="tigase-common-gamedev-i-e110d81e"/>
    <n v="1"/>
    <n v="2000"/>
    <n v="0"/>
    <x v="0"/>
    <s v="Other"/>
    <x v="1"/>
    <s v="tigase"/>
    <s v="[DEV]"/>
    <s v="Dev Common Gamedev"/>
    <s v="DEV"/>
    <n v="2.5999999999999999E-2"/>
    <n v="1.7000000000000001E-2"/>
    <n v="1.2E-2"/>
  </r>
  <r>
    <s v="Epic Games, Inc."/>
    <x v="9"/>
    <s v="tigase-common-gamedev-i-5b6d6da6"/>
    <n v="1"/>
    <n v="2000"/>
    <n v="0"/>
    <x v="0"/>
    <s v="Other"/>
    <x v="1"/>
    <s v="tigase"/>
    <s v="[DEV]"/>
    <s v="Dev Common Gamedev"/>
    <s v="DEV"/>
    <n v="2.5999999999999999E-2"/>
    <n v="1.7000000000000001E-2"/>
    <n v="1.2E-2"/>
  </r>
  <r>
    <s v="Epic Games, Inc."/>
    <x v="0"/>
    <s v="teamcity-agent-ci"/>
    <n v="2"/>
    <n v="3750"/>
    <n v="32"/>
    <x v="6"/>
    <s v="Other"/>
    <x v="1"/>
    <s v="Unknown"/>
    <s v="[DEV]"/>
    <s v="Other"/>
    <s v="DEV"/>
    <n v="0.105"/>
    <n v="6.2E-2"/>
    <n v="3.9E-2"/>
  </r>
  <r>
    <s v="Epic Games, Inc."/>
    <x v="0"/>
    <s v="backups-management01-02"/>
    <n v="2"/>
    <n v="3750"/>
    <n v="32"/>
    <x v="31"/>
    <s v="Other"/>
    <x v="2"/>
    <s v="Other"/>
    <s v="Backup management"/>
    <s v="Other"/>
    <s v="Infrastructure and Management"/>
    <n v="0.105"/>
    <n v="6.2E-2"/>
    <n v="3.9E-2"/>
  </r>
  <r>
    <s v="Epic Games, Inc."/>
    <x v="9"/>
    <s v="imageservice-admin-service-ci-i-0b5c8bf4"/>
    <n v="1"/>
    <n v="2000"/>
    <n v="0"/>
    <x v="0"/>
    <s v="Other"/>
    <x v="1"/>
    <s v="Unknown"/>
    <s v="[DEV]"/>
    <s v="Dev Admin Service CI"/>
    <s v="DEV"/>
    <n v="2.5999999999999999E-2"/>
    <n v="1.7000000000000001E-2"/>
    <n v="1.2E-2"/>
  </r>
  <r>
    <s v="Epic Games, Inc."/>
    <x v="9"/>
    <s v="ut-website-stage-i-742a2589"/>
    <n v="1"/>
    <n v="2000"/>
    <n v="0"/>
    <x v="0"/>
    <s v="Other"/>
    <x v="0"/>
    <s v="Other"/>
    <s v="UT Website"/>
    <s v="Dev Website Stage"/>
    <s v="Staging"/>
    <n v="2.5999999999999999E-2"/>
    <n v="1.7000000000000001E-2"/>
    <n v="1.2E-2"/>
  </r>
  <r>
    <s v="Epic Games, Inc."/>
    <x v="9"/>
    <s v="publishing-website-stage-i-532d22ae"/>
    <n v="1"/>
    <n v="2000"/>
    <n v="0"/>
    <x v="0"/>
    <s v="Other"/>
    <x v="1"/>
    <s v="publishing-website"/>
    <s v="[DEV]"/>
    <s v="Dev Website Stage"/>
    <s v="DEV"/>
    <n v="2.5999999999999999E-2"/>
    <n v="1.7000000000000001E-2"/>
    <n v="1.2E-2"/>
  </r>
  <r>
    <s v="Epic Games, Inc."/>
    <x v="1"/>
    <s v="darren-mariadb-test-02"/>
    <n v="1"/>
    <n v="1700"/>
    <n v="160"/>
    <x v="1"/>
    <s v="Other"/>
    <x v="3"/>
    <s v="Other"/>
    <s v="Other"/>
    <s v="Dev MariaDB"/>
    <s v="DEV"/>
    <n v="4.3999999999999997E-2"/>
    <n v="2.4E-2"/>
    <n v="1.4999999999999999E-2"/>
  </r>
  <r>
    <s v="Epic Games, Inc."/>
    <x v="1"/>
    <s v="darren-mariadb-test-01"/>
    <n v="1"/>
    <n v="1700"/>
    <n v="160"/>
    <x v="1"/>
    <s v="Other"/>
    <x v="3"/>
    <s v="Other"/>
    <s v="Other"/>
    <s v="Dev MariaDB"/>
    <s v="DEV"/>
    <n v="4.3999999999999997E-2"/>
    <n v="2.4E-2"/>
    <n v="1.4999999999999999E-2"/>
  </r>
  <r>
    <s v="Epic Games, Inc."/>
    <x v="1"/>
    <s v="darren-mariadb-test-03"/>
    <n v="1"/>
    <n v="1700"/>
    <n v="160"/>
    <x v="7"/>
    <s v="Other"/>
    <x v="3"/>
    <s v="Other"/>
    <s v="Other"/>
    <s v="Dev MariaDB"/>
    <s v="DEV"/>
    <n v="4.3999999999999997E-2"/>
    <n v="2.4E-2"/>
    <n v="1.4999999999999999E-2"/>
  </r>
  <r>
    <s v="Epic Games, Inc."/>
    <x v="8"/>
    <s v="ut-gameservers-prod10-epichq-01"/>
    <n v="8"/>
    <n v="30000"/>
    <n v="160"/>
    <x v="33"/>
    <s v="Other"/>
    <x v="0"/>
    <s v="Other"/>
    <s v="Other"/>
    <s v="Other"/>
    <s v="Unreal Tournament"/>
    <n v="0.53200000000000003"/>
    <n v="0.32400000000000001"/>
    <n v="0.20899999999999999"/>
  </r>
  <r>
    <s v="Epic Games, Inc."/>
    <x v="9"/>
    <s v="activitystream-public-service-stage-i-67b71298"/>
    <n v="1"/>
    <n v="2000"/>
    <n v="0"/>
    <x v="0"/>
    <s v="Other"/>
    <x v="0"/>
    <s v="Other"/>
    <s v="ActivityStream Service"/>
    <s v="Dev Public Service Stage"/>
    <s v="Staging"/>
    <n v="2.5999999999999999E-2"/>
    <n v="1.7000000000000001E-2"/>
    <n v="1.2E-2"/>
  </r>
  <r>
    <s v="Epic Games, Inc."/>
    <x v="9"/>
    <s v="utstage-website-epiccms-i-34cddec9"/>
    <n v="1"/>
    <n v="2000"/>
    <n v="0"/>
    <x v="0"/>
    <s v="Other"/>
    <x v="0"/>
    <s v="Other"/>
    <s v="UT Website"/>
    <s v="Dev Website Stage"/>
    <s v="Staging"/>
    <n v="2.5999999999999999E-2"/>
    <n v="1.7000000000000001E-2"/>
    <n v="1.2E-2"/>
  </r>
  <r>
    <s v="Epic Games, Inc."/>
    <x v="9"/>
    <s v="account-public-service-stage-i-0aceddf7"/>
    <n v="1"/>
    <n v="2000"/>
    <n v="0"/>
    <x v="0"/>
    <s v="Other"/>
    <x v="0"/>
    <s v="Other"/>
    <s v="Account Service"/>
    <s v="Dev Public Service Stage"/>
    <s v="Staging"/>
    <n v="2.5999999999999999E-2"/>
    <n v="1.7000000000000001E-2"/>
    <n v="1.2E-2"/>
  </r>
  <r>
    <s v="Epic Games, Inc."/>
    <x v="15"/>
    <s v="tigase-common-prod06-i-3afd59c5"/>
    <n v="16"/>
    <n v="30000"/>
    <n v="320"/>
    <x v="0"/>
    <s v="Other"/>
    <x v="0"/>
    <s v="Other"/>
    <s v="Tigase"/>
    <s v="Other"/>
    <s v="Common Services (Prod06)"/>
    <n v="0.84"/>
    <n v="0.497"/>
    <n v="0.314"/>
  </r>
  <r>
    <s v="Epic Games, Inc."/>
    <x v="9"/>
    <s v="imageservice-public-service-ci-i-25d2ccd8"/>
    <n v="1"/>
    <n v="2000"/>
    <n v="0"/>
    <x v="0"/>
    <s v="Other"/>
    <x v="1"/>
    <s v="Unknown"/>
    <s v="[DEV]"/>
    <s v="Dev Public Service CI"/>
    <s v="DEV"/>
    <n v="2.5999999999999999E-2"/>
    <n v="1.7000000000000001E-2"/>
    <n v="1.2E-2"/>
  </r>
  <r>
    <s v="Epic Games, Inc."/>
    <x v="9"/>
    <s v="imageservice-admin-service-gamedev-i-2ec86bd1"/>
    <n v="1"/>
    <n v="2000"/>
    <n v="0"/>
    <x v="0"/>
    <s v="Other"/>
    <x v="1"/>
    <s v="Unknown"/>
    <s v="[DEV]"/>
    <s v="Dev Admin Service Gamedev"/>
    <s v="DEV"/>
    <n v="2.5999999999999999E-2"/>
    <n v="1.7000000000000001E-2"/>
    <n v="1.2E-2"/>
  </r>
  <r>
    <s v="Epic Games, Inc."/>
    <x v="9"/>
    <s v="imageservice-public-service-gamedev-i-63637a9e"/>
    <n v="1"/>
    <n v="2000"/>
    <n v="0"/>
    <x v="0"/>
    <s v="Other"/>
    <x v="1"/>
    <s v="Unknown"/>
    <s v="[DEV]"/>
    <s v="Dev Public Service Gamedev"/>
    <s v="DEV"/>
    <n v="2.5999999999999999E-2"/>
    <n v="1.7000000000000001E-2"/>
    <n v="1.2E-2"/>
  </r>
  <r>
    <s v="Epic Games, Inc."/>
    <x v="7"/>
    <s v="fortnite-website-gamedev-i-05051cf8"/>
    <n v="1"/>
    <n v="3750"/>
    <n v="410"/>
    <x v="0"/>
    <s v="Other"/>
    <x v="1"/>
    <s v="fortnite-website"/>
    <s v="[DEV]"/>
    <s v="Dev Fortnite Gamedev"/>
    <s v="DEV"/>
    <n v="8.6999999999999994E-2"/>
    <n v="4.7E-2"/>
    <n v="2.9000000000000001E-2"/>
  </r>
  <r>
    <s v="Epic Games, Inc."/>
    <x v="9"/>
    <s v="imageservice-admin-service-releaseqa-i-956fcc6a"/>
    <n v="1"/>
    <n v="2000"/>
    <n v="0"/>
    <x v="0"/>
    <s v="Other"/>
    <x v="1"/>
    <s v="Unknown"/>
    <s v="[DEV]"/>
    <s v="Dev Admin Service ReleaseQA"/>
    <s v="DEV"/>
    <n v="2.5999999999999999E-2"/>
    <n v="1.7000000000000001E-2"/>
    <n v="1.2E-2"/>
  </r>
  <r>
    <s v="Epic Games, Inc."/>
    <x v="9"/>
    <s v="imageservice-public-service-releaseqa-i-0952f1f6"/>
    <n v="1"/>
    <n v="2000"/>
    <n v="0"/>
    <x v="0"/>
    <s v="Other"/>
    <x v="1"/>
    <s v="Unknown"/>
    <s v="[DEV]"/>
    <s v="Dev Public Service ReleaseQA"/>
    <s v="DEV"/>
    <n v="2.5999999999999999E-2"/>
    <n v="1.7000000000000001E-2"/>
    <n v="1.2E-2"/>
  </r>
  <r>
    <s v="Epic Games, Inc."/>
    <x v="1"/>
    <s v="commentrating-public-service-gamedev-i-d7170c2a"/>
    <n v="1"/>
    <n v="1700"/>
    <n v="160"/>
    <x v="0"/>
    <s v="Other"/>
    <x v="1"/>
    <s v="commentrating-service"/>
    <s v="[DEV]"/>
    <s v="Dev Public Service Gamedev"/>
    <s v="DEV"/>
    <n v="4.3999999999999997E-2"/>
    <n v="2.4E-2"/>
    <n v="1.4999999999999999E-2"/>
  </r>
  <r>
    <s v="Epic Games, Inc."/>
    <x v="1"/>
    <s v="coderedemption-admin-service-gamedev-i-c4061d39"/>
    <n v="1"/>
    <n v="1700"/>
    <n v="160"/>
    <x v="0"/>
    <s v="Other"/>
    <x v="1"/>
    <s v="coderedemption-service"/>
    <s v="[DEV]"/>
    <s v="Dev Admin Service Gamedev"/>
    <s v="DEV"/>
    <n v="4.3999999999999997E-2"/>
    <n v="2.4E-2"/>
    <n v="1.4999999999999999E-2"/>
  </r>
  <r>
    <s v="Epic Games, Inc."/>
    <x v="1"/>
    <s v="commentrating-admin-service-gamedev-i-a2160d5f"/>
    <n v="1"/>
    <n v="1700"/>
    <n v="160"/>
    <x v="0"/>
    <s v="Other"/>
    <x v="1"/>
    <s v="commentrating-service"/>
    <s v="[DEV]"/>
    <s v="Dev Admin Service Gamedev"/>
    <s v="DEV"/>
    <n v="4.3999999999999997E-2"/>
    <n v="2.4E-2"/>
    <n v="1.4999999999999999E-2"/>
  </r>
  <r>
    <s v="Epic Games, Inc."/>
    <x v="9"/>
    <s v="activitystream-admin-service-gamedev-i-190e15e4"/>
    <n v="1"/>
    <n v="2000"/>
    <n v="0"/>
    <x v="0"/>
    <s v="Other"/>
    <x v="1"/>
    <s v="activitystream-service"/>
    <s v="[DEV]"/>
    <s v="Dev Admin Service Gamedev"/>
    <s v="DEV"/>
    <n v="2.5999999999999999E-2"/>
    <n v="1.7000000000000001E-2"/>
    <n v="1.2E-2"/>
  </r>
  <r>
    <s v="Epic Games, Inc."/>
    <x v="1"/>
    <s v="coderedemption-public-service-gamedev-i-ab071c56"/>
    <n v="1"/>
    <n v="1700"/>
    <n v="160"/>
    <x v="0"/>
    <s v="Other"/>
    <x v="1"/>
    <s v="coderedemption-service"/>
    <s v="[DEV]"/>
    <s v="Dev Public Service Gamedev"/>
    <s v="DEV"/>
    <n v="4.3999999999999997E-2"/>
    <n v="2.4E-2"/>
    <n v="1.4999999999999999E-2"/>
  </r>
  <r>
    <s v="Epic Games, Inc."/>
    <x v="9"/>
    <s v="chat-admin-service-gamedev-i-36001bcb"/>
    <n v="1"/>
    <n v="2000"/>
    <n v="0"/>
    <x v="0"/>
    <s v="Other"/>
    <x v="1"/>
    <s v="chat-service"/>
    <s v="[DEV]"/>
    <s v="Dev Admin Service Gamedev"/>
    <s v="DEV"/>
    <n v="2.5999999999999999E-2"/>
    <n v="1.7000000000000001E-2"/>
    <n v="1.2E-2"/>
  </r>
  <r>
    <s v="Epic Games, Inc."/>
    <x v="9"/>
    <s v="chat-public-service-gamedev-i-d8061d25"/>
    <n v="1"/>
    <n v="2000"/>
    <n v="0"/>
    <x v="0"/>
    <s v="Other"/>
    <x v="1"/>
    <s v="chat-service"/>
    <s v="[DEV]"/>
    <s v="Dev Public Service Gamedev"/>
    <s v="DEV"/>
    <n v="2.5999999999999999E-2"/>
    <n v="1.7000000000000001E-2"/>
    <n v="1.2E-2"/>
  </r>
  <r>
    <s v="Epic Games, Inc."/>
    <x v="9"/>
    <s v="account-admin-servicecron-common-gamedev-i-f5b11c0a"/>
    <n v="1"/>
    <n v="2000"/>
    <n v="0"/>
    <x v="0"/>
    <s v="Other"/>
    <x v="1"/>
    <s v="account-service"/>
    <s v="[DEV]"/>
    <s v="Dev Common Gamedev"/>
    <s v="DEV"/>
    <n v="2.5999999999999999E-2"/>
    <n v="1.7000000000000001E-2"/>
    <n v="1.2E-2"/>
  </r>
  <r>
    <s v="Epic Games, Inc."/>
    <x v="9"/>
    <s v="activitystream-public-service-gamedev-i-34b21fcb"/>
    <n v="1"/>
    <n v="2000"/>
    <n v="0"/>
    <x v="0"/>
    <s v="Other"/>
    <x v="1"/>
    <s v="activitystream-service"/>
    <s v="[DEV]"/>
    <s v="Dev Public Service Gamedev"/>
    <s v="DEV"/>
    <n v="2.5999999999999999E-2"/>
    <n v="1.7000000000000001E-2"/>
    <n v="1.2E-2"/>
  </r>
  <r>
    <s v="Epic Games, Inc."/>
    <x v="9"/>
    <s v="eulatracking-admin-service-gamedev-i-92eaf16f"/>
    <n v="1"/>
    <n v="2000"/>
    <n v="0"/>
    <x v="0"/>
    <s v="Other"/>
    <x v="1"/>
    <s v="Unknown"/>
    <s v="[DEV]"/>
    <s v="Dev Admin Service Gamedev"/>
    <s v="DEV"/>
    <n v="2.5999999999999999E-2"/>
    <n v="1.7000000000000001E-2"/>
    <n v="1.2E-2"/>
  </r>
  <r>
    <s v="Epic Games, Inc."/>
    <x v="9"/>
    <s v="eulatracking-public-service-gamedev-i-a6eaf15b"/>
    <n v="1"/>
    <n v="2000"/>
    <n v="0"/>
    <x v="0"/>
    <s v="Other"/>
    <x v="1"/>
    <s v="Unknown"/>
    <s v="[DEV]"/>
    <s v="Dev Public Service Gamedev"/>
    <s v="DEV"/>
    <n v="2.5999999999999999E-2"/>
    <n v="1.7000000000000001E-2"/>
    <n v="1.2E-2"/>
  </r>
  <r>
    <s v="Epic Games, Inc."/>
    <x v="9"/>
    <s v="persona-public-service-gamedev-i-2fecf7d2"/>
    <n v="1"/>
    <n v="2000"/>
    <n v="0"/>
    <x v="0"/>
    <s v="Other"/>
    <x v="1"/>
    <s v="persona-service"/>
    <s v="[DEV]"/>
    <s v="Dev Public Service Gamedev"/>
    <s v="DEV"/>
    <n v="2.5999999999999999E-2"/>
    <n v="1.7000000000000001E-2"/>
    <n v="1.2E-2"/>
  </r>
  <r>
    <s v="Epic Games, Inc."/>
    <x v="9"/>
    <s v="lightswitch-public-service-gamedev-i-c92d8036"/>
    <n v="1"/>
    <n v="2000"/>
    <n v="0"/>
    <x v="0"/>
    <s v="Other"/>
    <x v="1"/>
    <s v="lightswitch-service"/>
    <s v="[DEV]"/>
    <s v="Dev Public Service Gamedev"/>
    <s v="DEV"/>
    <n v="2.5999999999999999E-2"/>
    <n v="1.7000000000000001E-2"/>
    <n v="1.2E-2"/>
  </r>
  <r>
    <s v="Epic Games, Inc."/>
    <x v="1"/>
    <s v="publishing-public-service-gamedev-i-4a2f82b5"/>
    <n v="1"/>
    <n v="1700"/>
    <n v="160"/>
    <x v="0"/>
    <s v="Other"/>
    <x v="1"/>
    <s v="publishing-service"/>
    <s v="[DEV]"/>
    <s v="Dev Public Service Gamedev"/>
    <s v="DEV"/>
    <n v="4.3999999999999997E-2"/>
    <n v="2.4E-2"/>
    <n v="1.4999999999999999E-2"/>
  </r>
  <r>
    <s v="Epic Games, Inc."/>
    <x v="1"/>
    <s v="launcher-admin-service-gamedev-i-22e8f3df"/>
    <n v="1"/>
    <n v="1700"/>
    <n v="160"/>
    <x v="0"/>
    <s v="Other"/>
    <x v="1"/>
    <s v="launcher-service"/>
    <s v="[DEV]"/>
    <s v="Dev Admin Service Gamedev"/>
    <s v="DEV"/>
    <n v="4.3999999999999997E-2"/>
    <n v="2.4E-2"/>
    <n v="1.4999999999999999E-2"/>
  </r>
  <r>
    <s v="Epic Games, Inc."/>
    <x v="9"/>
    <s v="priceengine-public-service-gamedev-i-5f2e83a0"/>
    <n v="1"/>
    <n v="2000"/>
    <n v="0"/>
    <x v="0"/>
    <s v="Other"/>
    <x v="1"/>
    <s v="priceengine-service"/>
    <s v="[DEV]"/>
    <s v="Dev Public Service Gamedev"/>
    <s v="DEV"/>
    <n v="2.5999999999999999E-2"/>
    <n v="1.7000000000000001E-2"/>
    <n v="1.2E-2"/>
  </r>
  <r>
    <s v="Epic Games, Inc."/>
    <x v="9"/>
    <s v="lightswitch-admin-service-gamedev-i-83e8f37e"/>
    <n v="1"/>
    <n v="2000"/>
    <n v="0"/>
    <x v="0"/>
    <s v="Other"/>
    <x v="1"/>
    <s v="lightswitch-service"/>
    <s v="[DEV]"/>
    <s v="Dev Admin Service Gamedev"/>
    <s v="DEV"/>
    <n v="2.5999999999999999E-2"/>
    <n v="1.7000000000000001E-2"/>
    <n v="1.2E-2"/>
  </r>
  <r>
    <s v="Epic Games, Inc."/>
    <x v="1"/>
    <s v="publishing-admin-service-gamedev-i-66e3f89b"/>
    <n v="1"/>
    <n v="1700"/>
    <n v="160"/>
    <x v="0"/>
    <s v="Other"/>
    <x v="1"/>
    <s v="publishing-service"/>
    <s v="[DEV]"/>
    <s v="Dev Admin Service Gamedev"/>
    <s v="DEV"/>
    <n v="4.3999999999999997E-2"/>
    <n v="2.4E-2"/>
    <n v="1.4999999999999999E-2"/>
  </r>
  <r>
    <s v="Epic Games, Inc."/>
    <x v="9"/>
    <s v="priceengine-admin-service-gamedev-i-402e83bf"/>
    <n v="1"/>
    <n v="2000"/>
    <n v="0"/>
    <x v="0"/>
    <s v="Other"/>
    <x v="1"/>
    <s v="priceengine-service"/>
    <s v="[DEV]"/>
    <s v="Dev Admin Service Gamedev"/>
    <s v="DEV"/>
    <n v="2.5999999999999999E-2"/>
    <n v="1.7000000000000001E-2"/>
    <n v="1.2E-2"/>
  </r>
  <r>
    <s v="Epic Games, Inc."/>
    <x v="1"/>
    <s v="docs-website-gamedev-i-66edf69b"/>
    <n v="1"/>
    <n v="1700"/>
    <n v="160"/>
    <x v="0"/>
    <s v="Other"/>
    <x v="1"/>
    <s v="docs-website"/>
    <s v="[DEV]"/>
    <s v="Dev Website Gamedev"/>
    <s v="DEV"/>
    <n v="4.3999999999999997E-2"/>
    <n v="2.4E-2"/>
    <n v="1.4999999999999999E-2"/>
  </r>
  <r>
    <s v="Epic Games, Inc."/>
    <x v="1"/>
    <s v="launcher-public-service-gamedev-i-a12c815e"/>
    <n v="1"/>
    <n v="1700"/>
    <n v="160"/>
    <x v="0"/>
    <s v="Other"/>
    <x v="1"/>
    <s v="launcher-service"/>
    <s v="[DEV]"/>
    <s v="Dev Public Service Gamedev"/>
    <s v="DEV"/>
    <n v="4.3999999999999997E-2"/>
    <n v="2.4E-2"/>
    <n v="1.4999999999999999E-2"/>
  </r>
  <r>
    <s v="Epic Games, Inc."/>
    <x v="9"/>
    <s v="persona-admin-service-gamedev-i-c52e833a"/>
    <n v="1"/>
    <n v="2000"/>
    <n v="0"/>
    <x v="0"/>
    <s v="Other"/>
    <x v="1"/>
    <s v="persona-service"/>
    <s v="[DEV]"/>
    <s v="Dev Admin Service Gamedev"/>
    <s v="DEV"/>
    <n v="2.5999999999999999E-2"/>
    <n v="1.7000000000000001E-2"/>
    <n v="1.2E-2"/>
  </r>
  <r>
    <s v="Epic Games, Inc."/>
    <x v="1"/>
    <s v="subscriptionv2-admin-service-gamedev-i-9c369b63"/>
    <n v="1"/>
    <n v="1700"/>
    <n v="160"/>
    <x v="0"/>
    <s v="Other"/>
    <x v="1"/>
    <s v="subscriptionv2-service"/>
    <s v="[DEV]"/>
    <s v="Dev Admin Service Gamedev"/>
    <s v="DEV"/>
    <n v="4.3999999999999997E-2"/>
    <n v="2.4E-2"/>
    <n v="1.4999999999999999E-2"/>
  </r>
  <r>
    <s v="Epic Games, Inc."/>
    <x v="1"/>
    <s v="catalogv2-public-service-gamedev-i-e48b9019"/>
    <n v="1"/>
    <n v="1700"/>
    <n v="160"/>
    <x v="0"/>
    <s v="Other"/>
    <x v="1"/>
    <s v="catalogv2-service"/>
    <s v="[DEV]"/>
    <s v="Dev Public Service Gamedev"/>
    <s v="DEV"/>
    <n v="4.3999999999999997E-2"/>
    <n v="2.4E-2"/>
    <n v="1.4999999999999999E-2"/>
  </r>
  <r>
    <s v="Epic Games, Inc."/>
    <x v="1"/>
    <s v="subscriptionv2-public-service-gamedev-i-fc379a03"/>
    <n v="1"/>
    <n v="1700"/>
    <n v="160"/>
    <x v="0"/>
    <s v="Other"/>
    <x v="1"/>
    <s v="subscriptionv2-service"/>
    <s v="[DEV]"/>
    <s v="Dev Public Service Gamedev"/>
    <s v="DEV"/>
    <n v="4.3999999999999997E-2"/>
    <n v="2.4E-2"/>
    <n v="1.4999999999999999E-2"/>
  </r>
  <r>
    <s v="Epic Games, Inc."/>
    <x v="1"/>
    <s v="paymentv2-admin-service-gamedev-i-530da0ac"/>
    <n v="1"/>
    <n v="1700"/>
    <n v="160"/>
    <x v="0"/>
    <s v="Other"/>
    <x v="1"/>
    <s v="paymentv2-service"/>
    <s v="[DEV]"/>
    <s v="Dev Admin Service Gamedev"/>
    <s v="DEV"/>
    <n v="4.3999999999999997E-2"/>
    <n v="2.4E-2"/>
    <n v="1.4999999999999999E-2"/>
  </r>
  <r>
    <s v="Epic Games, Inc."/>
    <x v="9"/>
    <s v="ut-website-gamedev-i-19948fe4"/>
    <n v="1"/>
    <n v="2000"/>
    <n v="0"/>
    <x v="0"/>
    <s v="Other"/>
    <x v="1"/>
    <s v="ut-website"/>
    <s v="[DEV]"/>
    <s v="Dev Unreal Tournament Gamedev"/>
    <s v="DEV"/>
    <n v="2.5999999999999999E-2"/>
    <n v="1.7000000000000001E-2"/>
    <n v="1.2E-2"/>
  </r>
  <r>
    <s v="Epic Games, Inc."/>
    <x v="1"/>
    <s v="utvbulletin-website-gamedev-i-72309d8d"/>
    <n v="1"/>
    <n v="1700"/>
    <n v="160"/>
    <x v="0"/>
    <s v="Other"/>
    <x v="1"/>
    <s v="utvbulletin-website"/>
    <s v="[DEV]"/>
    <s v="Dev Unreal Tournament Gamedev"/>
    <s v="DEV"/>
    <n v="4.3999999999999997E-2"/>
    <n v="2.4E-2"/>
    <n v="1.4999999999999999E-2"/>
  </r>
  <r>
    <s v="Epic Games, Inc."/>
    <x v="9"/>
    <s v="survey-public-service-gamedev-i-4c8e95b1"/>
    <n v="1"/>
    <n v="2000"/>
    <n v="0"/>
    <x v="0"/>
    <s v="Other"/>
    <x v="1"/>
    <s v="survey-service"/>
    <s v="[DEV]"/>
    <s v="Dev Public Service Gamedev"/>
    <s v="DEV"/>
    <n v="2.5999999999999999E-2"/>
    <n v="1.7000000000000001E-2"/>
    <n v="1.2E-2"/>
  </r>
  <r>
    <s v="Epic Games, Inc."/>
    <x v="1"/>
    <s v="paymentv2-public-service-gamedev-i-e58d9618"/>
    <n v="1"/>
    <n v="1700"/>
    <n v="160"/>
    <x v="0"/>
    <s v="Other"/>
    <x v="1"/>
    <s v="paymentv2-service"/>
    <s v="[DEV]"/>
    <s v="Dev Public Service Gamedev"/>
    <s v="DEV"/>
    <n v="4.3999999999999997E-2"/>
    <n v="2.4E-2"/>
    <n v="1.4999999999999999E-2"/>
  </r>
  <r>
    <s v="Epic Games, Inc."/>
    <x v="9"/>
    <s v="receipt-public-service-gamedev-i-e1319c1e"/>
    <n v="1"/>
    <n v="2000"/>
    <n v="0"/>
    <x v="0"/>
    <s v="Other"/>
    <x v="1"/>
    <s v="Unknown"/>
    <s v="[DEV]"/>
    <s v="Dev Public Service Gamedev"/>
    <s v="DEV"/>
    <n v="2.5999999999999999E-2"/>
    <n v="1.7000000000000001E-2"/>
    <n v="1.2E-2"/>
  </r>
  <r>
    <s v="Epic Games, Inc."/>
    <x v="1"/>
    <s v="shoppingcart-admin-service-gamedev-i-6a8f9497"/>
    <n v="1"/>
    <n v="1700"/>
    <n v="160"/>
    <x v="0"/>
    <s v="Other"/>
    <x v="1"/>
    <s v="shoppingcart-service"/>
    <s v="[DEV]"/>
    <s v="Dev Admin Service Gamedev"/>
    <s v="DEV"/>
    <n v="4.3999999999999997E-2"/>
    <n v="2.4E-2"/>
    <n v="1.4999999999999999E-2"/>
  </r>
  <r>
    <s v="Epic Games, Inc."/>
    <x v="9"/>
    <s v="receipt-admin-service-gamedev-i-d334992c"/>
    <n v="1"/>
    <n v="2000"/>
    <n v="0"/>
    <x v="0"/>
    <s v="Other"/>
    <x v="1"/>
    <s v="Unknown"/>
    <s v="[DEV]"/>
    <s v="Dev Admin Service Gamedev"/>
    <s v="DEV"/>
    <n v="2.5999999999999999E-2"/>
    <n v="1.7000000000000001E-2"/>
    <n v="1.2E-2"/>
  </r>
  <r>
    <s v="Epic Games, Inc."/>
    <x v="1"/>
    <s v="vbulletin-website-gamedev-i-db8b9026"/>
    <n v="1"/>
    <n v="1700"/>
    <n v="160"/>
    <x v="0"/>
    <s v="Other"/>
    <x v="1"/>
    <s v="vbulletin-website"/>
    <s v="[DEV]"/>
    <s v="Dev Website Gamedev"/>
    <s v="DEV"/>
    <n v="4.3999999999999997E-2"/>
    <n v="2.4E-2"/>
    <n v="1.4999999999999999E-2"/>
  </r>
  <r>
    <s v="Epic Games, Inc."/>
    <x v="9"/>
    <s v="orion-admin-servicecron-testing-gamedev-i-ab968d56"/>
    <n v="1"/>
    <n v="2000"/>
    <n v="0"/>
    <x v="0"/>
    <s v="Other"/>
    <x v="1"/>
    <s v="orion-service"/>
    <s v="[DEV]"/>
    <s v="Dev Admin Service Gamedev"/>
    <s v="DEV"/>
    <n v="2.5999999999999999E-2"/>
    <n v="1.7000000000000001E-2"/>
    <n v="1.2E-2"/>
  </r>
  <r>
    <s v="Epic Games, Inc."/>
    <x v="1"/>
    <s v="shoppingcart-public-service-gamedev-i-30329fcf"/>
    <n v="1"/>
    <n v="1700"/>
    <n v="160"/>
    <x v="0"/>
    <s v="Other"/>
    <x v="1"/>
    <s v="shoppingcart-service"/>
    <s v="[DEV]"/>
    <s v="Dev Public Service Gamedev"/>
    <s v="DEV"/>
    <n v="4.3999999999999997E-2"/>
    <n v="2.4E-2"/>
    <n v="1.4999999999999999E-2"/>
  </r>
  <r>
    <s v="Epic Games, Inc."/>
    <x v="9"/>
    <s v="ocean-public-service-latest-gamedev-i-ad8f9450"/>
    <n v="1"/>
    <n v="2000"/>
    <n v="0"/>
    <x v="0"/>
    <s v="Other"/>
    <x v="1"/>
    <s v="ocean-service"/>
    <s v="[DEV]"/>
    <s v="Dev Public Service Gamedev"/>
    <s v="DEV"/>
    <n v="2.5999999999999999E-2"/>
    <n v="1.7000000000000001E-2"/>
    <n v="1.2E-2"/>
  </r>
  <r>
    <s v="Epic Games, Inc."/>
    <x v="9"/>
    <s v="publishing-website-gamedev-i-d78c972a"/>
    <n v="1"/>
    <n v="2000"/>
    <n v="0"/>
    <x v="0"/>
    <s v="Other"/>
    <x v="1"/>
    <s v="publishing-website"/>
    <s v="[DEV]"/>
    <s v="Dev Website Gamedev"/>
    <s v="DEV"/>
    <n v="2.5999999999999999E-2"/>
    <n v="1.7000000000000001E-2"/>
    <n v="1.2E-2"/>
  </r>
  <r>
    <s v="Epic Games, Inc."/>
    <x v="9"/>
    <s v="ocean-admin-service-latest-gamedev-i-d28e952f"/>
    <n v="1"/>
    <n v="2000"/>
    <n v="0"/>
    <x v="0"/>
    <s v="Other"/>
    <x v="1"/>
    <s v="ocean-service"/>
    <s v="[DEV]"/>
    <s v="Dev Admin Service Gamedev"/>
    <s v="DEV"/>
    <n v="2.5999999999999999E-2"/>
    <n v="1.7000000000000001E-2"/>
    <n v="1.2E-2"/>
  </r>
  <r>
    <s v="Epic Games, Inc."/>
    <x v="1"/>
    <s v="catalogv2-admin-service-gamedev-i-528b90af"/>
    <n v="1"/>
    <n v="1700"/>
    <n v="160"/>
    <x v="0"/>
    <s v="Other"/>
    <x v="1"/>
    <s v="catalogv2-service"/>
    <s v="[DEV]"/>
    <s v="Dev Admin Service Gamedev"/>
    <s v="DEV"/>
    <n v="4.3999999999999997E-2"/>
    <n v="2.4E-2"/>
    <n v="1.4999999999999999E-2"/>
  </r>
  <r>
    <s v="Epic Games, Inc."/>
    <x v="9"/>
    <s v="fnvbulletin-website-gamedev-i-9f899262"/>
    <n v="1"/>
    <n v="2000"/>
    <n v="0"/>
    <x v="0"/>
    <s v="Other"/>
    <x v="1"/>
    <s v="fnvbulletin-website"/>
    <s v="[DEV]"/>
    <s v="Dev Fortnite Gamedev"/>
    <s v="DEV"/>
    <n v="2.5999999999999999E-2"/>
    <n v="1.7000000000000001E-2"/>
    <n v="1.2E-2"/>
  </r>
  <r>
    <s v="Epic Games, Inc."/>
    <x v="9"/>
    <s v="tracking-website-gamedev-i-db369b24"/>
    <n v="1"/>
    <n v="2000"/>
    <n v="0"/>
    <x v="0"/>
    <s v="Other"/>
    <x v="1"/>
    <s v="tracking-website"/>
    <s v="[DEV]"/>
    <s v="Dev Website Gamedev"/>
    <s v="DEV"/>
    <n v="2.5999999999999999E-2"/>
    <n v="1.7000000000000001E-2"/>
    <n v="1.2E-2"/>
  </r>
  <r>
    <s v="Epic Games, Inc."/>
    <x v="1"/>
    <s v="entitlement-admin-servicecron-gamedev-i-ccd07c33"/>
    <n v="1"/>
    <n v="1700"/>
    <n v="160"/>
    <x v="0"/>
    <s v="Other"/>
    <x v="3"/>
    <s v="Other"/>
    <s v="Other"/>
    <s v="Dev Admin Service Load Test"/>
    <s v="DEV"/>
    <n v="4.3999999999999997E-2"/>
    <n v="2.4E-2"/>
    <n v="1.4999999999999999E-2"/>
  </r>
  <r>
    <s v="Epic Games, Inc."/>
    <x v="1"/>
    <s v="entitlement-admin-service-gamedev-i-d1d07c2e"/>
    <n v="1"/>
    <n v="1700"/>
    <n v="160"/>
    <x v="0"/>
    <s v="Other"/>
    <x v="1"/>
    <s v="entitlement-service"/>
    <s v="[DEV]"/>
    <s v="Dev Admin Service Gamedev"/>
    <s v="DEV"/>
    <n v="4.3999999999999997E-2"/>
    <n v="2.4E-2"/>
    <n v="1.4999999999999999E-2"/>
  </r>
  <r>
    <s v="Epic Games, Inc."/>
    <x v="1"/>
    <s v="entitlement-admin-service-gamedev-i-466a70bb"/>
    <n v="1"/>
    <n v="1700"/>
    <n v="160"/>
    <x v="0"/>
    <s v="Other"/>
    <x v="1"/>
    <s v="entitlement-service"/>
    <s v="[DEV]"/>
    <s v="Dev Admin Service Gamedev"/>
    <s v="DEV"/>
    <n v="4.3999999999999997E-2"/>
    <n v="2.4E-2"/>
    <n v="1.4999999999999999E-2"/>
  </r>
  <r>
    <s v="Epic Games, Inc."/>
    <x v="9"/>
    <s v="friends-public-service-gamedev-i-642215b2"/>
    <n v="1"/>
    <n v="2000"/>
    <n v="0"/>
    <x v="0"/>
    <s v="Other"/>
    <x v="1"/>
    <s v="friends-service"/>
    <s v="[DEV]"/>
    <s v="Dev Public Service Gamedev"/>
    <s v="DEV"/>
    <n v="2.5999999999999999E-2"/>
    <n v="1.7000000000000001E-2"/>
    <n v="1.2E-2"/>
  </r>
  <r>
    <s v="Epic Games, Inc."/>
    <x v="9"/>
    <s v="ut-admin-service-gamedev-i-da110b27"/>
    <n v="1"/>
    <n v="2000"/>
    <n v="0"/>
    <x v="0"/>
    <s v="Other"/>
    <x v="1"/>
    <s v="ut-service"/>
    <s v="[DEV]"/>
    <s v="Dev Unreal Tournament Gamedev"/>
    <s v="DEV"/>
    <n v="2.5999999999999999E-2"/>
    <n v="1.7000000000000001E-2"/>
    <n v="1.2E-2"/>
  </r>
  <r>
    <s v="Epic Games, Inc."/>
    <x v="9"/>
    <s v="receipt-public-service-stage-i-95248a6a"/>
    <n v="1"/>
    <n v="2000"/>
    <n v="0"/>
    <x v="0"/>
    <s v="Other"/>
    <x v="0"/>
    <s v="Other"/>
    <s v="Other"/>
    <s v="Dev Public Service Stage"/>
    <s v="Staging"/>
    <n v="2.5999999999999999E-2"/>
    <n v="1.7000000000000001E-2"/>
    <n v="1.2E-2"/>
  </r>
  <r>
    <s v="Epic Games, Inc."/>
    <x v="9"/>
    <s v="receipt-admin-service-stage-i-5d2688a2"/>
    <n v="1"/>
    <n v="2000"/>
    <n v="0"/>
    <x v="0"/>
    <s v="Other"/>
    <x v="0"/>
    <s v="Other"/>
    <s v="Other"/>
    <s v="Dev Admin Service Load Test"/>
    <s v="Staging"/>
    <n v="2.5999999999999999E-2"/>
    <n v="1.7000000000000001E-2"/>
    <n v="1.2E-2"/>
  </r>
  <r>
    <s v="Epic Games, Inc."/>
    <x v="9"/>
    <s v="darren-test-ut-public-i-077a9efb"/>
    <n v="1"/>
    <n v="2000"/>
    <n v="0"/>
    <x v="0"/>
    <s v="Other"/>
    <x v="3"/>
    <s v="Other"/>
    <s v="Other"/>
    <s v="Other"/>
    <s v="DEV"/>
    <n v="2.5999999999999999E-2"/>
    <n v="1.7000000000000001E-2"/>
    <n v="1.2E-2"/>
  </r>
  <r>
    <s v="Epic Games, Inc."/>
    <x v="9"/>
    <s v="uedebugstage-website-epiccms-i-f7b7500b"/>
    <n v="1"/>
    <n v="2000"/>
    <n v="0"/>
    <x v="0"/>
    <s v="Other"/>
    <x v="0"/>
    <s v="Other"/>
    <s v="UE Website"/>
    <s v="Dev Website Stage"/>
    <s v="Staging"/>
    <n v="2.5999999999999999E-2"/>
    <n v="1.7000000000000001E-2"/>
    <n v="1.2E-2"/>
  </r>
  <r>
    <s v="Epic Games, Inc."/>
    <x v="9"/>
    <s v="utdebugstage-website-epiccms-i-32ca63cd"/>
    <n v="1"/>
    <n v="2000"/>
    <n v="0"/>
    <x v="0"/>
    <s v="Other"/>
    <x v="0"/>
    <s v="Other"/>
    <s v="UT Website"/>
    <s v="Dev Website Stage"/>
    <s v="Staging"/>
    <n v="2.5999999999999999E-2"/>
    <n v="1.7000000000000001E-2"/>
    <n v="1.2E-2"/>
  </r>
  <r>
    <s v="Epic Games, Inc."/>
    <x v="2"/>
    <s v="mongodb-receipt-prod06-03"/>
    <n v="2"/>
    <n v="7500"/>
    <n v="32"/>
    <x v="1"/>
    <s v="Other"/>
    <x v="0"/>
    <s v="Other"/>
    <s v="Other"/>
    <s v="Dev MongoDB"/>
    <s v="Common Services (Prod06)"/>
    <n v="0.13300000000000001"/>
    <n v="8.1000000000000003E-2"/>
    <n v="5.1999999999999998E-2"/>
  </r>
  <r>
    <s v="Epic Games, Inc."/>
    <x v="2"/>
    <s v="mongodb-receipt-prod06-01"/>
    <n v="2"/>
    <n v="7500"/>
    <n v="32"/>
    <x v="1"/>
    <s v="Other"/>
    <x v="0"/>
    <s v="Other"/>
    <s v="Other"/>
    <s v="Dev MongoDB"/>
    <s v="Common Services (Prod06)"/>
    <n v="0.13300000000000001"/>
    <n v="8.1000000000000003E-2"/>
    <n v="5.1999999999999998E-2"/>
  </r>
  <r>
    <s v="Epic Games, Inc."/>
    <x v="2"/>
    <s v="mongodb-receipt-prod06-04"/>
    <n v="2"/>
    <n v="7500"/>
    <n v="32"/>
    <x v="7"/>
    <s v="Other"/>
    <x v="0"/>
    <s v="Other"/>
    <s v="Other"/>
    <s v="Dev MongoDB"/>
    <s v="Common Services (Prod06)"/>
    <n v="0.13300000000000001"/>
    <n v="8.1000000000000003E-2"/>
    <n v="5.1999999999999998E-2"/>
  </r>
  <r>
    <s v="Epic Games, Inc."/>
    <x v="0"/>
    <s v="receipt-public-service-prod06-i-5d8067a1"/>
    <n v="2"/>
    <n v="3750"/>
    <n v="32"/>
    <x v="0"/>
    <s v="Other"/>
    <x v="0"/>
    <s v="Other"/>
    <s v="Other"/>
    <s v="Other"/>
    <s v="Common Services (Prod06)"/>
    <n v="0.105"/>
    <n v="6.2E-2"/>
    <n v="3.9E-2"/>
  </r>
  <r>
    <s v="Epic Games, Inc."/>
    <x v="0"/>
    <s v="receipt-admin-service-prod06-i-74de778b"/>
    <n v="2"/>
    <n v="3750"/>
    <n v="32"/>
    <x v="0"/>
    <s v="Other"/>
    <x v="0"/>
    <s v="Other"/>
    <s v="Other"/>
    <s v="Dev Admin Service Load Test"/>
    <s v="Common Services (Prod06)"/>
    <n v="0.105"/>
    <n v="6.2E-2"/>
    <n v="3.9E-2"/>
  </r>
  <r>
    <s v="Epic Games, Inc."/>
    <x v="0"/>
    <s v="receipt-public-service-prod06-i-91d0796e"/>
    <n v="2"/>
    <n v="3750"/>
    <n v="32"/>
    <x v="0"/>
    <s v="Other"/>
    <x v="0"/>
    <s v="Other"/>
    <s v="Other"/>
    <s v="Other"/>
    <s v="Common Services (Prod06)"/>
    <n v="0.105"/>
    <n v="6.2E-2"/>
    <n v="3.9E-2"/>
  </r>
  <r>
    <s v="Epic Games, Inc."/>
    <x v="2"/>
    <s v="mongodb-receipt-prod06-02"/>
    <n v="2"/>
    <n v="7500"/>
    <n v="32"/>
    <x v="1"/>
    <s v="Other"/>
    <x v="0"/>
    <s v="Other"/>
    <s v="Other"/>
    <s v="Dev MongoDB"/>
    <s v="Common Services (Prod06)"/>
    <n v="0.13300000000000001"/>
    <n v="8.1000000000000003E-2"/>
    <n v="5.1999999999999998E-2"/>
  </r>
  <r>
    <s v="Epic Games, Inc."/>
    <x v="9"/>
    <s v="mongodb-receipt-prod06-05"/>
    <n v="1"/>
    <n v="2000"/>
    <n v="0"/>
    <x v="0"/>
    <s v="Other"/>
    <x v="0"/>
    <s v="Other"/>
    <s v="Other"/>
    <s v="Dev MongoDB"/>
    <s v="Common Services (Prod06)"/>
    <n v="2.5999999999999999E-2"/>
    <n v="1.7000000000000001E-2"/>
    <n v="1.2E-2"/>
  </r>
  <r>
    <s v="Epic Games, Inc."/>
    <x v="0"/>
    <s v="receipt-admin-service-prod06-i-9e806762"/>
    <n v="2"/>
    <n v="3750"/>
    <n v="32"/>
    <x v="0"/>
    <s v="Other"/>
    <x v="0"/>
    <s v="Other"/>
    <s v="Other"/>
    <s v="Dev Admin Service Load Test"/>
    <s v="Common Services (Prod06)"/>
    <n v="0.105"/>
    <n v="6.2E-2"/>
    <n v="3.9E-2"/>
  </r>
  <r>
    <s v="Epic Games, Inc."/>
    <x v="9"/>
    <s v="imageservice-public-service-stage-i-28af28f8"/>
    <n v="1"/>
    <n v="2000"/>
    <n v="0"/>
    <x v="0"/>
    <s v="Other"/>
    <x v="0"/>
    <s v="Other"/>
    <s v="Other"/>
    <s v="Dev Public Service Stage"/>
    <s v="Staging"/>
    <n v="2.5999999999999999E-2"/>
    <n v="1.7000000000000001E-2"/>
    <n v="1.2E-2"/>
  </r>
  <r>
    <s v="Epic Games, Inc."/>
    <x v="9"/>
    <s v="imageservice-admin-service-stage-i-a3ab2c73"/>
    <n v="1"/>
    <n v="2000"/>
    <n v="0"/>
    <x v="0"/>
    <s v="Other"/>
    <x v="0"/>
    <s v="Other"/>
    <s v="Other"/>
    <s v="Dev Admin Service Load Test"/>
    <s v="Staging"/>
    <n v="2.5999999999999999E-2"/>
    <n v="1.7000000000000001E-2"/>
    <n v="1.2E-2"/>
  </r>
  <r>
    <s v="Epic Games, Inc."/>
    <x v="9"/>
    <s v="darren-test-ut-public-i-65ae1a9a"/>
    <n v="1"/>
    <n v="2000"/>
    <n v="0"/>
    <x v="0"/>
    <s v="Other"/>
    <x v="3"/>
    <s v="Other"/>
    <s v="Other"/>
    <s v="Other"/>
    <s v="DEV"/>
    <n v="2.5999999999999999E-2"/>
    <n v="1.7000000000000001E-2"/>
    <n v="1.2E-2"/>
  </r>
  <r>
    <s v="Epic Games, Inc."/>
    <x v="0"/>
    <s v="ut-admin-servicecron-prod10-i-255fecda"/>
    <n v="2"/>
    <n v="3750"/>
    <n v="32"/>
    <x v="0"/>
    <s v="Other"/>
    <x v="0"/>
    <s v="Other"/>
    <s v="UT Service"/>
    <s v="Dev Admin Service Load Test"/>
    <s v="Unreal Tournament"/>
    <n v="0.105"/>
    <n v="6.2E-2"/>
    <n v="3.9E-2"/>
  </r>
  <r>
    <s v="Epic Games, Inc."/>
    <x v="0"/>
    <s v="ut-admin-service-prod10-i-ee5dd03e"/>
    <n v="2"/>
    <n v="3750"/>
    <n v="32"/>
    <x v="0"/>
    <s v="Other"/>
    <x v="0"/>
    <s v="Other"/>
    <s v="UT Service"/>
    <s v="Dev Admin Service Load Test"/>
    <s v="Unreal Tournament"/>
    <n v="0.105"/>
    <n v="6.2E-2"/>
    <n v="3.9E-2"/>
  </r>
  <r>
    <s v="Epic Games, Inc."/>
    <x v="0"/>
    <s v="ut-admin-service-prod10-i-8d5dee72"/>
    <n v="2"/>
    <n v="3750"/>
    <n v="32"/>
    <x v="0"/>
    <s v="Other"/>
    <x v="0"/>
    <s v="Other"/>
    <s v="UT Service"/>
    <s v="Dev Admin Service Load Test"/>
    <s v="Unreal Tournament"/>
    <n v="0.105"/>
    <n v="6.2E-2"/>
    <n v="3.9E-2"/>
  </r>
  <r>
    <s v="Epic Games, Inc."/>
    <x v="0"/>
    <s v="ut-public-service-prod10-i-4517a4ba"/>
    <n v="2"/>
    <n v="3750"/>
    <n v="32"/>
    <x v="0"/>
    <s v="Other"/>
    <x v="0"/>
    <s v="Other"/>
    <s v="UT Service"/>
    <s v="Other"/>
    <s v="Unreal Tournament"/>
    <n v="0.105"/>
    <n v="6.2E-2"/>
    <n v="3.9E-2"/>
  </r>
  <r>
    <s v="Epic Games, Inc."/>
    <x v="0"/>
    <s v="ut-public-service-prod10-i-4217a4bd"/>
    <n v="2"/>
    <n v="3750"/>
    <n v="32"/>
    <x v="0"/>
    <s v="Other"/>
    <x v="0"/>
    <s v="Other"/>
    <s v="UT Service"/>
    <s v="Other"/>
    <s v="Unreal Tournament"/>
    <n v="0.105"/>
    <n v="6.2E-2"/>
    <n v="3.9E-2"/>
  </r>
  <r>
    <s v="Epic Games, Inc."/>
    <x v="0"/>
    <s v="ut-public-service-prod10-i-10078ac0"/>
    <n v="2"/>
    <n v="3750"/>
    <n v="32"/>
    <x v="0"/>
    <s v="Other"/>
    <x v="0"/>
    <s v="Other"/>
    <s v="UT Service"/>
    <s v="Other"/>
    <s v="Unreal Tournament"/>
    <n v="0.105"/>
    <n v="6.2E-2"/>
    <n v="3.9E-2"/>
  </r>
  <r>
    <s v="Epic Games, Inc."/>
    <x v="0"/>
    <s v="ut-public-service-prod10-i-1f078acf"/>
    <n v="2"/>
    <n v="3750"/>
    <n v="32"/>
    <x v="0"/>
    <s v="Other"/>
    <x v="0"/>
    <s v="Other"/>
    <s v="UT Service"/>
    <s v="Other"/>
    <s v="Unreal Tournament"/>
    <n v="0.105"/>
    <n v="6.2E-2"/>
    <n v="3.9E-2"/>
  </r>
  <r>
    <s v="Epic Games, Inc."/>
    <x v="17"/>
    <s v="docker-registry-i-eb60ed14"/>
    <n v="4"/>
    <n v="7500"/>
    <n v="80"/>
    <x v="0"/>
    <s v="Other"/>
    <x v="3"/>
    <s v="Other"/>
    <s v="[DEV]"/>
    <s v="Other"/>
    <s v="DEV"/>
    <n v="0.21"/>
    <n v="0.125"/>
    <n v="7.9000000000000001E-2"/>
  </r>
  <r>
    <s v="Epic Games, Inc."/>
    <x v="14"/>
    <s v="fortnite-website-prod07-i-5d32a4a2"/>
    <n v="8"/>
    <n v="15000"/>
    <n v="160"/>
    <x v="0"/>
    <s v="Other"/>
    <x v="0"/>
    <s v="Other"/>
    <s v="Fortnite Website"/>
    <s v="Other"/>
    <s v="Fortnite"/>
    <n v="0.42"/>
    <n v="0.248"/>
    <n v="0.157"/>
  </r>
  <r>
    <s v="Epic Games, Inc."/>
    <x v="15"/>
    <s v="redis-account02-lt-02"/>
    <n v="16"/>
    <n v="30000"/>
    <n v="320"/>
    <x v="0"/>
    <s v="Other"/>
    <x v="1"/>
    <s v="redis"/>
    <s v="[DEV]"/>
    <s v="Dev Redis"/>
    <s v="DEV"/>
    <n v="0.84"/>
    <n v="0.497"/>
    <n v="0.314"/>
  </r>
  <r>
    <s v="Epic Games, Inc."/>
    <x v="16"/>
    <s v="mongodb-account-lt-01"/>
    <n v="8"/>
    <n v="61000"/>
    <n v="1440"/>
    <x v="0"/>
    <s v="Other"/>
    <x v="1"/>
    <s v="mongodb"/>
    <s v="[DEV]"/>
    <s v="Dev MongoDB"/>
    <s v="DEV"/>
    <n v="1.7050000000000001"/>
    <n v="0.71199999999999997"/>
    <n v="0.42299999999999999"/>
  </r>
  <r>
    <s v="Epic Games, Inc."/>
    <x v="15"/>
    <s v="redis-account02-lt-01"/>
    <n v="16"/>
    <n v="30000"/>
    <n v="320"/>
    <x v="0"/>
    <s v="Other"/>
    <x v="1"/>
    <s v="redis"/>
    <s v="[DEV]"/>
    <s v="Dev Redis"/>
    <s v="DEV"/>
    <n v="0.84"/>
    <n v="0.497"/>
    <n v="0.314"/>
  </r>
  <r>
    <s v="Epic Games, Inc."/>
    <x v="8"/>
    <s v="mongodb-account-lt-04"/>
    <n v="8"/>
    <n v="30000"/>
    <n v="160"/>
    <x v="20"/>
    <s v="Other"/>
    <x v="1"/>
    <s v="mongodb"/>
    <s v="[DEV]"/>
    <s v="Dev MongoDB"/>
    <s v="DEV"/>
    <n v="0.53200000000000003"/>
    <n v="0.32400000000000001"/>
    <n v="0.20899999999999999"/>
  </r>
  <r>
    <s v="Epic Games, Inc."/>
    <x v="8"/>
    <s v="mongodb-account-lt-02"/>
    <n v="8"/>
    <n v="30000"/>
    <n v="160"/>
    <x v="7"/>
    <s v="Other"/>
    <x v="1"/>
    <s v="mongodb"/>
    <s v="[DEV]"/>
    <s v="Dev MongoDB"/>
    <s v="DEV"/>
    <n v="0.53200000000000003"/>
    <n v="0.32400000000000001"/>
    <n v="0.20899999999999999"/>
  </r>
  <r>
    <s v="Epic Games, Inc."/>
    <x v="12"/>
    <s v="redis-account01-lt-02"/>
    <n v="32"/>
    <n v="60000"/>
    <n v="640"/>
    <x v="0"/>
    <s v="Other"/>
    <x v="1"/>
    <s v="redis"/>
    <s v="[DEV]"/>
    <s v="Dev Redis"/>
    <s v="DEV"/>
    <n v="1.68"/>
    <n v="0.99199999999999999"/>
    <n v="0.628"/>
  </r>
  <r>
    <s v="Epic Games, Inc."/>
    <x v="1"/>
    <s v="mongodb-account-lt-05"/>
    <n v="1"/>
    <n v="1700"/>
    <n v="160"/>
    <x v="0"/>
    <s v="Other"/>
    <x v="1"/>
    <s v="mongodb"/>
    <s v="[DEV]"/>
    <s v="Dev MongoDB"/>
    <s v="DEV"/>
    <n v="4.3999999999999997E-2"/>
    <n v="2.4E-2"/>
    <n v="1.4999999999999999E-2"/>
  </r>
  <r>
    <s v="Epic Games, Inc."/>
    <x v="12"/>
    <s v="redis-account01-lt-01"/>
    <n v="32"/>
    <n v="60000"/>
    <n v="640"/>
    <x v="0"/>
    <s v="Other"/>
    <x v="1"/>
    <s v="redis"/>
    <s v="[DEV]"/>
    <s v="Dev Redis"/>
    <s v="DEV"/>
    <n v="1.68"/>
    <n v="0.99199999999999999"/>
    <n v="0.628"/>
  </r>
  <r>
    <s v="Epic Games, Inc."/>
    <x v="8"/>
    <s v="mongodb-account-lt-03"/>
    <n v="8"/>
    <n v="30000"/>
    <n v="160"/>
    <x v="7"/>
    <s v="Other"/>
    <x v="1"/>
    <s v="mongodb"/>
    <s v="[DEV]"/>
    <s v="Dev MongoDB"/>
    <s v="DEV"/>
    <n v="0.53200000000000003"/>
    <n v="0.32400000000000001"/>
    <n v="0.20899999999999999"/>
  </r>
  <r>
    <s v="Epic Games, Inc."/>
    <x v="0"/>
    <s v="epiccms-epiccms-i-5bfd6da4"/>
    <n v="2"/>
    <n v="3750"/>
    <n v="32"/>
    <x v="0"/>
    <s v="Other"/>
    <x v="0"/>
    <s v="Other"/>
    <s v="EpicCMS (EpicCMS)"/>
    <s v="Other"/>
    <s v="Epic CMS"/>
    <n v="0.105"/>
    <n v="6.2E-2"/>
    <n v="3.9E-2"/>
  </r>
  <r>
    <s v="Epic Games, Inc."/>
    <x v="1"/>
    <s v="utvbulletin-website-gamedev-i-13a1c3c3"/>
    <n v="1"/>
    <n v="1700"/>
    <n v="160"/>
    <x v="0"/>
    <s v="Other"/>
    <x v="1"/>
    <s v="utvbulletin-website"/>
    <s v="[DEV]"/>
    <s v="Dev Unreal Tournament Gamedev"/>
    <s v="DEV"/>
    <n v="4.3999999999999997E-2"/>
    <n v="2.4E-2"/>
    <n v="1.4999999999999999E-2"/>
  </r>
  <r>
    <s v="Epic Games, Inc."/>
    <x v="9"/>
    <s v="ocean-admin-service-gamedev-i-2dea85fd"/>
    <n v="1"/>
    <n v="2000"/>
    <n v="0"/>
    <x v="0"/>
    <s v="Other"/>
    <x v="1"/>
    <s v="ocean-service"/>
    <s v="[DEV]"/>
    <s v="Dev Admin Service Gamedev"/>
    <s v="DEV"/>
    <n v="2.5999999999999999E-2"/>
    <n v="1.7000000000000001E-2"/>
    <n v="1.2E-2"/>
  </r>
  <r>
    <s v="Epic Games, Inc."/>
    <x v="9"/>
    <s v="ocean-admin-service-gamedev-i-b12cb14e"/>
    <n v="1"/>
    <n v="2000"/>
    <n v="0"/>
    <x v="0"/>
    <s v="Other"/>
    <x v="1"/>
    <s v="ocean-service"/>
    <s v="[DEV]"/>
    <s v="Dev Admin Service Gamedev"/>
    <s v="DEV"/>
    <n v="2.5999999999999999E-2"/>
    <n v="1.7000000000000001E-2"/>
    <n v="1.2E-2"/>
  </r>
  <r>
    <s v="Epic Games, Inc."/>
    <x v="9"/>
    <s v="ocean-public-service-gamedev-i-2aea85fa"/>
    <n v="1"/>
    <n v="2000"/>
    <n v="0"/>
    <x v="0"/>
    <s v="Other"/>
    <x v="1"/>
    <s v="ocean-service"/>
    <s v="[DEV]"/>
    <s v="Dev Public Service Gamedev"/>
    <s v="DEV"/>
    <n v="2.5999999999999999E-2"/>
    <n v="1.7000000000000001E-2"/>
    <n v="1.2E-2"/>
  </r>
  <r>
    <s v="Epic Games, Inc."/>
    <x v="9"/>
    <s v="ocean-public-service-gamedev-i-fc2cb103"/>
    <n v="1"/>
    <n v="2000"/>
    <n v="0"/>
    <x v="0"/>
    <s v="Other"/>
    <x v="1"/>
    <s v="ocean-service"/>
    <s v="[DEV]"/>
    <s v="Dev Public Service Gamedev"/>
    <s v="DEV"/>
    <n v="2.5999999999999999E-2"/>
    <n v="1.7000000000000001E-2"/>
    <n v="1.2E-2"/>
  </r>
  <r>
    <s v="Epic Games, Inc."/>
    <x v="1"/>
    <s v="fortnite-admin-service-releaseapproved-gamedev-i-95670945"/>
    <n v="1"/>
    <n v="1700"/>
    <n v="160"/>
    <x v="0"/>
    <s v="Other"/>
    <x v="1"/>
    <s v="fortnite-service"/>
    <s v="[DEV]"/>
    <s v="Dev Fortnite Gamedev"/>
    <s v="DEV"/>
    <n v="4.3999999999999997E-2"/>
    <n v="2.4E-2"/>
    <n v="1.4999999999999999E-2"/>
  </r>
  <r>
    <s v="Epic Games, Inc."/>
    <x v="9"/>
    <s v="uedebug-website-stage-i-5547dbaa"/>
    <n v="1"/>
    <n v="2000"/>
    <n v="0"/>
    <x v="0"/>
    <s v="Other"/>
    <x v="0"/>
    <s v="Other"/>
    <s v="Other"/>
    <s v="Dev Website Stage"/>
    <s v="Staging"/>
    <n v="2.5999999999999999E-2"/>
    <n v="1.7000000000000001E-2"/>
    <n v="1.2E-2"/>
  </r>
  <r>
    <s v="Epic Games, Inc."/>
    <x v="9"/>
    <s v="utdebug-website-stage-i-b1f39a61"/>
    <n v="1"/>
    <n v="2000"/>
    <n v="0"/>
    <x v="0"/>
    <s v="Other"/>
    <x v="0"/>
    <s v="Other"/>
    <s v="Other"/>
    <s v="Dev Website Stage"/>
    <s v="Staging"/>
    <n v="2.5999999999999999E-2"/>
    <n v="1.7000000000000001E-2"/>
    <n v="1.2E-2"/>
  </r>
  <r>
    <s v="Epic Games, Inc."/>
    <x v="9"/>
    <s v="fndebugstage-website-epiccms-i-c3ce503c"/>
    <n v="1"/>
    <n v="2000"/>
    <n v="0"/>
    <x v="0"/>
    <s v="Other"/>
    <x v="0"/>
    <s v="Other"/>
    <s v="Other"/>
    <s v="Dev Website Stage"/>
    <s v="Staging"/>
    <n v="2.5999999999999999E-2"/>
    <n v="1.7000000000000001E-2"/>
    <n v="1.2E-2"/>
  </r>
  <r>
    <s v="Epic Games, Inc."/>
    <x v="9"/>
    <s v="fndebug-website-stage-i-c1ce503e"/>
    <n v="1"/>
    <n v="2000"/>
    <n v="0"/>
    <x v="0"/>
    <s v="Other"/>
    <x v="0"/>
    <s v="Other"/>
    <s v="Other"/>
    <s v="Dev Website Stage"/>
    <s v="Staging"/>
    <n v="2.5999999999999999E-2"/>
    <n v="1.7000000000000001E-2"/>
    <n v="1.2E-2"/>
  </r>
  <r>
    <s v="Epic Games, Inc."/>
    <x v="0"/>
    <s v="fulfillment-admin-service-prod06-i-5b1677a4"/>
    <n v="2"/>
    <n v="3750"/>
    <n v="32"/>
    <x v="0"/>
    <s v="Other"/>
    <x v="0"/>
    <s v="Other"/>
    <s v="Fulfillment Service"/>
    <s v="Dev Admin Service Load Test"/>
    <s v="Common Services (Prod06)"/>
    <n v="0.105"/>
    <n v="6.2E-2"/>
    <n v="3.9E-2"/>
  </r>
  <r>
    <s v="Epic Games, Inc."/>
    <x v="0"/>
    <s v="account-admin-service-lt-i-034021fc"/>
    <n v="2"/>
    <n v="3750"/>
    <n v="32"/>
    <x v="0"/>
    <s v="Other"/>
    <x v="1"/>
    <s v="account-service"/>
    <s v="[DEV]"/>
    <s v="Dev Admin Service Load Test"/>
    <s v="DEV"/>
    <n v="0.105"/>
    <n v="6.2E-2"/>
    <n v="3.9E-2"/>
  </r>
  <r>
    <s v="Epic Games, Inc."/>
    <x v="0"/>
    <s v="account-admin-service-lt-i-404021bf"/>
    <n v="2"/>
    <n v="3750"/>
    <n v="32"/>
    <x v="0"/>
    <s v="Other"/>
    <x v="1"/>
    <s v="account-service"/>
    <s v="[DEV]"/>
    <s v="Dev Admin Service Load Test"/>
    <s v="DEV"/>
    <n v="0.105"/>
    <n v="6.2E-2"/>
    <n v="3.9E-2"/>
  </r>
  <r>
    <s v="Epic Games, Inc."/>
    <x v="0"/>
    <s v="account-admin-service-lt-i-1f681acf"/>
    <n v="2"/>
    <n v="3750"/>
    <n v="32"/>
    <x v="0"/>
    <s v="Other"/>
    <x v="1"/>
    <s v="account-service"/>
    <s v="[DEV]"/>
    <s v="Dev Admin Service Load Test"/>
    <s v="DEV"/>
    <n v="0.105"/>
    <n v="6.2E-2"/>
    <n v="3.9E-2"/>
  </r>
  <r>
    <s v="Epic Games, Inc."/>
    <x v="1"/>
    <s v="adminportal-website-gamedev-i-5deb958d"/>
    <n v="1"/>
    <n v="1700"/>
    <n v="160"/>
    <x v="0"/>
    <s v="Other"/>
    <x v="1"/>
    <s v="adminportal-website"/>
    <s v="[DEV]"/>
    <s v="Dev Website Gamedev"/>
    <s v="DEV"/>
    <n v="4.3999999999999997E-2"/>
    <n v="2.4E-2"/>
    <n v="1.4999999999999999E-2"/>
  </r>
  <r>
    <s v="Epic Games, Inc."/>
    <x v="9"/>
    <s v="accountportal-website-common-ci-i-28ff8ad7"/>
    <n v="1"/>
    <n v="2000"/>
    <n v="0"/>
    <x v="0"/>
    <s v="Other"/>
    <x v="1"/>
    <s v="accountportal-website"/>
    <s v="[DEV]"/>
    <s v="Dev Common CI"/>
    <s v="DEV"/>
    <n v="2.5999999999999999E-2"/>
    <n v="1.7000000000000001E-2"/>
    <n v="1.2E-2"/>
  </r>
  <r>
    <s v="Epic Games, Inc."/>
    <x v="1"/>
    <s v="catalogadmin-website-gamedev-i-e5b7cb1a"/>
    <n v="1"/>
    <n v="1700"/>
    <n v="160"/>
    <x v="0"/>
    <s v="Other"/>
    <x v="1"/>
    <s v="catalogadmin-website"/>
    <s v="[DEV]"/>
    <s v="Dev Website Gamedev"/>
    <s v="DEV"/>
    <n v="4.3999999999999997E-2"/>
    <n v="2.4E-2"/>
    <n v="1.4999999999999999E-2"/>
  </r>
  <r>
    <s v="Epic Games, Inc."/>
    <x v="9"/>
    <s v="replay-admin-service-ci-i-306535e0"/>
    <n v="1"/>
    <n v="2000"/>
    <n v="0"/>
    <x v="0"/>
    <s v="Other"/>
    <x v="1"/>
    <s v="Unknown"/>
    <s v="[DEV]"/>
    <s v="Dev Admin Service CI"/>
    <s v="DEV"/>
    <n v="2.5999999999999999E-2"/>
    <n v="1.7000000000000001E-2"/>
    <n v="1.2E-2"/>
  </r>
  <r>
    <s v="Epic Games, Inc."/>
    <x v="9"/>
    <s v="replay-public-service-ci-i-bed7ac41"/>
    <n v="1"/>
    <n v="2000"/>
    <n v="0"/>
    <x v="0"/>
    <s v="Other"/>
    <x v="1"/>
    <s v="Unknown"/>
    <s v="[DEV]"/>
    <s v="Dev Public Service CI"/>
    <s v="DEV"/>
    <n v="2.5999999999999999E-2"/>
    <n v="1.7000000000000001E-2"/>
    <n v="1.2E-2"/>
  </r>
  <r>
    <s v="Epic Games, Inc."/>
    <x v="4"/>
    <s v="accountportal-website-gamedev-i-11257ec1"/>
    <n v="1"/>
    <n v="3750"/>
    <n v="4"/>
    <x v="0"/>
    <s v="Other"/>
    <x v="1"/>
    <s v="accountportal-website"/>
    <s v="[DEV]"/>
    <s v="Dev Website Gamedev"/>
    <s v="DEV"/>
    <n v="6.7000000000000004E-2"/>
    <n v="0.04"/>
    <n v="2.5999999999999999E-2"/>
  </r>
  <r>
    <s v="Epic Games, Inc."/>
    <x v="1"/>
    <s v="fortnite-public-service-releasetesting-gamedev-i-f93b1b29"/>
    <n v="1"/>
    <n v="1700"/>
    <n v="160"/>
    <x v="0"/>
    <s v="Other"/>
    <x v="1"/>
    <s v="fortnite-service"/>
    <s v="[DEV]"/>
    <s v="Dev Fortnite Gamedev"/>
    <s v="DEV"/>
    <n v="4.3999999999999997E-2"/>
    <n v="2.4E-2"/>
    <n v="1.4999999999999999E-2"/>
  </r>
  <r>
    <s v="Epic Games, Inc."/>
    <x v="1"/>
    <s v="fortnite-public-service-releaseapproved-gamedev-i-66480099"/>
    <n v="1"/>
    <n v="1700"/>
    <n v="160"/>
    <x v="0"/>
    <s v="Other"/>
    <x v="1"/>
    <s v="fortnite-service"/>
    <s v="[DEV]"/>
    <s v="Dev Fortnite Gamedev"/>
    <s v="DEV"/>
    <n v="4.3999999999999997E-2"/>
    <n v="2.4E-2"/>
    <n v="1.4999999999999999E-2"/>
  </r>
  <r>
    <s v="Epic Games, Inc."/>
    <x v="1"/>
    <s v="orderprocessor-admin-service-gamedev-i-4e622ab1"/>
    <n v="1"/>
    <n v="1700"/>
    <n v="160"/>
    <x v="0"/>
    <s v="Other"/>
    <x v="1"/>
    <s v="orderprocessor-service"/>
    <s v="[DEV]"/>
    <s v="Dev Admin Service Gamedev"/>
    <s v="DEV"/>
    <n v="4.3999999999999997E-2"/>
    <n v="2.4E-2"/>
    <n v="1.4999999999999999E-2"/>
  </r>
  <r>
    <s v="Epic Games, Inc."/>
    <x v="9"/>
    <s v="replay-public-service-gamedev-i-6181a1b1"/>
    <n v="1"/>
    <n v="2000"/>
    <n v="0"/>
    <x v="0"/>
    <s v="Other"/>
    <x v="1"/>
    <s v="Unknown"/>
    <s v="[DEV]"/>
    <s v="Dev Public Service Gamedev"/>
    <s v="DEV"/>
    <n v="2.5999999999999999E-2"/>
    <n v="1.7000000000000001E-2"/>
    <n v="1.2E-2"/>
  </r>
  <r>
    <s v="Epic Games, Inc."/>
    <x v="9"/>
    <s v="replay-admin-service-gamedev-i-7470388b"/>
    <n v="1"/>
    <n v="2000"/>
    <n v="0"/>
    <x v="0"/>
    <s v="Other"/>
    <x v="1"/>
    <s v="Unknown"/>
    <s v="[DEV]"/>
    <s v="Dev Admin Service Gamedev"/>
    <s v="DEV"/>
    <n v="2.5999999999999999E-2"/>
    <n v="1.7000000000000001E-2"/>
    <n v="1.2E-2"/>
  </r>
  <r>
    <s v="Epic Games, Inc."/>
    <x v="1"/>
    <s v="orderprocessor-public-service-gamedev-i-ba71526a"/>
    <n v="1"/>
    <n v="1700"/>
    <n v="160"/>
    <x v="0"/>
    <s v="Other"/>
    <x v="1"/>
    <s v="orderprocessor-service"/>
    <s v="[DEV]"/>
    <s v="Dev Public Service Gamedev"/>
    <s v="DEV"/>
    <n v="4.3999999999999997E-2"/>
    <n v="2.4E-2"/>
    <n v="1.4999999999999999E-2"/>
  </r>
  <r>
    <s v="Epic Games, Inc."/>
    <x v="2"/>
    <s v="pgsql-dean-test-rds-01"/>
    <n v="2"/>
    <n v="7500"/>
    <n v="32"/>
    <x v="1"/>
    <s v="Other"/>
    <x v="1"/>
    <s v="pgsql"/>
    <s v="[DEV]"/>
    <s v="Dev Postgres SQL"/>
    <s v="DEV"/>
    <n v="0.13300000000000001"/>
    <n v="8.1000000000000003E-2"/>
    <n v="5.1999999999999998E-2"/>
  </r>
  <r>
    <s v="Epic Games, Inc."/>
    <x v="2"/>
    <s v="pgsql-dean-test-rds-02"/>
    <n v="2"/>
    <n v="7500"/>
    <n v="32"/>
    <x v="1"/>
    <s v="Other"/>
    <x v="1"/>
    <s v="pgsql"/>
    <s v="[DEV]"/>
    <s v="Dev Postgres SQL"/>
    <s v="DEV"/>
    <n v="0.13300000000000001"/>
    <n v="8.1000000000000003E-2"/>
    <n v="5.1999999999999998E-2"/>
  </r>
  <r>
    <s v="Epic Games, Inc."/>
    <x v="2"/>
    <s v="pgsql-dean-test-rds-03"/>
    <n v="2"/>
    <n v="7500"/>
    <n v="32"/>
    <x v="7"/>
    <s v="Other"/>
    <x v="1"/>
    <s v="pgsql"/>
    <s v="[DEV]"/>
    <s v="Dev Postgres SQL"/>
    <s v="DEV"/>
    <n v="0.13300000000000001"/>
    <n v="8.1000000000000003E-2"/>
    <n v="5.1999999999999998E-2"/>
  </r>
  <r>
    <s v="Epic Games, Inc."/>
    <x v="9"/>
    <s v="replay-admin-service-gamedev-i-346c43e4"/>
    <n v="1"/>
    <n v="2000"/>
    <n v="0"/>
    <x v="0"/>
    <s v="Other"/>
    <x v="1"/>
    <s v="Unknown"/>
    <s v="[DEV]"/>
    <s v="Dev Admin Service Gamedev"/>
    <s v="DEV"/>
    <n v="2.5999999999999999E-2"/>
    <n v="1.7000000000000001E-2"/>
    <n v="1.2E-2"/>
  </r>
  <r>
    <s v="Epic Games, Inc."/>
    <x v="9"/>
    <s v="replay-public-service-gamedev-i-a9015556"/>
    <n v="1"/>
    <n v="2000"/>
    <n v="0"/>
    <x v="0"/>
    <s v="Other"/>
    <x v="1"/>
    <s v="Unknown"/>
    <s v="[DEV]"/>
    <s v="Dev Public Service Gamedev"/>
    <s v="DEV"/>
    <n v="2.5999999999999999E-2"/>
    <n v="1.7000000000000001E-2"/>
    <n v="1.2E-2"/>
  </r>
  <r>
    <s v="Epic Games, Inc."/>
    <x v="9"/>
    <s v="replay-admin-service-stage-i-9f005760"/>
    <n v="1"/>
    <n v="2000"/>
    <n v="0"/>
    <x v="0"/>
    <s v="Other"/>
    <x v="0"/>
    <s v="Other"/>
    <s v="Other"/>
    <s v="Dev Admin Service Load Test"/>
    <s v="Staging"/>
    <n v="2.5999999999999999E-2"/>
    <n v="1.7000000000000001E-2"/>
    <n v="1.2E-2"/>
  </r>
  <r>
    <s v="Epic Games, Inc."/>
    <x v="9"/>
    <s v="replay-public-service-stage-i-074a64d7"/>
    <n v="1"/>
    <n v="2000"/>
    <n v="0"/>
    <x v="0"/>
    <s v="Other"/>
    <x v="0"/>
    <s v="Other"/>
    <s v="Other"/>
    <s v="Dev Public Service Stage"/>
    <s v="Staging"/>
    <n v="2.5999999999999999E-2"/>
    <n v="1.7000000000000001E-2"/>
    <n v="1.2E-2"/>
  </r>
  <r>
    <s v="Epic Games, Inc."/>
    <x v="1"/>
    <s v="entitlement-public-service-gamedev-i-b299ce4d"/>
    <n v="1"/>
    <n v="1700"/>
    <n v="160"/>
    <x v="0"/>
    <s v="Other"/>
    <x v="1"/>
    <s v="entitlement-service"/>
    <s v="[DEV]"/>
    <s v="Dev Public Service Gamedev"/>
    <s v="DEV"/>
    <n v="4.3999999999999997E-2"/>
    <n v="2.4E-2"/>
    <n v="1.4999999999999999E-2"/>
  </r>
  <r>
    <s v="Epic Games, Inc."/>
    <x v="1"/>
    <s v="entitlement-public-service-gamedev-i-52c1ef82"/>
    <n v="1"/>
    <n v="1700"/>
    <n v="160"/>
    <x v="0"/>
    <s v="Other"/>
    <x v="1"/>
    <s v="entitlement-service"/>
    <s v="[DEV]"/>
    <s v="Dev Public Service Gamedev"/>
    <s v="DEV"/>
    <n v="4.3999999999999997E-2"/>
    <n v="2.4E-2"/>
    <n v="1.4999999999999999E-2"/>
  </r>
  <r>
    <s v="Epic Games, Inc."/>
    <x v="9"/>
    <s v="replay-admin-service-releaseqa-i-61acfb9e"/>
    <n v="1"/>
    <n v="2000"/>
    <n v="0"/>
    <x v="0"/>
    <s v="Other"/>
    <x v="1"/>
    <s v="Unknown"/>
    <s v="[DEV]"/>
    <s v="Dev Admin Service ReleaseQA"/>
    <s v="DEV"/>
    <n v="2.5999999999999999E-2"/>
    <n v="1.7000000000000001E-2"/>
    <n v="1.2E-2"/>
  </r>
  <r>
    <s v="Epic Games, Inc."/>
    <x v="9"/>
    <s v="replay-public-service-releaseqa-i-5fd780a0"/>
    <n v="1"/>
    <n v="2000"/>
    <n v="0"/>
    <x v="0"/>
    <s v="Other"/>
    <x v="1"/>
    <s v="Unknown"/>
    <s v="[DEV]"/>
    <s v="Dev Public Service ReleaseQA"/>
    <s v="DEV"/>
    <n v="2.5999999999999999E-2"/>
    <n v="1.7000000000000001E-2"/>
    <n v="1.2E-2"/>
  </r>
  <r>
    <s v="Epic Games, Inc."/>
    <x v="0"/>
    <s v="epiccmsv2-website-ci-i-61dff6b1"/>
    <n v="2"/>
    <n v="3750"/>
    <n v="32"/>
    <x v="0"/>
    <s v="Other"/>
    <x v="1"/>
    <s v="Unknown"/>
    <s v="[DEV]"/>
    <s v="Dev Website CI"/>
    <s v="DEV"/>
    <n v="0.105"/>
    <n v="6.2E-2"/>
    <n v="3.9E-2"/>
  </r>
  <r>
    <s v="Epic Games, Inc."/>
    <x v="9"/>
    <s v="fndebug-website-ci-i-e9754339"/>
    <n v="1"/>
    <n v="2000"/>
    <n v="0"/>
    <x v="0"/>
    <s v="Other"/>
    <x v="1"/>
    <s v="Unknown"/>
    <s v="[DEV]"/>
    <s v="Dev Fortnite CI"/>
    <s v="DEV"/>
    <n v="2.5999999999999999E-2"/>
    <n v="1.7000000000000001E-2"/>
    <n v="1.2E-2"/>
  </r>
  <r>
    <s v="Epic Games, Inc."/>
    <x v="9"/>
    <s v="utdebug-website-ci-i-697543b9"/>
    <n v="1"/>
    <n v="2000"/>
    <n v="0"/>
    <x v="0"/>
    <s v="Other"/>
    <x v="1"/>
    <s v="Unknown"/>
    <s v="[DEV]"/>
    <s v="Dev Unreal Tournament CI"/>
    <s v="DEV"/>
    <n v="2.5999999999999999E-2"/>
    <n v="1.7000000000000001E-2"/>
    <n v="1.2E-2"/>
  </r>
  <r>
    <s v="Epic Games, Inc."/>
    <x v="9"/>
    <s v="uedebug-website-ci-i-3c7543ec"/>
    <n v="1"/>
    <n v="2000"/>
    <n v="0"/>
    <x v="0"/>
    <s v="Other"/>
    <x v="1"/>
    <s v="Unknown"/>
    <s v="[DEV]"/>
    <s v="Dev UnrealEngine Load Test"/>
    <s v="DEV"/>
    <n v="2.5999999999999999E-2"/>
    <n v="1.7000000000000001E-2"/>
    <n v="1.2E-2"/>
  </r>
  <r>
    <s v="Epic Games, Inc."/>
    <x v="9"/>
    <s v="replay-admin-servicecron-ci-i-9378206c"/>
    <n v="1"/>
    <n v="2000"/>
    <n v="0"/>
    <x v="0"/>
    <s v="Other"/>
    <x v="1"/>
    <s v="Unknown"/>
    <s v="[DEV]"/>
    <s v="Dev Admin Service CI"/>
    <s v="DEV"/>
    <n v="2.5999999999999999E-2"/>
    <n v="1.7000000000000001E-2"/>
    <n v="1.2E-2"/>
  </r>
  <r>
    <s v="Epic Games, Inc."/>
    <x v="9"/>
    <s v="accountportal-website-common-ci-i-1ec9fbce"/>
    <n v="1"/>
    <n v="2000"/>
    <n v="0"/>
    <x v="0"/>
    <s v="Other"/>
    <x v="1"/>
    <s v="accountportal-website"/>
    <s v="[DEV]"/>
    <s v="Dev Common CI"/>
    <s v="DEV"/>
    <n v="2.5999999999999999E-2"/>
    <n v="1.7000000000000001E-2"/>
    <n v="1.2E-2"/>
  </r>
  <r>
    <s v="Epic Games, Inc."/>
    <x v="9"/>
    <s v="replay-admin-servicecron-releaseqa-i-9f83b14f"/>
    <n v="1"/>
    <n v="2000"/>
    <n v="0"/>
    <x v="0"/>
    <s v="Other"/>
    <x v="1"/>
    <s v="Unknown"/>
    <s v="[DEV]"/>
    <s v="Dev Admin Service ReleaseQA"/>
    <s v="DEV"/>
    <n v="2.5999999999999999E-2"/>
    <n v="1.7000000000000001E-2"/>
    <n v="1.2E-2"/>
  </r>
  <r>
    <s v="Epic Games, Inc."/>
    <x v="9"/>
    <s v="replay-admin-servicecron-stage-i-cccd9533"/>
    <n v="1"/>
    <n v="2000"/>
    <n v="0"/>
    <x v="0"/>
    <s v="Other"/>
    <x v="0"/>
    <s v="Other"/>
    <s v="Other"/>
    <s v="Dev Admin Service Load Test"/>
    <s v="Staging"/>
    <n v="2.5999999999999999E-2"/>
    <n v="1.7000000000000001E-2"/>
    <n v="1.2E-2"/>
  </r>
  <r>
    <s v="Epic Games, Inc."/>
    <x v="9"/>
    <s v="replay-admin-servicecron-gamedev-i-298cd7d6"/>
    <n v="1"/>
    <n v="2000"/>
    <n v="0"/>
    <x v="0"/>
    <s v="Other"/>
    <x v="1"/>
    <s v="Unknown"/>
    <s v="[DEV]"/>
    <s v="Dev Admin Service Gamedev"/>
    <s v="DEV"/>
    <n v="2.5999999999999999E-2"/>
    <n v="1.7000000000000001E-2"/>
    <n v="1.2E-2"/>
  </r>
  <r>
    <s v="Epic Games, Inc."/>
    <x v="2"/>
    <s v="mongodb-launcherweb-prod07-01"/>
    <n v="2"/>
    <n v="7500"/>
    <n v="32"/>
    <x v="1"/>
    <s v="Other"/>
    <x v="0"/>
    <s v="Other"/>
    <s v="Other"/>
    <s v="Dev MongoDB"/>
    <s v="Common Website (Prod07)"/>
    <n v="0.13300000000000001"/>
    <n v="8.1000000000000003E-2"/>
    <n v="5.1999999999999998E-2"/>
  </r>
  <r>
    <s v="Epic Games, Inc."/>
    <x v="9"/>
    <s v="mongodb-launcherweb-prod07-05"/>
    <n v="1"/>
    <n v="2000"/>
    <n v="0"/>
    <x v="0"/>
    <s v="Other"/>
    <x v="0"/>
    <s v="Other"/>
    <s v="Other"/>
    <s v="Dev MongoDB"/>
    <s v="Common Website (Prod07)"/>
    <n v="2.5999999999999999E-2"/>
    <n v="1.7000000000000001E-2"/>
    <n v="1.2E-2"/>
  </r>
  <r>
    <s v="Epic Games, Inc."/>
    <x v="14"/>
    <s v="launcherprod07-website-epiccms-i-04f4c8d4"/>
    <n v="8"/>
    <n v="15000"/>
    <n v="160"/>
    <x v="0"/>
    <s v="Other"/>
    <x v="0"/>
    <s v="Other"/>
    <s v="Other"/>
    <s v="Other"/>
    <s v="Common Website (Prod07)"/>
    <n v="0.42"/>
    <n v="0.248"/>
    <n v="0.157"/>
  </r>
  <r>
    <s v="Epic Games, Inc."/>
    <x v="14"/>
    <s v="launcher-website-prod07-i-22fbc7f2"/>
    <n v="8"/>
    <n v="15000"/>
    <n v="160"/>
    <x v="0"/>
    <s v="Other"/>
    <x v="0"/>
    <s v="Other"/>
    <s v="Launcher Service"/>
    <s v="Other"/>
    <s v="Common Website (Prod07)"/>
    <n v="0.42"/>
    <n v="0.248"/>
    <n v="0.157"/>
  </r>
  <r>
    <s v="Epic Games, Inc."/>
    <x v="14"/>
    <s v="launcher-website-prod07-i-25fbc7f5"/>
    <n v="8"/>
    <n v="15000"/>
    <n v="160"/>
    <x v="0"/>
    <s v="Other"/>
    <x v="0"/>
    <s v="Other"/>
    <s v="Launcher Service"/>
    <s v="Other"/>
    <s v="Common Website (Prod07)"/>
    <n v="0.42"/>
    <n v="0.248"/>
    <n v="0.157"/>
  </r>
  <r>
    <s v="Epic Games, Inc."/>
    <x v="2"/>
    <s v="mongodb-launcherweb-prod07-02"/>
    <n v="2"/>
    <n v="7500"/>
    <n v="32"/>
    <x v="1"/>
    <s v="Other"/>
    <x v="0"/>
    <s v="Other"/>
    <s v="Other"/>
    <s v="Dev MongoDB"/>
    <s v="Common Website (Prod07)"/>
    <n v="0.13300000000000001"/>
    <n v="8.1000000000000003E-2"/>
    <n v="5.1999999999999998E-2"/>
  </r>
  <r>
    <s v="Epic Games, Inc."/>
    <x v="2"/>
    <s v="mongodb-launcherweb-prod07-03"/>
    <n v="2"/>
    <n v="7500"/>
    <n v="32"/>
    <x v="1"/>
    <s v="Other"/>
    <x v="0"/>
    <s v="Other"/>
    <s v="Other"/>
    <s v="Dev MongoDB"/>
    <s v="Common Website (Prod07)"/>
    <n v="0.13300000000000001"/>
    <n v="8.1000000000000003E-2"/>
    <n v="5.1999999999999998E-2"/>
  </r>
  <r>
    <s v="Epic Games, Inc."/>
    <x v="2"/>
    <s v="mongodb-launcherweb-prod07-04"/>
    <n v="2"/>
    <n v="7500"/>
    <n v="32"/>
    <x v="7"/>
    <s v="Other"/>
    <x v="0"/>
    <s v="Other"/>
    <s v="Other"/>
    <s v="Dev MongoDB"/>
    <s v="Common Website (Prod07)"/>
    <n v="0.13300000000000001"/>
    <n v="8.1000000000000003E-2"/>
    <n v="5.1999999999999998E-2"/>
  </r>
  <r>
    <s v="Epic Games, Inc."/>
    <x v="14"/>
    <s v="launcher-website-prod07-i-0be5bef4"/>
    <n v="8"/>
    <n v="15000"/>
    <n v="160"/>
    <x v="0"/>
    <s v="Other"/>
    <x v="0"/>
    <s v="Other"/>
    <s v="Launcher Service"/>
    <s v="Other"/>
    <s v="Common Website (Prod07)"/>
    <n v="0.42"/>
    <n v="0.248"/>
    <n v="0.157"/>
  </r>
  <r>
    <s v="Epic Games, Inc."/>
    <x v="0"/>
    <s v="accountportal-website-prod07-i-60fcc5b0"/>
    <n v="2"/>
    <n v="3750"/>
    <n v="32"/>
    <x v="0"/>
    <s v="Other"/>
    <x v="0"/>
    <s v="Other"/>
    <s v="Accountportal"/>
    <s v="Other"/>
    <s v="Common Website (Prod07)"/>
    <n v="0.105"/>
    <n v="6.2E-2"/>
    <n v="3.9E-2"/>
  </r>
  <r>
    <s v="Epic Games, Inc."/>
    <x v="6"/>
    <s v="datarouter-consumers-service-ci-i-d390b42c"/>
    <n v="2"/>
    <n v="4000"/>
    <n v="0"/>
    <x v="0"/>
    <s v="Other"/>
    <x v="1"/>
    <s v="datarouter-service"/>
    <s v="[DEV]"/>
    <s v="Dev Unreal Tournament CI"/>
    <s v="DEV"/>
    <n v="5.1999999999999998E-2"/>
    <n v="3.4000000000000002E-2"/>
    <n v="2.3E-2"/>
  </r>
  <r>
    <s v="Epic Games, Inc."/>
    <x v="1"/>
    <s v="fortnite-admin-servicecron-main-gamedev-i-75e4c48a"/>
    <n v="1"/>
    <n v="1700"/>
    <n v="160"/>
    <x v="0"/>
    <s v="Other"/>
    <x v="1"/>
    <s v="fortnite-service"/>
    <s v="[DEV]"/>
    <s v="Dev Fortnite Gamedev"/>
    <s v="DEV"/>
    <n v="4.3999999999999997E-2"/>
    <n v="2.4E-2"/>
    <n v="1.4999999999999999E-2"/>
  </r>
  <r>
    <s v="Epic Games, Inc."/>
    <x v="9"/>
    <s v="activitystream-admin-service-gamedev-i-96e3ce69"/>
    <n v="1"/>
    <n v="2000"/>
    <n v="0"/>
    <x v="0"/>
    <s v="Other"/>
    <x v="1"/>
    <s v="activitystream-service"/>
    <s v="[DEV]"/>
    <s v="Dev Admin Service Gamedev"/>
    <s v="DEV"/>
    <n v="2.5999999999999999E-2"/>
    <n v="1.7000000000000001E-2"/>
    <n v="1.2E-2"/>
  </r>
  <r>
    <s v="Epic Games, Inc."/>
    <x v="9"/>
    <s v="fortnite-public-service-testing-gamedev-i-77e3ce88"/>
    <n v="1"/>
    <n v="2000"/>
    <n v="0"/>
    <x v="0"/>
    <s v="Other"/>
    <x v="1"/>
    <s v="fortnite-service"/>
    <s v="[DEV]"/>
    <s v="Dev Fortnite Gamedev"/>
    <s v="DEV"/>
    <n v="2.5999999999999999E-2"/>
    <n v="1.7000000000000001E-2"/>
    <n v="1.2E-2"/>
  </r>
  <r>
    <s v="Epic Games, Inc."/>
    <x v="6"/>
    <s v="mongodb-replay-prod10-05"/>
    <n v="2"/>
    <n v="4000"/>
    <n v="0"/>
    <x v="0"/>
    <s v="Other"/>
    <x v="0"/>
    <s v="Other"/>
    <s v="Other"/>
    <s v="Dev MongoDB"/>
    <s v="Infrastructure and Management"/>
    <n v="5.1999999999999998E-2"/>
    <n v="3.4000000000000002E-2"/>
    <n v="2.3E-2"/>
  </r>
  <r>
    <s v="Epic Games, Inc."/>
    <x v="2"/>
    <s v="mongodb-replay-prod10-03"/>
    <n v="2"/>
    <n v="7500"/>
    <n v="32"/>
    <x v="1"/>
    <s v="Other"/>
    <x v="0"/>
    <s v="Other"/>
    <s v="Other"/>
    <s v="Dev MongoDB"/>
    <s v="Infrastructure and Management"/>
    <n v="0.13300000000000001"/>
    <n v="8.1000000000000003E-2"/>
    <n v="5.1999999999999998E-2"/>
  </r>
  <r>
    <s v="Epic Games, Inc."/>
    <x v="2"/>
    <s v="mongodb-replay-prod10-01"/>
    <n v="2"/>
    <n v="7500"/>
    <n v="32"/>
    <x v="1"/>
    <s v="Other"/>
    <x v="0"/>
    <s v="Other"/>
    <s v="Other"/>
    <s v="Dev MongoDB"/>
    <s v="Infrastructure and Management"/>
    <n v="0.13300000000000001"/>
    <n v="8.1000000000000003E-2"/>
    <n v="5.1999999999999998E-2"/>
  </r>
  <r>
    <s v="Epic Games, Inc."/>
    <x v="2"/>
    <s v="mongodb-replay-prod10-02"/>
    <n v="2"/>
    <n v="7500"/>
    <n v="32"/>
    <x v="1"/>
    <s v="Other"/>
    <x v="0"/>
    <s v="Other"/>
    <s v="Other"/>
    <s v="Dev MongoDB"/>
    <s v="Infrastructure and Management"/>
    <n v="0.13300000000000001"/>
    <n v="8.1000000000000003E-2"/>
    <n v="5.1999999999999998E-2"/>
  </r>
  <r>
    <s v="Epic Games, Inc."/>
    <x v="2"/>
    <s v="mongodb-replay-prod10-04"/>
    <n v="2"/>
    <n v="7500"/>
    <n v="32"/>
    <x v="5"/>
    <s v="Other"/>
    <x v="0"/>
    <s v="Other"/>
    <s v="Other"/>
    <s v="Dev MongoDB"/>
    <s v="Infrastructure and Management"/>
    <n v="0.13300000000000001"/>
    <n v="8.1000000000000003E-2"/>
    <n v="5.1999999999999998E-2"/>
  </r>
  <r>
    <s v="Epic Games, Inc."/>
    <x v="2"/>
    <s v="replay-admin-servicecron-prod10-i-0e557ff1"/>
    <n v="2"/>
    <n v="7500"/>
    <n v="32"/>
    <x v="0"/>
    <s v="Other"/>
    <x v="0"/>
    <s v="Other"/>
    <s v="Other"/>
    <s v="Dev Admin Service Load Test"/>
    <s v="Infrastructure and Management"/>
    <n v="0.13300000000000001"/>
    <n v="8.1000000000000003E-2"/>
    <n v="5.1999999999999998E-2"/>
  </r>
  <r>
    <s v="Epic Games, Inc."/>
    <x v="2"/>
    <s v="replay-admin-service-prod10-i-49c2cb99"/>
    <n v="2"/>
    <n v="7500"/>
    <n v="32"/>
    <x v="0"/>
    <s v="Other"/>
    <x v="0"/>
    <s v="Other"/>
    <s v="Other"/>
    <s v="Dev Admin Service Load Test"/>
    <s v="Infrastructure and Management"/>
    <n v="0.13300000000000001"/>
    <n v="8.1000000000000003E-2"/>
    <n v="5.1999999999999998E-2"/>
  </r>
  <r>
    <s v="Epic Games, Inc."/>
    <x v="2"/>
    <s v="replay-public-service-prod10-i-dc577d23"/>
    <n v="2"/>
    <n v="7500"/>
    <n v="32"/>
    <x v="0"/>
    <s v="Other"/>
    <x v="0"/>
    <s v="Other"/>
    <s v="Other"/>
    <s v="Other"/>
    <s v="Infrastructure and Management"/>
    <n v="0.13300000000000001"/>
    <n v="8.1000000000000003E-2"/>
    <n v="5.1999999999999998E-2"/>
  </r>
  <r>
    <s v="Epic Games, Inc."/>
    <x v="2"/>
    <s v="replay-public-service-prod10-i-1fccc5cf"/>
    <n v="2"/>
    <n v="7500"/>
    <n v="32"/>
    <x v="0"/>
    <s v="Other"/>
    <x v="0"/>
    <s v="Other"/>
    <s v="Other"/>
    <s v="Other"/>
    <s v="Infrastructure and Management"/>
    <n v="0.13300000000000001"/>
    <n v="8.1000000000000003E-2"/>
    <n v="5.1999999999999998E-2"/>
  </r>
  <r>
    <s v="Epic Games, Inc."/>
    <x v="2"/>
    <s v="replay-admin-service-prod10-i-812a007e"/>
    <n v="2"/>
    <n v="7500"/>
    <n v="32"/>
    <x v="0"/>
    <s v="Other"/>
    <x v="0"/>
    <s v="Other"/>
    <s v="Other"/>
    <s v="Dev Admin Service Load Test"/>
    <s v="Infrastructure and Management"/>
    <n v="0.13300000000000001"/>
    <n v="8.1000000000000003E-2"/>
    <n v="5.1999999999999998E-2"/>
  </r>
  <r>
    <s v="Epic Games, Inc."/>
    <x v="9"/>
    <s v="payout-public-service-ci-i-95a8bd45"/>
    <n v="1"/>
    <n v="2000"/>
    <n v="0"/>
    <x v="0"/>
    <s v="Other"/>
    <x v="1"/>
    <s v="ut-service"/>
    <s v="[DEV]"/>
    <s v="Dev Unreal Tournament CI"/>
    <s v="DEV"/>
    <n v="2.5999999999999999E-2"/>
    <n v="1.7000000000000001E-2"/>
    <n v="1.2E-2"/>
  </r>
  <r>
    <s v="Epic Games, Inc."/>
    <x v="9"/>
    <s v="payout-admin-service-ci-i-9fbc8b60"/>
    <n v="1"/>
    <n v="2000"/>
    <n v="0"/>
    <x v="0"/>
    <s v="Other"/>
    <x v="1"/>
    <s v="ut-service"/>
    <s v="[DEV]"/>
    <s v="Dev Unreal Tournament CI"/>
    <s v="DEV"/>
    <n v="2.5999999999999999E-2"/>
    <n v="1.7000000000000001E-2"/>
    <n v="1.2E-2"/>
  </r>
  <r>
    <s v="Epic Games, Inc."/>
    <x v="9"/>
    <s v="ut-admin-service-gamedev-i-86754579"/>
    <n v="1"/>
    <n v="2000"/>
    <n v="0"/>
    <x v="0"/>
    <s v="Other"/>
    <x v="1"/>
    <s v="ut-service"/>
    <s v="[DEV]"/>
    <s v="Dev Unreal Tournament Gamedev"/>
    <s v="DEV"/>
    <n v="2.5999999999999999E-2"/>
    <n v="1.7000000000000001E-2"/>
    <n v="1.2E-2"/>
  </r>
  <r>
    <s v="Epic Games, Inc."/>
    <x v="9"/>
    <s v="ut-public-service-gamedev-i-c260503d"/>
    <n v="1"/>
    <n v="2000"/>
    <n v="0"/>
    <x v="0"/>
    <s v="Other"/>
    <x v="1"/>
    <s v="ut-service"/>
    <s v="[DEV]"/>
    <s v="Dev Unreal Tournament Gamedev"/>
    <s v="DEV"/>
    <n v="2.5999999999999999E-2"/>
    <n v="1.7000000000000001E-2"/>
    <n v="1.2E-2"/>
  </r>
  <r>
    <s v="Epic Games, Inc."/>
    <x v="1"/>
    <s v="ocean-public-service-ci-i-c0455b10"/>
    <n v="1"/>
    <n v="1700"/>
    <n v="160"/>
    <x v="0"/>
    <s v="Other"/>
    <x v="1"/>
    <s v="ocean-service"/>
    <s v="[DEV]"/>
    <s v="Dev Public Service CI"/>
    <s v="DEV"/>
    <n v="4.3999999999999997E-2"/>
    <n v="2.4E-2"/>
    <n v="1.4999999999999999E-2"/>
  </r>
  <r>
    <s v="Epic Games, Inc."/>
    <x v="0"/>
    <s v="orion-admin-servicecron-prod09-i-2cf0c8d3"/>
    <n v="2"/>
    <n v="3750"/>
    <n v="32"/>
    <x v="0"/>
    <s v="Other"/>
    <x v="0"/>
    <s v="Other"/>
    <s v="Other"/>
    <s v="Dev Admin Service Load Test"/>
    <s v="Infrastructure and Management"/>
    <n v="0.105"/>
    <n v="6.2E-2"/>
    <n v="3.9E-2"/>
  </r>
  <r>
    <s v="Epic Games, Inc."/>
    <x v="2"/>
    <s v="mongodb-orion-prod09-03"/>
    <n v="2"/>
    <n v="7500"/>
    <n v="32"/>
    <x v="1"/>
    <s v="Other"/>
    <x v="0"/>
    <s v="Other"/>
    <s v="Other"/>
    <s v="Dev MongoDB"/>
    <s v="Infrastructure and Management"/>
    <n v="0.13300000000000001"/>
    <n v="8.1000000000000003E-2"/>
    <n v="5.1999999999999998E-2"/>
  </r>
  <r>
    <s v="Epic Games, Inc."/>
    <x v="0"/>
    <s v="orion-admin-service-prod09-i-3ef0c8c1"/>
    <n v="2"/>
    <n v="3750"/>
    <n v="32"/>
    <x v="0"/>
    <s v="Other"/>
    <x v="0"/>
    <s v="Other"/>
    <s v="Other"/>
    <s v="Dev Admin Service Load Test"/>
    <s v="Infrastructure and Management"/>
    <n v="0.105"/>
    <n v="6.2E-2"/>
    <n v="3.9E-2"/>
  </r>
  <r>
    <s v="Epic Games, Inc."/>
    <x v="0"/>
    <s v="orion-admin-service-prod09-i-caf1e91a"/>
    <n v="2"/>
    <n v="3750"/>
    <n v="32"/>
    <x v="0"/>
    <s v="Other"/>
    <x v="0"/>
    <s v="Other"/>
    <s v="Other"/>
    <s v="Dev Admin Service Load Test"/>
    <s v="Infrastructure and Management"/>
    <n v="0.105"/>
    <n v="6.2E-2"/>
    <n v="3.9E-2"/>
  </r>
  <r>
    <s v="Epic Games, Inc."/>
    <x v="2"/>
    <s v="mongodb-orion-prod09-04"/>
    <n v="2"/>
    <n v="7500"/>
    <n v="32"/>
    <x v="7"/>
    <s v="Other"/>
    <x v="0"/>
    <s v="Other"/>
    <s v="Other"/>
    <s v="Dev MongoDB"/>
    <s v="Infrastructure and Management"/>
    <n v="0.13300000000000001"/>
    <n v="8.1000000000000003E-2"/>
    <n v="5.1999999999999998E-2"/>
  </r>
  <r>
    <s v="Epic Games, Inc."/>
    <x v="2"/>
    <s v="mongodb-orion-prod09-01"/>
    <n v="2"/>
    <n v="7500"/>
    <n v="32"/>
    <x v="1"/>
    <s v="Other"/>
    <x v="0"/>
    <s v="Other"/>
    <s v="Other"/>
    <s v="Dev MongoDB"/>
    <s v="Infrastructure and Management"/>
    <n v="0.13300000000000001"/>
    <n v="8.1000000000000003E-2"/>
    <n v="5.1999999999999998E-2"/>
  </r>
  <r>
    <s v="Epic Games, Inc."/>
    <x v="6"/>
    <s v="mongodb-orion-prod09-05"/>
    <n v="2"/>
    <n v="4000"/>
    <n v="0"/>
    <x v="0"/>
    <s v="Other"/>
    <x v="0"/>
    <s v="Other"/>
    <s v="Other"/>
    <s v="Dev MongoDB"/>
    <s v="Infrastructure and Management"/>
    <n v="5.1999999999999998E-2"/>
    <n v="3.4000000000000002E-2"/>
    <n v="2.3E-2"/>
  </r>
  <r>
    <s v="Epic Games, Inc."/>
    <x v="2"/>
    <s v="mongodb-orion-prod09-02"/>
    <n v="2"/>
    <n v="7500"/>
    <n v="32"/>
    <x v="1"/>
    <s v="Other"/>
    <x v="0"/>
    <s v="Other"/>
    <s v="Other"/>
    <s v="Dev MongoDB"/>
    <s v="Infrastructure and Management"/>
    <n v="0.13300000000000001"/>
    <n v="8.1000000000000003E-2"/>
    <n v="5.1999999999999998E-2"/>
  </r>
  <r>
    <s v="Epic Games, Inc."/>
    <x v="0"/>
    <s v="orion-public-service-prod09-i-67f2ca98"/>
    <n v="2"/>
    <n v="3750"/>
    <n v="32"/>
    <x v="0"/>
    <s v="Other"/>
    <x v="0"/>
    <s v="Other"/>
    <s v="Other"/>
    <s v="Other"/>
    <s v="Infrastructure and Management"/>
    <n v="0.105"/>
    <n v="6.2E-2"/>
    <n v="3.9E-2"/>
  </r>
  <r>
    <s v="Epic Games, Inc."/>
    <x v="0"/>
    <s v="orion-public-service-prod09-i-8ef2ea5e"/>
    <n v="2"/>
    <n v="3750"/>
    <n v="32"/>
    <x v="0"/>
    <s v="Other"/>
    <x v="0"/>
    <s v="Other"/>
    <s v="Other"/>
    <s v="Other"/>
    <s v="Infrastructure and Management"/>
    <n v="0.105"/>
    <n v="6.2E-2"/>
    <n v="3.9E-2"/>
  </r>
  <r>
    <s v="Epic Games, Inc."/>
    <x v="0"/>
    <s v="accountportal-website-prod07-i-dff1cb20"/>
    <n v="2"/>
    <n v="3750"/>
    <n v="32"/>
    <x v="0"/>
    <s v="Other"/>
    <x v="0"/>
    <s v="Other"/>
    <s v="Accountportal"/>
    <s v="Other"/>
    <s v="Common Website (Prod07)"/>
    <n v="0.105"/>
    <n v="6.2E-2"/>
    <n v="3.9E-2"/>
  </r>
  <r>
    <s v="Epic Games, Inc."/>
    <x v="9"/>
    <s v="orion-admin-service-latest-gamedev-i-114742ee"/>
    <n v="1"/>
    <n v="2000"/>
    <n v="0"/>
    <x v="0"/>
    <s v="Other"/>
    <x v="1"/>
    <s v="orion-service"/>
    <s v="[DEV]"/>
    <s v="Dev Admin Service Gamedev"/>
    <s v="DEV"/>
    <n v="2.5999999999999999E-2"/>
    <n v="1.7000000000000001E-2"/>
    <n v="1.2E-2"/>
  </r>
  <r>
    <s v="Epic Games, Inc."/>
    <x v="9"/>
    <s v="accountportal-website-common-ci-i-11c026c2"/>
    <n v="1"/>
    <n v="2000"/>
    <n v="0"/>
    <x v="0"/>
    <s v="Other"/>
    <x v="1"/>
    <s v="accountportal-website"/>
    <s v="[DEV]"/>
    <s v="Dev Common CI"/>
    <s v="DEV"/>
    <n v="2.5999999999999999E-2"/>
    <n v="1.7000000000000001E-2"/>
    <n v="1.2E-2"/>
  </r>
  <r>
    <s v="Epic Games, Inc."/>
    <x v="9"/>
    <s v="orion-admin-service-stage-i-1e2e29e1"/>
    <n v="1"/>
    <n v="2000"/>
    <n v="0"/>
    <x v="0"/>
    <s v="Other"/>
    <x v="0"/>
    <s v="Other"/>
    <s v="Other"/>
    <s v="Dev Admin Service Load Test"/>
    <s v="Staging"/>
    <n v="2.5999999999999999E-2"/>
    <n v="1.7000000000000001E-2"/>
    <n v="1.2E-2"/>
  </r>
  <r>
    <s v="Epic Games, Inc."/>
    <x v="7"/>
    <s v="ue-website-releaseqa-i-215150de"/>
    <n v="1"/>
    <n v="3750"/>
    <n v="410"/>
    <x v="0"/>
    <s v="Other"/>
    <x v="1"/>
    <s v="ue-website"/>
    <s v="[DEV]"/>
    <s v="Dev UnrealEngine ReleaseQA"/>
    <s v="DEV"/>
    <n v="8.6999999999999994E-2"/>
    <n v="4.7E-2"/>
    <n v="2.9000000000000001E-2"/>
  </r>
  <r>
    <s v="Epic Games, Inc."/>
    <x v="0"/>
    <s v="datarouter-public-service-prod06-i-fd0ae22e"/>
    <n v="2"/>
    <n v="3750"/>
    <n v="32"/>
    <x v="0"/>
    <s v="Other"/>
    <x v="0"/>
    <s v="Other"/>
    <s v="Other"/>
    <s v="Other"/>
    <s v="Unreal Tournament"/>
    <n v="0.105"/>
    <n v="6.2E-2"/>
    <n v="3.9E-2"/>
  </r>
  <r>
    <s v="Epic Games, Inc."/>
    <x v="0"/>
    <s v="datarouter-public-service-prod06-i-58beb2a7"/>
    <n v="2"/>
    <n v="3750"/>
    <n v="32"/>
    <x v="0"/>
    <s v="Other"/>
    <x v="0"/>
    <s v="Other"/>
    <s v="Other"/>
    <s v="Other"/>
    <s v="Unreal Tournament"/>
    <n v="0.105"/>
    <n v="6.2E-2"/>
    <n v="3.9E-2"/>
  </r>
  <r>
    <s v="Epic Games, Inc."/>
    <x v="0"/>
    <s v="datarouter-consumers-service-prod06-i-db06ee08"/>
    <n v="2"/>
    <n v="3750"/>
    <n v="32"/>
    <x v="0"/>
    <s v="Other"/>
    <x v="0"/>
    <s v="Other"/>
    <s v="Other"/>
    <s v="Other"/>
    <s v="Unreal Tournament"/>
    <n v="0.105"/>
    <n v="6.2E-2"/>
    <n v="3.9E-2"/>
  </r>
  <r>
    <s v="Epic Games, Inc."/>
    <x v="0"/>
    <s v="datarouter-consumers-service-prod06-i-c9494636"/>
    <n v="2"/>
    <n v="3750"/>
    <n v="32"/>
    <x v="0"/>
    <s v="Other"/>
    <x v="0"/>
    <s v="Other"/>
    <s v="Other"/>
    <s v="Other"/>
    <s v="Unreal Tournament"/>
    <n v="0.105"/>
    <n v="6.2E-2"/>
    <n v="3.9E-2"/>
  </r>
  <r>
    <s v="Epic Games, Inc."/>
    <x v="16"/>
    <s v="mongodb-account02-config-lt-01"/>
    <n v="8"/>
    <n v="61000"/>
    <n v="1440"/>
    <x v="0"/>
    <s v="Other"/>
    <x v="1"/>
    <s v="mongodb"/>
    <s v="[DEV]"/>
    <s v="Dev MongoDB"/>
    <s v="DEV"/>
    <n v="1.7050000000000001"/>
    <n v="0.71199999999999997"/>
    <n v="0.42299999999999999"/>
  </r>
  <r>
    <s v="Epic Games, Inc."/>
    <x v="16"/>
    <s v="mongodb-account03-lt-01"/>
    <n v="8"/>
    <n v="61000"/>
    <n v="1440"/>
    <x v="0"/>
    <s v="Other"/>
    <x v="1"/>
    <s v="mongodb"/>
    <s v="[DEV]"/>
    <s v="Dev MongoDB"/>
    <s v="DEV"/>
    <n v="1.7050000000000001"/>
    <n v="0.71199999999999997"/>
    <n v="0.42299999999999999"/>
  </r>
  <r>
    <s v="Epic Games, Inc."/>
    <x v="0"/>
    <s v="account-public-service-lt-i-2e40abfd"/>
    <n v="2"/>
    <n v="3750"/>
    <n v="32"/>
    <x v="0"/>
    <s v="Other"/>
    <x v="1"/>
    <s v="account-service"/>
    <s v="[DEV]"/>
    <s v="Dev Public Service Load Test"/>
    <s v="DEV"/>
    <n v="0.105"/>
    <n v="6.2E-2"/>
    <n v="3.9E-2"/>
  </r>
  <r>
    <s v="Epic Games, Inc."/>
    <x v="0"/>
    <s v="account-public-service-lt-i-df47ac0c"/>
    <n v="2"/>
    <n v="3750"/>
    <n v="32"/>
    <x v="0"/>
    <s v="Other"/>
    <x v="1"/>
    <s v="account-service"/>
    <s v="[DEV]"/>
    <s v="Dev Public Service Load Test"/>
    <s v="DEV"/>
    <n v="0.105"/>
    <n v="6.2E-2"/>
    <n v="3.9E-2"/>
  </r>
  <r>
    <s v="Epic Games, Inc."/>
    <x v="0"/>
    <s v="account-public-service-lt-i-afa2ad50"/>
    <n v="2"/>
    <n v="3750"/>
    <n v="32"/>
    <x v="0"/>
    <s v="Other"/>
    <x v="1"/>
    <s v="account-service"/>
    <s v="[DEV]"/>
    <s v="Dev Public Service Load Test"/>
    <s v="DEV"/>
    <n v="0.105"/>
    <n v="6.2E-2"/>
    <n v="3.9E-2"/>
  </r>
  <r>
    <s v="Epic Games, Inc."/>
    <x v="0"/>
    <s v="account-public-service-lt-i-a8a2ad57"/>
    <n v="2"/>
    <n v="3750"/>
    <n v="32"/>
    <x v="0"/>
    <s v="Other"/>
    <x v="1"/>
    <s v="account-service"/>
    <s v="[DEV]"/>
    <s v="Dev Public Service Load Test"/>
    <s v="DEV"/>
    <n v="0.105"/>
    <n v="6.2E-2"/>
    <n v="3.9E-2"/>
  </r>
  <r>
    <s v="Epic Games, Inc."/>
    <x v="0"/>
    <s v="account-public-service-lt-i-7da1ae82"/>
    <n v="2"/>
    <n v="3750"/>
    <n v="32"/>
    <x v="0"/>
    <s v="Other"/>
    <x v="1"/>
    <s v="account-service"/>
    <s v="[DEV]"/>
    <s v="Dev Public Service Load Test"/>
    <s v="DEV"/>
    <n v="0.105"/>
    <n v="6.2E-2"/>
    <n v="3.9E-2"/>
  </r>
  <r>
    <s v="Epic Games, Inc."/>
    <x v="0"/>
    <s v="account-public-service-lt-i-7aa1ae85"/>
    <n v="2"/>
    <n v="3750"/>
    <n v="32"/>
    <x v="0"/>
    <s v="Other"/>
    <x v="1"/>
    <s v="account-service"/>
    <s v="[DEV]"/>
    <s v="Dev Public Service Load Test"/>
    <s v="DEV"/>
    <n v="0.105"/>
    <n v="6.2E-2"/>
    <n v="3.9E-2"/>
  </r>
  <r>
    <s v="Epic Games, Inc."/>
    <x v="0"/>
    <s v="account-public-service-lt-i-6a5ab1b9"/>
    <n v="2"/>
    <n v="3750"/>
    <n v="32"/>
    <x v="0"/>
    <s v="Other"/>
    <x v="1"/>
    <s v="account-service"/>
    <s v="[DEV]"/>
    <s v="Dev Public Service Load Test"/>
    <s v="DEV"/>
    <n v="0.105"/>
    <n v="6.2E-2"/>
    <n v="3.9E-2"/>
  </r>
  <r>
    <s v="Epic Games, Inc."/>
    <x v="0"/>
    <s v="account-public-service-lt-i-6d5ab1be"/>
    <n v="2"/>
    <n v="3750"/>
    <n v="32"/>
    <x v="0"/>
    <s v="Other"/>
    <x v="1"/>
    <s v="account-service"/>
    <s v="[DEV]"/>
    <s v="Dev Public Service Load Test"/>
    <s v="DEV"/>
    <n v="0.105"/>
    <n v="6.2E-2"/>
    <n v="3.9E-2"/>
  </r>
  <r>
    <s v="Epic Games, Inc."/>
    <x v="0"/>
    <s v="fulfillment-public-service-prod06-i-d0101e2f"/>
    <n v="2"/>
    <n v="3750"/>
    <n v="32"/>
    <x v="0"/>
    <s v="Other"/>
    <x v="0"/>
    <s v="Other"/>
    <s v="Fulfillment Service"/>
    <s v="Other"/>
    <s v="Common Services (Prod06)"/>
    <n v="0.105"/>
    <n v="6.2E-2"/>
    <n v="3.9E-2"/>
  </r>
  <r>
    <s v="Epic Games, Inc."/>
    <x v="1"/>
    <s v="subscriptionv2-public-service-releaseqa-i-a47b6c5b"/>
    <n v="1"/>
    <n v="1700"/>
    <n v="160"/>
    <x v="0"/>
    <s v="Other"/>
    <x v="1"/>
    <s v="subscriptionv2-service"/>
    <s v="[DEV]"/>
    <s v="Dev Public Service ReleaseQA"/>
    <s v="DEV"/>
    <n v="4.3999999999999997E-2"/>
    <n v="2.4E-2"/>
    <n v="1.4999999999999999E-2"/>
  </r>
  <r>
    <s v="Epic Games, Inc."/>
    <x v="15"/>
    <s v="mongodb-account02-shard01-lt-01"/>
    <n v="16"/>
    <n v="30000"/>
    <n v="320"/>
    <x v="0"/>
    <s v="Other"/>
    <x v="1"/>
    <s v="mongodb"/>
    <s v="[DEV]"/>
    <s v="Dev MongoDB"/>
    <s v="DEV"/>
    <n v="0.84"/>
    <n v="0.497"/>
    <n v="0.314"/>
  </r>
  <r>
    <s v="Epic Games, Inc."/>
    <x v="15"/>
    <s v="mongodb-account02-shard02-lt-01"/>
    <n v="16"/>
    <n v="30000"/>
    <n v="320"/>
    <x v="0"/>
    <s v="Other"/>
    <x v="1"/>
    <s v="mongodb"/>
    <s v="[DEV]"/>
    <s v="Dev MongoDB"/>
    <s v="DEV"/>
    <n v="0.84"/>
    <n v="0.497"/>
    <n v="0.314"/>
  </r>
  <r>
    <s v="Epic Games, Inc."/>
    <x v="1"/>
    <s v="catalogadmin-website-gamedev-i-e53bc036"/>
    <n v="1"/>
    <n v="1700"/>
    <n v="160"/>
    <x v="0"/>
    <s v="Other"/>
    <x v="1"/>
    <s v="catalogadmin-website"/>
    <s v="[DEV]"/>
    <s v="Dev Website Gamedev"/>
    <s v="DEV"/>
    <n v="4.3999999999999997E-2"/>
    <n v="2.4E-2"/>
    <n v="1.4999999999999999E-2"/>
  </r>
  <r>
    <s v="Epic Games, Inc."/>
    <x v="6"/>
    <s v="datarouter-consumers-service-gamedev-i-77a1b388"/>
    <n v="2"/>
    <n v="4000"/>
    <n v="0"/>
    <x v="0"/>
    <s v="Other"/>
    <x v="1"/>
    <s v="datarouter-service"/>
    <s v="[DEV]"/>
    <s v="Dev Unreal Tournament Gamedev"/>
    <s v="DEV"/>
    <n v="5.1999999999999998E-2"/>
    <n v="3.4000000000000002E-2"/>
    <n v="2.3E-2"/>
  </r>
  <r>
    <s v="Epic Games, Inc."/>
    <x v="6"/>
    <s v="datarouter-consumers-service-gamedev-i-ecd91d3f"/>
    <n v="2"/>
    <n v="4000"/>
    <n v="0"/>
    <x v="0"/>
    <s v="Other"/>
    <x v="1"/>
    <s v="datarouter-service"/>
    <s v="[DEV]"/>
    <s v="Dev Unreal Tournament Gamedev"/>
    <s v="DEV"/>
    <n v="5.1999999999999998E-2"/>
    <n v="3.4000000000000002E-2"/>
    <n v="2.3E-2"/>
  </r>
  <r>
    <s v="Epic Games, Inc."/>
    <x v="1"/>
    <s v="commentrating-public-service-stage-i-932eea40"/>
    <n v="1"/>
    <n v="1700"/>
    <n v="160"/>
    <x v="0"/>
    <s v="Other"/>
    <x v="0"/>
    <s v="Other"/>
    <s v="Commentrating Service"/>
    <s v="Dev Public Service Stage"/>
    <s v="Staging"/>
    <n v="4.3999999999999997E-2"/>
    <n v="2.4E-2"/>
    <n v="1.4999999999999999E-2"/>
  </r>
  <r>
    <s v="Epic Games, Inc."/>
    <x v="9"/>
    <s v="repolink-admin-service-ci-i-78a063ab"/>
    <n v="1"/>
    <n v="2000"/>
    <n v="0"/>
    <x v="0"/>
    <s v="Other"/>
    <x v="1"/>
    <s v="Unknown"/>
    <s v="[DEV]"/>
    <s v="Dev Admin Service CI"/>
    <s v="DEV"/>
    <n v="2.5999999999999999E-2"/>
    <n v="1.7000000000000001E-2"/>
    <n v="1.2E-2"/>
  </r>
  <r>
    <s v="Epic Games, Inc."/>
    <x v="9"/>
    <s v="uemichael-website-ci-i-c7415938"/>
    <n v="1"/>
    <n v="2000"/>
    <n v="0"/>
    <x v="0"/>
    <s v="Other"/>
    <x v="3"/>
    <s v="Other"/>
    <s v="Other"/>
    <s v="Dev Website CI"/>
    <s v="DEV"/>
    <n v="2.5999999999999999E-2"/>
    <n v="1.7000000000000001E-2"/>
    <n v="1.2E-2"/>
  </r>
  <r>
    <s v="Epic Games, Inc."/>
    <x v="9"/>
    <s v="uemichael-website-ci-i-461ad795"/>
    <n v="1"/>
    <n v="2000"/>
    <n v="0"/>
    <x v="0"/>
    <s v="Other"/>
    <x v="3"/>
    <s v="Other"/>
    <s v="Other"/>
    <s v="Dev Website CI"/>
    <s v="DEV"/>
    <n v="2.5999999999999999E-2"/>
    <n v="1.7000000000000001E-2"/>
    <n v="1.2E-2"/>
  </r>
  <r>
    <s v="Epic Games, Inc."/>
    <x v="15"/>
    <s v="mongodb-account02-shard03-lt-01"/>
    <n v="16"/>
    <n v="30000"/>
    <n v="320"/>
    <x v="0"/>
    <s v="Other"/>
    <x v="1"/>
    <s v="mongodb"/>
    <s v="[DEV]"/>
    <s v="Dev MongoDB"/>
    <s v="DEV"/>
    <n v="0.84"/>
    <n v="0.497"/>
    <n v="0.314"/>
  </r>
  <r>
    <s v="Epic Games, Inc."/>
    <x v="6"/>
    <s v="datarouter-consumers-service-ci-i-678148b4"/>
    <n v="2"/>
    <n v="4000"/>
    <n v="0"/>
    <x v="0"/>
    <s v="Other"/>
    <x v="1"/>
    <s v="datarouter-service"/>
    <s v="[DEV]"/>
    <s v="Dev Unreal Tournament CI"/>
    <s v="DEV"/>
    <n v="5.1999999999999998E-2"/>
    <n v="3.4000000000000002E-2"/>
    <n v="2.3E-2"/>
  </r>
  <r>
    <s v="Epic Games, Inc."/>
    <x v="9"/>
    <s v="payout-admin-service-releaseqa-i-fd38dd03"/>
    <n v="1"/>
    <n v="2000"/>
    <n v="0"/>
    <x v="0"/>
    <s v="Other"/>
    <x v="1"/>
    <s v="ut-service"/>
    <s v="[DEV]"/>
    <s v="Dev Unreal Tournament ReleaseQA"/>
    <s v="DEV"/>
    <n v="2.5999999999999999E-2"/>
    <n v="1.7000000000000001E-2"/>
    <n v="1.2E-2"/>
  </r>
  <r>
    <s v="Epic Games, Inc."/>
    <x v="1"/>
    <s v="orvbulletin-website-ci-i-189276e6"/>
    <n v="1"/>
    <n v="1700"/>
    <n v="160"/>
    <x v="0"/>
    <s v="Other"/>
    <x v="1"/>
    <s v="vbulletin-website"/>
    <s v="[DEV]"/>
    <s v="Dev Website CI"/>
    <s v="DEV"/>
    <n v="4.3999999999999997E-2"/>
    <n v="2.4E-2"/>
    <n v="1.4999999999999999E-2"/>
  </r>
  <r>
    <s v="Epic Games, Inc."/>
    <x v="9"/>
    <s v="payout-public-service-releaseqa-i-5de307a3"/>
    <n v="1"/>
    <n v="2000"/>
    <n v="0"/>
    <x v="0"/>
    <s v="Other"/>
    <x v="1"/>
    <s v="ut-service"/>
    <s v="[DEV]"/>
    <s v="Dev Unreal Tournament ReleaseQA"/>
    <s v="DEV"/>
    <n v="2.5999999999999999E-2"/>
    <n v="1.7000000000000001E-2"/>
    <n v="1.2E-2"/>
  </r>
  <r>
    <s v="Epic Games, Inc."/>
    <x v="0"/>
    <s v="epic-rt-metrics"/>
    <n v="2"/>
    <n v="3750"/>
    <n v="32"/>
    <x v="6"/>
    <s v="Other"/>
    <x v="3"/>
    <s v="Other"/>
    <s v="Launcher Metrics"/>
    <s v="Other"/>
    <s v="Infrastructure and Management"/>
    <n v="0.105"/>
    <n v="6.2E-2"/>
    <n v="3.9E-2"/>
  </r>
  <r>
    <s v="Epic Games, Inc."/>
    <x v="9"/>
    <s v="eulatracking-admin-service-releaseqa-i-c390733d"/>
    <n v="1"/>
    <n v="2000"/>
    <n v="0"/>
    <x v="0"/>
    <s v="Other"/>
    <x v="1"/>
    <s v="Unknown"/>
    <s v="[DEV]"/>
    <s v="Dev Admin Service ReleaseQA"/>
    <s v="DEV"/>
    <n v="2.5999999999999999E-2"/>
    <n v="1.7000000000000001E-2"/>
    <n v="1.2E-2"/>
  </r>
  <r>
    <s v="Epic Games, Inc."/>
    <x v="9"/>
    <s v="eulatracking-public-service-releaseqa-i-90c81b43"/>
    <n v="1"/>
    <n v="2000"/>
    <n v="0"/>
    <x v="0"/>
    <s v="Other"/>
    <x v="1"/>
    <s v="Unknown"/>
    <s v="[DEV]"/>
    <s v="Dev Public Service ReleaseQA"/>
    <s v="DEV"/>
    <n v="2.5999999999999999E-2"/>
    <n v="1.7000000000000001E-2"/>
    <n v="1.2E-2"/>
  </r>
  <r>
    <s v="Epic Games, Inc."/>
    <x v="9"/>
    <s v="eulatracking-admin-service-stage-i-c427c43a"/>
    <n v="1"/>
    <n v="2000"/>
    <n v="0"/>
    <x v="0"/>
    <s v="Other"/>
    <x v="0"/>
    <s v="Other"/>
    <s v="Tracking Website"/>
    <s v="Dev Admin Service Load Test"/>
    <s v="Staging"/>
    <n v="2.5999999999999999E-2"/>
    <n v="1.7000000000000001E-2"/>
    <n v="1.2E-2"/>
  </r>
  <r>
    <s v="Epic Games, Inc."/>
    <x v="9"/>
    <s v="eulatracking-admin-service-stage-i-9c5c8f4f"/>
    <n v="1"/>
    <n v="2000"/>
    <n v="0"/>
    <x v="0"/>
    <s v="Other"/>
    <x v="0"/>
    <s v="Other"/>
    <s v="Tracking Website"/>
    <s v="Dev Admin Service Load Test"/>
    <s v="Staging"/>
    <n v="2.5999999999999999E-2"/>
    <n v="1.7000000000000001E-2"/>
    <n v="1.2E-2"/>
  </r>
  <r>
    <s v="Epic Games, Inc."/>
    <x v="9"/>
    <s v="eulatracking-public-service-stage-i-5c71a28f"/>
    <n v="1"/>
    <n v="2000"/>
    <n v="0"/>
    <x v="0"/>
    <s v="Other"/>
    <x v="0"/>
    <s v="Other"/>
    <s v="Tracking Website"/>
    <s v="Dev Public Service Stage"/>
    <s v="Staging"/>
    <n v="2.5999999999999999E-2"/>
    <n v="1.7000000000000001E-2"/>
    <n v="1.2E-2"/>
  </r>
  <r>
    <s v="Epic Games, Inc."/>
    <x v="9"/>
    <s v="eulatracking-public-service-stage-i-ff2dce01"/>
    <n v="1"/>
    <n v="2000"/>
    <n v="0"/>
    <x v="0"/>
    <s v="Other"/>
    <x v="0"/>
    <s v="Other"/>
    <s v="Tracking Website"/>
    <s v="Dev Public Service Stage"/>
    <s v="Staging"/>
    <n v="2.5999999999999999E-2"/>
    <n v="1.7000000000000001E-2"/>
    <n v="1.2E-2"/>
  </r>
  <r>
    <s v="Epic Games, Inc."/>
    <x v="9"/>
    <s v="account-service-ci-i-c210fe3c"/>
    <n v="1"/>
    <n v="2000"/>
    <n v="0"/>
    <x v="0"/>
    <s v="Other"/>
    <x v="3"/>
    <s v="Other"/>
    <s v="Other"/>
    <s v="Other"/>
    <s v="DEV"/>
    <n v="2.5999999999999999E-2"/>
    <n v="1.7000000000000001E-2"/>
    <n v="1.2E-2"/>
  </r>
  <r>
    <s v="Epic Games, Inc."/>
    <x v="0"/>
    <s v="epic-rt-metrics"/>
    <n v="2"/>
    <n v="3750"/>
    <n v="32"/>
    <x v="6"/>
    <s v="Other"/>
    <x v="3"/>
    <s v="Other"/>
    <s v="Launcher Metrics"/>
    <s v="Other"/>
    <s v="Infrastructure and Management"/>
    <n v="0.105"/>
    <n v="6.2E-2"/>
    <n v="3.9E-2"/>
  </r>
  <r>
    <s v="Epic Games, Inc."/>
    <x v="0"/>
    <s v="epic-rt-metrics"/>
    <n v="2"/>
    <n v="3750"/>
    <n v="32"/>
    <x v="6"/>
    <s v="Other"/>
    <x v="3"/>
    <s v="Other"/>
    <s v="Launcher Metrics"/>
    <s v="Other"/>
    <s v="Infrastructure and Management"/>
    <n v="0.105"/>
    <n v="6.2E-2"/>
    <n v="3.9E-2"/>
  </r>
  <r>
    <s v="Epic Games, Inc."/>
    <x v="0"/>
    <s v="epic-rt-metrics"/>
    <n v="2"/>
    <n v="3750"/>
    <n v="32"/>
    <x v="6"/>
    <s v="Other"/>
    <x v="3"/>
    <s v="Other"/>
    <s v="Launcher Metrics"/>
    <s v="Other"/>
    <s v="Infrastructure and Management"/>
    <n v="0.105"/>
    <n v="6.2E-2"/>
    <n v="3.9E-2"/>
  </r>
  <r>
    <s v="Epic Games, Inc."/>
    <x v="2"/>
    <s v="mongodb-eulatracking-lt-02"/>
    <n v="2"/>
    <n v="7500"/>
    <n v="32"/>
    <x v="1"/>
    <s v="Other"/>
    <x v="3"/>
    <s v="Other"/>
    <s v="Other"/>
    <s v="Dev MongoDB"/>
    <s v="DEV"/>
    <n v="0.13300000000000001"/>
    <n v="8.1000000000000003E-2"/>
    <n v="5.1999999999999998E-2"/>
  </r>
  <r>
    <s v="Epic Games, Inc."/>
    <x v="2"/>
    <s v="mongodb-eulatracking-lt-01"/>
    <n v="2"/>
    <n v="7500"/>
    <n v="32"/>
    <x v="1"/>
    <s v="Other"/>
    <x v="3"/>
    <s v="Other"/>
    <s v="Other"/>
    <s v="Dev MongoDB"/>
    <s v="DEV"/>
    <n v="0.13300000000000001"/>
    <n v="8.1000000000000003E-2"/>
    <n v="5.1999999999999998E-2"/>
  </r>
  <r>
    <s v="Epic Games, Inc."/>
    <x v="6"/>
    <s v="mongodb-eulatracking-lt-05"/>
    <n v="2"/>
    <n v="4000"/>
    <n v="0"/>
    <x v="0"/>
    <s v="Other"/>
    <x v="3"/>
    <s v="Other"/>
    <s v="Other"/>
    <s v="Dev MongoDB"/>
    <s v="DEV"/>
    <n v="5.1999999999999998E-2"/>
    <n v="3.4000000000000002E-2"/>
    <n v="2.3E-2"/>
  </r>
  <r>
    <s v="Epic Games, Inc."/>
    <x v="2"/>
    <s v="mongodb-eulatracking-lt-03"/>
    <n v="2"/>
    <n v="7500"/>
    <n v="32"/>
    <x v="1"/>
    <s v="Other"/>
    <x v="3"/>
    <s v="Other"/>
    <s v="Other"/>
    <s v="Dev MongoDB"/>
    <s v="DEV"/>
    <n v="0.13300000000000001"/>
    <n v="8.1000000000000003E-2"/>
    <n v="5.1999999999999998E-2"/>
  </r>
  <r>
    <s v="Epic Games, Inc."/>
    <x v="2"/>
    <s v="mongodb-eulatracking-lt-04"/>
    <n v="2"/>
    <n v="7500"/>
    <n v="32"/>
    <x v="7"/>
    <s v="Other"/>
    <x v="3"/>
    <s v="Other"/>
    <s v="Other"/>
    <s v="Dev MongoDB"/>
    <s v="DEV"/>
    <n v="0.13300000000000001"/>
    <n v="8.1000000000000003E-2"/>
    <n v="5.1999999999999998E-2"/>
  </r>
  <r>
    <s v="Epic Games, Inc."/>
    <x v="0"/>
    <s v="datarouter-public-service-lt-i-a075d873"/>
    <n v="2"/>
    <n v="3750"/>
    <n v="32"/>
    <x v="0"/>
    <s v="Other"/>
    <x v="3"/>
    <s v="Other"/>
    <s v="Other"/>
    <s v="Dev Public Service Load Test"/>
    <s v="DEV"/>
    <n v="0.105"/>
    <n v="6.2E-2"/>
    <n v="3.9E-2"/>
  </r>
  <r>
    <s v="Epic Games, Inc."/>
    <x v="0"/>
    <s v="datarouter-public-service-lt-i-6146b29f"/>
    <n v="2"/>
    <n v="3750"/>
    <n v="32"/>
    <x v="0"/>
    <s v="Other"/>
    <x v="3"/>
    <s v="Other"/>
    <s v="Other"/>
    <s v="Dev Public Service Load Test"/>
    <s v="DEV"/>
    <n v="0.105"/>
    <n v="6.2E-2"/>
    <n v="3.9E-2"/>
  </r>
  <r>
    <s v="Epic Games, Inc."/>
    <x v="0"/>
    <s v="datarouter-consumers-service-lt-i-1ea95ee0"/>
    <n v="2"/>
    <n v="3750"/>
    <n v="32"/>
    <x v="0"/>
    <s v="Other"/>
    <x v="3"/>
    <s v="Other"/>
    <s v="Other"/>
    <s v="Other"/>
    <s v="DEV"/>
    <n v="0.105"/>
    <n v="6.2E-2"/>
    <n v="3.9E-2"/>
  </r>
  <r>
    <s v="Epic Games, Inc."/>
    <x v="0"/>
    <s v="datarouter-consumers-service-lt-i-0c329fdf"/>
    <n v="2"/>
    <n v="3750"/>
    <n v="32"/>
    <x v="0"/>
    <s v="Other"/>
    <x v="3"/>
    <s v="Other"/>
    <s v="Other"/>
    <s v="Other"/>
    <s v="DEV"/>
    <n v="0.105"/>
    <n v="6.2E-2"/>
    <n v="3.9E-2"/>
  </r>
  <r>
    <s v="Epic Games, Inc."/>
    <x v="0"/>
    <s v="account-public-service-lt-i-f7798f09"/>
    <n v="2"/>
    <n v="3750"/>
    <n v="32"/>
    <x v="0"/>
    <s v="Other"/>
    <x v="1"/>
    <s v="account-service"/>
    <s v="[DEV]"/>
    <s v="Dev Public Service Load Test"/>
    <s v="DEV"/>
    <n v="0.105"/>
    <n v="6.2E-2"/>
    <n v="3.9E-2"/>
  </r>
  <r>
    <s v="Epic Games, Inc."/>
    <x v="0"/>
    <s v="account-public-service-lt-i-f4798f0a"/>
    <n v="2"/>
    <n v="3750"/>
    <n v="32"/>
    <x v="0"/>
    <s v="Other"/>
    <x v="1"/>
    <s v="account-service"/>
    <s v="[DEV]"/>
    <s v="Dev Public Service Load Test"/>
    <s v="DEV"/>
    <n v="0.105"/>
    <n v="6.2E-2"/>
    <n v="3.9E-2"/>
  </r>
  <r>
    <s v="Epic Games, Inc."/>
    <x v="0"/>
    <s v="account-public-service-lt-i-73a907a0"/>
    <n v="2"/>
    <n v="3750"/>
    <n v="32"/>
    <x v="0"/>
    <s v="Other"/>
    <x v="1"/>
    <s v="account-service"/>
    <s v="[DEV]"/>
    <s v="Dev Public Service Load Test"/>
    <s v="DEV"/>
    <n v="0.105"/>
    <n v="6.2E-2"/>
    <n v="3.9E-2"/>
  </r>
  <r>
    <s v="Epic Games, Inc."/>
    <x v="0"/>
    <s v="account-public-service-lt-i-72a907a1"/>
    <n v="2"/>
    <n v="3750"/>
    <n v="32"/>
    <x v="0"/>
    <s v="Other"/>
    <x v="1"/>
    <s v="account-service"/>
    <s v="[DEV]"/>
    <s v="Dev Public Service Load Test"/>
    <s v="DEV"/>
    <n v="0.105"/>
    <n v="6.2E-2"/>
    <n v="3.9E-2"/>
  </r>
  <r>
    <s v="Epic Games, Inc."/>
    <x v="0"/>
    <s v="jmeter-lt-24"/>
    <n v="2"/>
    <n v="3750"/>
    <n v="32"/>
    <x v="0"/>
    <s v="Other"/>
    <x v="1"/>
    <s v="jmeter"/>
    <s v="[DEV]"/>
    <s v="Dev Service Load Test (Other)"/>
    <s v="DEV"/>
    <n v="0.105"/>
    <n v="6.2E-2"/>
    <n v="3.9E-2"/>
  </r>
  <r>
    <s v="Epic Games, Inc."/>
    <x v="0"/>
    <s v="jmeter-lt-25"/>
    <n v="2"/>
    <n v="3750"/>
    <n v="32"/>
    <x v="0"/>
    <s v="Other"/>
    <x v="1"/>
    <s v="jmeter"/>
    <s v="[DEV]"/>
    <s v="Dev Service Load Test (Other)"/>
    <s v="DEV"/>
    <n v="0.105"/>
    <n v="6.2E-2"/>
    <n v="3.9E-2"/>
  </r>
  <r>
    <s v="Epic Games, Inc."/>
    <x v="0"/>
    <s v="jmeter-lt-21"/>
    <n v="2"/>
    <n v="3750"/>
    <n v="32"/>
    <x v="0"/>
    <s v="Other"/>
    <x v="1"/>
    <s v="jmeter"/>
    <s v="[DEV]"/>
    <s v="Dev Service Load Test (Other)"/>
    <s v="DEV"/>
    <n v="0.105"/>
    <n v="6.2E-2"/>
    <n v="3.9E-2"/>
  </r>
  <r>
    <s v="Epic Games, Inc."/>
    <x v="0"/>
    <s v="jmeter-lt-22"/>
    <n v="2"/>
    <n v="3750"/>
    <n v="32"/>
    <x v="0"/>
    <s v="Other"/>
    <x v="1"/>
    <s v="jmeter"/>
    <s v="[DEV]"/>
    <s v="Dev Service Load Test (Other)"/>
    <s v="DEV"/>
    <n v="0.105"/>
    <n v="6.2E-2"/>
    <n v="3.9E-2"/>
  </r>
  <r>
    <s v="Epic Games, Inc."/>
    <x v="0"/>
    <s v="jmeter-lt-23"/>
    <n v="2"/>
    <n v="3750"/>
    <n v="32"/>
    <x v="0"/>
    <s v="Other"/>
    <x v="1"/>
    <s v="jmeter"/>
    <s v="[DEV]"/>
    <s v="Dev Service Load Test (Other)"/>
    <s v="DEV"/>
    <n v="0.105"/>
    <n v="6.2E-2"/>
    <n v="3.9E-2"/>
  </r>
  <r>
    <s v="Epic Games, Inc."/>
    <x v="0"/>
    <s v="jmeter-lt-27"/>
    <n v="2"/>
    <n v="3750"/>
    <n v="32"/>
    <x v="0"/>
    <s v="Other"/>
    <x v="1"/>
    <s v="jmeter"/>
    <s v="[DEV]"/>
    <s v="Dev Service Load Test (Other)"/>
    <s v="DEV"/>
    <n v="0.105"/>
    <n v="6.2E-2"/>
    <n v="3.9E-2"/>
  </r>
  <r>
    <s v="Epic Games, Inc."/>
    <x v="0"/>
    <s v="jmeter-lt-26"/>
    <n v="2"/>
    <n v="3750"/>
    <n v="32"/>
    <x v="0"/>
    <s v="Other"/>
    <x v="1"/>
    <s v="jmeter"/>
    <s v="[DEV]"/>
    <s v="Dev Service Load Test (Other)"/>
    <s v="DEV"/>
    <n v="0.105"/>
    <n v="6.2E-2"/>
    <n v="3.9E-2"/>
  </r>
  <r>
    <s v="Epic Games, Inc."/>
    <x v="6"/>
    <s v="mongodb-fortnite-lt-05"/>
    <n v="2"/>
    <n v="4000"/>
    <n v="0"/>
    <x v="0"/>
    <s v="Other"/>
    <x v="1"/>
    <s v="mongodb"/>
    <s v="[DEV]"/>
    <s v="Dev Fortnite Load Test"/>
    <s v="DEV"/>
    <n v="5.1999999999999998E-2"/>
    <n v="3.4000000000000002E-2"/>
    <n v="2.3E-2"/>
  </r>
  <r>
    <s v="Epic Games, Inc."/>
    <x v="5"/>
    <s v="mongodb-fortnite-lt-04"/>
    <n v="4"/>
    <n v="15000"/>
    <n v="80"/>
    <x v="5"/>
    <s v="Other"/>
    <x v="1"/>
    <s v="mongodb"/>
    <s v="[DEV]"/>
    <s v="Dev Fortnite Load Test"/>
    <s v="DEV"/>
    <n v="0.26600000000000001"/>
    <n v="0.16300000000000001"/>
    <n v="0.104"/>
  </r>
  <r>
    <s v="Epic Games, Inc."/>
    <x v="5"/>
    <s v="mongodb-fortnite-lt-01"/>
    <n v="4"/>
    <n v="15000"/>
    <n v="80"/>
    <x v="1"/>
    <s v="Other"/>
    <x v="1"/>
    <s v="mongodb"/>
    <s v="[DEV]"/>
    <s v="Dev Fortnite Load Test"/>
    <s v="DEV"/>
    <n v="0.26600000000000001"/>
    <n v="0.16300000000000001"/>
    <n v="0.104"/>
  </r>
  <r>
    <s v="Epic Games, Inc."/>
    <x v="5"/>
    <s v="mongodb-fortnite-lt-02"/>
    <n v="4"/>
    <n v="15000"/>
    <n v="80"/>
    <x v="1"/>
    <s v="Other"/>
    <x v="1"/>
    <s v="mongodb"/>
    <s v="[DEV]"/>
    <s v="Dev Fortnite Load Test"/>
    <s v="DEV"/>
    <n v="0.26600000000000001"/>
    <n v="0.16300000000000001"/>
    <n v="0.104"/>
  </r>
  <r>
    <s v="Epic Games, Inc."/>
    <x v="5"/>
    <s v="mongodb-fortnite-lt-03"/>
    <n v="4"/>
    <n v="15000"/>
    <n v="80"/>
    <x v="1"/>
    <s v="Other"/>
    <x v="1"/>
    <s v="mongodb"/>
    <s v="[DEV]"/>
    <s v="Dev Fortnite Load Test"/>
    <s v="DEV"/>
    <n v="0.26600000000000001"/>
    <n v="0.16300000000000001"/>
    <n v="0.104"/>
  </r>
  <r>
    <s v="Epic Games, Inc."/>
    <x v="0"/>
    <s v="fortnite-admin-servicecron-lt-i-d576df06"/>
    <n v="2"/>
    <n v="3750"/>
    <n v="32"/>
    <x v="0"/>
    <s v="Other"/>
    <x v="3"/>
    <s v="Other"/>
    <s v="Other"/>
    <s v="Dev Admin Service Load Test"/>
    <s v="DEV"/>
    <n v="0.105"/>
    <n v="6.2E-2"/>
    <n v="3.9E-2"/>
  </r>
  <r>
    <s v="Epic Games, Inc."/>
    <x v="0"/>
    <s v="entitlement-public-service-lt-i-9bf85048"/>
    <n v="2"/>
    <n v="3750"/>
    <n v="32"/>
    <x v="0"/>
    <s v="Other"/>
    <x v="1"/>
    <s v="entitlement-service"/>
    <s v="[DEV]"/>
    <s v="Dev Public Service Load Test"/>
    <s v="DEV"/>
    <n v="0.105"/>
    <n v="6.2E-2"/>
    <n v="3.9E-2"/>
  </r>
  <r>
    <s v="Epic Games, Inc."/>
    <x v="0"/>
    <s v="entitlement-public-service-lt-i-85f85056"/>
    <n v="2"/>
    <n v="3750"/>
    <n v="32"/>
    <x v="0"/>
    <s v="Other"/>
    <x v="1"/>
    <s v="entitlement-service"/>
    <s v="[DEV]"/>
    <s v="Dev Public Service Load Test"/>
    <s v="DEV"/>
    <n v="0.105"/>
    <n v="6.2E-2"/>
    <n v="3.9E-2"/>
  </r>
  <r>
    <s v="Epic Games, Inc."/>
    <x v="2"/>
    <s v="mongodb-friends-lt-01"/>
    <n v="2"/>
    <n v="7500"/>
    <n v="32"/>
    <x v="1"/>
    <s v="Other"/>
    <x v="1"/>
    <s v="mongodb"/>
    <s v="[DEV]"/>
    <s v="Dev MongoDB"/>
    <s v="DEV"/>
    <n v="0.13300000000000001"/>
    <n v="8.1000000000000003E-2"/>
    <n v="5.1999999999999998E-2"/>
  </r>
  <r>
    <s v="Epic Games, Inc."/>
    <x v="2"/>
    <s v="mongodb-friends-lt-04"/>
    <n v="2"/>
    <n v="7500"/>
    <n v="32"/>
    <x v="7"/>
    <s v="Other"/>
    <x v="1"/>
    <s v="mongodb"/>
    <s v="[DEV]"/>
    <s v="Dev MongoDB"/>
    <s v="DEV"/>
    <n v="0.13300000000000001"/>
    <n v="8.1000000000000003E-2"/>
    <n v="5.1999999999999998E-2"/>
  </r>
  <r>
    <s v="Epic Games, Inc."/>
    <x v="0"/>
    <s v="entitlement-public-service-lt-i-b3af5f4d"/>
    <n v="2"/>
    <n v="3750"/>
    <n v="32"/>
    <x v="0"/>
    <s v="Other"/>
    <x v="1"/>
    <s v="entitlement-service"/>
    <s v="[DEV]"/>
    <s v="Dev Public Service Load Test"/>
    <s v="DEV"/>
    <n v="0.105"/>
    <n v="6.2E-2"/>
    <n v="3.9E-2"/>
  </r>
  <r>
    <s v="Epic Games, Inc."/>
    <x v="5"/>
    <s v="mongodb-entitlement-lt-01"/>
    <n v="4"/>
    <n v="15000"/>
    <n v="80"/>
    <x v="1"/>
    <s v="Other"/>
    <x v="1"/>
    <s v="mongodb"/>
    <s v="[DEV]"/>
    <s v="Dev MongoDB"/>
    <s v="DEV"/>
    <n v="0.26600000000000001"/>
    <n v="0.16300000000000001"/>
    <n v="0.104"/>
  </r>
  <r>
    <s v="Epic Games, Inc."/>
    <x v="6"/>
    <s v="mongodb-entitlement-lt-05"/>
    <n v="2"/>
    <n v="4000"/>
    <n v="0"/>
    <x v="0"/>
    <s v="Other"/>
    <x v="1"/>
    <s v="mongodb"/>
    <s v="[DEV]"/>
    <s v="Dev MongoDB"/>
    <s v="DEV"/>
    <n v="5.1999999999999998E-2"/>
    <n v="3.4000000000000002E-2"/>
    <n v="2.3E-2"/>
  </r>
  <r>
    <s v="Epic Games, Inc."/>
    <x v="5"/>
    <s v="mongodb-entitlement-lt-02"/>
    <n v="4"/>
    <n v="15000"/>
    <n v="80"/>
    <x v="1"/>
    <s v="Other"/>
    <x v="1"/>
    <s v="mongodb"/>
    <s v="[DEV]"/>
    <s v="Dev MongoDB"/>
    <s v="DEV"/>
    <n v="0.26600000000000001"/>
    <n v="0.16300000000000001"/>
    <n v="0.104"/>
  </r>
  <r>
    <s v="Epic Games, Inc."/>
    <x v="5"/>
    <s v="mongodb-entitlement-lt-04"/>
    <n v="4"/>
    <n v="15000"/>
    <n v="80"/>
    <x v="7"/>
    <s v="Other"/>
    <x v="1"/>
    <s v="mongodb"/>
    <s v="[DEV]"/>
    <s v="Dev MongoDB"/>
    <s v="DEV"/>
    <n v="0.26600000000000001"/>
    <n v="0.16300000000000001"/>
    <n v="0.104"/>
  </r>
  <r>
    <s v="Epic Games, Inc."/>
    <x v="6"/>
    <s v="mongodb-friends-lt-05"/>
    <n v="2"/>
    <n v="4000"/>
    <n v="0"/>
    <x v="0"/>
    <s v="Other"/>
    <x v="1"/>
    <s v="mongodb"/>
    <s v="[DEV]"/>
    <s v="Dev MongoDB"/>
    <s v="DEV"/>
    <n v="5.1999999999999998E-2"/>
    <n v="3.4000000000000002E-2"/>
    <n v="2.3E-2"/>
  </r>
  <r>
    <s v="Epic Games, Inc."/>
    <x v="2"/>
    <s v="mongodb-friends-lt-03"/>
    <n v="2"/>
    <n v="7500"/>
    <n v="32"/>
    <x v="1"/>
    <s v="Other"/>
    <x v="1"/>
    <s v="mongodb"/>
    <s v="[DEV]"/>
    <s v="Dev MongoDB"/>
    <s v="DEV"/>
    <n v="0.13300000000000001"/>
    <n v="8.1000000000000003E-2"/>
    <n v="5.1999999999999998E-2"/>
  </r>
  <r>
    <s v="Epic Games, Inc."/>
    <x v="5"/>
    <s v="mongodb-entitlement-lt-03"/>
    <n v="4"/>
    <n v="15000"/>
    <n v="80"/>
    <x v="1"/>
    <s v="Other"/>
    <x v="1"/>
    <s v="mongodb"/>
    <s v="[DEV]"/>
    <s v="Dev MongoDB"/>
    <s v="DEV"/>
    <n v="0.26600000000000001"/>
    <n v="0.16300000000000001"/>
    <n v="0.104"/>
  </r>
  <r>
    <s v="Epic Games, Inc."/>
    <x v="2"/>
    <s v="mongodb-friends-lt-02"/>
    <n v="2"/>
    <n v="7500"/>
    <n v="32"/>
    <x v="1"/>
    <s v="Other"/>
    <x v="1"/>
    <s v="mongodb"/>
    <s v="[DEV]"/>
    <s v="Dev MongoDB"/>
    <s v="DEV"/>
    <n v="0.13300000000000001"/>
    <n v="8.1000000000000003E-2"/>
    <n v="5.1999999999999998E-2"/>
  </r>
  <r>
    <s v="Epic Games, Inc."/>
    <x v="0"/>
    <s v="entitlement-admin-service-lt-i-3e9c6cc0"/>
    <n v="2"/>
    <n v="3750"/>
    <n v="32"/>
    <x v="0"/>
    <s v="Other"/>
    <x v="1"/>
    <s v="entitlement-service"/>
    <s v="[DEV]"/>
    <s v="Dev Admin Service Load Test"/>
    <s v="DEV"/>
    <n v="0.105"/>
    <n v="6.2E-2"/>
    <n v="3.9E-2"/>
  </r>
  <r>
    <s v="Epic Games, Inc."/>
    <x v="2"/>
    <s v="redis-fortnite-lt-01"/>
    <n v="2"/>
    <n v="7500"/>
    <n v="32"/>
    <x v="0"/>
    <s v="Other"/>
    <x v="1"/>
    <s v="redis"/>
    <s v="[DEV]"/>
    <s v="Dev Fortnite Load Test"/>
    <s v="DEV"/>
    <n v="0.13300000000000001"/>
    <n v="8.1000000000000003E-2"/>
    <n v="5.1999999999999998E-2"/>
  </r>
  <r>
    <s v="Epic Games, Inc."/>
    <x v="0"/>
    <s v="entitlement-admin-service-lt-i-92d17941"/>
    <n v="2"/>
    <n v="3750"/>
    <n v="32"/>
    <x v="0"/>
    <s v="Other"/>
    <x v="1"/>
    <s v="entitlement-service"/>
    <s v="[DEV]"/>
    <s v="Dev Admin Service Load Test"/>
    <s v="DEV"/>
    <n v="0.105"/>
    <n v="6.2E-2"/>
    <n v="3.9E-2"/>
  </r>
  <r>
    <s v="Epic Games, Inc."/>
    <x v="0"/>
    <s v="entitlement-admin-servicecron-lt-i-ebc96138"/>
    <n v="2"/>
    <n v="3750"/>
    <n v="32"/>
    <x v="0"/>
    <s v="Other"/>
    <x v="3"/>
    <s v="Other"/>
    <s v="Other"/>
    <s v="Dev Admin Service Load Test"/>
    <s v="DEV"/>
    <n v="0.105"/>
    <n v="6.2E-2"/>
    <n v="3.9E-2"/>
  </r>
  <r>
    <s v="Epic Games, Inc."/>
    <x v="0"/>
    <s v="friends-public-service-lt-i-acf75f7f"/>
    <n v="2"/>
    <n v="3750"/>
    <n v="32"/>
    <x v="0"/>
    <s v="Other"/>
    <x v="1"/>
    <s v="friends-service"/>
    <s v="[DEV]"/>
    <s v="Dev Public Service Load Test"/>
    <s v="DEV"/>
    <n v="0.105"/>
    <n v="6.2E-2"/>
    <n v="3.9E-2"/>
  </r>
  <r>
    <s v="Epic Games, Inc."/>
    <x v="0"/>
    <s v="friends-public-service-lt-i-a49b6b5a"/>
    <n v="2"/>
    <n v="3750"/>
    <n v="32"/>
    <x v="0"/>
    <s v="Other"/>
    <x v="1"/>
    <s v="friends-service"/>
    <s v="[DEV]"/>
    <s v="Dev Public Service Load Test"/>
    <s v="DEV"/>
    <n v="0.105"/>
    <n v="6.2E-2"/>
    <n v="3.9E-2"/>
  </r>
  <r>
    <s v="Epic Games, Inc."/>
    <x v="2"/>
    <s v="redis-fortnite-lt-02"/>
    <n v="2"/>
    <n v="7500"/>
    <n v="32"/>
    <x v="0"/>
    <s v="Other"/>
    <x v="1"/>
    <s v="redis"/>
    <s v="[DEV]"/>
    <s v="Dev Fortnite Load Test"/>
    <s v="DEV"/>
    <n v="0.13300000000000001"/>
    <n v="8.1000000000000003E-2"/>
    <n v="5.1999999999999998E-2"/>
  </r>
  <r>
    <s v="Epic Games, Inc."/>
    <x v="2"/>
    <s v="mongodb-tigase-lt-02"/>
    <n v="2"/>
    <n v="7500"/>
    <n v="32"/>
    <x v="1"/>
    <s v="Other"/>
    <x v="1"/>
    <s v="mongodb"/>
    <s v="[DEV]"/>
    <s v="Dev MongoDB"/>
    <s v="DEV"/>
    <n v="0.13300000000000001"/>
    <n v="8.1000000000000003E-2"/>
    <n v="5.1999999999999998E-2"/>
  </r>
  <r>
    <s v="Epic Games, Inc."/>
    <x v="6"/>
    <s v="mongodb-tigase-lt-05"/>
    <n v="2"/>
    <n v="4000"/>
    <n v="0"/>
    <x v="0"/>
    <s v="Other"/>
    <x v="1"/>
    <s v="mongodb"/>
    <s v="[DEV]"/>
    <s v="Dev MongoDB"/>
    <s v="DEV"/>
    <n v="5.1999999999999998E-2"/>
    <n v="3.4000000000000002E-2"/>
    <n v="2.3E-2"/>
  </r>
  <r>
    <s v="Epic Games, Inc."/>
    <x v="2"/>
    <s v="mongodb-tigase-lt-04"/>
    <n v="2"/>
    <n v="7500"/>
    <n v="32"/>
    <x v="7"/>
    <s v="Other"/>
    <x v="1"/>
    <s v="mongodb"/>
    <s v="[DEV]"/>
    <s v="Dev MongoDB"/>
    <s v="DEV"/>
    <n v="0.13300000000000001"/>
    <n v="8.1000000000000003E-2"/>
    <n v="5.1999999999999998E-2"/>
  </r>
  <r>
    <s v="Epic Games, Inc."/>
    <x v="15"/>
    <s v="tigase-common-lt-i-f5983026"/>
    <n v="16"/>
    <n v="30000"/>
    <n v="320"/>
    <x v="0"/>
    <s v="Other"/>
    <x v="1"/>
    <s v="tigase"/>
    <s v="[DEV]"/>
    <s v="Dev Common Load Test"/>
    <s v="DEV"/>
    <n v="0.84"/>
    <n v="0.497"/>
    <n v="0.314"/>
  </r>
  <r>
    <s v="Epic Games, Inc."/>
    <x v="15"/>
    <s v="tigase-common-lt-i-f4983027"/>
    <n v="16"/>
    <n v="30000"/>
    <n v="320"/>
    <x v="0"/>
    <s v="Other"/>
    <x v="1"/>
    <s v="tigase"/>
    <s v="[DEV]"/>
    <s v="Dev Common Load Test"/>
    <s v="DEV"/>
    <n v="0.84"/>
    <n v="0.497"/>
    <n v="0.314"/>
  </r>
  <r>
    <s v="Epic Games, Inc."/>
    <x v="15"/>
    <s v="tigase-common-lt-i-c8d82836"/>
    <n v="16"/>
    <n v="30000"/>
    <n v="320"/>
    <x v="0"/>
    <s v="Other"/>
    <x v="1"/>
    <s v="tigase"/>
    <s v="[DEV]"/>
    <s v="Dev Common Load Test"/>
    <s v="DEV"/>
    <n v="0.84"/>
    <n v="0.497"/>
    <n v="0.314"/>
  </r>
  <r>
    <s v="Epic Games, Inc."/>
    <x v="15"/>
    <s v="tigase-common-lt-i-c9d82837"/>
    <n v="16"/>
    <n v="30000"/>
    <n v="320"/>
    <x v="0"/>
    <s v="Other"/>
    <x v="1"/>
    <s v="tigase"/>
    <s v="[DEV]"/>
    <s v="Dev Common Load Test"/>
    <s v="DEV"/>
    <n v="0.84"/>
    <n v="0.497"/>
    <n v="0.314"/>
  </r>
  <r>
    <s v="Epic Games, Inc."/>
    <x v="2"/>
    <s v="mongodb-tigase-lt-03"/>
    <n v="2"/>
    <n v="7500"/>
    <n v="32"/>
    <x v="1"/>
    <s v="Other"/>
    <x v="1"/>
    <s v="mongodb"/>
    <s v="[DEV]"/>
    <s v="Dev MongoDB"/>
    <s v="DEV"/>
    <n v="0.13300000000000001"/>
    <n v="8.1000000000000003E-2"/>
    <n v="5.1999999999999998E-2"/>
  </r>
  <r>
    <s v="Epic Games, Inc."/>
    <x v="2"/>
    <s v="mongodb-tigase-lt-01"/>
    <n v="2"/>
    <n v="7500"/>
    <n v="32"/>
    <x v="1"/>
    <s v="Other"/>
    <x v="1"/>
    <s v="mongodb"/>
    <s v="[DEV]"/>
    <s v="Dev MongoDB"/>
    <s v="DEV"/>
    <n v="0.13300000000000001"/>
    <n v="8.1000000000000003E-2"/>
    <n v="5.1999999999999998E-2"/>
  </r>
  <r>
    <s v="Epic Games, Inc."/>
    <x v="0"/>
    <s v="eulatracking-admin-service-lt-i-f9248c2a"/>
    <n v="2"/>
    <n v="3750"/>
    <n v="32"/>
    <x v="0"/>
    <s v="Other"/>
    <x v="1"/>
    <s v="Unknown"/>
    <s v="[DEV]"/>
    <s v="Dev Admin Service Load Test"/>
    <s v="DEV"/>
    <n v="0.105"/>
    <n v="6.2E-2"/>
    <n v="3.9E-2"/>
  </r>
  <r>
    <s v="Epic Games, Inc."/>
    <x v="0"/>
    <s v="eulatracking-public-service-lt-i-84278f57"/>
    <n v="2"/>
    <n v="3750"/>
    <n v="32"/>
    <x v="0"/>
    <s v="Other"/>
    <x v="1"/>
    <s v="Unknown"/>
    <s v="[DEV]"/>
    <s v="Dev Public Service Load Test"/>
    <s v="DEV"/>
    <n v="0.105"/>
    <n v="6.2E-2"/>
    <n v="3.9E-2"/>
  </r>
  <r>
    <s v="Epic Games, Inc."/>
    <x v="0"/>
    <s v="fortnite-public-service-lt-i-1bd724e5"/>
    <n v="2"/>
    <n v="3750"/>
    <n v="32"/>
    <x v="0"/>
    <s v="Other"/>
    <x v="1"/>
    <s v="fortnite-service"/>
    <s v="[DEV]"/>
    <s v="Dev Fortnite Load Test"/>
    <s v="DEV"/>
    <n v="0.105"/>
    <n v="6.2E-2"/>
    <n v="3.9E-2"/>
  </r>
  <r>
    <s v="Epic Games, Inc."/>
    <x v="0"/>
    <s v="fortnite-public-service-lt-i-5e3a918d"/>
    <n v="2"/>
    <n v="3750"/>
    <n v="32"/>
    <x v="0"/>
    <s v="Other"/>
    <x v="1"/>
    <s v="fortnite-service"/>
    <s v="[DEV]"/>
    <s v="Dev Fortnite Load Test"/>
    <s v="DEV"/>
    <n v="0.105"/>
    <n v="6.2E-2"/>
    <n v="3.9E-2"/>
  </r>
  <r>
    <s v="Epic Games, Inc."/>
    <x v="0"/>
    <s v="fortnite-admin-service-lt-i-cb34c735"/>
    <n v="2"/>
    <n v="3750"/>
    <n v="32"/>
    <x v="0"/>
    <s v="Other"/>
    <x v="1"/>
    <s v="fortnite-service"/>
    <s v="[DEV]"/>
    <s v="Dev Fortnite Load Test"/>
    <s v="DEV"/>
    <n v="0.105"/>
    <n v="6.2E-2"/>
    <n v="3.9E-2"/>
  </r>
  <r>
    <s v="Epic Games, Inc."/>
    <x v="0"/>
    <s v="fortnite-admin-service-lt-i-5417bc87"/>
    <n v="2"/>
    <n v="3750"/>
    <n v="32"/>
    <x v="0"/>
    <s v="Other"/>
    <x v="1"/>
    <s v="fortnite-service"/>
    <s v="[DEV]"/>
    <s v="Dev Fortnite Load Test"/>
    <s v="DEV"/>
    <n v="0.105"/>
    <n v="6.2E-2"/>
    <n v="3.9E-2"/>
  </r>
  <r>
    <s v="Epic Games, Inc."/>
    <x v="2"/>
    <s v="mongodb-eulatracking-prod06-03"/>
    <n v="2"/>
    <n v="7500"/>
    <n v="32"/>
    <x v="1"/>
    <s v="Other"/>
    <x v="0"/>
    <s v="Other"/>
    <s v="Tracking Website"/>
    <s v="Dev MongoDB"/>
    <s v="Common Services (Prod06)"/>
    <n v="0.13300000000000001"/>
    <n v="8.1000000000000003E-2"/>
    <n v="5.1999999999999998E-2"/>
  </r>
  <r>
    <s v="Epic Games, Inc."/>
    <x v="2"/>
    <s v="mongodb-eulatracking-prod06-04"/>
    <n v="2"/>
    <n v="7500"/>
    <n v="32"/>
    <x v="7"/>
    <s v="Other"/>
    <x v="0"/>
    <s v="Other"/>
    <s v="Tracking Website"/>
    <s v="Dev MongoDB"/>
    <s v="Common Services (Prod06)"/>
    <n v="0.13300000000000001"/>
    <n v="8.1000000000000003E-2"/>
    <n v="5.1999999999999998E-2"/>
  </r>
  <r>
    <s v="Epic Games, Inc."/>
    <x v="0"/>
    <s v="eulatracking-admin-service-prod06-i-bc5caf42"/>
    <n v="2"/>
    <n v="3750"/>
    <n v="32"/>
    <x v="0"/>
    <s v="Other"/>
    <x v="1"/>
    <s v="Unknown"/>
    <s v="[DEV]"/>
    <s v="Dev Admin Service Load Test"/>
    <s v="Common Services (Prod06)"/>
    <n v="0.105"/>
    <n v="6.2E-2"/>
    <n v="3.9E-2"/>
  </r>
  <r>
    <s v="Epic Games, Inc."/>
    <x v="0"/>
    <s v="eulatracking-public-service-prod06-i-de5caf20"/>
    <n v="2"/>
    <n v="3750"/>
    <n v="32"/>
    <x v="0"/>
    <s v="Other"/>
    <x v="1"/>
    <s v="Unknown"/>
    <s v="[DEV]"/>
    <s v="Other"/>
    <s v="Common Services (Prod06)"/>
    <n v="0.105"/>
    <n v="6.2E-2"/>
    <n v="3.9E-2"/>
  </r>
  <r>
    <s v="Epic Games, Inc."/>
    <x v="2"/>
    <s v="mongodb-eulatracking-prod06-01"/>
    <n v="2"/>
    <n v="7500"/>
    <n v="32"/>
    <x v="1"/>
    <s v="Other"/>
    <x v="0"/>
    <s v="Other"/>
    <s v="Tracking Website"/>
    <s v="Dev MongoDB"/>
    <s v="Common Services (Prod06)"/>
    <n v="0.13300000000000001"/>
    <n v="8.1000000000000003E-2"/>
    <n v="5.1999999999999998E-2"/>
  </r>
  <r>
    <s v="Epic Games, Inc."/>
    <x v="9"/>
    <s v="mongodb-eulatracking-prod06-05"/>
    <n v="1"/>
    <n v="2000"/>
    <n v="0"/>
    <x v="0"/>
    <s v="Other"/>
    <x v="0"/>
    <s v="Other"/>
    <s v="Tracking Website"/>
    <s v="Dev MongoDB"/>
    <s v="Common Services (Prod06)"/>
    <n v="2.5999999999999999E-2"/>
    <n v="1.7000000000000001E-2"/>
    <n v="1.2E-2"/>
  </r>
  <r>
    <s v="Epic Games, Inc."/>
    <x v="2"/>
    <s v="mongodb-eulatracking-prod06-02"/>
    <n v="2"/>
    <n v="7500"/>
    <n v="32"/>
    <x v="1"/>
    <s v="Other"/>
    <x v="0"/>
    <s v="Other"/>
    <s v="Tracking Website"/>
    <s v="Dev MongoDB"/>
    <s v="Common Services (Prod06)"/>
    <n v="0.13300000000000001"/>
    <n v="8.1000000000000003E-2"/>
    <n v="5.1999999999999998E-2"/>
  </r>
  <r>
    <s v="Epic Games, Inc."/>
    <x v="0"/>
    <s v="eulatracking-admin-service-prod06-i-3b67cde8"/>
    <n v="2"/>
    <n v="3750"/>
    <n v="32"/>
    <x v="0"/>
    <s v="Other"/>
    <x v="1"/>
    <s v="Unknown"/>
    <s v="[DEV]"/>
    <s v="Dev Admin Service Load Test"/>
    <s v="Common Services (Prod06)"/>
    <n v="0.105"/>
    <n v="6.2E-2"/>
    <n v="3.9E-2"/>
  </r>
  <r>
    <s v="Epic Games, Inc."/>
    <x v="0"/>
    <s v="eulatracking-public-service-prod06-i-9267cd41"/>
    <n v="2"/>
    <n v="3750"/>
    <n v="32"/>
    <x v="0"/>
    <s v="Other"/>
    <x v="1"/>
    <s v="Unknown"/>
    <s v="[DEV]"/>
    <s v="Other"/>
    <s v="Common Services (Prod06)"/>
    <n v="0.105"/>
    <n v="6.2E-2"/>
    <n v="3.9E-2"/>
  </r>
  <r>
    <s v="Epic Games, Inc."/>
    <x v="6"/>
    <s v="datarouter-public-service-gamedev-i-6e4de7bd"/>
    <n v="2"/>
    <n v="4000"/>
    <n v="0"/>
    <x v="0"/>
    <s v="Other"/>
    <x v="1"/>
    <s v="datarouter-service"/>
    <s v="[DEV]"/>
    <s v="Dev Unreal Tournament Gamedev"/>
    <s v="DEV"/>
    <n v="5.1999999999999998E-2"/>
    <n v="3.4000000000000002E-2"/>
    <n v="2.3E-2"/>
  </r>
  <r>
    <s v="Epic Games, Inc."/>
    <x v="6"/>
    <s v="datarouter-public-service-gamedev-i-a74dbe59"/>
    <n v="2"/>
    <n v="4000"/>
    <n v="0"/>
    <x v="0"/>
    <s v="Other"/>
    <x v="1"/>
    <s v="datarouter-service"/>
    <s v="[DEV]"/>
    <s v="Dev Unreal Tournament Gamedev"/>
    <s v="DEV"/>
    <n v="5.1999999999999998E-2"/>
    <n v="3.4000000000000002E-2"/>
    <n v="2.3E-2"/>
  </r>
  <r>
    <s v="Epic Games, Inc."/>
    <x v="14"/>
    <s v="team-service-lt-i-7a3487a9"/>
    <n v="8"/>
    <n v="15000"/>
    <n v="160"/>
    <x v="0"/>
    <s v="Other"/>
    <x v="1"/>
    <s v="team-service"/>
    <s v="[DEV]"/>
    <s v="Dev Service Load Test (Other)"/>
    <s v="DEV"/>
    <n v="0.42"/>
    <n v="0.248"/>
    <n v="0.157"/>
  </r>
  <r>
    <s v="Epic Games, Inc."/>
    <x v="14"/>
    <s v="team-service-lt-i-77f10889"/>
    <n v="8"/>
    <n v="15000"/>
    <n v="160"/>
    <x v="0"/>
    <s v="Other"/>
    <x v="1"/>
    <s v="team-service"/>
    <s v="[DEV]"/>
    <s v="Dev Service Load Test (Other)"/>
    <s v="DEV"/>
    <n v="0.42"/>
    <n v="0.248"/>
    <n v="0.157"/>
  </r>
  <r>
    <s v="Epic Games, Inc."/>
    <x v="17"/>
    <s v="i-50dc6083"/>
    <n v="4"/>
    <n v="7500"/>
    <n v="80"/>
    <x v="34"/>
    <s v="Other"/>
    <x v="3"/>
    <s v="Other"/>
    <s v="Other"/>
    <s v="Other"/>
    <s v="DEV"/>
    <n v="0.21"/>
    <n v="0.125"/>
    <n v="7.9000000000000001E-2"/>
  </r>
  <r>
    <s v="Epic Games, Inc."/>
    <x v="17"/>
    <s v="i-47e35f94"/>
    <n v="4"/>
    <n v="7500"/>
    <n v="80"/>
    <x v="34"/>
    <s v="Other"/>
    <x v="3"/>
    <s v="Other"/>
    <s v="Other"/>
    <s v="Other"/>
    <s v="DEV"/>
    <n v="0.21"/>
    <n v="0.125"/>
    <n v="7.9000000000000001E-2"/>
  </r>
  <r>
    <s v="Epic Games, Inc."/>
    <x v="17"/>
    <s v="i-27d965f4"/>
    <n v="4"/>
    <n v="7500"/>
    <n v="80"/>
    <x v="34"/>
    <s v="Other"/>
    <x v="3"/>
    <s v="Other"/>
    <s v="Other"/>
    <s v="Other"/>
    <s v="DEV"/>
    <n v="0.21"/>
    <n v="0.125"/>
    <n v="7.9000000000000001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gridDropZones="1" multipleFieldFilters="0">
  <location ref="A3:E25" firstHeaderRow="1" firstDataRow="2" firstDataCol="1" rowPageCount="1" colPageCount="1"/>
  <pivotFields count="16">
    <pivotField showAll="0"/>
    <pivotField axis="axisRow" dataField="1" showAll="0">
      <items count="21">
        <item x="14"/>
        <item x="15"/>
        <item x="12"/>
        <item x="0"/>
        <item x="17"/>
        <item x="16"/>
        <item x="19"/>
        <item x="3"/>
        <item x="7"/>
        <item x="1"/>
        <item x="18"/>
        <item x="8"/>
        <item x="2"/>
        <item x="4"/>
        <item x="5"/>
        <item x="11"/>
        <item x="10"/>
        <item x="6"/>
        <item x="13"/>
        <item x="9"/>
        <item t="default"/>
      </items>
    </pivotField>
    <pivotField showAll="0"/>
    <pivotField showAll="0"/>
    <pivotField showAll="0"/>
    <pivotField showAll="0"/>
    <pivotField showAll="0"/>
    <pivotField showAll="0"/>
    <pivotField axis="axisPage" showAll="0">
      <items count="5">
        <item x="1"/>
        <item x="2"/>
        <item x="3"/>
        <item x="0"/>
        <item t="default"/>
      </items>
    </pivotField>
    <pivotField showAll="0"/>
    <pivotField showAll="0"/>
    <pivotField showAll="0"/>
    <pivotField showAll="0"/>
    <pivotField dataField="1" showAll="0"/>
    <pivotField dataField="1" showAll="0"/>
    <pivotField dataField="1"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4">
    <i>
      <x/>
    </i>
    <i i="1">
      <x v="1"/>
    </i>
    <i i="2">
      <x v="2"/>
    </i>
    <i i="3">
      <x v="3"/>
    </i>
  </colItems>
  <pageFields count="1">
    <pageField fld="8" hier="-1"/>
  </pageFields>
  <dataFields count="4">
    <dataField name="Count of API Name" fld="1" subtotal="count" baseField="0" baseItem="0"/>
    <dataField name="Sum of Price Per Hour" fld="13" baseField="0" baseItem="0"/>
    <dataField name="Sum of All Upfront Effective Price Per Hour 1 Year" fld="14" baseField="0" baseItem="0"/>
    <dataField name="Sum of All Upfront Effective Price Per Hour 3 Year" fld="15"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gridDropZones="1" multipleFieldFilters="0">
  <location ref="A3:C40" firstHeaderRow="1" firstDataRow="2" firstDataCol="1" rowPageCount="1" colPageCount="1"/>
  <pivotFields count="16">
    <pivotField showAll="0"/>
    <pivotField showAll="0"/>
    <pivotField showAll="0"/>
    <pivotField showAll="0"/>
    <pivotField showAll="0"/>
    <pivotField showAll="0"/>
    <pivotField axis="axisRow" dataField="1" showAll="0">
      <items count="36">
        <item x="6"/>
        <item x="0"/>
        <item x="10"/>
        <item x="30"/>
        <item x="11"/>
        <item x="32"/>
        <item x="18"/>
        <item x="12"/>
        <item x="28"/>
        <item x="33"/>
        <item x="8"/>
        <item x="15"/>
        <item x="1"/>
        <item x="19"/>
        <item x="2"/>
        <item x="9"/>
        <item x="25"/>
        <item x="23"/>
        <item x="7"/>
        <item x="16"/>
        <item x="24"/>
        <item x="14"/>
        <item x="4"/>
        <item x="5"/>
        <item x="20"/>
        <item x="26"/>
        <item x="29"/>
        <item x="13"/>
        <item x="27"/>
        <item x="3"/>
        <item x="31"/>
        <item x="17"/>
        <item x="22"/>
        <item x="21"/>
        <item x="34"/>
        <item t="default"/>
      </items>
    </pivotField>
    <pivotField showAll="0"/>
    <pivotField axis="axisPage" dataField="1" showAll="0">
      <items count="5">
        <item x="1"/>
        <item x="2"/>
        <item x="3"/>
        <item x="0"/>
        <item t="default"/>
      </items>
    </pivotField>
    <pivotField showAll="0"/>
    <pivotField showAll="0"/>
    <pivotField showAll="0"/>
    <pivotField showAll="0"/>
    <pivotField showAll="0"/>
    <pivotField showAll="0"/>
    <pivotField showAll="0"/>
  </pivotFields>
  <rowFields count="1">
    <field x="6"/>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1">
    <field x="-2"/>
  </colFields>
  <colItems count="2">
    <i>
      <x/>
    </i>
    <i i="1">
      <x v="1"/>
    </i>
  </colItems>
  <pageFields count="1">
    <pageField fld="8" hier="-1"/>
  </pageFields>
  <dataFields count="2">
    <dataField name="Count of Attached EBS" fld="6" subtotal="count" baseField="0" baseItem="0"/>
    <dataField name="Count of Environments" fld="8" subtotal="count"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1" Type="http://schemas.openxmlformats.org/officeDocument/2006/relationships/drawing" Target="../drawings/drawing2.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theme="6" tint="0.39997558519241921"/>
  </sheetPr>
  <dimension ref="B1:U1513"/>
  <sheetViews>
    <sheetView showGridLines="0" tabSelected="1" topLeftCell="A96" workbookViewId="0">
      <selection activeCell="M116" sqref="M116"/>
    </sheetView>
  </sheetViews>
  <sheetFormatPr baseColWidth="10" defaultColWidth="11" defaultRowHeight="14" x14ac:dyDescent="0"/>
  <cols>
    <col min="1" max="1" width="1.1640625" style="2" customWidth="1"/>
    <col min="2" max="2" width="1.33203125" style="2" customWidth="1"/>
    <col min="3" max="3" width="46.1640625" style="2" bestFit="1" customWidth="1"/>
    <col min="4" max="4" width="3.6640625" style="3" bestFit="1" customWidth="1"/>
    <col min="5" max="5" width="8.5" style="3" bestFit="1" customWidth="1"/>
    <col min="6" max="6" width="6.1640625" style="3" customWidth="1"/>
    <col min="7" max="7" width="5.33203125" style="3" bestFit="1" customWidth="1"/>
    <col min="8" max="8" width="7" style="3" customWidth="1"/>
    <col min="9" max="10" width="1.1640625" style="2" customWidth="1"/>
    <col min="11" max="11" width="1.1640625" style="1" customWidth="1"/>
    <col min="12" max="12" width="43.1640625" style="27" bestFit="1" customWidth="1"/>
    <col min="13" max="13" width="24.83203125" style="1" bestFit="1" customWidth="1"/>
    <col min="14" max="14" width="1.1640625" style="1" customWidth="1"/>
    <col min="15" max="15" width="30.5" style="23" customWidth="1"/>
    <col min="16" max="18" width="11" style="2"/>
    <col min="19" max="19" width="9.1640625" style="2" customWidth="1"/>
    <col min="20" max="16384" width="11" style="2"/>
  </cols>
  <sheetData>
    <row r="1" spans="2:21" ht="7.5" customHeight="1"/>
    <row r="2" spans="2:21" ht="8.25" customHeight="1">
      <c r="B2" s="5"/>
      <c r="C2" s="6"/>
      <c r="D2" s="7"/>
      <c r="E2" s="7"/>
      <c r="F2" s="7"/>
      <c r="G2" s="7"/>
      <c r="H2" s="7"/>
      <c r="I2" s="8"/>
      <c r="K2" s="41"/>
      <c r="L2" s="42"/>
      <c r="M2" s="43"/>
      <c r="N2" s="44"/>
    </row>
    <row r="3" spans="2:21" ht="12.75" customHeight="1">
      <c r="B3" s="11"/>
      <c r="C3" s="185" t="s">
        <v>29</v>
      </c>
      <c r="D3" s="186"/>
      <c r="E3" s="186"/>
      <c r="F3" s="186"/>
      <c r="G3" s="186"/>
      <c r="H3" s="187"/>
      <c r="I3" s="22"/>
      <c r="K3" s="45"/>
      <c r="L3" s="177" t="s">
        <v>1695</v>
      </c>
      <c r="M3" s="178"/>
      <c r="N3" s="46"/>
    </row>
    <row r="4" spans="2:21">
      <c r="B4" s="11"/>
      <c r="C4" s="188" t="s">
        <v>30</v>
      </c>
      <c r="D4" s="189"/>
      <c r="E4" s="189"/>
      <c r="F4" s="189"/>
      <c r="G4" s="189"/>
      <c r="H4" s="190"/>
      <c r="I4" s="22"/>
      <c r="K4" s="45"/>
      <c r="L4" s="388" t="s">
        <v>1696</v>
      </c>
      <c r="M4" s="390">
        <v>1</v>
      </c>
      <c r="N4" s="46"/>
    </row>
    <row r="5" spans="2:21" ht="12.75" customHeight="1">
      <c r="B5" s="11"/>
      <c r="C5" s="188" t="s">
        <v>31</v>
      </c>
      <c r="D5" s="189"/>
      <c r="E5" s="189"/>
      <c r="F5" s="189"/>
      <c r="G5" s="189"/>
      <c r="H5" s="190"/>
      <c r="I5" s="22"/>
      <c r="K5" s="45"/>
      <c r="L5" s="388" t="s">
        <v>1697</v>
      </c>
      <c r="M5" s="390">
        <v>1</v>
      </c>
      <c r="N5" s="46"/>
    </row>
    <row r="6" spans="2:21" ht="12.75" customHeight="1">
      <c r="B6" s="11"/>
      <c r="C6" s="191" t="s">
        <v>69</v>
      </c>
      <c r="D6" s="192"/>
      <c r="E6" s="192"/>
      <c r="F6" s="192"/>
      <c r="G6" s="192"/>
      <c r="H6" s="193"/>
      <c r="I6" s="63"/>
      <c r="K6" s="45"/>
      <c r="L6" s="389" t="s">
        <v>45</v>
      </c>
      <c r="M6" s="390">
        <v>1.2</v>
      </c>
      <c r="N6" s="46"/>
    </row>
    <row r="7" spans="2:21" ht="7.5" customHeight="1">
      <c r="B7" s="13"/>
      <c r="C7" s="14"/>
      <c r="D7" s="14"/>
      <c r="E7" s="14"/>
      <c r="F7" s="14"/>
      <c r="G7" s="14"/>
      <c r="H7" s="14"/>
      <c r="I7" s="16"/>
      <c r="K7" s="47"/>
      <c r="L7" s="48"/>
      <c r="M7" s="49"/>
      <c r="N7" s="50"/>
    </row>
    <row r="8" spans="2:21" ht="5" customHeight="1">
      <c r="D8" s="2"/>
      <c r="E8" s="2"/>
      <c r="F8" s="2"/>
      <c r="G8" s="2"/>
      <c r="H8" s="2"/>
    </row>
    <row r="9" spans="2:21" ht="2" customHeight="1">
      <c r="D9" s="2"/>
      <c r="E9" s="2"/>
      <c r="F9" s="2"/>
      <c r="G9" s="2"/>
      <c r="H9" s="2"/>
    </row>
    <row r="10" spans="2:21" ht="15" customHeight="1">
      <c r="B10" s="182" t="s">
        <v>25</v>
      </c>
      <c r="C10" s="183"/>
      <c r="D10" s="183"/>
      <c r="E10" s="183"/>
      <c r="F10" s="183"/>
      <c r="G10" s="183"/>
      <c r="H10" s="183"/>
      <c r="I10" s="184"/>
      <c r="K10" s="179" t="str">
        <f>"TOTAL OF ALL INSTANCES w/ PADDING of " &amp; M6*100 &amp; "%"</f>
        <v>TOTAL OF ALL INSTANCES w/ PADDING of 120%</v>
      </c>
      <c r="L10" s="180"/>
      <c r="M10" s="180"/>
      <c r="N10" s="181"/>
    </row>
    <row r="11" spans="2:21" s="4" customFormat="1">
      <c r="B11" s="18"/>
      <c r="C11" s="33" t="s">
        <v>26</v>
      </c>
      <c r="D11" s="32" t="s">
        <v>23</v>
      </c>
      <c r="E11" s="32" t="s">
        <v>1480</v>
      </c>
      <c r="F11" s="32" t="s">
        <v>1481</v>
      </c>
      <c r="G11" s="32" t="s">
        <v>0</v>
      </c>
      <c r="H11" s="32" t="s">
        <v>27</v>
      </c>
      <c r="I11" s="19"/>
      <c r="J11" s="2"/>
      <c r="K11" s="18"/>
      <c r="L11" s="105" t="s">
        <v>1702</v>
      </c>
      <c r="M11" s="138" t="s">
        <v>1477</v>
      </c>
      <c r="N11" s="19"/>
      <c r="O11" s="23"/>
      <c r="P11" s="2"/>
      <c r="Q11" s="2"/>
      <c r="R11" s="2"/>
      <c r="S11" s="2"/>
      <c r="T11" s="2"/>
      <c r="U11" s="2"/>
    </row>
    <row r="12" spans="2:21">
      <c r="B12" s="11"/>
      <c r="C12" s="61" t="s">
        <v>100</v>
      </c>
      <c r="D12" s="62">
        <v>2</v>
      </c>
      <c r="E12" s="62">
        <v>3750</v>
      </c>
      <c r="F12" s="62">
        <v>32</v>
      </c>
      <c r="G12" s="62">
        <v>20</v>
      </c>
      <c r="H12" s="62">
        <v>1</v>
      </c>
      <c r="I12" s="12"/>
      <c r="K12" s="9"/>
      <c r="L12" s="167" t="s">
        <v>20</v>
      </c>
      <c r="M12" s="164">
        <f>ROUND((SUM(Inputs!$H2:$H1502)*$M$4*M$6),0)</f>
        <v>3061</v>
      </c>
      <c r="N12" s="10"/>
      <c r="O12" s="4"/>
      <c r="P12" s="4"/>
      <c r="Q12" s="4"/>
      <c r="R12" s="4"/>
      <c r="S12" s="4"/>
      <c r="T12" s="4"/>
      <c r="U12" s="4"/>
    </row>
    <row r="13" spans="2:21">
      <c r="B13" s="11"/>
      <c r="C13" s="61" t="s">
        <v>105</v>
      </c>
      <c r="D13" s="62">
        <v>1</v>
      </c>
      <c r="E13" s="62">
        <v>1700</v>
      </c>
      <c r="F13" s="62">
        <v>160</v>
      </c>
      <c r="G13" s="62">
        <v>20</v>
      </c>
      <c r="H13" s="62">
        <v>1</v>
      </c>
      <c r="I13" s="12"/>
      <c r="K13" s="9"/>
      <c r="L13" s="168" t="str">
        <f>"Memory ("&amp;M13&amp;" GB / "&amp;(ROUND((M13/1024),2)&amp;" TB)")</f>
        <v>Memory (18000 GB / 17.58 TB)</v>
      </c>
      <c r="M13" s="164">
        <f>ROUNDUP((SUM((Inputs!$I2:$I1502)*$M4*$M$6)),0/1024)</f>
        <v>18000</v>
      </c>
      <c r="N13" s="10"/>
    </row>
    <row r="14" spans="2:21">
      <c r="B14" s="11"/>
      <c r="C14" s="61" t="s">
        <v>111</v>
      </c>
      <c r="D14" s="62">
        <v>1</v>
      </c>
      <c r="E14" s="62">
        <v>1700</v>
      </c>
      <c r="F14" s="62">
        <v>160</v>
      </c>
      <c r="G14" s="62">
        <v>20</v>
      </c>
      <c r="H14" s="62">
        <v>1</v>
      </c>
      <c r="I14" s="12"/>
      <c r="K14" s="9"/>
      <c r="L14" s="168" t="str">
        <f>"Base Images ("&amp;M14&amp;" GB / "&amp;(ROUND((M14/1024),2)&amp;" TB)")</f>
        <v>Base Images (123463 GB / 120.57 TB)</v>
      </c>
      <c r="M14" s="164">
        <f>ROUND((SUM(Inputs!$J2:$J1502)*$M4*$M$6),0)</f>
        <v>123463</v>
      </c>
      <c r="N14" s="10"/>
    </row>
    <row r="15" spans="2:21">
      <c r="B15" s="11"/>
      <c r="C15" s="61" t="s">
        <v>115</v>
      </c>
      <c r="D15" s="62">
        <v>2</v>
      </c>
      <c r="E15" s="62">
        <v>7500</v>
      </c>
      <c r="F15" s="62">
        <v>32</v>
      </c>
      <c r="G15" s="62">
        <v>420</v>
      </c>
      <c r="H15" s="62">
        <v>1</v>
      </c>
      <c r="I15" s="12"/>
      <c r="K15" s="9"/>
      <c r="L15" s="168" t="str">
        <f>"Cinder Storage ("&amp;M15&amp;" GB / "&amp;(ROUND((M15/1024),2)&amp;" TB)")</f>
        <v>Cinder Storage (301750 GB / 294.68 TB)</v>
      </c>
      <c r="M15" s="164">
        <f>ROUND((SUM(Inputs!$K2:$K1502)*$M4*$M$6),0)</f>
        <v>301750</v>
      </c>
      <c r="N15" s="10"/>
    </row>
    <row r="16" spans="2:21">
      <c r="B16" s="11"/>
      <c r="C16" s="61" t="s">
        <v>119</v>
      </c>
      <c r="D16" s="62">
        <v>1</v>
      </c>
      <c r="E16" s="62">
        <v>1700</v>
      </c>
      <c r="F16" s="62">
        <v>160</v>
      </c>
      <c r="G16" s="62">
        <v>20</v>
      </c>
      <c r="H16" s="62">
        <v>1</v>
      </c>
      <c r="I16" s="12"/>
      <c r="K16" s="9"/>
      <c r="L16" s="168" t="str">
        <f>"Total Storage Required ("&amp;M16&amp;" GB / "&amp;(ROUND((M16/1024),2)&amp;" TB)")</f>
        <v>Total Storage Required (425213 GB / 415.25 TB)</v>
      </c>
      <c r="M16" s="164">
        <f>SUM(M14:M15)</f>
        <v>425213</v>
      </c>
      <c r="N16" s="10"/>
    </row>
    <row r="17" spans="2:14">
      <c r="B17" s="11"/>
      <c r="C17" s="61" t="s">
        <v>122</v>
      </c>
      <c r="D17" s="62">
        <v>1</v>
      </c>
      <c r="E17" s="62">
        <v>1700</v>
      </c>
      <c r="F17" s="62">
        <v>160</v>
      </c>
      <c r="G17" s="62">
        <v>20</v>
      </c>
      <c r="H17" s="62">
        <v>1</v>
      </c>
      <c r="I17" s="12"/>
      <c r="J17" s="1"/>
      <c r="K17" s="9"/>
      <c r="L17" s="168" t="s">
        <v>46</v>
      </c>
      <c r="M17" s="164">
        <f>ROUND(((M101*M18)*$M$4*$M$6),0)</f>
        <v>8598</v>
      </c>
      <c r="N17" s="10"/>
    </row>
    <row r="18" spans="2:14">
      <c r="B18" s="11"/>
      <c r="C18" s="61" t="s">
        <v>126</v>
      </c>
      <c r="D18" s="62">
        <v>1</v>
      </c>
      <c r="E18" s="62">
        <v>1700</v>
      </c>
      <c r="F18" s="62">
        <v>160</v>
      </c>
      <c r="G18" s="62">
        <v>20</v>
      </c>
      <c r="H18" s="62">
        <v>1</v>
      </c>
      <c r="I18" s="12"/>
      <c r="J18" s="1"/>
      <c r="K18" s="9"/>
      <c r="L18" s="169" t="s">
        <v>28</v>
      </c>
      <c r="M18" s="166">
        <f>ROUND((SUM($H$12:$H$1502)*$M$4*$M$6),0)</f>
        <v>1433</v>
      </c>
      <c r="N18" s="10"/>
    </row>
    <row r="19" spans="2:14">
      <c r="B19" s="11"/>
      <c r="C19" s="61" t="s">
        <v>129</v>
      </c>
      <c r="D19" s="62">
        <v>1</v>
      </c>
      <c r="E19" s="62">
        <v>1700</v>
      </c>
      <c r="F19" s="62">
        <v>160</v>
      </c>
      <c r="G19" s="62">
        <v>520</v>
      </c>
      <c r="H19" s="62">
        <v>1</v>
      </c>
      <c r="I19" s="12"/>
      <c r="K19" s="47"/>
      <c r="L19" s="48"/>
      <c r="M19" s="49"/>
      <c r="N19" s="50"/>
    </row>
    <row r="20" spans="2:14">
      <c r="B20" s="11"/>
      <c r="C20" s="61" t="s">
        <v>133</v>
      </c>
      <c r="D20" s="62">
        <v>2</v>
      </c>
      <c r="E20" s="62">
        <v>7500</v>
      </c>
      <c r="F20" s="62">
        <v>850</v>
      </c>
      <c r="G20" s="62">
        <v>20</v>
      </c>
      <c r="H20" s="62">
        <v>1</v>
      </c>
      <c r="I20" s="12"/>
    </row>
    <row r="21" spans="2:14" ht="15" customHeight="1">
      <c r="B21" s="11"/>
      <c r="C21" s="61" t="s">
        <v>136</v>
      </c>
      <c r="D21" s="62">
        <v>1</v>
      </c>
      <c r="E21" s="62">
        <v>3750</v>
      </c>
      <c r="F21" s="62">
        <v>4</v>
      </c>
      <c r="G21" s="62">
        <v>420</v>
      </c>
      <c r="H21" s="62">
        <v>1</v>
      </c>
      <c r="I21" s="12"/>
      <c r="K21" s="179" t="s">
        <v>1936</v>
      </c>
      <c r="L21" s="180"/>
      <c r="M21" s="180"/>
      <c r="N21" s="181"/>
    </row>
    <row r="22" spans="2:14">
      <c r="B22" s="11"/>
      <c r="C22" s="61" t="s">
        <v>139</v>
      </c>
      <c r="D22" s="62">
        <v>1</v>
      </c>
      <c r="E22" s="62">
        <v>3750</v>
      </c>
      <c r="F22" s="62">
        <v>4</v>
      </c>
      <c r="G22" s="62">
        <v>520</v>
      </c>
      <c r="H22" s="62">
        <v>1</v>
      </c>
      <c r="I22" s="12"/>
      <c r="K22" s="9"/>
      <c r="L22" s="161" t="s">
        <v>1541</v>
      </c>
      <c r="M22" s="175"/>
      <c r="N22" s="10"/>
    </row>
    <row r="23" spans="2:14">
      <c r="B23" s="11"/>
      <c r="C23" s="61" t="s">
        <v>142</v>
      </c>
      <c r="D23" s="62">
        <v>4</v>
      </c>
      <c r="E23" s="62">
        <v>15000</v>
      </c>
      <c r="F23" s="62">
        <v>80</v>
      </c>
      <c r="G23" s="62">
        <v>420</v>
      </c>
      <c r="H23" s="62">
        <v>1</v>
      </c>
      <c r="I23" s="12"/>
      <c r="K23" s="9"/>
      <c r="L23" s="176" t="s">
        <v>1540</v>
      </c>
      <c r="M23" s="36" t="s">
        <v>1831</v>
      </c>
      <c r="N23" s="10"/>
    </row>
    <row r="24" spans="2:14">
      <c r="B24" s="11"/>
      <c r="C24" s="61" t="s">
        <v>145</v>
      </c>
      <c r="D24" s="62">
        <v>2</v>
      </c>
      <c r="E24" s="62">
        <v>3750</v>
      </c>
      <c r="F24" s="62">
        <v>32</v>
      </c>
      <c r="G24" s="62">
        <v>3992</v>
      </c>
      <c r="H24" s="62">
        <v>1</v>
      </c>
      <c r="I24" s="12"/>
      <c r="K24" s="9"/>
      <c r="L24" s="165" t="s">
        <v>1940</v>
      </c>
      <c r="M24" s="172">
        <v>3</v>
      </c>
      <c r="N24" s="10"/>
    </row>
    <row r="25" spans="2:14">
      <c r="B25" s="11"/>
      <c r="C25" s="61" t="s">
        <v>149</v>
      </c>
      <c r="D25" s="62">
        <v>2</v>
      </c>
      <c r="E25" s="62">
        <v>4000</v>
      </c>
      <c r="F25" s="62">
        <v>0</v>
      </c>
      <c r="G25" s="62">
        <v>20</v>
      </c>
      <c r="H25" s="62">
        <v>1</v>
      </c>
      <c r="I25" s="12"/>
      <c r="K25" s="9"/>
      <c r="L25" s="25"/>
      <c r="M25" s="29"/>
      <c r="N25" s="10"/>
    </row>
    <row r="26" spans="2:14">
      <c r="B26" s="11"/>
      <c r="C26" s="61" t="s">
        <v>152</v>
      </c>
      <c r="D26" s="62">
        <v>1</v>
      </c>
      <c r="E26" s="62">
        <v>1700</v>
      </c>
      <c r="F26" s="62">
        <v>160</v>
      </c>
      <c r="G26" s="62">
        <v>420</v>
      </c>
      <c r="H26" s="62">
        <v>1</v>
      </c>
      <c r="I26" s="12"/>
      <c r="K26" s="9"/>
      <c r="L26" s="161" t="s">
        <v>1482</v>
      </c>
      <c r="M26" s="30"/>
      <c r="N26" s="26"/>
    </row>
    <row r="27" spans="2:14">
      <c r="B27" s="11"/>
      <c r="C27" s="61" t="s">
        <v>155</v>
      </c>
      <c r="D27" s="62">
        <v>4</v>
      </c>
      <c r="E27" s="62">
        <v>15000</v>
      </c>
      <c r="F27" s="62">
        <v>80</v>
      </c>
      <c r="G27" s="62">
        <v>420</v>
      </c>
      <c r="H27" s="62">
        <v>1</v>
      </c>
      <c r="I27" s="12"/>
      <c r="K27" s="9"/>
      <c r="L27" s="170" t="s">
        <v>21</v>
      </c>
      <c r="M27" s="36" t="s">
        <v>1536</v>
      </c>
      <c r="N27" s="24"/>
    </row>
    <row r="28" spans="2:14">
      <c r="B28" s="11"/>
      <c r="C28" s="61" t="s">
        <v>158</v>
      </c>
      <c r="D28" s="62">
        <v>1</v>
      </c>
      <c r="E28" s="62">
        <v>3750</v>
      </c>
      <c r="F28" s="62">
        <v>410</v>
      </c>
      <c r="G28" s="62">
        <v>1244</v>
      </c>
      <c r="H28" s="62">
        <v>1</v>
      </c>
      <c r="I28" s="12"/>
      <c r="K28" s="9"/>
      <c r="L28" s="163" t="s">
        <v>16</v>
      </c>
      <c r="M28" s="171">
        <v>2</v>
      </c>
      <c r="N28" s="10"/>
    </row>
    <row r="29" spans="2:14">
      <c r="B29" s="11"/>
      <c r="C29" s="61" t="s">
        <v>161</v>
      </c>
      <c r="D29" s="62">
        <v>1</v>
      </c>
      <c r="E29" s="62">
        <v>1700</v>
      </c>
      <c r="F29" s="62">
        <v>160</v>
      </c>
      <c r="G29" s="62">
        <v>20</v>
      </c>
      <c r="H29" s="62">
        <v>1</v>
      </c>
      <c r="I29" s="12"/>
      <c r="K29" s="9"/>
      <c r="L29" s="163" t="s">
        <v>1537</v>
      </c>
      <c r="M29" s="171">
        <f>VLOOKUP($M$27,cpulookup, 5, FALSE)</f>
        <v>135</v>
      </c>
      <c r="N29" s="10"/>
    </row>
    <row r="30" spans="2:14">
      <c r="B30" s="11"/>
      <c r="C30" s="61" t="s">
        <v>165</v>
      </c>
      <c r="D30" s="62">
        <v>8</v>
      </c>
      <c r="E30" s="62">
        <v>30000</v>
      </c>
      <c r="F30" s="62">
        <v>160</v>
      </c>
      <c r="G30" s="62">
        <v>1420</v>
      </c>
      <c r="H30" s="62">
        <v>1</v>
      </c>
      <c r="I30" s="12"/>
      <c r="K30" s="9"/>
      <c r="L30" s="163" t="s">
        <v>1538</v>
      </c>
      <c r="M30" s="171">
        <f>VLOOKUP($M$27,cpulookup, 9, FALSE)</f>
        <v>2133</v>
      </c>
      <c r="N30" s="10"/>
    </row>
    <row r="31" spans="2:14">
      <c r="B31" s="11"/>
      <c r="C31" s="61" t="s">
        <v>168</v>
      </c>
      <c r="D31" s="62">
        <v>4</v>
      </c>
      <c r="E31" s="62">
        <v>15000</v>
      </c>
      <c r="F31" s="62">
        <v>80</v>
      </c>
      <c r="G31" s="62">
        <v>1420</v>
      </c>
      <c r="H31" s="62">
        <v>1</v>
      </c>
      <c r="I31" s="12"/>
      <c r="K31" s="9"/>
      <c r="L31" s="165" t="s">
        <v>62</v>
      </c>
      <c r="M31" s="172">
        <f>VLOOKUP($M$27,cpulookup, 4, FALSE)</f>
        <v>2.6</v>
      </c>
      <c r="N31" s="10"/>
    </row>
    <row r="32" spans="2:14">
      <c r="B32" s="11"/>
      <c r="C32" s="61" t="s">
        <v>170</v>
      </c>
      <c r="D32" s="62">
        <v>1</v>
      </c>
      <c r="E32" s="62">
        <v>1700</v>
      </c>
      <c r="F32" s="62">
        <v>160</v>
      </c>
      <c r="G32" s="62">
        <v>20</v>
      </c>
      <c r="H32" s="62">
        <v>1</v>
      </c>
      <c r="I32" s="12"/>
      <c r="K32" s="9"/>
      <c r="L32" s="25"/>
      <c r="M32" s="29"/>
      <c r="N32" s="10"/>
    </row>
    <row r="33" spans="2:14">
      <c r="B33" s="11"/>
      <c r="C33" s="61" t="s">
        <v>173</v>
      </c>
      <c r="D33" s="62">
        <v>1</v>
      </c>
      <c r="E33" s="62">
        <v>2000</v>
      </c>
      <c r="F33" s="62">
        <v>0</v>
      </c>
      <c r="G33" s="62">
        <v>20</v>
      </c>
      <c r="H33" s="62">
        <v>1</v>
      </c>
      <c r="I33" s="12"/>
      <c r="K33" s="9"/>
      <c r="L33" s="161" t="s">
        <v>1483</v>
      </c>
      <c r="M33" s="30"/>
      <c r="N33" s="26"/>
    </row>
    <row r="34" spans="2:14">
      <c r="B34" s="11"/>
      <c r="C34" s="61" t="s">
        <v>177</v>
      </c>
      <c r="D34" s="62">
        <v>1</v>
      </c>
      <c r="E34" s="62">
        <v>615</v>
      </c>
      <c r="F34" s="62">
        <v>160</v>
      </c>
      <c r="G34" s="62">
        <v>8</v>
      </c>
      <c r="H34" s="62">
        <v>1</v>
      </c>
      <c r="I34" s="12"/>
      <c r="K34" s="9"/>
      <c r="L34" s="170" t="s">
        <v>19</v>
      </c>
      <c r="M34" s="36">
        <v>190</v>
      </c>
      <c r="N34" s="24"/>
    </row>
    <row r="35" spans="2:14">
      <c r="B35" s="11"/>
      <c r="C35" s="61" t="s">
        <v>178</v>
      </c>
      <c r="D35" s="62">
        <v>4</v>
      </c>
      <c r="E35" s="62">
        <v>15000</v>
      </c>
      <c r="F35" s="62">
        <v>80</v>
      </c>
      <c r="G35" s="62">
        <v>820</v>
      </c>
      <c r="H35" s="62">
        <v>1</v>
      </c>
      <c r="I35" s="12"/>
      <c r="K35" s="9"/>
      <c r="L35" s="163" t="s">
        <v>1586</v>
      </c>
      <c r="M35" s="171">
        <f>VLOOKUP($M$34,memorylookup, 2, FALSE)</f>
        <v>12</v>
      </c>
      <c r="N35" s="24"/>
    </row>
    <row r="36" spans="2:14">
      <c r="B36" s="11"/>
      <c r="C36" s="61" t="s">
        <v>179</v>
      </c>
      <c r="D36" s="62">
        <v>1</v>
      </c>
      <c r="E36" s="62">
        <v>1700</v>
      </c>
      <c r="F36" s="62">
        <v>160</v>
      </c>
      <c r="G36" s="62">
        <v>20</v>
      </c>
      <c r="H36" s="62">
        <v>1</v>
      </c>
      <c r="I36" s="12"/>
      <c r="K36" s="9"/>
      <c r="L36" s="163" t="s">
        <v>1588</v>
      </c>
      <c r="M36" s="171">
        <f>VLOOKUP($M$34,memorylookup, 3, FALSE)</f>
        <v>16</v>
      </c>
      <c r="N36" s="10"/>
    </row>
    <row r="37" spans="2:14">
      <c r="B37" s="11"/>
      <c r="C37" s="61" t="s">
        <v>181</v>
      </c>
      <c r="D37" s="62">
        <v>1</v>
      </c>
      <c r="E37" s="62">
        <v>1700</v>
      </c>
      <c r="F37" s="62">
        <v>160</v>
      </c>
      <c r="G37" s="62">
        <v>420</v>
      </c>
      <c r="H37" s="62">
        <v>1</v>
      </c>
      <c r="I37" s="12"/>
      <c r="K37" s="9"/>
      <c r="L37" s="165" t="s">
        <v>1587</v>
      </c>
      <c r="M37" s="172">
        <f>VLOOKUP($M$34,memorylookup, 4, FALSE)</f>
        <v>2133</v>
      </c>
      <c r="N37" s="10"/>
    </row>
    <row r="38" spans="2:14">
      <c r="B38" s="11"/>
      <c r="C38" s="61" t="s">
        <v>183</v>
      </c>
      <c r="D38" s="62">
        <v>1</v>
      </c>
      <c r="E38" s="62">
        <v>1700</v>
      </c>
      <c r="F38" s="62">
        <v>160</v>
      </c>
      <c r="G38" s="62">
        <v>20</v>
      </c>
      <c r="H38" s="62">
        <v>1</v>
      </c>
      <c r="I38" s="12"/>
      <c r="K38" s="9"/>
      <c r="L38" s="25"/>
      <c r="M38" s="29"/>
      <c r="N38" s="10"/>
    </row>
    <row r="39" spans="2:14">
      <c r="B39" s="11"/>
      <c r="C39" s="61" t="s">
        <v>185</v>
      </c>
      <c r="D39" s="62">
        <v>2</v>
      </c>
      <c r="E39" s="62">
        <v>3750</v>
      </c>
      <c r="F39" s="62">
        <v>32</v>
      </c>
      <c r="G39" s="62">
        <v>820</v>
      </c>
      <c r="H39" s="62">
        <v>1</v>
      </c>
      <c r="I39" s="12"/>
      <c r="K39" s="9"/>
      <c r="L39" s="105" t="s">
        <v>1546</v>
      </c>
      <c r="M39" s="106"/>
      <c r="N39" s="26"/>
    </row>
    <row r="40" spans="2:14">
      <c r="B40" s="11"/>
      <c r="C40" s="61" t="s">
        <v>186</v>
      </c>
      <c r="D40" s="62">
        <v>1</v>
      </c>
      <c r="E40" s="62">
        <v>1700</v>
      </c>
      <c r="F40" s="62">
        <v>160</v>
      </c>
      <c r="G40" s="62">
        <v>20</v>
      </c>
      <c r="H40" s="62">
        <v>1</v>
      </c>
      <c r="I40" s="12"/>
      <c r="K40" s="9"/>
      <c r="L40" s="173" t="s">
        <v>1548</v>
      </c>
      <c r="M40" s="36">
        <v>4</v>
      </c>
      <c r="N40" s="10"/>
    </row>
    <row r="41" spans="2:14">
      <c r="B41" s="11"/>
      <c r="C41" s="61" t="s">
        <v>187</v>
      </c>
      <c r="D41" s="62">
        <v>1</v>
      </c>
      <c r="E41" s="62">
        <v>2000</v>
      </c>
      <c r="F41" s="62">
        <v>0</v>
      </c>
      <c r="G41" s="62">
        <v>420</v>
      </c>
      <c r="H41" s="62">
        <v>1</v>
      </c>
      <c r="I41" s="12"/>
      <c r="K41" s="9"/>
      <c r="L41" s="173" t="s">
        <v>1547</v>
      </c>
      <c r="M41" s="36" t="s">
        <v>1543</v>
      </c>
      <c r="N41" s="10"/>
    </row>
    <row r="42" spans="2:14">
      <c r="B42" s="11"/>
      <c r="C42" s="61" t="s">
        <v>188</v>
      </c>
      <c r="D42" s="62">
        <v>1</v>
      </c>
      <c r="E42" s="62">
        <v>2000</v>
      </c>
      <c r="F42" s="62">
        <v>0</v>
      </c>
      <c r="G42" s="62">
        <v>220</v>
      </c>
      <c r="H42" s="62">
        <v>1</v>
      </c>
      <c r="I42" s="12"/>
      <c r="K42" s="9"/>
      <c r="L42" s="173" t="s">
        <v>12</v>
      </c>
      <c r="M42" s="36" t="s">
        <v>1939</v>
      </c>
      <c r="N42" s="10"/>
    </row>
    <row r="43" spans="2:14">
      <c r="B43" s="11"/>
      <c r="C43" s="61" t="s">
        <v>190</v>
      </c>
      <c r="D43" s="62">
        <v>1</v>
      </c>
      <c r="E43" s="62">
        <v>1700</v>
      </c>
      <c r="F43" s="62">
        <v>160</v>
      </c>
      <c r="G43" s="62">
        <v>20</v>
      </c>
      <c r="H43" s="62">
        <v>1</v>
      </c>
      <c r="I43" s="12"/>
      <c r="K43" s="9"/>
      <c r="L43" s="173" t="s">
        <v>13</v>
      </c>
      <c r="M43" s="36" t="s">
        <v>4</v>
      </c>
      <c r="N43" s="24"/>
    </row>
    <row r="44" spans="2:14">
      <c r="B44" s="11"/>
      <c r="C44" s="61" t="s">
        <v>194</v>
      </c>
      <c r="D44" s="62">
        <v>2</v>
      </c>
      <c r="E44" s="62">
        <v>15000</v>
      </c>
      <c r="F44" s="62">
        <v>32</v>
      </c>
      <c r="G44" s="62">
        <v>420</v>
      </c>
      <c r="H44" s="62">
        <v>1</v>
      </c>
      <c r="I44" s="12"/>
      <c r="K44" s="9"/>
      <c r="L44" s="163" t="s">
        <v>1689</v>
      </c>
      <c r="M44" s="171">
        <f>VLOOKUP($M$42,disklookup, 6, FALSE)</f>
        <v>480</v>
      </c>
      <c r="N44" s="24"/>
    </row>
    <row r="45" spans="2:14">
      <c r="B45" s="11"/>
      <c r="C45" s="61" t="s">
        <v>196</v>
      </c>
      <c r="D45" s="62">
        <v>2</v>
      </c>
      <c r="E45" s="62">
        <v>7500</v>
      </c>
      <c r="F45" s="62">
        <v>850</v>
      </c>
      <c r="G45" s="62">
        <v>20</v>
      </c>
      <c r="H45" s="62">
        <v>1</v>
      </c>
      <c r="I45" s="12"/>
      <c r="K45" s="9"/>
      <c r="L45" s="163" t="s">
        <v>1691</v>
      </c>
      <c r="M45" s="171">
        <f>VLOOKUP($M$42,disklookup, 9, FALSE)</f>
        <v>5000</v>
      </c>
      <c r="N45" s="24"/>
    </row>
    <row r="46" spans="2:14">
      <c r="B46" s="11"/>
      <c r="C46" s="61" t="s">
        <v>198</v>
      </c>
      <c r="D46" s="62">
        <v>32</v>
      </c>
      <c r="E46" s="62">
        <v>60000</v>
      </c>
      <c r="F46" s="62">
        <v>640</v>
      </c>
      <c r="G46" s="62">
        <v>590</v>
      </c>
      <c r="H46" s="62">
        <v>1</v>
      </c>
      <c r="I46" s="12"/>
      <c r="K46" s="9"/>
      <c r="L46" s="163" t="s">
        <v>56</v>
      </c>
      <c r="M46" s="171">
        <f>IF(M43="JBOD",1,IF(M43="RAID 10",1,IF(M43="RAID 5",1,IF(M43="RAID 5+1",1))))</f>
        <v>1</v>
      </c>
      <c r="N46" s="24"/>
    </row>
    <row r="47" spans="2:14">
      <c r="B47" s="11"/>
      <c r="C47" s="61" t="s">
        <v>200</v>
      </c>
      <c r="D47" s="62">
        <v>1</v>
      </c>
      <c r="E47" s="62">
        <v>1700</v>
      </c>
      <c r="F47" s="62">
        <v>160</v>
      </c>
      <c r="G47" s="62">
        <v>20</v>
      </c>
      <c r="H47" s="62">
        <v>1</v>
      </c>
      <c r="I47" s="12"/>
      <c r="K47" s="9"/>
      <c r="L47" s="163" t="s">
        <v>57</v>
      </c>
      <c r="M47" s="171">
        <f>IF(M43="JBOD",3,IF(M43="RAID 10",2,IF(M43="RAID 5",4,IF(M43="RAID 5+1",4))))</f>
        <v>2</v>
      </c>
      <c r="N47" s="24"/>
    </row>
    <row r="48" spans="2:14" ht="15" customHeight="1">
      <c r="B48" s="11"/>
      <c r="C48" s="61" t="s">
        <v>201</v>
      </c>
      <c r="D48" s="62">
        <v>1</v>
      </c>
      <c r="E48" s="62">
        <v>1700</v>
      </c>
      <c r="F48" s="62">
        <v>160</v>
      </c>
      <c r="G48" s="62">
        <v>20</v>
      </c>
      <c r="H48" s="62">
        <v>1</v>
      </c>
      <c r="I48" s="12"/>
      <c r="K48" s="9"/>
      <c r="L48" s="163" t="s">
        <v>58</v>
      </c>
      <c r="M48" s="171">
        <f>IF(M43="RAID 5",M45*(M40-1),IF(M43="RAID 5+1",M45*(M30-2),M45*M40))</f>
        <v>20000</v>
      </c>
      <c r="N48" s="24"/>
    </row>
    <row r="49" spans="2:14">
      <c r="B49" s="11"/>
      <c r="C49" s="61" t="s">
        <v>204</v>
      </c>
      <c r="D49" s="62">
        <v>1</v>
      </c>
      <c r="E49" s="62">
        <v>3750</v>
      </c>
      <c r="F49" s="62">
        <v>4</v>
      </c>
      <c r="G49" s="62">
        <v>820</v>
      </c>
      <c r="H49" s="62">
        <v>1</v>
      </c>
      <c r="I49" s="12"/>
      <c r="K49" s="9"/>
      <c r="L49" s="173" t="s">
        <v>35</v>
      </c>
      <c r="M49" s="36">
        <v>0.5</v>
      </c>
      <c r="N49" s="24"/>
    </row>
    <row r="50" spans="2:14">
      <c r="B50" s="11"/>
      <c r="C50" s="61" t="s">
        <v>206</v>
      </c>
      <c r="D50" s="62">
        <v>2</v>
      </c>
      <c r="E50" s="62">
        <v>7500</v>
      </c>
      <c r="F50" s="62">
        <v>850</v>
      </c>
      <c r="G50" s="62">
        <v>20</v>
      </c>
      <c r="H50" s="62">
        <v>1</v>
      </c>
      <c r="I50" s="12"/>
      <c r="K50" s="9"/>
      <c r="L50" s="173" t="s">
        <v>36</v>
      </c>
      <c r="M50" s="174">
        <f>1-M49</f>
        <v>0.5</v>
      </c>
      <c r="N50" s="24"/>
    </row>
    <row r="51" spans="2:14">
      <c r="B51" s="11"/>
      <c r="C51" s="61" t="s">
        <v>208</v>
      </c>
      <c r="D51" s="62">
        <v>1</v>
      </c>
      <c r="E51" s="62">
        <v>1700</v>
      </c>
      <c r="F51" s="62">
        <v>160</v>
      </c>
      <c r="G51" s="62">
        <v>20</v>
      </c>
      <c r="H51" s="62">
        <v>1</v>
      </c>
      <c r="I51" s="12"/>
      <c r="K51" s="45"/>
      <c r="L51" s="163" t="s">
        <v>59</v>
      </c>
      <c r="M51" s="171">
        <f>ROUND((M53*M49),0)</f>
        <v>6667</v>
      </c>
      <c r="N51" s="46"/>
    </row>
    <row r="52" spans="2:14">
      <c r="B52" s="11"/>
      <c r="C52" s="61" t="s">
        <v>211</v>
      </c>
      <c r="D52" s="62">
        <v>2</v>
      </c>
      <c r="E52" s="62">
        <v>3750</v>
      </c>
      <c r="F52" s="62">
        <v>32</v>
      </c>
      <c r="G52" s="62">
        <v>8</v>
      </c>
      <c r="H52" s="62">
        <v>1</v>
      </c>
      <c r="I52" s="12"/>
      <c r="K52" s="45"/>
      <c r="L52" s="163" t="s">
        <v>60</v>
      </c>
      <c r="M52" s="171">
        <f>ROUND((M53*M50),0)</f>
        <v>6667</v>
      </c>
      <c r="N52" s="46"/>
    </row>
    <row r="53" spans="2:14">
      <c r="B53" s="11"/>
      <c r="C53" s="61" t="s">
        <v>213</v>
      </c>
      <c r="D53" s="62">
        <v>1</v>
      </c>
      <c r="E53" s="62">
        <v>1000</v>
      </c>
      <c r="F53" s="62">
        <v>0</v>
      </c>
      <c r="G53" s="62">
        <v>20</v>
      </c>
      <c r="H53" s="62">
        <v>1</v>
      </c>
      <c r="I53" s="12"/>
      <c r="K53" s="45"/>
      <c r="L53" s="163" t="s">
        <v>61</v>
      </c>
      <c r="M53" s="171">
        <f>ROUND(M48/((M49*M46)+(M50*M47)),0)</f>
        <v>13333</v>
      </c>
      <c r="N53" s="46"/>
    </row>
    <row r="54" spans="2:14">
      <c r="B54" s="11"/>
      <c r="C54" s="61" t="s">
        <v>215</v>
      </c>
      <c r="D54" s="62">
        <v>1</v>
      </c>
      <c r="E54" s="62">
        <v>3750</v>
      </c>
      <c r="F54" s="62">
        <v>4</v>
      </c>
      <c r="G54" s="62">
        <v>30</v>
      </c>
      <c r="H54" s="62">
        <v>1</v>
      </c>
      <c r="I54" s="12"/>
      <c r="K54" s="45"/>
      <c r="L54" s="163" t="s">
        <v>1693</v>
      </c>
      <c r="M54" s="171">
        <f>M40*M44</f>
        <v>1920</v>
      </c>
      <c r="N54" s="46"/>
    </row>
    <row r="55" spans="2:14">
      <c r="B55" s="11"/>
      <c r="C55" s="61" t="s">
        <v>216</v>
      </c>
      <c r="D55" s="62">
        <v>4</v>
      </c>
      <c r="E55" s="62">
        <v>15000</v>
      </c>
      <c r="F55" s="62">
        <v>80</v>
      </c>
      <c r="G55" s="62">
        <v>820</v>
      </c>
      <c r="H55" s="62">
        <v>1</v>
      </c>
      <c r="I55" s="12"/>
      <c r="K55" s="45"/>
      <c r="L55" s="165" t="s">
        <v>1692</v>
      </c>
      <c r="M55" s="172">
        <f>ROUND(IF(M43="JBOD",(M44*M40*0.33),IF(M43="RAID 10",(M44*M40*0.5),IF(M43="RAID 5",(M44*(M40-1)),IF(M43="RAID 5+1",(M44*(M40-2))))))*0.968/1024,2)</f>
        <v>0.91</v>
      </c>
      <c r="N55" s="46"/>
    </row>
    <row r="56" spans="2:14">
      <c r="B56" s="11"/>
      <c r="C56" s="61" t="s">
        <v>218</v>
      </c>
      <c r="D56" s="62">
        <v>1</v>
      </c>
      <c r="E56" s="62">
        <v>1700</v>
      </c>
      <c r="F56" s="62">
        <v>160</v>
      </c>
      <c r="G56" s="62">
        <v>20</v>
      </c>
      <c r="H56" s="62">
        <v>1</v>
      </c>
      <c r="I56" s="12"/>
      <c r="K56" s="47"/>
      <c r="L56" s="48"/>
      <c r="M56" s="49"/>
      <c r="N56" s="50"/>
    </row>
    <row r="57" spans="2:14">
      <c r="B57" s="11"/>
      <c r="C57" s="61" t="s">
        <v>219</v>
      </c>
      <c r="D57" s="62">
        <v>1</v>
      </c>
      <c r="E57" s="62">
        <v>1700</v>
      </c>
      <c r="F57" s="62">
        <v>160</v>
      </c>
      <c r="G57" s="62">
        <v>70</v>
      </c>
      <c r="H57" s="62">
        <v>1</v>
      </c>
      <c r="I57" s="12"/>
    </row>
    <row r="58" spans="2:14">
      <c r="B58" s="11"/>
      <c r="C58" s="61" t="s">
        <v>221</v>
      </c>
      <c r="D58" s="62">
        <v>1</v>
      </c>
      <c r="E58" s="62">
        <v>1700</v>
      </c>
      <c r="F58" s="62">
        <v>160</v>
      </c>
      <c r="G58" s="62">
        <v>20</v>
      </c>
      <c r="H58" s="62">
        <v>1</v>
      </c>
      <c r="I58" s="12"/>
      <c r="K58" s="179" t="s">
        <v>1539</v>
      </c>
      <c r="L58" s="180"/>
      <c r="M58" s="180"/>
      <c r="N58" s="181"/>
    </row>
    <row r="59" spans="2:14">
      <c r="B59" s="11"/>
      <c r="C59" s="61" t="s">
        <v>223</v>
      </c>
      <c r="D59" s="62">
        <v>1</v>
      </c>
      <c r="E59" s="62">
        <v>2000</v>
      </c>
      <c r="F59" s="62">
        <v>0</v>
      </c>
      <c r="G59" s="62">
        <v>120</v>
      </c>
      <c r="H59" s="62">
        <v>1</v>
      </c>
      <c r="I59" s="12"/>
      <c r="K59" s="9"/>
      <c r="L59" s="115" t="s">
        <v>1541</v>
      </c>
      <c r="M59" s="114"/>
      <c r="N59" s="10"/>
    </row>
    <row r="60" spans="2:14">
      <c r="B60" s="11"/>
      <c r="C60" s="61" t="s">
        <v>224</v>
      </c>
      <c r="D60" s="62">
        <v>1</v>
      </c>
      <c r="E60" s="62">
        <v>2000</v>
      </c>
      <c r="F60" s="62">
        <v>0</v>
      </c>
      <c r="G60" s="62">
        <v>220</v>
      </c>
      <c r="H60" s="62">
        <v>1</v>
      </c>
      <c r="I60" s="12"/>
      <c r="K60" s="9"/>
      <c r="L60" s="176" t="s">
        <v>1540</v>
      </c>
      <c r="M60" s="36" t="s">
        <v>1736</v>
      </c>
      <c r="N60" s="10"/>
    </row>
    <row r="61" spans="2:14">
      <c r="B61" s="11"/>
      <c r="C61" s="61" t="s">
        <v>225</v>
      </c>
      <c r="D61" s="62">
        <v>4</v>
      </c>
      <c r="E61" s="62">
        <v>15000</v>
      </c>
      <c r="F61" s="62">
        <v>80</v>
      </c>
      <c r="G61" s="62">
        <v>420</v>
      </c>
      <c r="H61" s="62">
        <v>1</v>
      </c>
      <c r="I61" s="12"/>
      <c r="K61" s="9"/>
      <c r="L61" s="165" t="s">
        <v>1940</v>
      </c>
      <c r="M61" s="172">
        <f>MAX(M113:M116)</f>
        <v>36</v>
      </c>
      <c r="N61" s="10"/>
    </row>
    <row r="62" spans="2:14">
      <c r="B62" s="11"/>
      <c r="C62" s="61" t="s">
        <v>226</v>
      </c>
      <c r="D62" s="62">
        <v>2</v>
      </c>
      <c r="E62" s="62">
        <v>3750</v>
      </c>
      <c r="F62" s="62">
        <v>32</v>
      </c>
      <c r="G62" s="62">
        <v>20</v>
      </c>
      <c r="H62" s="62">
        <v>1</v>
      </c>
      <c r="I62" s="12"/>
      <c r="K62" s="9"/>
      <c r="L62" s="161"/>
      <c r="M62" s="161"/>
      <c r="N62" s="10"/>
    </row>
    <row r="63" spans="2:14">
      <c r="B63" s="11"/>
      <c r="C63" s="61" t="s">
        <v>229</v>
      </c>
      <c r="D63" s="62">
        <v>1</v>
      </c>
      <c r="E63" s="62">
        <v>1700</v>
      </c>
      <c r="F63" s="62">
        <v>160</v>
      </c>
      <c r="G63" s="62">
        <v>20</v>
      </c>
      <c r="H63" s="62">
        <v>1</v>
      </c>
      <c r="I63" s="12"/>
      <c r="K63" s="9"/>
      <c r="L63" s="28" t="s">
        <v>1482</v>
      </c>
      <c r="M63" s="30"/>
      <c r="N63" s="26"/>
    </row>
    <row r="64" spans="2:14">
      <c r="B64" s="11"/>
      <c r="C64" s="61" t="s">
        <v>232</v>
      </c>
      <c r="D64" s="62">
        <v>1</v>
      </c>
      <c r="E64" s="62">
        <v>2000</v>
      </c>
      <c r="F64" s="62">
        <v>0</v>
      </c>
      <c r="G64" s="62">
        <v>20</v>
      </c>
      <c r="H64" s="62">
        <v>1</v>
      </c>
      <c r="I64" s="12"/>
      <c r="K64" s="9"/>
      <c r="L64" s="170" t="s">
        <v>22</v>
      </c>
      <c r="M64" s="36">
        <v>3</v>
      </c>
      <c r="N64" s="10"/>
    </row>
    <row r="65" spans="2:14">
      <c r="B65" s="11"/>
      <c r="C65" s="61" t="s">
        <v>234</v>
      </c>
      <c r="D65" s="62">
        <v>1</v>
      </c>
      <c r="E65" s="62">
        <v>1700</v>
      </c>
      <c r="F65" s="62">
        <v>160</v>
      </c>
      <c r="G65" s="62">
        <v>20</v>
      </c>
      <c r="H65" s="62">
        <v>1</v>
      </c>
      <c r="I65" s="12"/>
      <c r="K65" s="9"/>
      <c r="L65" s="173" t="s">
        <v>21</v>
      </c>
      <c r="M65" s="36" t="s">
        <v>1536</v>
      </c>
      <c r="N65" s="24"/>
    </row>
    <row r="66" spans="2:14">
      <c r="B66" s="11"/>
      <c r="C66" s="61" t="s">
        <v>235</v>
      </c>
      <c r="D66" s="62">
        <v>1</v>
      </c>
      <c r="E66" s="62">
        <v>1700</v>
      </c>
      <c r="F66" s="62">
        <v>160</v>
      </c>
      <c r="G66" s="62">
        <v>20</v>
      </c>
      <c r="H66" s="62">
        <v>1</v>
      </c>
      <c r="I66" s="12"/>
      <c r="K66" s="9"/>
      <c r="L66" s="163" t="s">
        <v>16</v>
      </c>
      <c r="M66" s="171">
        <v>2</v>
      </c>
      <c r="N66" s="10"/>
    </row>
    <row r="67" spans="2:14">
      <c r="B67" s="11"/>
      <c r="C67" s="61" t="s">
        <v>237</v>
      </c>
      <c r="D67" s="62">
        <v>1</v>
      </c>
      <c r="E67" s="62">
        <v>3750</v>
      </c>
      <c r="F67" s="62">
        <v>410</v>
      </c>
      <c r="G67" s="62">
        <v>30</v>
      </c>
      <c r="H67" s="62">
        <v>1</v>
      </c>
      <c r="I67" s="12"/>
      <c r="K67" s="9"/>
      <c r="L67" s="163" t="s">
        <v>1537</v>
      </c>
      <c r="M67" s="171">
        <f>VLOOKUP($M$65,cpulookup, 5, FALSE)</f>
        <v>135</v>
      </c>
      <c r="N67" s="10"/>
    </row>
    <row r="68" spans="2:14">
      <c r="B68" s="11"/>
      <c r="C68" s="61" t="s">
        <v>238</v>
      </c>
      <c r="D68" s="62">
        <v>1</v>
      </c>
      <c r="E68" s="62">
        <v>1700</v>
      </c>
      <c r="F68" s="62">
        <v>160</v>
      </c>
      <c r="G68" s="62">
        <v>70</v>
      </c>
      <c r="H68" s="62">
        <v>1</v>
      </c>
      <c r="I68" s="12"/>
      <c r="K68" s="9"/>
      <c r="L68" s="163" t="s">
        <v>1538</v>
      </c>
      <c r="M68" s="171">
        <f>VLOOKUP($M$65,cpulookup, 9, FALSE)</f>
        <v>2133</v>
      </c>
      <c r="N68" s="10"/>
    </row>
    <row r="69" spans="2:14">
      <c r="B69" s="11"/>
      <c r="C69" s="61" t="s">
        <v>240</v>
      </c>
      <c r="D69" s="62">
        <v>1</v>
      </c>
      <c r="E69" s="62">
        <v>1700</v>
      </c>
      <c r="F69" s="62">
        <v>160</v>
      </c>
      <c r="G69" s="62">
        <v>20</v>
      </c>
      <c r="H69" s="62">
        <v>1</v>
      </c>
      <c r="I69" s="12"/>
      <c r="K69" s="9"/>
      <c r="L69" s="163" t="s">
        <v>66</v>
      </c>
      <c r="M69" s="171" t="str">
        <f>VLOOKUP($M$65,cpulookup, 8, FALSE)</f>
        <v>9.6 GT/s</v>
      </c>
      <c r="N69" s="10"/>
    </row>
    <row r="70" spans="2:14">
      <c r="B70" s="11"/>
      <c r="C70" s="61" t="s">
        <v>243</v>
      </c>
      <c r="D70" s="62">
        <v>8</v>
      </c>
      <c r="E70" s="62">
        <v>30000</v>
      </c>
      <c r="F70" s="62">
        <v>160</v>
      </c>
      <c r="G70" s="62">
        <v>2406</v>
      </c>
      <c r="H70" s="62">
        <v>1</v>
      </c>
      <c r="I70" s="12"/>
      <c r="K70" s="9"/>
      <c r="L70" s="163" t="s">
        <v>62</v>
      </c>
      <c r="M70" s="171">
        <f>VLOOKUP($M$65,cpulookup, 4, FALSE)</f>
        <v>2.6</v>
      </c>
      <c r="N70" s="10"/>
    </row>
    <row r="71" spans="2:14">
      <c r="B71" s="11"/>
      <c r="C71" s="61" t="s">
        <v>246</v>
      </c>
      <c r="D71" s="62">
        <v>4</v>
      </c>
      <c r="E71" s="62">
        <v>15000</v>
      </c>
      <c r="F71" s="62">
        <v>80</v>
      </c>
      <c r="G71" s="62">
        <v>420</v>
      </c>
      <c r="H71" s="62">
        <v>1</v>
      </c>
      <c r="I71" s="12"/>
      <c r="K71" s="9"/>
      <c r="L71" s="163" t="s">
        <v>64</v>
      </c>
      <c r="M71" s="171">
        <f>VLOOKUP($M$65,cpulookup, 6, FALSE)</f>
        <v>30</v>
      </c>
      <c r="N71" s="10"/>
    </row>
    <row r="72" spans="2:14">
      <c r="B72" s="11"/>
      <c r="C72" s="61" t="s">
        <v>247</v>
      </c>
      <c r="D72" s="62">
        <v>1</v>
      </c>
      <c r="E72" s="62">
        <v>1700</v>
      </c>
      <c r="F72" s="62">
        <v>160</v>
      </c>
      <c r="G72" s="62">
        <v>20</v>
      </c>
      <c r="H72" s="62">
        <v>1</v>
      </c>
      <c r="I72" s="12"/>
      <c r="K72" s="9"/>
      <c r="L72" s="163" t="s">
        <v>18</v>
      </c>
      <c r="M72" s="171">
        <f>VLOOKUP($M$65,cpulookup, 7, FALSE)</f>
        <v>12</v>
      </c>
      <c r="N72" s="10"/>
    </row>
    <row r="73" spans="2:14">
      <c r="B73" s="11"/>
      <c r="C73" s="61" t="s">
        <v>250</v>
      </c>
      <c r="D73" s="62">
        <v>1</v>
      </c>
      <c r="E73" s="62">
        <v>1700</v>
      </c>
      <c r="F73" s="62">
        <v>160</v>
      </c>
      <c r="G73" s="62">
        <v>20</v>
      </c>
      <c r="H73" s="62">
        <v>1</v>
      </c>
      <c r="I73" s="12"/>
      <c r="K73" s="9"/>
      <c r="L73" s="163" t="s">
        <v>63</v>
      </c>
      <c r="M73" s="171">
        <f>IF($M$65="E5-2609 v3 (6)",0,M72)</f>
        <v>12</v>
      </c>
      <c r="N73" s="10"/>
    </row>
    <row r="74" spans="2:14">
      <c r="B74" s="11"/>
      <c r="C74" s="61" t="s">
        <v>253</v>
      </c>
      <c r="D74" s="62">
        <v>1</v>
      </c>
      <c r="E74" s="62">
        <v>3750</v>
      </c>
      <c r="F74" s="62">
        <v>4</v>
      </c>
      <c r="G74" s="62">
        <v>1420</v>
      </c>
      <c r="H74" s="62">
        <v>1</v>
      </c>
      <c r="I74" s="12"/>
      <c r="K74" s="9"/>
      <c r="L74" s="163" t="s">
        <v>17</v>
      </c>
      <c r="M74" s="171">
        <f>M72*M66</f>
        <v>24</v>
      </c>
      <c r="N74" s="10"/>
    </row>
    <row r="75" spans="2:14">
      <c r="B75" s="11"/>
      <c r="C75" s="61" t="s">
        <v>254</v>
      </c>
      <c r="D75" s="62">
        <v>1</v>
      </c>
      <c r="E75" s="62">
        <v>3750</v>
      </c>
      <c r="F75" s="62">
        <v>4</v>
      </c>
      <c r="G75" s="62">
        <v>220</v>
      </c>
      <c r="H75" s="62">
        <v>1</v>
      </c>
      <c r="I75" s="12"/>
      <c r="K75" s="9"/>
      <c r="L75" s="173" t="s">
        <v>10</v>
      </c>
      <c r="M75" s="36" t="b">
        <v>1</v>
      </c>
      <c r="N75" s="24"/>
    </row>
    <row r="76" spans="2:14">
      <c r="B76" s="11"/>
      <c r="C76" s="61" t="s">
        <v>255</v>
      </c>
      <c r="D76" s="62">
        <v>2</v>
      </c>
      <c r="E76" s="62">
        <v>7500</v>
      </c>
      <c r="F76" s="62">
        <v>32</v>
      </c>
      <c r="G76" s="62">
        <v>20</v>
      </c>
      <c r="H76" s="62">
        <v>1</v>
      </c>
      <c r="I76" s="12"/>
      <c r="K76" s="9"/>
      <c r="L76" s="163" t="s">
        <v>67</v>
      </c>
      <c r="M76" s="171">
        <f>IF(M75=TRUE,(M74*2),M74)</f>
        <v>48</v>
      </c>
      <c r="N76" s="10"/>
    </row>
    <row r="77" spans="2:14">
      <c r="B77" s="11"/>
      <c r="C77" s="61" t="s">
        <v>256</v>
      </c>
      <c r="D77" s="62">
        <v>1</v>
      </c>
      <c r="E77" s="62">
        <v>2000</v>
      </c>
      <c r="F77" s="62">
        <v>0</v>
      </c>
      <c r="G77" s="62">
        <v>20</v>
      </c>
      <c r="H77" s="62">
        <v>1</v>
      </c>
      <c r="I77" s="12"/>
      <c r="K77" s="9"/>
      <c r="L77" s="165" t="s">
        <v>68</v>
      </c>
      <c r="M77" s="172">
        <f>(M76*M64)-4</f>
        <v>140</v>
      </c>
      <c r="N77" s="10"/>
    </row>
    <row r="78" spans="2:14">
      <c r="B78" s="11"/>
      <c r="C78" s="61" t="s">
        <v>257</v>
      </c>
      <c r="D78" s="62">
        <v>1</v>
      </c>
      <c r="E78" s="62">
        <v>1700</v>
      </c>
      <c r="F78" s="62">
        <v>160</v>
      </c>
      <c r="G78" s="62">
        <v>220</v>
      </c>
      <c r="H78" s="62">
        <v>1</v>
      </c>
      <c r="I78" s="12"/>
      <c r="K78" s="9"/>
      <c r="L78" s="25"/>
      <c r="M78" s="29"/>
      <c r="N78" s="10"/>
    </row>
    <row r="79" spans="2:14">
      <c r="B79" s="11"/>
      <c r="C79" s="61" t="s">
        <v>259</v>
      </c>
      <c r="D79" s="62">
        <v>2</v>
      </c>
      <c r="E79" s="62">
        <v>4000</v>
      </c>
      <c r="F79" s="62">
        <v>0</v>
      </c>
      <c r="G79" s="62">
        <v>20</v>
      </c>
      <c r="H79" s="62">
        <v>1</v>
      </c>
      <c r="I79" s="12"/>
      <c r="K79" s="9"/>
      <c r="L79" s="28" t="s">
        <v>1483</v>
      </c>
      <c r="M79" s="30"/>
      <c r="N79" s="26"/>
    </row>
    <row r="80" spans="2:14">
      <c r="B80" s="11"/>
      <c r="C80" s="61" t="s">
        <v>260</v>
      </c>
      <c r="D80" s="62">
        <v>1</v>
      </c>
      <c r="E80" s="62">
        <v>3750</v>
      </c>
      <c r="F80" s="62">
        <v>4</v>
      </c>
      <c r="G80" s="62">
        <v>20</v>
      </c>
      <c r="H80" s="62">
        <v>1</v>
      </c>
      <c r="I80" s="12"/>
      <c r="K80" s="9"/>
      <c r="L80" s="170" t="s">
        <v>19</v>
      </c>
      <c r="M80" s="36">
        <v>510</v>
      </c>
      <c r="N80" s="24"/>
    </row>
    <row r="81" spans="2:14">
      <c r="B81" s="11"/>
      <c r="C81" s="61" t="s">
        <v>262</v>
      </c>
      <c r="D81" s="62">
        <v>1</v>
      </c>
      <c r="E81" s="62">
        <v>1700</v>
      </c>
      <c r="F81" s="62">
        <v>160</v>
      </c>
      <c r="G81" s="62">
        <v>20</v>
      </c>
      <c r="H81" s="62">
        <v>1</v>
      </c>
      <c r="I81" s="12"/>
      <c r="K81" s="9"/>
      <c r="L81" s="163" t="s">
        <v>1586</v>
      </c>
      <c r="M81" s="171">
        <f>VLOOKUP($M$80,memorylookup, 2, FALSE)</f>
        <v>16</v>
      </c>
      <c r="N81" s="24"/>
    </row>
    <row r="82" spans="2:14">
      <c r="B82" s="11"/>
      <c r="C82" s="61" t="s">
        <v>264</v>
      </c>
      <c r="D82" s="62">
        <v>1</v>
      </c>
      <c r="E82" s="62">
        <v>1700</v>
      </c>
      <c r="F82" s="62">
        <v>160</v>
      </c>
      <c r="G82" s="62">
        <v>20</v>
      </c>
      <c r="H82" s="62">
        <v>1</v>
      </c>
      <c r="I82" s="12"/>
      <c r="K82" s="9"/>
      <c r="L82" s="163" t="s">
        <v>1588</v>
      </c>
      <c r="M82" s="171">
        <f>VLOOKUP($M$80,memorylookup, 3, FALSE)</f>
        <v>32</v>
      </c>
      <c r="N82" s="10"/>
    </row>
    <row r="83" spans="2:14">
      <c r="B83" s="11"/>
      <c r="C83" s="61" t="s">
        <v>266</v>
      </c>
      <c r="D83" s="62">
        <v>1</v>
      </c>
      <c r="E83" s="62">
        <v>1700</v>
      </c>
      <c r="F83" s="62">
        <v>160</v>
      </c>
      <c r="G83" s="62">
        <v>1220</v>
      </c>
      <c r="H83" s="62">
        <v>1</v>
      </c>
      <c r="I83" s="12"/>
      <c r="K83" s="9"/>
      <c r="L83" s="165" t="s">
        <v>1587</v>
      </c>
      <c r="M83" s="172">
        <f>VLOOKUP($M$80,memorylookup, 4, FALSE)</f>
        <v>2133</v>
      </c>
      <c r="N83" s="10"/>
    </row>
    <row r="84" spans="2:14">
      <c r="B84" s="11"/>
      <c r="C84" s="61" t="s">
        <v>268</v>
      </c>
      <c r="D84" s="62">
        <v>8</v>
      </c>
      <c r="E84" s="62">
        <v>15000</v>
      </c>
      <c r="F84" s="62">
        <v>160</v>
      </c>
      <c r="G84" s="62">
        <v>20</v>
      </c>
      <c r="H84" s="62">
        <v>1</v>
      </c>
      <c r="I84" s="12"/>
      <c r="K84" s="9"/>
      <c r="L84" s="25"/>
      <c r="M84" s="29"/>
      <c r="N84" s="10"/>
    </row>
    <row r="85" spans="2:14">
      <c r="B85" s="11"/>
      <c r="C85" s="61" t="s">
        <v>271</v>
      </c>
      <c r="D85" s="62">
        <v>1</v>
      </c>
      <c r="E85" s="62">
        <v>3750</v>
      </c>
      <c r="F85" s="62">
        <v>4</v>
      </c>
      <c r="G85" s="62">
        <v>420</v>
      </c>
      <c r="H85" s="62">
        <v>1</v>
      </c>
      <c r="I85" s="12"/>
      <c r="K85" s="9"/>
      <c r="L85" s="105" t="s">
        <v>1546</v>
      </c>
      <c r="M85" s="106"/>
      <c r="N85" s="26"/>
    </row>
    <row r="86" spans="2:14">
      <c r="B86" s="11"/>
      <c r="C86" s="61" t="s">
        <v>272</v>
      </c>
      <c r="D86" s="62">
        <v>4</v>
      </c>
      <c r="E86" s="62">
        <v>15000</v>
      </c>
      <c r="F86" s="62">
        <v>80</v>
      </c>
      <c r="G86" s="62">
        <v>420</v>
      </c>
      <c r="H86" s="62">
        <v>1</v>
      </c>
      <c r="I86" s="12"/>
      <c r="K86" s="9"/>
      <c r="L86" s="173" t="s">
        <v>1548</v>
      </c>
      <c r="M86" s="36">
        <v>10</v>
      </c>
      <c r="N86" s="10"/>
    </row>
    <row r="87" spans="2:14">
      <c r="B87" s="11"/>
      <c r="C87" s="61" t="s">
        <v>276</v>
      </c>
      <c r="D87" s="62">
        <v>16</v>
      </c>
      <c r="E87" s="62">
        <v>30000</v>
      </c>
      <c r="F87" s="62">
        <v>320</v>
      </c>
      <c r="G87" s="62">
        <v>20</v>
      </c>
      <c r="H87" s="62">
        <v>1</v>
      </c>
      <c r="I87" s="12"/>
      <c r="K87" s="9"/>
      <c r="L87" s="173" t="s">
        <v>1547</v>
      </c>
      <c r="M87" s="36" t="s">
        <v>1544</v>
      </c>
      <c r="N87" s="10"/>
    </row>
    <row r="88" spans="2:14">
      <c r="B88" s="11"/>
      <c r="C88" s="61" t="s">
        <v>278</v>
      </c>
      <c r="D88" s="62">
        <v>1</v>
      </c>
      <c r="E88" s="62">
        <v>1700</v>
      </c>
      <c r="F88" s="62">
        <v>160</v>
      </c>
      <c r="G88" s="62">
        <v>20</v>
      </c>
      <c r="H88" s="62">
        <v>1</v>
      </c>
      <c r="I88" s="12"/>
      <c r="K88" s="9"/>
      <c r="L88" s="173" t="s">
        <v>12</v>
      </c>
      <c r="M88" s="36" t="s">
        <v>1903</v>
      </c>
      <c r="N88" s="10"/>
    </row>
    <row r="89" spans="2:14">
      <c r="B89" s="11"/>
      <c r="C89" s="61" t="s">
        <v>279</v>
      </c>
      <c r="D89" s="62">
        <v>1</v>
      </c>
      <c r="E89" s="62">
        <v>1700</v>
      </c>
      <c r="F89" s="62">
        <v>160</v>
      </c>
      <c r="G89" s="62">
        <v>70</v>
      </c>
      <c r="H89" s="62">
        <v>1</v>
      </c>
      <c r="I89" s="12"/>
      <c r="K89" s="9"/>
      <c r="L89" s="163" t="s">
        <v>1698</v>
      </c>
      <c r="M89" s="171">
        <f>VLOOKUP($M$88,disklookup, 2, FALSE)</f>
        <v>3.5</v>
      </c>
      <c r="N89" s="24"/>
    </row>
    <row r="90" spans="2:14">
      <c r="B90" s="11"/>
      <c r="C90" s="61" t="s">
        <v>281</v>
      </c>
      <c r="D90" s="62">
        <v>1</v>
      </c>
      <c r="E90" s="62">
        <v>1700</v>
      </c>
      <c r="F90" s="62">
        <v>160</v>
      </c>
      <c r="G90" s="62">
        <v>20</v>
      </c>
      <c r="H90" s="62">
        <v>1</v>
      </c>
      <c r="I90" s="12"/>
      <c r="K90" s="9"/>
      <c r="L90" s="163" t="s">
        <v>80</v>
      </c>
      <c r="M90" s="171" t="str">
        <f>VLOOKUP($M$88,disklookup, 3, FALSE)</f>
        <v>LFF</v>
      </c>
      <c r="N90" s="24"/>
    </row>
    <row r="91" spans="2:14">
      <c r="B91" s="11"/>
      <c r="C91" s="61" t="s">
        <v>282</v>
      </c>
      <c r="D91" s="62">
        <v>1</v>
      </c>
      <c r="E91" s="62">
        <v>1700</v>
      </c>
      <c r="F91" s="62">
        <v>160</v>
      </c>
      <c r="G91" s="62">
        <v>20</v>
      </c>
      <c r="H91" s="62">
        <v>1</v>
      </c>
      <c r="I91" s="12"/>
      <c r="K91" s="9"/>
      <c r="L91" s="163" t="s">
        <v>12</v>
      </c>
      <c r="M91" s="171" t="str">
        <f>VLOOKUP($M$88,disklookup, 4, FALSE)</f>
        <v>Spindle</v>
      </c>
      <c r="N91" s="24"/>
    </row>
    <row r="92" spans="2:14">
      <c r="B92" s="11"/>
      <c r="C92" s="61" t="s">
        <v>284</v>
      </c>
      <c r="D92" s="62">
        <v>1</v>
      </c>
      <c r="E92" s="62">
        <v>1700</v>
      </c>
      <c r="F92" s="62">
        <v>160</v>
      </c>
      <c r="G92" s="62">
        <v>20</v>
      </c>
      <c r="H92" s="62">
        <v>1</v>
      </c>
      <c r="I92" s="12"/>
      <c r="K92" s="9"/>
      <c r="L92" s="163" t="s">
        <v>1687</v>
      </c>
      <c r="M92" s="171" t="str">
        <f>VLOOKUP($M$88,disklookup, 5, FALSE)</f>
        <v>SAS</v>
      </c>
      <c r="N92" s="24"/>
    </row>
    <row r="93" spans="2:14">
      <c r="B93" s="11"/>
      <c r="C93" s="61" t="s">
        <v>285</v>
      </c>
      <c r="D93" s="62">
        <v>2</v>
      </c>
      <c r="E93" s="62">
        <v>4000</v>
      </c>
      <c r="F93" s="62">
        <v>0</v>
      </c>
      <c r="G93" s="62">
        <v>420</v>
      </c>
      <c r="H93" s="62">
        <v>1</v>
      </c>
      <c r="I93" s="12"/>
      <c r="K93" s="9"/>
      <c r="L93" s="163" t="s">
        <v>1689</v>
      </c>
      <c r="M93" s="171">
        <f>VLOOKUP($M$88,disklookup, 6, FALSE)</f>
        <v>6144</v>
      </c>
      <c r="N93" s="24"/>
    </row>
    <row r="94" spans="2:14">
      <c r="B94" s="11"/>
      <c r="C94" s="61" t="s">
        <v>286</v>
      </c>
      <c r="D94" s="62">
        <v>32</v>
      </c>
      <c r="E94" s="62">
        <v>60000</v>
      </c>
      <c r="F94" s="62">
        <v>640</v>
      </c>
      <c r="G94" s="62">
        <v>20</v>
      </c>
      <c r="H94" s="62">
        <v>1</v>
      </c>
      <c r="I94" s="12"/>
      <c r="K94" s="9"/>
      <c r="L94" s="163" t="s">
        <v>1688</v>
      </c>
      <c r="M94" s="171" t="str">
        <f>VLOOKUP($M$88,disklookup, 7, FALSE)</f>
        <v>7.2K</v>
      </c>
      <c r="N94" s="24"/>
    </row>
    <row r="95" spans="2:14">
      <c r="B95" s="11"/>
      <c r="C95" s="61" t="s">
        <v>287</v>
      </c>
      <c r="D95" s="62">
        <v>1</v>
      </c>
      <c r="E95" s="62">
        <v>3750</v>
      </c>
      <c r="F95" s="62">
        <v>4</v>
      </c>
      <c r="G95" s="62">
        <v>120</v>
      </c>
      <c r="H95" s="62">
        <v>1</v>
      </c>
      <c r="I95" s="12"/>
      <c r="K95" s="9"/>
      <c r="L95" s="163" t="s">
        <v>1690</v>
      </c>
      <c r="M95" s="171">
        <f>VLOOKUP($M$88,disklookup, 8, FALSE)</f>
        <v>12</v>
      </c>
      <c r="N95" s="24"/>
    </row>
    <row r="96" spans="2:14">
      <c r="B96" s="11"/>
      <c r="C96" s="61" t="s">
        <v>289</v>
      </c>
      <c r="D96" s="62">
        <v>2</v>
      </c>
      <c r="E96" s="62">
        <v>3750</v>
      </c>
      <c r="F96" s="62">
        <v>32</v>
      </c>
      <c r="G96" s="62">
        <v>20</v>
      </c>
      <c r="H96" s="62">
        <v>1</v>
      </c>
      <c r="I96" s="12"/>
      <c r="K96" s="9"/>
      <c r="L96" s="163" t="s">
        <v>1691</v>
      </c>
      <c r="M96" s="171">
        <f>VLOOKUP($M$88,disklookup, 9, FALSE)</f>
        <v>80</v>
      </c>
      <c r="N96" s="24"/>
    </row>
    <row r="97" spans="2:14">
      <c r="B97" s="11"/>
      <c r="C97" s="61" t="s">
        <v>290</v>
      </c>
      <c r="D97" s="62">
        <v>1</v>
      </c>
      <c r="E97" s="62">
        <v>1700</v>
      </c>
      <c r="F97" s="62">
        <v>160</v>
      </c>
      <c r="G97" s="62">
        <v>20</v>
      </c>
      <c r="H97" s="62">
        <v>1</v>
      </c>
      <c r="I97" s="12"/>
      <c r="K97" s="9"/>
      <c r="L97" s="173" t="s">
        <v>13</v>
      </c>
      <c r="M97" s="36" t="s">
        <v>1694</v>
      </c>
      <c r="N97" s="24"/>
    </row>
    <row r="98" spans="2:14">
      <c r="B98" s="11"/>
      <c r="C98" s="61" t="s">
        <v>291</v>
      </c>
      <c r="D98" s="62">
        <v>1</v>
      </c>
      <c r="E98" s="62">
        <v>3750</v>
      </c>
      <c r="F98" s="62">
        <v>4</v>
      </c>
      <c r="G98" s="62">
        <v>820</v>
      </c>
      <c r="H98" s="62">
        <v>1</v>
      </c>
      <c r="I98" s="12"/>
      <c r="K98" s="9"/>
      <c r="L98" s="163" t="s">
        <v>56</v>
      </c>
      <c r="M98" s="171">
        <f>IF(M97="JBOD",1,IF(M97="RAID 10",1,IF(M97="RAID 5",1,IF(M97="RAID 5+1",1))))</f>
        <v>1</v>
      </c>
      <c r="N98" s="10"/>
    </row>
    <row r="99" spans="2:14">
      <c r="B99" s="11"/>
      <c r="C99" s="61" t="s">
        <v>292</v>
      </c>
      <c r="D99" s="62">
        <v>1</v>
      </c>
      <c r="E99" s="62">
        <v>1700</v>
      </c>
      <c r="F99" s="62">
        <v>160</v>
      </c>
      <c r="G99" s="62">
        <v>20</v>
      </c>
      <c r="H99" s="62">
        <v>1</v>
      </c>
      <c r="I99" s="12"/>
      <c r="K99" s="9"/>
      <c r="L99" s="163" t="s">
        <v>57</v>
      </c>
      <c r="M99" s="171">
        <f>IF(M97="JBOD",3,IF(M97="RAID 10",2,IF(M97="RAID 5",4,IF(M97="RAID 5+1",4))))</f>
        <v>3</v>
      </c>
      <c r="N99" s="10"/>
    </row>
    <row r="100" spans="2:14">
      <c r="B100" s="11"/>
      <c r="C100" s="61" t="s">
        <v>293</v>
      </c>
      <c r="D100" s="62">
        <v>4</v>
      </c>
      <c r="E100" s="62">
        <v>15000</v>
      </c>
      <c r="F100" s="62">
        <v>80</v>
      </c>
      <c r="G100" s="62">
        <v>420</v>
      </c>
      <c r="H100" s="62">
        <v>1</v>
      </c>
      <c r="I100" s="12"/>
      <c r="K100" s="9"/>
      <c r="L100" s="163" t="s">
        <v>58</v>
      </c>
      <c r="M100" s="171">
        <f>IF(M97="RAID 5",M96*(M86-1),IF(M97="RAID 5+1",M96*(M86-2),M96*M86))</f>
        <v>800</v>
      </c>
      <c r="N100" s="10"/>
    </row>
    <row r="101" spans="2:14">
      <c r="B101" s="11"/>
      <c r="C101" s="61" t="s">
        <v>294</v>
      </c>
      <c r="D101" s="62">
        <v>1</v>
      </c>
      <c r="E101" s="62">
        <v>2000</v>
      </c>
      <c r="F101" s="62">
        <v>0</v>
      </c>
      <c r="G101" s="62">
        <v>20</v>
      </c>
      <c r="H101" s="62">
        <v>1</v>
      </c>
      <c r="I101" s="12"/>
      <c r="K101" s="9"/>
      <c r="L101" s="173" t="s">
        <v>40</v>
      </c>
      <c r="M101" s="36">
        <v>5</v>
      </c>
      <c r="N101" s="10"/>
    </row>
    <row r="102" spans="2:14">
      <c r="B102" s="11"/>
      <c r="C102" s="61" t="s">
        <v>295</v>
      </c>
      <c r="D102" s="62">
        <v>1</v>
      </c>
      <c r="E102" s="62">
        <v>1700</v>
      </c>
      <c r="F102" s="62">
        <v>160</v>
      </c>
      <c r="G102" s="62">
        <v>20</v>
      </c>
      <c r="H102" s="62">
        <v>1</v>
      </c>
      <c r="I102" s="12"/>
      <c r="K102" s="9"/>
      <c r="L102" s="173" t="s">
        <v>35</v>
      </c>
      <c r="M102" s="36">
        <v>0.75</v>
      </c>
      <c r="N102" s="10"/>
    </row>
    <row r="103" spans="2:14">
      <c r="B103" s="11"/>
      <c r="C103" s="61" t="s">
        <v>296</v>
      </c>
      <c r="D103" s="62">
        <v>1</v>
      </c>
      <c r="E103" s="62">
        <v>1700</v>
      </c>
      <c r="F103" s="62">
        <v>160</v>
      </c>
      <c r="G103" s="62">
        <v>20</v>
      </c>
      <c r="H103" s="62">
        <v>1</v>
      </c>
      <c r="I103" s="12"/>
      <c r="K103" s="9"/>
      <c r="L103" s="173" t="s">
        <v>36</v>
      </c>
      <c r="M103" s="174">
        <f>1-M102</f>
        <v>0.25</v>
      </c>
      <c r="N103" s="10"/>
    </row>
    <row r="104" spans="2:14">
      <c r="B104" s="11"/>
      <c r="C104" s="61" t="s">
        <v>298</v>
      </c>
      <c r="D104" s="62">
        <v>1</v>
      </c>
      <c r="E104" s="62">
        <v>1700</v>
      </c>
      <c r="F104" s="62">
        <v>160</v>
      </c>
      <c r="G104" s="62">
        <v>20</v>
      </c>
      <c r="H104" s="62">
        <v>1</v>
      </c>
      <c r="I104" s="12"/>
      <c r="K104" s="9"/>
      <c r="L104" s="163" t="s">
        <v>59</v>
      </c>
      <c r="M104" s="171">
        <f>ROUND((M106*M102),0)</f>
        <v>400</v>
      </c>
      <c r="N104" s="10"/>
    </row>
    <row r="105" spans="2:14">
      <c r="B105" s="11"/>
      <c r="C105" s="61" t="s">
        <v>299</v>
      </c>
      <c r="D105" s="62">
        <v>1</v>
      </c>
      <c r="E105" s="62">
        <v>1700</v>
      </c>
      <c r="F105" s="62">
        <v>160</v>
      </c>
      <c r="G105" s="62">
        <v>20</v>
      </c>
      <c r="H105" s="62">
        <v>1</v>
      </c>
      <c r="I105" s="12"/>
      <c r="K105" s="9"/>
      <c r="L105" s="163" t="s">
        <v>60</v>
      </c>
      <c r="M105" s="171">
        <f>ROUND((M106*M103),0)</f>
        <v>133</v>
      </c>
      <c r="N105" s="10"/>
    </row>
    <row r="106" spans="2:14">
      <c r="B106" s="11"/>
      <c r="C106" s="61" t="s">
        <v>300</v>
      </c>
      <c r="D106" s="62">
        <v>1</v>
      </c>
      <c r="E106" s="62">
        <v>1700</v>
      </c>
      <c r="F106" s="62">
        <v>160</v>
      </c>
      <c r="G106" s="62">
        <v>20</v>
      </c>
      <c r="H106" s="62">
        <v>1</v>
      </c>
      <c r="I106" s="12"/>
      <c r="K106" s="9"/>
      <c r="L106" s="163" t="s">
        <v>61</v>
      </c>
      <c r="M106" s="171">
        <f>ROUND(M100/((M102*M98)+(M103*M99)),0)</f>
        <v>533</v>
      </c>
      <c r="N106" s="10"/>
    </row>
    <row r="107" spans="2:14">
      <c r="B107" s="11"/>
      <c r="C107" s="61" t="s">
        <v>301</v>
      </c>
      <c r="D107" s="62">
        <v>16</v>
      </c>
      <c r="E107" s="62">
        <v>30000</v>
      </c>
      <c r="F107" s="62">
        <v>320</v>
      </c>
      <c r="G107" s="62">
        <v>20</v>
      </c>
      <c r="H107" s="62">
        <v>1</v>
      </c>
      <c r="I107" s="12"/>
      <c r="K107" s="9"/>
      <c r="L107" s="163" t="s">
        <v>1693</v>
      </c>
      <c r="M107" s="171">
        <f>M86*M93</f>
        <v>61440</v>
      </c>
      <c r="N107" s="10"/>
    </row>
    <row r="108" spans="2:14">
      <c r="B108" s="11"/>
      <c r="C108" s="61" t="s">
        <v>302</v>
      </c>
      <c r="D108" s="62">
        <v>4</v>
      </c>
      <c r="E108" s="62">
        <v>15000</v>
      </c>
      <c r="F108" s="62">
        <v>80</v>
      </c>
      <c r="G108" s="62">
        <v>820</v>
      </c>
      <c r="H108" s="62">
        <v>1</v>
      </c>
      <c r="I108" s="12"/>
      <c r="K108" s="9"/>
      <c r="L108" s="165" t="s">
        <v>1692</v>
      </c>
      <c r="M108" s="172">
        <f>ROUND(IF(M97="JBOD",(M93*M86*0.33),IF(M97="RAID 10",(M93*M86*0.5),IF(M97="RAID 5",(M93*(M86-1)),IF(M97="RAID 5+1",(M93*(M86-2))))))*0.968/1024,2)</f>
        <v>19.170000000000002</v>
      </c>
      <c r="N108" s="24"/>
    </row>
    <row r="109" spans="2:14">
      <c r="B109" s="11"/>
      <c r="C109" s="61" t="s">
        <v>304</v>
      </c>
      <c r="D109" s="62">
        <v>1</v>
      </c>
      <c r="E109" s="62">
        <v>3750</v>
      </c>
      <c r="F109" s="62">
        <v>4</v>
      </c>
      <c r="G109" s="62">
        <v>20</v>
      </c>
      <c r="H109" s="62">
        <v>1</v>
      </c>
      <c r="I109" s="12"/>
      <c r="K109" s="47"/>
      <c r="L109" s="48"/>
      <c r="M109" s="49"/>
      <c r="N109" s="50"/>
    </row>
    <row r="110" spans="2:14">
      <c r="B110" s="11"/>
      <c r="C110" s="61" t="s">
        <v>306</v>
      </c>
      <c r="D110" s="62">
        <v>4</v>
      </c>
      <c r="E110" s="62">
        <v>15000</v>
      </c>
      <c r="F110" s="62">
        <v>80</v>
      </c>
      <c r="G110" s="62">
        <v>420</v>
      </c>
      <c r="H110" s="62">
        <v>1</v>
      </c>
      <c r="I110" s="12"/>
    </row>
    <row r="111" spans="2:14">
      <c r="B111" s="11"/>
      <c r="C111" s="61" t="s">
        <v>308</v>
      </c>
      <c r="D111" s="62">
        <v>1</v>
      </c>
      <c r="E111" s="62">
        <v>1700</v>
      </c>
      <c r="F111" s="62">
        <v>160</v>
      </c>
      <c r="G111" s="62">
        <v>270</v>
      </c>
      <c r="H111" s="62">
        <v>1</v>
      </c>
      <c r="I111" s="12"/>
      <c r="K111" s="179" t="s">
        <v>1941</v>
      </c>
      <c r="L111" s="180"/>
      <c r="M111" s="180"/>
      <c r="N111" s="181"/>
    </row>
    <row r="112" spans="2:14" ht="15" thickBot="1">
      <c r="B112" s="11"/>
      <c r="C112" s="61" t="s">
        <v>309</v>
      </c>
      <c r="D112" s="62">
        <v>1</v>
      </c>
      <c r="E112" s="62">
        <v>2000</v>
      </c>
      <c r="F112" s="62">
        <v>0</v>
      </c>
      <c r="G112" s="62">
        <v>20</v>
      </c>
      <c r="H112" s="62">
        <v>1</v>
      </c>
      <c r="I112" s="12"/>
      <c r="K112" s="9"/>
      <c r="L112" s="28" t="s">
        <v>1925</v>
      </c>
      <c r="M112" s="30"/>
      <c r="N112" s="10"/>
    </row>
    <row r="113" spans="2:14">
      <c r="B113" s="11"/>
      <c r="C113" s="61" t="s">
        <v>312</v>
      </c>
      <c r="D113" s="62">
        <v>2</v>
      </c>
      <c r="E113" s="62">
        <v>4000</v>
      </c>
      <c r="F113" s="62">
        <v>0</v>
      </c>
      <c r="G113" s="62">
        <v>420</v>
      </c>
      <c r="H113" s="62">
        <v>1</v>
      </c>
      <c r="I113" s="12"/>
      <c r="K113" s="9"/>
      <c r="L113" s="212" t="s">
        <v>15</v>
      </c>
      <c r="M113" s="213">
        <f>ROUNDUP(($M$12/M77),0)</f>
        <v>22</v>
      </c>
      <c r="N113" s="10"/>
    </row>
    <row r="114" spans="2:14">
      <c r="B114" s="11"/>
      <c r="C114" s="61" t="s">
        <v>313</v>
      </c>
      <c r="D114" s="62">
        <v>1</v>
      </c>
      <c r="E114" s="62">
        <v>2000</v>
      </c>
      <c r="F114" s="62">
        <v>0</v>
      </c>
      <c r="G114" s="62">
        <v>20</v>
      </c>
      <c r="H114" s="62">
        <v>1</v>
      </c>
      <c r="I114" s="12"/>
      <c r="K114" s="9"/>
      <c r="L114" s="214" t="s">
        <v>14</v>
      </c>
      <c r="M114" s="215">
        <f>ROUNDUP(($M$13/M80),0)</f>
        <v>36</v>
      </c>
      <c r="N114" s="10"/>
    </row>
    <row r="115" spans="2:14">
      <c r="B115" s="11"/>
      <c r="C115" s="61" t="s">
        <v>314</v>
      </c>
      <c r="D115" s="62">
        <v>1</v>
      </c>
      <c r="E115" s="62">
        <v>1700</v>
      </c>
      <c r="F115" s="62">
        <v>160</v>
      </c>
      <c r="G115" s="62">
        <v>20</v>
      </c>
      <c r="H115" s="62">
        <v>1</v>
      </c>
      <c r="I115" s="12"/>
      <c r="K115" s="9"/>
      <c r="L115" s="214" t="s">
        <v>1960</v>
      </c>
      <c r="M115" s="215">
        <f>ROUNDUP((($M$14+$M$15)/1024/M108),0)</f>
        <v>22</v>
      </c>
      <c r="N115" s="10"/>
    </row>
    <row r="116" spans="2:14" ht="15" thickBot="1">
      <c r="B116" s="11"/>
      <c r="C116" s="61" t="s">
        <v>315</v>
      </c>
      <c r="D116" s="62">
        <v>2</v>
      </c>
      <c r="E116" s="62">
        <v>7500</v>
      </c>
      <c r="F116" s="62">
        <v>32</v>
      </c>
      <c r="G116" s="62">
        <v>1020</v>
      </c>
      <c r="H116" s="62">
        <v>1</v>
      </c>
      <c r="I116" s="12"/>
      <c r="K116" s="9"/>
      <c r="L116" s="216" t="s">
        <v>42</v>
      </c>
      <c r="M116" s="217">
        <f>ROUNDUP((((M101*$M$18)/M106)),0)</f>
        <v>14</v>
      </c>
      <c r="N116" s="10"/>
    </row>
    <row r="117" spans="2:14">
      <c r="B117" s="11"/>
      <c r="C117" s="61" t="s">
        <v>316</v>
      </c>
      <c r="D117" s="62">
        <v>1</v>
      </c>
      <c r="E117" s="62">
        <v>3750</v>
      </c>
      <c r="F117" s="62">
        <v>4</v>
      </c>
      <c r="G117" s="62">
        <v>4516</v>
      </c>
      <c r="H117" s="62">
        <v>1</v>
      </c>
      <c r="I117" s="12"/>
      <c r="K117" s="9"/>
      <c r="L117" s="25"/>
      <c r="M117" s="97">
        <f>MAX(M113:M116)</f>
        <v>36</v>
      </c>
      <c r="N117" s="10"/>
    </row>
    <row r="118" spans="2:14">
      <c r="B118" s="11"/>
      <c r="C118" s="61" t="s">
        <v>317</v>
      </c>
      <c r="D118" s="62">
        <v>1</v>
      </c>
      <c r="E118" s="62">
        <v>1700</v>
      </c>
      <c r="F118" s="62">
        <v>160</v>
      </c>
      <c r="G118" s="62">
        <v>820</v>
      </c>
      <c r="H118" s="62">
        <v>1</v>
      </c>
      <c r="I118" s="12"/>
      <c r="K118" s="9"/>
      <c r="L118" s="28" t="s">
        <v>1926</v>
      </c>
      <c r="M118" s="30"/>
      <c r="N118" s="10"/>
    </row>
    <row r="119" spans="2:14">
      <c r="B119" s="11"/>
      <c r="C119" s="61" t="s">
        <v>318</v>
      </c>
      <c r="D119" s="62">
        <v>1</v>
      </c>
      <c r="E119" s="62">
        <v>1700</v>
      </c>
      <c r="F119" s="62">
        <v>160</v>
      </c>
      <c r="G119" s="62">
        <v>820</v>
      </c>
      <c r="H119" s="62">
        <v>1</v>
      </c>
      <c r="I119" s="12"/>
      <c r="K119" s="9"/>
      <c r="L119" s="218" t="s">
        <v>38</v>
      </c>
      <c r="M119" s="219">
        <f>MAX(M113:M116)*M66</f>
        <v>72</v>
      </c>
      <c r="N119" s="10"/>
    </row>
    <row r="120" spans="2:14">
      <c r="B120" s="11"/>
      <c r="C120" s="61" t="s">
        <v>319</v>
      </c>
      <c r="D120" s="62">
        <v>4</v>
      </c>
      <c r="E120" s="62">
        <v>15000</v>
      </c>
      <c r="F120" s="62">
        <v>80</v>
      </c>
      <c r="G120" s="62">
        <v>420</v>
      </c>
      <c r="H120" s="62">
        <v>1</v>
      </c>
      <c r="I120" s="12"/>
      <c r="K120" s="9"/>
      <c r="L120" s="163" t="s">
        <v>65</v>
      </c>
      <c r="M120" s="171">
        <f>ROUND((MAX(M113:M116)*M74*M70),0)</f>
        <v>2246</v>
      </c>
      <c r="N120" s="10"/>
    </row>
    <row r="121" spans="2:14">
      <c r="B121" s="11"/>
      <c r="C121" s="61" t="s">
        <v>320</v>
      </c>
      <c r="D121" s="62">
        <v>1</v>
      </c>
      <c r="E121" s="62">
        <v>1700</v>
      </c>
      <c r="F121" s="62">
        <v>160</v>
      </c>
      <c r="G121" s="62">
        <v>820</v>
      </c>
      <c r="H121" s="62">
        <v>1</v>
      </c>
      <c r="I121" s="12"/>
      <c r="K121" s="9"/>
      <c r="L121" s="163" t="s">
        <v>39</v>
      </c>
      <c r="M121" s="171">
        <f>MAX(M113:M116)*M76</f>
        <v>1728</v>
      </c>
      <c r="N121" s="10"/>
    </row>
    <row r="122" spans="2:14">
      <c r="B122" s="11"/>
      <c r="C122" s="61" t="s">
        <v>321</v>
      </c>
      <c r="D122" s="62">
        <v>1</v>
      </c>
      <c r="E122" s="62">
        <v>2000</v>
      </c>
      <c r="F122" s="62">
        <v>0</v>
      </c>
      <c r="G122" s="62">
        <v>20</v>
      </c>
      <c r="H122" s="62">
        <v>1</v>
      </c>
      <c r="I122" s="12"/>
      <c r="K122" s="9"/>
      <c r="L122" s="163" t="s">
        <v>20</v>
      </c>
      <c r="M122" s="171">
        <f>MAX(M113:M115)*M77</f>
        <v>5040</v>
      </c>
      <c r="N122" s="10"/>
    </row>
    <row r="123" spans="2:14">
      <c r="B123" s="11"/>
      <c r="C123" s="61" t="s">
        <v>323</v>
      </c>
      <c r="D123" s="62">
        <v>1</v>
      </c>
      <c r="E123" s="62">
        <v>2000</v>
      </c>
      <c r="F123" s="62">
        <v>0</v>
      </c>
      <c r="G123" s="62">
        <v>108</v>
      </c>
      <c r="H123" s="62">
        <v>1</v>
      </c>
      <c r="I123" s="12"/>
      <c r="K123" s="9"/>
      <c r="L123" s="163" t="str">
        <f>"Memory (" &amp; (ROUND((M123/1024),2)) &amp; " TB)"</f>
        <v>Memory (17.93 TB)</v>
      </c>
      <c r="M123" s="171">
        <f>MAX(M113:M115)*M80</f>
        <v>18360</v>
      </c>
      <c r="N123" s="10"/>
    </row>
    <row r="124" spans="2:14">
      <c r="B124" s="11"/>
      <c r="C124" s="61" t="s">
        <v>324</v>
      </c>
      <c r="D124" s="62">
        <v>1</v>
      </c>
      <c r="E124" s="62">
        <v>1700</v>
      </c>
      <c r="F124" s="62">
        <v>160</v>
      </c>
      <c r="G124" s="62">
        <v>270</v>
      </c>
      <c r="H124" s="62">
        <v>1</v>
      </c>
      <c r="I124" s="12"/>
      <c r="K124" s="9"/>
      <c r="L124" s="163" t="str">
        <f>"Disk Capacity (" &amp; (ROUND((M124/1024),2)) &amp; " TB)"</f>
        <v>Disk Capacity (690.12 TB)</v>
      </c>
      <c r="M124" s="171">
        <f>MAX(M113:M116)*M108*1024</f>
        <v>706682.88000000012</v>
      </c>
      <c r="N124" s="10"/>
    </row>
    <row r="125" spans="2:14">
      <c r="B125" s="11"/>
      <c r="C125" s="61" t="s">
        <v>325</v>
      </c>
      <c r="D125" s="62">
        <v>4</v>
      </c>
      <c r="E125" s="62">
        <v>15000</v>
      </c>
      <c r="F125" s="62">
        <v>80</v>
      </c>
      <c r="G125" s="62">
        <v>820</v>
      </c>
      <c r="H125" s="62">
        <v>1</v>
      </c>
      <c r="I125" s="12"/>
      <c r="K125" s="9"/>
      <c r="L125" s="163" t="s">
        <v>41</v>
      </c>
      <c r="M125" s="171">
        <f>MAX(M113:M116)*M106</f>
        <v>19188</v>
      </c>
      <c r="N125" s="10"/>
    </row>
    <row r="126" spans="2:14">
      <c r="B126" s="11"/>
      <c r="C126" s="61" t="s">
        <v>326</v>
      </c>
      <c r="D126" s="62">
        <v>1</v>
      </c>
      <c r="E126" s="62">
        <v>1700</v>
      </c>
      <c r="F126" s="62">
        <v>160</v>
      </c>
      <c r="G126" s="62">
        <v>20</v>
      </c>
      <c r="H126" s="62">
        <v>1</v>
      </c>
      <c r="I126" s="12"/>
      <c r="K126" s="9"/>
      <c r="L126" s="163" t="s">
        <v>43</v>
      </c>
      <c r="M126" s="171">
        <f>M106</f>
        <v>533</v>
      </c>
      <c r="N126" s="10"/>
    </row>
    <row r="127" spans="2:14">
      <c r="B127" s="11"/>
      <c r="C127" s="61" t="s">
        <v>327</v>
      </c>
      <c r="D127" s="62">
        <v>1</v>
      </c>
      <c r="E127" s="62">
        <v>1700</v>
      </c>
      <c r="F127" s="62">
        <v>160</v>
      </c>
      <c r="G127" s="62">
        <v>20</v>
      </c>
      <c r="H127" s="62">
        <v>1</v>
      </c>
      <c r="I127" s="12"/>
      <c r="K127" s="9"/>
      <c r="L127" s="220" t="s">
        <v>44</v>
      </c>
      <c r="M127" s="221">
        <f>IF(M18=0,0,(ROUNDUP((M125/M18),2)))</f>
        <v>13.4</v>
      </c>
      <c r="N127" s="10"/>
    </row>
    <row r="128" spans="2:14">
      <c r="B128" s="11"/>
      <c r="C128" s="61" t="s">
        <v>328</v>
      </c>
      <c r="D128" s="62">
        <v>2</v>
      </c>
      <c r="E128" s="62">
        <v>7500</v>
      </c>
      <c r="F128" s="62">
        <v>32</v>
      </c>
      <c r="G128" s="62">
        <v>820</v>
      </c>
      <c r="H128" s="62">
        <v>1</v>
      </c>
      <c r="I128" s="12"/>
      <c r="K128" s="9"/>
      <c r="L128" s="222" t="str">
        <f>"Consolidation Ratio (" &amp; M128 &amp; ":1)"</f>
        <v>Consolidation Ratio (40:1)</v>
      </c>
      <c r="M128" s="223">
        <f>IF(M18=0,0,(ROUNDUP(M18/(MAX(M113:M116)),0)))</f>
        <v>40</v>
      </c>
      <c r="N128" s="24"/>
    </row>
    <row r="129" spans="2:15">
      <c r="B129" s="11"/>
      <c r="C129" s="61" t="s">
        <v>329</v>
      </c>
      <c r="D129" s="62">
        <v>1</v>
      </c>
      <c r="E129" s="62">
        <v>1700</v>
      </c>
      <c r="F129" s="62">
        <v>160</v>
      </c>
      <c r="G129" s="62">
        <v>20</v>
      </c>
      <c r="H129" s="62">
        <v>1</v>
      </c>
      <c r="I129" s="12"/>
      <c r="K129" s="9"/>
      <c r="L129" s="25"/>
      <c r="M129" s="29"/>
      <c r="N129" s="10"/>
      <c r="O129" s="31"/>
    </row>
    <row r="130" spans="2:15">
      <c r="B130" s="11"/>
      <c r="C130" s="61" t="s">
        <v>330</v>
      </c>
      <c r="D130" s="62">
        <v>1</v>
      </c>
      <c r="E130" s="62">
        <v>1700</v>
      </c>
      <c r="F130" s="62">
        <v>160</v>
      </c>
      <c r="G130" s="62">
        <v>20</v>
      </c>
      <c r="H130" s="62">
        <v>1</v>
      </c>
      <c r="I130" s="12"/>
      <c r="K130" s="9"/>
      <c r="L130" s="28" t="s">
        <v>1927</v>
      </c>
      <c r="M130" s="29"/>
      <c r="N130" s="10"/>
    </row>
    <row r="131" spans="2:15">
      <c r="B131" s="11"/>
      <c r="C131" s="61" t="s">
        <v>331</v>
      </c>
      <c r="D131" s="62">
        <v>1</v>
      </c>
      <c r="E131" s="62">
        <v>1700</v>
      </c>
      <c r="F131" s="62">
        <v>160</v>
      </c>
      <c r="G131" s="62">
        <v>20</v>
      </c>
      <c r="H131" s="62">
        <v>1</v>
      </c>
      <c r="I131" s="12"/>
      <c r="K131" s="9"/>
      <c r="L131" s="40" t="s">
        <v>32</v>
      </c>
      <c r="M131" s="59">
        <f>IF($M$12&gt;0,$M$12/M122/M6,0)</f>
        <v>0.50611772486772488</v>
      </c>
      <c r="N131" s="46"/>
    </row>
    <row r="132" spans="2:15">
      <c r="B132" s="11"/>
      <c r="C132" s="61" t="s">
        <v>332</v>
      </c>
      <c r="D132" s="62">
        <v>1</v>
      </c>
      <c r="E132" s="62">
        <v>1700</v>
      </c>
      <c r="F132" s="62">
        <v>160</v>
      </c>
      <c r="G132" s="62">
        <v>20</v>
      </c>
      <c r="H132" s="62">
        <v>1</v>
      </c>
      <c r="I132" s="12"/>
      <c r="K132" s="9"/>
      <c r="L132" s="37" t="s">
        <v>33</v>
      </c>
      <c r="M132" s="54">
        <f>IF($M$13&gt;0,$M$13/M123/M6,0)</f>
        <v>0.81699346405228757</v>
      </c>
      <c r="N132" s="46"/>
    </row>
    <row r="133" spans="2:15">
      <c r="B133" s="11"/>
      <c r="C133" s="61" t="s">
        <v>333</v>
      </c>
      <c r="D133" s="62">
        <v>4</v>
      </c>
      <c r="E133" s="62">
        <v>15000</v>
      </c>
      <c r="F133" s="62">
        <v>80</v>
      </c>
      <c r="G133" s="62">
        <v>20</v>
      </c>
      <c r="H133" s="62">
        <v>1</v>
      </c>
      <c r="I133" s="12"/>
      <c r="K133" s="9"/>
      <c r="L133" s="37" t="s">
        <v>34</v>
      </c>
      <c r="M133" s="54">
        <f>IF(M16&gt;0,M16/M124/M6,0)</f>
        <v>0.50141892027533852</v>
      </c>
      <c r="N133" s="46"/>
    </row>
    <row r="134" spans="2:15">
      <c r="B134" s="11"/>
      <c r="C134" s="61" t="s">
        <v>334</v>
      </c>
      <c r="D134" s="62">
        <v>16</v>
      </c>
      <c r="E134" s="62">
        <v>30000</v>
      </c>
      <c r="F134" s="62">
        <v>320</v>
      </c>
      <c r="G134" s="62">
        <v>20</v>
      </c>
      <c r="H134" s="62">
        <v>1</v>
      </c>
      <c r="I134" s="12"/>
      <c r="K134" s="9"/>
      <c r="L134" s="38" t="s">
        <v>1743</v>
      </c>
      <c r="M134" s="55">
        <f>IF(M17&gt;0,M17/M125/M6,0)</f>
        <v>0.37341046487387952</v>
      </c>
      <c r="N134" s="46"/>
    </row>
    <row r="135" spans="2:15">
      <c r="B135" s="11"/>
      <c r="C135" s="61" t="s">
        <v>335</v>
      </c>
      <c r="D135" s="62">
        <v>1</v>
      </c>
      <c r="E135" s="62">
        <v>1700</v>
      </c>
      <c r="F135" s="62">
        <v>160</v>
      </c>
      <c r="G135" s="62">
        <v>20</v>
      </c>
      <c r="H135" s="62">
        <v>1</v>
      </c>
      <c r="I135" s="12"/>
      <c r="K135" s="9"/>
      <c r="L135" s="51"/>
      <c r="M135" s="52"/>
      <c r="N135" s="46"/>
    </row>
    <row r="136" spans="2:15">
      <c r="B136" s="11"/>
      <c r="C136" s="61" t="s">
        <v>336</v>
      </c>
      <c r="D136" s="62">
        <v>2</v>
      </c>
      <c r="E136" s="62">
        <v>4000</v>
      </c>
      <c r="F136" s="62">
        <v>0</v>
      </c>
      <c r="G136" s="62">
        <v>20</v>
      </c>
      <c r="H136" s="62">
        <v>1</v>
      </c>
      <c r="I136" s="12"/>
      <c r="K136" s="9"/>
      <c r="L136" s="53" t="s">
        <v>1928</v>
      </c>
      <c r="M136" s="52"/>
      <c r="N136" s="46"/>
    </row>
    <row r="137" spans="2:15">
      <c r="B137" s="11"/>
      <c r="C137" s="61" t="s">
        <v>337</v>
      </c>
      <c r="D137" s="62">
        <v>4</v>
      </c>
      <c r="E137" s="62">
        <v>15000</v>
      </c>
      <c r="F137" s="62">
        <v>80</v>
      </c>
      <c r="G137" s="62">
        <v>1420</v>
      </c>
      <c r="H137" s="62">
        <v>1</v>
      </c>
      <c r="I137" s="12"/>
      <c r="K137" s="9"/>
      <c r="L137" s="227" t="s">
        <v>1744</v>
      </c>
      <c r="M137" s="219">
        <f>IF(M5=1,1.01,M5)</f>
        <v>1.01</v>
      </c>
      <c r="N137" s="46"/>
    </row>
    <row r="138" spans="2:15">
      <c r="B138" s="11"/>
      <c r="C138" s="61" t="s">
        <v>338</v>
      </c>
      <c r="D138" s="62">
        <v>8</v>
      </c>
      <c r="E138" s="62">
        <v>30000</v>
      </c>
      <c r="F138" s="62">
        <v>160</v>
      </c>
      <c r="G138" s="62">
        <v>470</v>
      </c>
      <c r="H138" s="62">
        <v>1</v>
      </c>
      <c r="I138" s="12"/>
      <c r="K138" s="45"/>
      <c r="L138" s="224" t="str">
        <f>IF(M138="","","Month 0")</f>
        <v>Month 0</v>
      </c>
      <c r="M138" s="64">
        <f>IF(M131&gt;0,MAX(M131:M134),"")</f>
        <v>0.81699346405228757</v>
      </c>
      <c r="N138" s="46">
        <v>0</v>
      </c>
    </row>
    <row r="139" spans="2:15">
      <c r="B139" s="11"/>
      <c r="C139" s="61" t="s">
        <v>339</v>
      </c>
      <c r="D139" s="62">
        <v>8</v>
      </c>
      <c r="E139" s="62">
        <v>30000</v>
      </c>
      <c r="F139" s="62">
        <v>160</v>
      </c>
      <c r="G139" s="62">
        <v>1820</v>
      </c>
      <c r="H139" s="62">
        <v>1</v>
      </c>
      <c r="I139" s="12"/>
      <c r="K139" s="45"/>
      <c r="L139" s="225" t="str">
        <f t="shared" ref="L139:L162" si="0">IF(M139&lt;1,("Month " &amp; N139),"")</f>
        <v>Month 1</v>
      </c>
      <c r="M139" s="54">
        <f>IF(M138&lt;1,M138*$M$137,"")</f>
        <v>0.82516339869281041</v>
      </c>
      <c r="N139" s="46">
        <v>1</v>
      </c>
    </row>
    <row r="140" spans="2:15">
      <c r="B140" s="11"/>
      <c r="C140" s="61" t="s">
        <v>341</v>
      </c>
      <c r="D140" s="62">
        <v>1</v>
      </c>
      <c r="E140" s="62">
        <v>1700</v>
      </c>
      <c r="F140" s="62">
        <v>160</v>
      </c>
      <c r="G140" s="62">
        <v>20</v>
      </c>
      <c r="H140" s="62">
        <v>1</v>
      </c>
      <c r="I140" s="12"/>
      <c r="K140" s="45"/>
      <c r="L140" s="225" t="str">
        <f t="shared" si="0"/>
        <v>Month 2</v>
      </c>
      <c r="M140" s="54">
        <f t="shared" ref="M140:M162" si="1">IF(M139&lt;1,M139*$M$137,"")</f>
        <v>0.83341503267973849</v>
      </c>
      <c r="N140" s="46">
        <v>2</v>
      </c>
    </row>
    <row r="141" spans="2:15">
      <c r="B141" s="11"/>
      <c r="C141" s="61" t="s">
        <v>343</v>
      </c>
      <c r="D141" s="62">
        <v>1</v>
      </c>
      <c r="E141" s="62">
        <v>1700</v>
      </c>
      <c r="F141" s="62">
        <v>160</v>
      </c>
      <c r="G141" s="62">
        <v>20</v>
      </c>
      <c r="H141" s="62">
        <v>1</v>
      </c>
      <c r="I141" s="12"/>
      <c r="K141" s="45"/>
      <c r="L141" s="225" t="str">
        <f t="shared" si="0"/>
        <v>Month 3</v>
      </c>
      <c r="M141" s="54">
        <f t="shared" si="1"/>
        <v>0.84174918300653589</v>
      </c>
      <c r="N141" s="46">
        <v>3</v>
      </c>
    </row>
    <row r="142" spans="2:15">
      <c r="B142" s="11"/>
      <c r="C142" s="61" t="s">
        <v>345</v>
      </c>
      <c r="D142" s="62">
        <v>1</v>
      </c>
      <c r="E142" s="62">
        <v>1700</v>
      </c>
      <c r="F142" s="62">
        <v>160</v>
      </c>
      <c r="G142" s="62">
        <v>20</v>
      </c>
      <c r="H142" s="62">
        <v>1</v>
      </c>
      <c r="I142" s="12"/>
      <c r="K142" s="45"/>
      <c r="L142" s="225" t="str">
        <f t="shared" si="0"/>
        <v>Month 4</v>
      </c>
      <c r="M142" s="54">
        <f t="shared" si="1"/>
        <v>0.85016667483660124</v>
      </c>
      <c r="N142" s="46">
        <v>4</v>
      </c>
    </row>
    <row r="143" spans="2:15">
      <c r="B143" s="11"/>
      <c r="C143" s="61" t="s">
        <v>346</v>
      </c>
      <c r="D143" s="62">
        <v>1</v>
      </c>
      <c r="E143" s="62">
        <v>1700</v>
      </c>
      <c r="F143" s="62">
        <v>160</v>
      </c>
      <c r="G143" s="62">
        <v>20</v>
      </c>
      <c r="H143" s="62">
        <v>1</v>
      </c>
      <c r="I143" s="12"/>
      <c r="K143" s="45"/>
      <c r="L143" s="225" t="str">
        <f t="shared" si="0"/>
        <v>Month 5</v>
      </c>
      <c r="M143" s="54">
        <f t="shared" si="1"/>
        <v>0.8586683415849673</v>
      </c>
      <c r="N143" s="46">
        <v>5</v>
      </c>
    </row>
    <row r="144" spans="2:15">
      <c r="B144" s="11"/>
      <c r="C144" s="61" t="s">
        <v>347</v>
      </c>
      <c r="D144" s="62">
        <v>1</v>
      </c>
      <c r="E144" s="62">
        <v>1700</v>
      </c>
      <c r="F144" s="62">
        <v>160</v>
      </c>
      <c r="G144" s="62">
        <v>20</v>
      </c>
      <c r="H144" s="62">
        <v>1</v>
      </c>
      <c r="I144" s="12"/>
      <c r="K144" s="45"/>
      <c r="L144" s="225" t="str">
        <f t="shared" si="0"/>
        <v>Month 6</v>
      </c>
      <c r="M144" s="54">
        <f t="shared" si="1"/>
        <v>0.86725502500081697</v>
      </c>
      <c r="N144" s="46">
        <v>6</v>
      </c>
    </row>
    <row r="145" spans="2:14">
      <c r="B145" s="11"/>
      <c r="C145" s="61" t="s">
        <v>348</v>
      </c>
      <c r="D145" s="62">
        <v>2</v>
      </c>
      <c r="E145" s="62">
        <v>15000</v>
      </c>
      <c r="F145" s="62">
        <v>32</v>
      </c>
      <c r="G145" s="62">
        <v>420</v>
      </c>
      <c r="H145" s="62">
        <v>1</v>
      </c>
      <c r="I145" s="12"/>
      <c r="K145" s="45"/>
      <c r="L145" s="225" t="str">
        <f t="shared" si="0"/>
        <v>Month 7</v>
      </c>
      <c r="M145" s="54">
        <f t="shared" si="1"/>
        <v>0.8759275752508251</v>
      </c>
      <c r="N145" s="46">
        <v>7</v>
      </c>
    </row>
    <row r="146" spans="2:14">
      <c r="B146" s="11"/>
      <c r="C146" s="61" t="s">
        <v>349</v>
      </c>
      <c r="D146" s="62">
        <v>1</v>
      </c>
      <c r="E146" s="62">
        <v>1700</v>
      </c>
      <c r="F146" s="62">
        <v>160</v>
      </c>
      <c r="G146" s="62">
        <v>20</v>
      </c>
      <c r="H146" s="62">
        <v>1</v>
      </c>
      <c r="I146" s="12"/>
      <c r="K146" s="45"/>
      <c r="L146" s="225" t="str">
        <f t="shared" si="0"/>
        <v>Month 8</v>
      </c>
      <c r="M146" s="54">
        <f t="shared" si="1"/>
        <v>0.88468685100333333</v>
      </c>
      <c r="N146" s="46">
        <v>8</v>
      </c>
    </row>
    <row r="147" spans="2:14">
      <c r="B147" s="11"/>
      <c r="C147" s="61" t="s">
        <v>351</v>
      </c>
      <c r="D147" s="62">
        <v>1</v>
      </c>
      <c r="E147" s="62">
        <v>3750</v>
      </c>
      <c r="F147" s="62">
        <v>4</v>
      </c>
      <c r="G147" s="62">
        <v>220</v>
      </c>
      <c r="H147" s="62">
        <v>1</v>
      </c>
      <c r="I147" s="12"/>
      <c r="K147" s="45"/>
      <c r="L147" s="225" t="str">
        <f t="shared" si="0"/>
        <v>Month 9</v>
      </c>
      <c r="M147" s="54">
        <f t="shared" si="1"/>
        <v>0.89353371951336669</v>
      </c>
      <c r="N147" s="46">
        <v>9</v>
      </c>
    </row>
    <row r="148" spans="2:14">
      <c r="B148" s="11"/>
      <c r="C148" s="61" t="s">
        <v>352</v>
      </c>
      <c r="D148" s="62">
        <v>1</v>
      </c>
      <c r="E148" s="62">
        <v>2000</v>
      </c>
      <c r="F148" s="62">
        <v>0</v>
      </c>
      <c r="G148" s="62">
        <v>20</v>
      </c>
      <c r="H148" s="62">
        <v>1</v>
      </c>
      <c r="I148" s="12"/>
      <c r="K148" s="45"/>
      <c r="L148" s="225" t="str">
        <f t="shared" si="0"/>
        <v>Month 10</v>
      </c>
      <c r="M148" s="54">
        <f t="shared" si="1"/>
        <v>0.90246905670850042</v>
      </c>
      <c r="N148" s="46">
        <v>10</v>
      </c>
    </row>
    <row r="149" spans="2:14">
      <c r="B149" s="11"/>
      <c r="C149" s="61" t="s">
        <v>353</v>
      </c>
      <c r="D149" s="62">
        <v>1</v>
      </c>
      <c r="E149" s="62">
        <v>3750</v>
      </c>
      <c r="F149" s="62">
        <v>410</v>
      </c>
      <c r="G149" s="62">
        <v>120</v>
      </c>
      <c r="H149" s="62">
        <v>1</v>
      </c>
      <c r="I149" s="12"/>
      <c r="K149" s="45"/>
      <c r="L149" s="225" t="str">
        <f t="shared" si="0"/>
        <v>Month 11</v>
      </c>
      <c r="M149" s="54">
        <f t="shared" si="1"/>
        <v>0.91149374727558541</v>
      </c>
      <c r="N149" s="46">
        <v>11</v>
      </c>
    </row>
    <row r="150" spans="2:14">
      <c r="B150" s="11"/>
      <c r="C150" s="61" t="s">
        <v>354</v>
      </c>
      <c r="D150" s="62">
        <v>1</v>
      </c>
      <c r="E150" s="62">
        <v>3750</v>
      </c>
      <c r="F150" s="62">
        <v>4</v>
      </c>
      <c r="G150" s="62">
        <v>20</v>
      </c>
      <c r="H150" s="62">
        <v>1</v>
      </c>
      <c r="I150" s="12"/>
      <c r="K150" s="45"/>
      <c r="L150" s="225" t="str">
        <f t="shared" si="0"/>
        <v>Month 12</v>
      </c>
      <c r="M150" s="54">
        <f t="shared" si="1"/>
        <v>0.92060868474834123</v>
      </c>
      <c r="N150" s="46">
        <v>12</v>
      </c>
    </row>
    <row r="151" spans="2:14">
      <c r="B151" s="11"/>
      <c r="C151" s="61" t="s">
        <v>355</v>
      </c>
      <c r="D151" s="62">
        <v>1</v>
      </c>
      <c r="E151" s="62">
        <v>3750</v>
      </c>
      <c r="F151" s="62">
        <v>410</v>
      </c>
      <c r="G151" s="62">
        <v>220</v>
      </c>
      <c r="H151" s="62">
        <v>1</v>
      </c>
      <c r="I151" s="12"/>
      <c r="K151" s="45"/>
      <c r="L151" s="225" t="str">
        <f t="shared" si="0"/>
        <v>Month 13</v>
      </c>
      <c r="M151" s="54">
        <f t="shared" si="1"/>
        <v>0.92981477159582471</v>
      </c>
      <c r="N151" s="46">
        <v>13</v>
      </c>
    </row>
    <row r="152" spans="2:14">
      <c r="B152" s="11"/>
      <c r="C152" s="61" t="s">
        <v>356</v>
      </c>
      <c r="D152" s="62">
        <v>2</v>
      </c>
      <c r="E152" s="62">
        <v>7500</v>
      </c>
      <c r="F152" s="62">
        <v>32</v>
      </c>
      <c r="G152" s="62">
        <v>20</v>
      </c>
      <c r="H152" s="62">
        <v>1</v>
      </c>
      <c r="I152" s="12"/>
      <c r="K152" s="45"/>
      <c r="L152" s="225" t="str">
        <f t="shared" si="0"/>
        <v>Month 14</v>
      </c>
      <c r="M152" s="54">
        <f t="shared" si="1"/>
        <v>0.93911291931178298</v>
      </c>
      <c r="N152" s="46">
        <v>14</v>
      </c>
    </row>
    <row r="153" spans="2:14">
      <c r="B153" s="11"/>
      <c r="C153" s="61" t="s">
        <v>357</v>
      </c>
      <c r="D153" s="62">
        <v>1</v>
      </c>
      <c r="E153" s="62">
        <v>2000</v>
      </c>
      <c r="F153" s="62">
        <v>0</v>
      </c>
      <c r="G153" s="62">
        <v>20</v>
      </c>
      <c r="H153" s="62">
        <v>1</v>
      </c>
      <c r="I153" s="12"/>
      <c r="K153" s="45"/>
      <c r="L153" s="225" t="str">
        <f t="shared" si="0"/>
        <v>Month 15</v>
      </c>
      <c r="M153" s="54">
        <f t="shared" si="1"/>
        <v>0.94850404850490078</v>
      </c>
      <c r="N153" s="46">
        <v>15</v>
      </c>
    </row>
    <row r="154" spans="2:14">
      <c r="B154" s="11"/>
      <c r="C154" s="61" t="s">
        <v>359</v>
      </c>
      <c r="D154" s="62">
        <v>1</v>
      </c>
      <c r="E154" s="62">
        <v>3750</v>
      </c>
      <c r="F154" s="62">
        <v>4</v>
      </c>
      <c r="G154" s="62">
        <v>20</v>
      </c>
      <c r="H154" s="62">
        <v>1</v>
      </c>
      <c r="I154" s="12"/>
      <c r="K154" s="45"/>
      <c r="L154" s="225" t="str">
        <f t="shared" si="0"/>
        <v>Month 16</v>
      </c>
      <c r="M154" s="54">
        <f t="shared" si="1"/>
        <v>0.95798908898994983</v>
      </c>
      <c r="N154" s="46">
        <v>16</v>
      </c>
    </row>
    <row r="155" spans="2:14">
      <c r="B155" s="11"/>
      <c r="C155" s="61" t="s">
        <v>360</v>
      </c>
      <c r="D155" s="62">
        <v>1</v>
      </c>
      <c r="E155" s="62">
        <v>1700</v>
      </c>
      <c r="F155" s="62">
        <v>160</v>
      </c>
      <c r="G155" s="62">
        <v>20</v>
      </c>
      <c r="H155" s="62">
        <v>1</v>
      </c>
      <c r="I155" s="12"/>
      <c r="K155" s="45"/>
      <c r="L155" s="225" t="str">
        <f t="shared" si="0"/>
        <v>Month 17</v>
      </c>
      <c r="M155" s="54">
        <f t="shared" si="1"/>
        <v>0.96756897987984936</v>
      </c>
      <c r="N155" s="46">
        <v>17</v>
      </c>
    </row>
    <row r="156" spans="2:14">
      <c r="B156" s="11"/>
      <c r="C156" s="61" t="s">
        <v>361</v>
      </c>
      <c r="D156" s="62">
        <v>8</v>
      </c>
      <c r="E156" s="62">
        <v>30000</v>
      </c>
      <c r="F156" s="62">
        <v>160</v>
      </c>
      <c r="G156" s="62">
        <v>15340</v>
      </c>
      <c r="H156" s="62">
        <v>1</v>
      </c>
      <c r="I156" s="12"/>
      <c r="K156" s="45"/>
      <c r="L156" s="225" t="str">
        <f t="shared" si="0"/>
        <v>Month 18</v>
      </c>
      <c r="M156" s="54">
        <f t="shared" si="1"/>
        <v>0.97724466967864787</v>
      </c>
      <c r="N156" s="46">
        <v>18</v>
      </c>
    </row>
    <row r="157" spans="2:14">
      <c r="B157" s="11"/>
      <c r="C157" s="61" t="s">
        <v>363</v>
      </c>
      <c r="D157" s="62">
        <v>4</v>
      </c>
      <c r="E157" s="62">
        <v>15000</v>
      </c>
      <c r="F157" s="62">
        <v>80</v>
      </c>
      <c r="G157" s="62">
        <v>420</v>
      </c>
      <c r="H157" s="62">
        <v>1</v>
      </c>
      <c r="I157" s="12"/>
      <c r="K157" s="45"/>
      <c r="L157" s="225" t="str">
        <f t="shared" si="0"/>
        <v>Month 19</v>
      </c>
      <c r="M157" s="54">
        <f t="shared" si="1"/>
        <v>0.98701711637543432</v>
      </c>
      <c r="N157" s="46">
        <v>19</v>
      </c>
    </row>
    <row r="158" spans="2:14">
      <c r="B158" s="11"/>
      <c r="C158" s="61" t="s">
        <v>364</v>
      </c>
      <c r="D158" s="62">
        <v>1</v>
      </c>
      <c r="E158" s="62">
        <v>1700</v>
      </c>
      <c r="F158" s="62">
        <v>160</v>
      </c>
      <c r="G158" s="62">
        <v>20</v>
      </c>
      <c r="H158" s="62">
        <v>1</v>
      </c>
      <c r="I158" s="12"/>
      <c r="K158" s="45"/>
      <c r="L158" s="225" t="str">
        <f t="shared" si="0"/>
        <v>Month 20</v>
      </c>
      <c r="M158" s="54">
        <f t="shared" si="1"/>
        <v>0.99688728753918865</v>
      </c>
      <c r="N158" s="46">
        <v>20</v>
      </c>
    </row>
    <row r="159" spans="2:14">
      <c r="B159" s="11"/>
      <c r="C159" s="61" t="s">
        <v>365</v>
      </c>
      <c r="D159" s="62">
        <v>1</v>
      </c>
      <c r="E159" s="62">
        <v>1700</v>
      </c>
      <c r="F159" s="62">
        <v>160</v>
      </c>
      <c r="G159" s="62">
        <v>20</v>
      </c>
      <c r="H159" s="62">
        <v>1</v>
      </c>
      <c r="I159" s="12"/>
      <c r="K159" s="45"/>
      <c r="L159" s="225" t="str">
        <f t="shared" si="0"/>
        <v/>
      </c>
      <c r="M159" s="54">
        <f t="shared" si="1"/>
        <v>1.0068561604145805</v>
      </c>
      <c r="N159" s="46">
        <v>21</v>
      </c>
    </row>
    <row r="160" spans="2:14">
      <c r="B160" s="11"/>
      <c r="C160" s="61" t="s">
        <v>366</v>
      </c>
      <c r="D160" s="62">
        <v>1</v>
      </c>
      <c r="E160" s="62">
        <v>1700</v>
      </c>
      <c r="F160" s="62">
        <v>160</v>
      </c>
      <c r="G160" s="62">
        <v>20</v>
      </c>
      <c r="H160" s="62">
        <v>1</v>
      </c>
      <c r="I160" s="12"/>
      <c r="K160" s="45"/>
      <c r="L160" s="225" t="str">
        <f t="shared" si="0"/>
        <v/>
      </c>
      <c r="M160" s="54" t="str">
        <f t="shared" si="1"/>
        <v/>
      </c>
      <c r="N160" s="46">
        <v>22</v>
      </c>
    </row>
    <row r="161" spans="2:14">
      <c r="B161" s="11"/>
      <c r="C161" s="61" t="s">
        <v>367</v>
      </c>
      <c r="D161" s="62">
        <v>1</v>
      </c>
      <c r="E161" s="62">
        <v>1700</v>
      </c>
      <c r="F161" s="62">
        <v>160</v>
      </c>
      <c r="G161" s="62">
        <v>20</v>
      </c>
      <c r="H161" s="62">
        <v>1</v>
      </c>
      <c r="I161" s="12"/>
      <c r="K161" s="45"/>
      <c r="L161" s="226" t="str">
        <f t="shared" si="0"/>
        <v/>
      </c>
      <c r="M161" s="55" t="str">
        <f t="shared" si="1"/>
        <v/>
      </c>
      <c r="N161" s="46">
        <v>23</v>
      </c>
    </row>
    <row r="162" spans="2:14">
      <c r="B162" s="11"/>
      <c r="C162" s="61" t="s">
        <v>368</v>
      </c>
      <c r="D162" s="62">
        <v>8</v>
      </c>
      <c r="E162" s="62">
        <v>30000</v>
      </c>
      <c r="F162" s="62">
        <v>160</v>
      </c>
      <c r="G162" s="62">
        <v>820</v>
      </c>
      <c r="H162" s="62">
        <v>1</v>
      </c>
      <c r="I162" s="12"/>
      <c r="K162" s="47"/>
      <c r="L162" s="48" t="str">
        <f t="shared" si="0"/>
        <v/>
      </c>
      <c r="M162" s="49" t="str">
        <f t="shared" si="1"/>
        <v/>
      </c>
      <c r="N162" s="50">
        <v>24</v>
      </c>
    </row>
    <row r="163" spans="2:14">
      <c r="B163" s="11"/>
      <c r="C163" s="61" t="s">
        <v>369</v>
      </c>
      <c r="D163" s="62">
        <v>8</v>
      </c>
      <c r="E163" s="62">
        <v>30000</v>
      </c>
      <c r="F163" s="62">
        <v>160</v>
      </c>
      <c r="G163" s="62">
        <v>420</v>
      </c>
      <c r="H163" s="62">
        <v>1</v>
      </c>
      <c r="I163" s="12"/>
    </row>
    <row r="164" spans="2:14">
      <c r="B164" s="11"/>
      <c r="C164" s="61" t="s">
        <v>370</v>
      </c>
      <c r="D164" s="62">
        <v>1</v>
      </c>
      <c r="E164" s="62">
        <v>1700</v>
      </c>
      <c r="F164" s="62">
        <v>160</v>
      </c>
      <c r="G164" s="62">
        <v>20</v>
      </c>
      <c r="H164" s="62">
        <v>1</v>
      </c>
      <c r="I164" s="12"/>
      <c r="K164" s="179" t="s">
        <v>1943</v>
      </c>
      <c r="L164" s="180"/>
      <c r="M164" s="180"/>
      <c r="N164" s="181"/>
    </row>
    <row r="165" spans="2:14">
      <c r="B165" s="11"/>
      <c r="C165" s="61" t="s">
        <v>372</v>
      </c>
      <c r="D165" s="62">
        <v>1</v>
      </c>
      <c r="E165" s="62">
        <v>1700</v>
      </c>
      <c r="F165" s="62">
        <v>160</v>
      </c>
      <c r="G165" s="62">
        <v>20</v>
      </c>
      <c r="H165" s="62">
        <v>1</v>
      </c>
      <c r="I165" s="12"/>
      <c r="K165" s="45"/>
      <c r="L165" s="53"/>
      <c r="M165" s="52"/>
      <c r="N165" s="46"/>
    </row>
    <row r="166" spans="2:14">
      <c r="B166" s="11"/>
      <c r="C166" s="61" t="s">
        <v>373</v>
      </c>
      <c r="D166" s="62">
        <v>1</v>
      </c>
      <c r="E166" s="62">
        <v>3750</v>
      </c>
      <c r="F166" s="62">
        <v>4</v>
      </c>
      <c r="G166" s="62">
        <v>420</v>
      </c>
      <c r="H166" s="62">
        <v>1</v>
      </c>
      <c r="I166" s="12"/>
      <c r="K166" s="45"/>
      <c r="L166" s="53" t="s">
        <v>1954</v>
      </c>
      <c r="M166" s="52"/>
      <c r="N166" s="46"/>
    </row>
    <row r="167" spans="2:14">
      <c r="B167" s="11"/>
      <c r="C167" s="61" t="s">
        <v>374</v>
      </c>
      <c r="D167" s="62">
        <v>4</v>
      </c>
      <c r="E167" s="62">
        <v>15000</v>
      </c>
      <c r="F167" s="62">
        <v>80</v>
      </c>
      <c r="G167" s="62">
        <v>420</v>
      </c>
      <c r="H167" s="62">
        <v>1</v>
      </c>
      <c r="I167" s="12"/>
      <c r="K167" s="45"/>
      <c r="L167" s="167" t="s">
        <v>1753</v>
      </c>
      <c r="M167" s="139">
        <v>17500</v>
      </c>
      <c r="N167" s="46"/>
    </row>
    <row r="168" spans="2:14">
      <c r="B168" s="11"/>
      <c r="C168" s="61" t="s">
        <v>375</v>
      </c>
      <c r="D168" s="62">
        <v>1</v>
      </c>
      <c r="E168" s="62">
        <v>2000</v>
      </c>
      <c r="F168" s="62">
        <v>0</v>
      </c>
      <c r="G168" s="62">
        <v>20</v>
      </c>
      <c r="H168" s="62">
        <v>1</v>
      </c>
      <c r="I168" s="12"/>
      <c r="K168" s="45"/>
      <c r="L168" s="168" t="s">
        <v>1754</v>
      </c>
      <c r="M168" s="139">
        <v>3200</v>
      </c>
      <c r="N168" s="46"/>
    </row>
    <row r="169" spans="2:14">
      <c r="B169" s="11"/>
      <c r="C169" s="61" t="s">
        <v>378</v>
      </c>
      <c r="D169" s="62">
        <v>1</v>
      </c>
      <c r="E169" s="62">
        <v>1700</v>
      </c>
      <c r="F169" s="62">
        <v>160</v>
      </c>
      <c r="G169" s="62">
        <v>20</v>
      </c>
      <c r="H169" s="62">
        <v>1</v>
      </c>
      <c r="I169" s="12"/>
      <c r="K169" s="45"/>
      <c r="L169" s="169" t="s">
        <v>1755</v>
      </c>
      <c r="M169" s="139">
        <v>2650</v>
      </c>
      <c r="N169" s="46"/>
    </row>
    <row r="170" spans="2:14">
      <c r="B170" s="11"/>
      <c r="C170" s="61" t="s">
        <v>379</v>
      </c>
      <c r="D170" s="62">
        <v>1</v>
      </c>
      <c r="E170" s="62">
        <v>1700</v>
      </c>
      <c r="F170" s="62">
        <v>160</v>
      </c>
      <c r="G170" s="62">
        <v>420</v>
      </c>
      <c r="H170" s="62">
        <v>1</v>
      </c>
      <c r="I170" s="12"/>
      <c r="K170" s="45"/>
      <c r="L170" s="25"/>
      <c r="M170" s="228"/>
      <c r="N170" s="46"/>
    </row>
    <row r="171" spans="2:14">
      <c r="B171" s="11"/>
      <c r="C171" s="61" t="s">
        <v>380</v>
      </c>
      <c r="D171" s="62">
        <v>1</v>
      </c>
      <c r="E171" s="62">
        <v>1700</v>
      </c>
      <c r="F171" s="62">
        <v>160</v>
      </c>
      <c r="G171" s="62">
        <v>20</v>
      </c>
      <c r="H171" s="62">
        <v>1</v>
      </c>
      <c r="I171" s="12"/>
      <c r="K171" s="45"/>
      <c r="L171" s="53" t="s">
        <v>1945</v>
      </c>
      <c r="M171" s="52"/>
      <c r="N171" s="46"/>
    </row>
    <row r="172" spans="2:14">
      <c r="B172" s="11"/>
      <c r="C172" s="61" t="s">
        <v>381</v>
      </c>
      <c r="D172" s="62">
        <v>1</v>
      </c>
      <c r="E172" s="62">
        <v>1700</v>
      </c>
      <c r="F172" s="62">
        <v>160</v>
      </c>
      <c r="G172" s="62">
        <v>20</v>
      </c>
      <c r="H172" s="62">
        <v>1</v>
      </c>
      <c r="I172" s="12"/>
      <c r="K172" s="45"/>
      <c r="L172" s="167" t="s">
        <v>1944</v>
      </c>
      <c r="M172" s="141">
        <f>(M188+M187)*2</f>
        <v>78</v>
      </c>
      <c r="N172" s="46"/>
    </row>
    <row r="173" spans="2:14">
      <c r="B173" s="11"/>
      <c r="C173" s="61" t="s">
        <v>382</v>
      </c>
      <c r="D173" s="62">
        <v>8</v>
      </c>
      <c r="E173" s="62">
        <v>15000</v>
      </c>
      <c r="F173" s="62">
        <v>160</v>
      </c>
      <c r="G173" s="62">
        <v>20</v>
      </c>
      <c r="H173" s="62">
        <v>1</v>
      </c>
      <c r="I173" s="12"/>
      <c r="K173" s="45"/>
      <c r="L173" s="168" t="s">
        <v>1951</v>
      </c>
      <c r="M173" s="141">
        <f>ROUNDUP((IF(M87="Ceph",M124,0)*3),0)</f>
        <v>2120049</v>
      </c>
      <c r="N173" s="46"/>
    </row>
    <row r="174" spans="2:14">
      <c r="B174" s="11"/>
      <c r="C174" s="61" t="s">
        <v>385</v>
      </c>
      <c r="D174" s="62">
        <v>1</v>
      </c>
      <c r="E174" s="62">
        <v>3750</v>
      </c>
      <c r="F174" s="62">
        <v>410</v>
      </c>
      <c r="G174" s="62">
        <v>20</v>
      </c>
      <c r="H174" s="62">
        <v>1</v>
      </c>
      <c r="I174" s="12"/>
      <c r="K174" s="45"/>
      <c r="L174" s="169" t="s">
        <v>1816</v>
      </c>
      <c r="M174" s="141">
        <f>ROUNDUP(IF(M87="Ceph",M124,0),0)</f>
        <v>706683</v>
      </c>
      <c r="N174" s="46"/>
    </row>
    <row r="175" spans="2:14">
      <c r="B175" s="11"/>
      <c r="C175" s="61" t="s">
        <v>388</v>
      </c>
      <c r="D175" s="62">
        <v>2</v>
      </c>
      <c r="E175" s="62">
        <v>7500</v>
      </c>
      <c r="F175" s="62">
        <v>32</v>
      </c>
      <c r="G175" s="62">
        <v>1020</v>
      </c>
      <c r="H175" s="62">
        <v>1</v>
      </c>
      <c r="I175" s="12"/>
      <c r="K175" s="45"/>
      <c r="L175" s="25"/>
      <c r="M175" s="228"/>
      <c r="N175" s="46"/>
    </row>
    <row r="176" spans="2:14">
      <c r="B176" s="11"/>
      <c r="C176" s="61" t="s">
        <v>389</v>
      </c>
      <c r="D176" s="62">
        <v>1</v>
      </c>
      <c r="E176" s="62">
        <v>2000</v>
      </c>
      <c r="F176" s="62">
        <v>0</v>
      </c>
      <c r="G176" s="62">
        <v>20</v>
      </c>
      <c r="H176" s="62">
        <v>1</v>
      </c>
      <c r="I176" s="12"/>
      <c r="K176" s="45"/>
      <c r="L176" s="53" t="s">
        <v>1953</v>
      </c>
      <c r="M176" s="52"/>
      <c r="N176" s="46"/>
    </row>
    <row r="177" spans="2:14">
      <c r="B177" s="11"/>
      <c r="C177" s="61" t="s">
        <v>390</v>
      </c>
      <c r="D177" s="62">
        <v>1</v>
      </c>
      <c r="E177" s="62">
        <v>1700</v>
      </c>
      <c r="F177" s="62">
        <v>160</v>
      </c>
      <c r="G177" s="62">
        <v>20</v>
      </c>
      <c r="H177" s="62">
        <v>1</v>
      </c>
      <c r="I177" s="12"/>
      <c r="K177" s="45"/>
      <c r="L177" s="167" t="s">
        <v>1757</v>
      </c>
      <c r="M177" s="140">
        <v>1.7000000000000001E-2</v>
      </c>
      <c r="N177" s="46"/>
    </row>
    <row r="178" spans="2:14">
      <c r="B178" s="11"/>
      <c r="C178" s="61" t="s">
        <v>391</v>
      </c>
      <c r="D178" s="62">
        <v>1</v>
      </c>
      <c r="E178" s="62">
        <v>1700</v>
      </c>
      <c r="F178" s="62">
        <v>160</v>
      </c>
      <c r="G178" s="62">
        <v>20</v>
      </c>
      <c r="H178" s="62">
        <v>1</v>
      </c>
      <c r="I178" s="12"/>
      <c r="K178" s="45"/>
      <c r="L178" s="168" t="s">
        <v>1756</v>
      </c>
      <c r="M178" s="139">
        <v>2600</v>
      </c>
      <c r="N178" s="46"/>
    </row>
    <row r="179" spans="2:14">
      <c r="B179" s="11"/>
      <c r="C179" s="61" t="s">
        <v>392</v>
      </c>
      <c r="D179" s="62">
        <v>1</v>
      </c>
      <c r="E179" s="62">
        <v>1700</v>
      </c>
      <c r="F179" s="62">
        <v>160</v>
      </c>
      <c r="G179" s="62">
        <v>20</v>
      </c>
      <c r="H179" s="62">
        <v>1</v>
      </c>
      <c r="I179" s="12"/>
      <c r="K179" s="45"/>
      <c r="L179" s="169" t="s">
        <v>1758</v>
      </c>
      <c r="M179" s="139">
        <v>220</v>
      </c>
      <c r="N179" s="46"/>
    </row>
    <row r="180" spans="2:14">
      <c r="B180" s="11"/>
      <c r="C180" s="61" t="s">
        <v>393</v>
      </c>
      <c r="D180" s="62">
        <v>1</v>
      </c>
      <c r="E180" s="62">
        <v>1700</v>
      </c>
      <c r="F180" s="62">
        <v>160</v>
      </c>
      <c r="G180" s="62">
        <v>20</v>
      </c>
      <c r="H180" s="62">
        <v>1</v>
      </c>
      <c r="I180" s="12"/>
      <c r="K180" s="45"/>
      <c r="L180" s="25"/>
      <c r="M180" s="228"/>
      <c r="N180" s="46"/>
    </row>
    <row r="181" spans="2:14">
      <c r="B181" s="11"/>
      <c r="C181" s="61" t="s">
        <v>395</v>
      </c>
      <c r="D181" s="62">
        <v>1</v>
      </c>
      <c r="E181" s="62">
        <v>3750</v>
      </c>
      <c r="F181" s="62">
        <v>410</v>
      </c>
      <c r="G181" s="62">
        <v>3992</v>
      </c>
      <c r="H181" s="62">
        <v>1</v>
      </c>
      <c r="I181" s="12"/>
      <c r="K181" s="45"/>
      <c r="L181" s="53" t="s">
        <v>1946</v>
      </c>
      <c r="M181" s="52"/>
      <c r="N181" s="46"/>
    </row>
    <row r="182" spans="2:14">
      <c r="B182" s="11"/>
      <c r="C182" s="61" t="s">
        <v>396</v>
      </c>
      <c r="D182" s="62">
        <v>1</v>
      </c>
      <c r="E182" s="62">
        <v>3750</v>
      </c>
      <c r="F182" s="62">
        <v>4</v>
      </c>
      <c r="G182" s="62">
        <v>220</v>
      </c>
      <c r="H182" s="62">
        <v>1</v>
      </c>
      <c r="I182" s="12"/>
      <c r="K182" s="45"/>
      <c r="L182" s="167" t="s">
        <v>1949</v>
      </c>
      <c r="M182" s="139">
        <f>M172*M179</f>
        <v>17160</v>
      </c>
      <c r="N182" s="46"/>
    </row>
    <row r="183" spans="2:14">
      <c r="B183" s="11"/>
      <c r="C183" s="61" t="s">
        <v>397</v>
      </c>
      <c r="D183" s="62">
        <v>2</v>
      </c>
      <c r="E183" s="62">
        <v>3750</v>
      </c>
      <c r="F183" s="62">
        <v>32</v>
      </c>
      <c r="G183" s="62">
        <v>20</v>
      </c>
      <c r="H183" s="62">
        <v>1</v>
      </c>
      <c r="I183" s="12"/>
      <c r="K183" s="45"/>
      <c r="L183" s="169" t="s">
        <v>1950</v>
      </c>
      <c r="M183" s="139">
        <f>M173*M177</f>
        <v>36040.833000000006</v>
      </c>
      <c r="N183" s="46"/>
    </row>
    <row r="184" spans="2:14">
      <c r="B184" s="11"/>
      <c r="C184" s="61" t="s">
        <v>398</v>
      </c>
      <c r="D184" s="62">
        <v>2</v>
      </c>
      <c r="E184" s="62">
        <v>3750</v>
      </c>
      <c r="F184" s="62">
        <v>32</v>
      </c>
      <c r="G184" s="62">
        <v>20</v>
      </c>
      <c r="H184" s="62">
        <v>1</v>
      </c>
      <c r="I184" s="12"/>
      <c r="K184" s="45"/>
      <c r="L184" s="162" t="s">
        <v>1947</v>
      </c>
      <c r="M184" s="228">
        <f>SUM(M182:M183)</f>
        <v>53200.833000000006</v>
      </c>
      <c r="N184" s="46"/>
    </row>
    <row r="185" spans="2:14">
      <c r="B185" s="11"/>
      <c r="C185" s="61" t="s">
        <v>399</v>
      </c>
      <c r="D185" s="62">
        <v>2</v>
      </c>
      <c r="E185" s="62">
        <v>3750</v>
      </c>
      <c r="F185" s="62">
        <v>32</v>
      </c>
      <c r="G185" s="62">
        <v>20</v>
      </c>
      <c r="H185" s="62">
        <v>1</v>
      </c>
      <c r="I185" s="12"/>
      <c r="K185" s="45"/>
      <c r="L185" s="25"/>
      <c r="M185" s="228"/>
      <c r="N185" s="46"/>
    </row>
    <row r="186" spans="2:14">
      <c r="B186" s="11"/>
      <c r="C186" s="61" t="s">
        <v>400</v>
      </c>
      <c r="D186" s="62">
        <v>2</v>
      </c>
      <c r="E186" s="62">
        <v>3750</v>
      </c>
      <c r="F186" s="62">
        <v>32</v>
      </c>
      <c r="G186" s="62">
        <v>20</v>
      </c>
      <c r="H186" s="62">
        <v>1</v>
      </c>
      <c r="I186" s="12"/>
      <c r="K186" s="45"/>
      <c r="L186" s="53" t="s">
        <v>1942</v>
      </c>
      <c r="M186" s="52"/>
      <c r="N186" s="46"/>
    </row>
    <row r="187" spans="2:14">
      <c r="B187" s="11"/>
      <c r="C187" s="61" t="s">
        <v>401</v>
      </c>
      <c r="D187" s="62">
        <v>2</v>
      </c>
      <c r="E187" s="62">
        <v>3750</v>
      </c>
      <c r="F187" s="62">
        <v>32</v>
      </c>
      <c r="G187" s="62">
        <v>20</v>
      </c>
      <c r="H187" s="62">
        <v>1</v>
      </c>
      <c r="I187" s="12"/>
      <c r="K187" s="45"/>
      <c r="L187" s="167" t="s">
        <v>1759</v>
      </c>
      <c r="M187" s="141">
        <v>3</v>
      </c>
      <c r="N187" s="46"/>
    </row>
    <row r="188" spans="2:14">
      <c r="B188" s="11"/>
      <c r="C188" s="61" t="s">
        <v>402</v>
      </c>
      <c r="D188" s="62">
        <v>1</v>
      </c>
      <c r="E188" s="62">
        <v>1700</v>
      </c>
      <c r="F188" s="62">
        <v>160</v>
      </c>
      <c r="G188" s="62">
        <v>20</v>
      </c>
      <c r="H188" s="62">
        <v>1</v>
      </c>
      <c r="I188" s="12"/>
      <c r="K188" s="45"/>
      <c r="L188" s="168" t="s">
        <v>1760</v>
      </c>
      <c r="M188" s="141">
        <f>MAX(M113:M116)</f>
        <v>36</v>
      </c>
      <c r="N188" s="46"/>
    </row>
    <row r="189" spans="2:14">
      <c r="B189" s="11"/>
      <c r="C189" s="61" t="s">
        <v>403</v>
      </c>
      <c r="D189" s="62">
        <v>1</v>
      </c>
      <c r="E189" s="62">
        <v>3750</v>
      </c>
      <c r="F189" s="62">
        <v>410</v>
      </c>
      <c r="G189" s="62">
        <v>20</v>
      </c>
      <c r="H189" s="62">
        <v>1</v>
      </c>
      <c r="I189" s="12"/>
      <c r="K189" s="45"/>
      <c r="L189" s="168" t="s">
        <v>1959</v>
      </c>
      <c r="M189" s="141">
        <v>0</v>
      </c>
      <c r="N189" s="46"/>
    </row>
    <row r="190" spans="2:14">
      <c r="B190" s="11"/>
      <c r="C190" s="61" t="s">
        <v>404</v>
      </c>
      <c r="D190" s="62">
        <v>2</v>
      </c>
      <c r="E190" s="62">
        <v>7500</v>
      </c>
      <c r="F190" s="62">
        <v>32</v>
      </c>
      <c r="G190" s="62">
        <v>420</v>
      </c>
      <c r="H190" s="62">
        <v>1</v>
      </c>
      <c r="I190" s="12"/>
      <c r="K190" s="45"/>
      <c r="L190" s="169" t="s">
        <v>1958</v>
      </c>
      <c r="M190" s="141">
        <v>0</v>
      </c>
      <c r="N190" s="46"/>
    </row>
    <row r="191" spans="2:14">
      <c r="B191" s="11"/>
      <c r="C191" s="61" t="s">
        <v>407</v>
      </c>
      <c r="D191" s="62">
        <v>2</v>
      </c>
      <c r="E191" s="62">
        <v>4000</v>
      </c>
      <c r="F191" s="62">
        <v>0</v>
      </c>
      <c r="G191" s="62">
        <v>20</v>
      </c>
      <c r="H191" s="62">
        <v>1</v>
      </c>
      <c r="I191" s="12"/>
      <c r="K191" s="45"/>
      <c r="L191" s="25"/>
      <c r="M191" s="228"/>
      <c r="N191" s="46"/>
    </row>
    <row r="192" spans="2:14">
      <c r="B192" s="11"/>
      <c r="C192" s="61" t="s">
        <v>408</v>
      </c>
      <c r="D192" s="62">
        <v>4</v>
      </c>
      <c r="E192" s="62">
        <v>15000</v>
      </c>
      <c r="F192" s="62">
        <v>80</v>
      </c>
      <c r="G192" s="62">
        <v>420</v>
      </c>
      <c r="H192" s="62">
        <v>1</v>
      </c>
      <c r="I192" s="12"/>
      <c r="K192" s="45"/>
      <c r="L192" s="53" t="s">
        <v>1948</v>
      </c>
      <c r="M192" s="52"/>
      <c r="N192" s="46"/>
    </row>
    <row r="193" spans="2:14">
      <c r="B193" s="11"/>
      <c r="C193" s="61" t="s">
        <v>409</v>
      </c>
      <c r="D193" s="62">
        <v>1</v>
      </c>
      <c r="E193" s="62">
        <v>1700</v>
      </c>
      <c r="F193" s="62">
        <v>160</v>
      </c>
      <c r="G193" s="62">
        <v>20</v>
      </c>
      <c r="H193" s="62">
        <v>1</v>
      </c>
      <c r="I193" s="12"/>
      <c r="K193" s="45"/>
      <c r="L193" s="167" t="s">
        <v>1762</v>
      </c>
      <c r="M193" s="139">
        <f>BOM!L13</f>
        <v>11647.739999999998</v>
      </c>
      <c r="N193" s="46"/>
    </row>
    <row r="194" spans="2:14">
      <c r="B194" s="11"/>
      <c r="C194" s="61" t="s">
        <v>410</v>
      </c>
      <c r="D194" s="62">
        <v>8</v>
      </c>
      <c r="E194" s="62">
        <v>30000</v>
      </c>
      <c r="F194" s="62">
        <v>160</v>
      </c>
      <c r="G194" s="62">
        <v>820</v>
      </c>
      <c r="H194" s="62">
        <v>1</v>
      </c>
      <c r="I194" s="12"/>
      <c r="K194" s="45"/>
      <c r="L194" s="168" t="s">
        <v>1761</v>
      </c>
      <c r="M194" s="139">
        <f>BOM!L29</f>
        <v>21267.892941176469</v>
      </c>
      <c r="N194" s="46"/>
    </row>
    <row r="195" spans="2:14">
      <c r="B195" s="11"/>
      <c r="C195" s="61" t="s">
        <v>411</v>
      </c>
      <c r="D195" s="62">
        <v>1</v>
      </c>
      <c r="E195" s="62">
        <v>1700</v>
      </c>
      <c r="F195" s="62">
        <v>160</v>
      </c>
      <c r="G195" s="62">
        <v>20</v>
      </c>
      <c r="H195" s="62">
        <v>1</v>
      </c>
      <c r="I195" s="12"/>
      <c r="K195" s="45"/>
      <c r="L195" s="168" t="s">
        <v>1764</v>
      </c>
      <c r="M195" s="141">
        <v>0</v>
      </c>
      <c r="N195" s="46"/>
    </row>
    <row r="196" spans="2:14">
      <c r="B196" s="11"/>
      <c r="C196" s="61" t="s">
        <v>412</v>
      </c>
      <c r="D196" s="62">
        <v>2</v>
      </c>
      <c r="E196" s="62">
        <v>7500</v>
      </c>
      <c r="F196" s="62">
        <v>850</v>
      </c>
      <c r="G196" s="62">
        <v>20</v>
      </c>
      <c r="H196" s="62">
        <v>1</v>
      </c>
      <c r="I196" s="12"/>
      <c r="K196" s="45"/>
      <c r="L196" s="169" t="s">
        <v>1765</v>
      </c>
      <c r="M196" s="141">
        <v>0</v>
      </c>
      <c r="N196" s="46"/>
    </row>
    <row r="197" spans="2:14">
      <c r="B197" s="11"/>
      <c r="C197" s="61" t="s">
        <v>413</v>
      </c>
      <c r="D197" s="62">
        <v>1</v>
      </c>
      <c r="E197" s="62">
        <v>1700</v>
      </c>
      <c r="F197" s="62">
        <v>160</v>
      </c>
      <c r="G197" s="62">
        <v>20</v>
      </c>
      <c r="H197" s="62">
        <v>1</v>
      </c>
      <c r="I197" s="12"/>
      <c r="K197" s="45"/>
      <c r="L197" s="25"/>
      <c r="M197" s="228"/>
      <c r="N197" s="46"/>
    </row>
    <row r="198" spans="2:14">
      <c r="B198" s="11"/>
      <c r="C198" s="61" t="s">
        <v>414</v>
      </c>
      <c r="D198" s="62">
        <v>1</v>
      </c>
      <c r="E198" s="62">
        <v>2000</v>
      </c>
      <c r="F198" s="62">
        <v>0</v>
      </c>
      <c r="G198" s="62">
        <v>20</v>
      </c>
      <c r="H198" s="62">
        <v>1</v>
      </c>
      <c r="I198" s="12"/>
      <c r="K198" s="45"/>
      <c r="L198" s="53" t="s">
        <v>1955</v>
      </c>
      <c r="M198" s="52"/>
      <c r="N198" s="46"/>
    </row>
    <row r="199" spans="2:14">
      <c r="B199" s="11"/>
      <c r="C199" s="61" t="s">
        <v>415</v>
      </c>
      <c r="D199" s="62">
        <v>1</v>
      </c>
      <c r="E199" s="62">
        <v>2000</v>
      </c>
      <c r="F199" s="62">
        <v>0</v>
      </c>
      <c r="G199" s="62">
        <v>20</v>
      </c>
      <c r="H199" s="62">
        <v>1</v>
      </c>
      <c r="I199" s="12"/>
      <c r="K199" s="45"/>
      <c r="L199" s="167" t="s">
        <v>1952</v>
      </c>
      <c r="M199" s="139">
        <f>M193*M187</f>
        <v>34943.219999999994</v>
      </c>
      <c r="N199" s="46"/>
    </row>
    <row r="200" spans="2:14">
      <c r="B200" s="11"/>
      <c r="C200" s="61" t="s">
        <v>416</v>
      </c>
      <c r="D200" s="62">
        <v>4</v>
      </c>
      <c r="E200" s="62">
        <v>15000</v>
      </c>
      <c r="F200" s="62">
        <v>80</v>
      </c>
      <c r="G200" s="62">
        <v>20</v>
      </c>
      <c r="H200" s="62">
        <v>1</v>
      </c>
      <c r="I200" s="12"/>
      <c r="K200" s="45"/>
      <c r="L200" s="168" t="s">
        <v>1763</v>
      </c>
      <c r="M200" s="139">
        <f>M194*M188</f>
        <v>765644.14588235295</v>
      </c>
      <c r="N200" s="46"/>
    </row>
    <row r="201" spans="2:14">
      <c r="B201" s="11"/>
      <c r="C201" s="61" t="s">
        <v>417</v>
      </c>
      <c r="D201" s="62">
        <v>1</v>
      </c>
      <c r="E201" s="62">
        <v>2000</v>
      </c>
      <c r="F201" s="62">
        <v>0</v>
      </c>
      <c r="G201" s="62">
        <v>20</v>
      </c>
      <c r="H201" s="62">
        <v>1</v>
      </c>
      <c r="I201" s="12"/>
      <c r="K201" s="45"/>
      <c r="L201" s="168" t="s">
        <v>1956</v>
      </c>
      <c r="M201" s="141">
        <f>M195*M189</f>
        <v>0</v>
      </c>
      <c r="N201" s="46"/>
    </row>
    <row r="202" spans="2:14">
      <c r="B202" s="11"/>
      <c r="C202" s="61" t="s">
        <v>419</v>
      </c>
      <c r="D202" s="62">
        <v>1</v>
      </c>
      <c r="E202" s="62">
        <v>2000</v>
      </c>
      <c r="F202" s="62">
        <v>0</v>
      </c>
      <c r="G202" s="62">
        <v>420</v>
      </c>
      <c r="H202" s="62">
        <v>1</v>
      </c>
      <c r="I202" s="12"/>
      <c r="K202" s="45"/>
      <c r="L202" s="169" t="s">
        <v>1957</v>
      </c>
      <c r="M202" s="141">
        <f>M196*M190</f>
        <v>0</v>
      </c>
      <c r="N202" s="46"/>
    </row>
    <row r="203" spans="2:14">
      <c r="B203" s="11"/>
      <c r="C203" s="61" t="s">
        <v>420</v>
      </c>
      <c r="D203" s="62">
        <v>1</v>
      </c>
      <c r="E203" s="62">
        <v>1700</v>
      </c>
      <c r="F203" s="62">
        <v>160</v>
      </c>
      <c r="G203" s="62">
        <v>20</v>
      </c>
      <c r="H203" s="62">
        <v>1</v>
      </c>
      <c r="I203" s="12"/>
      <c r="K203" s="45"/>
      <c r="L203" s="162" t="s">
        <v>1947</v>
      </c>
      <c r="M203" s="228">
        <f>SUM(M199:M202)</f>
        <v>800587.36588235293</v>
      </c>
      <c r="N203" s="46"/>
    </row>
    <row r="204" spans="2:14">
      <c r="B204" s="11"/>
      <c r="C204" s="61" t="s">
        <v>421</v>
      </c>
      <c r="D204" s="62">
        <v>4</v>
      </c>
      <c r="E204" s="62">
        <v>15000</v>
      </c>
      <c r="F204" s="62">
        <v>80</v>
      </c>
      <c r="G204" s="62">
        <v>420</v>
      </c>
      <c r="H204" s="62">
        <v>1</v>
      </c>
      <c r="I204" s="12"/>
      <c r="K204" s="45"/>
      <c r="L204" s="25"/>
      <c r="M204" s="228"/>
      <c r="N204" s="46"/>
    </row>
    <row r="205" spans="2:14">
      <c r="B205" s="11"/>
      <c r="C205" s="61" t="s">
        <v>422</v>
      </c>
      <c r="D205" s="62">
        <v>1</v>
      </c>
      <c r="E205" s="62">
        <v>1700</v>
      </c>
      <c r="F205" s="62">
        <v>160</v>
      </c>
      <c r="G205" s="62">
        <v>20</v>
      </c>
      <c r="H205" s="62">
        <v>1</v>
      </c>
      <c r="I205" s="12"/>
      <c r="K205" s="45"/>
      <c r="L205" s="25"/>
      <c r="M205" s="228"/>
      <c r="N205" s="46"/>
    </row>
    <row r="206" spans="2:14">
      <c r="B206" s="11"/>
      <c r="C206" s="61" t="s">
        <v>423</v>
      </c>
      <c r="D206" s="62">
        <v>2</v>
      </c>
      <c r="E206" s="62">
        <v>3750</v>
      </c>
      <c r="F206" s="62">
        <v>32</v>
      </c>
      <c r="G206" s="62">
        <v>3992</v>
      </c>
      <c r="H206" s="62">
        <v>1</v>
      </c>
      <c r="I206" s="12"/>
      <c r="K206" s="47"/>
      <c r="L206" s="56"/>
      <c r="M206" s="57"/>
      <c r="N206" s="58"/>
    </row>
    <row r="207" spans="2:14">
      <c r="B207" s="11"/>
      <c r="C207" s="61" t="s">
        <v>424</v>
      </c>
      <c r="D207" s="62">
        <v>1</v>
      </c>
      <c r="E207" s="62">
        <v>1700</v>
      </c>
      <c r="F207" s="62">
        <v>160</v>
      </c>
      <c r="G207" s="62">
        <v>20</v>
      </c>
      <c r="H207" s="62">
        <v>1</v>
      </c>
      <c r="I207" s="12"/>
    </row>
    <row r="208" spans="2:14">
      <c r="B208" s="11"/>
      <c r="C208" s="61" t="s">
        <v>425</v>
      </c>
      <c r="D208" s="62">
        <v>1</v>
      </c>
      <c r="E208" s="62">
        <v>1700</v>
      </c>
      <c r="F208" s="62">
        <v>160</v>
      </c>
      <c r="G208" s="62">
        <v>20</v>
      </c>
      <c r="H208" s="62">
        <v>1</v>
      </c>
      <c r="I208" s="12"/>
    </row>
    <row r="209" spans="2:9">
      <c r="B209" s="11"/>
      <c r="C209" s="61" t="s">
        <v>426</v>
      </c>
      <c r="D209" s="62">
        <v>1</v>
      </c>
      <c r="E209" s="62">
        <v>1700</v>
      </c>
      <c r="F209" s="62">
        <v>160</v>
      </c>
      <c r="G209" s="62">
        <v>20</v>
      </c>
      <c r="H209" s="62">
        <v>1</v>
      </c>
      <c r="I209" s="12"/>
    </row>
    <row r="210" spans="2:9">
      <c r="B210" s="11"/>
      <c r="C210" s="61" t="s">
        <v>427</v>
      </c>
      <c r="D210" s="62">
        <v>2</v>
      </c>
      <c r="E210" s="62">
        <v>7500</v>
      </c>
      <c r="F210" s="62">
        <v>32</v>
      </c>
      <c r="G210" s="62">
        <v>420</v>
      </c>
      <c r="H210" s="62">
        <v>1</v>
      </c>
      <c r="I210" s="12"/>
    </row>
    <row r="211" spans="2:9">
      <c r="B211" s="11"/>
      <c r="C211" s="61" t="s">
        <v>428</v>
      </c>
      <c r="D211" s="62">
        <v>1</v>
      </c>
      <c r="E211" s="62">
        <v>2000</v>
      </c>
      <c r="F211" s="62">
        <v>0</v>
      </c>
      <c r="G211" s="62">
        <v>20</v>
      </c>
      <c r="H211" s="62">
        <v>1</v>
      </c>
      <c r="I211" s="12"/>
    </row>
    <row r="212" spans="2:9">
      <c r="B212" s="11"/>
      <c r="C212" s="61" t="s">
        <v>430</v>
      </c>
      <c r="D212" s="62">
        <v>1</v>
      </c>
      <c r="E212" s="62">
        <v>3750</v>
      </c>
      <c r="F212" s="62">
        <v>4</v>
      </c>
      <c r="G212" s="62">
        <v>420</v>
      </c>
      <c r="H212" s="62">
        <v>1</v>
      </c>
      <c r="I212" s="12"/>
    </row>
    <row r="213" spans="2:9">
      <c r="B213" s="11"/>
      <c r="C213" s="61" t="s">
        <v>431</v>
      </c>
      <c r="D213" s="62">
        <v>4</v>
      </c>
      <c r="E213" s="62">
        <v>15000</v>
      </c>
      <c r="F213" s="62">
        <v>80</v>
      </c>
      <c r="G213" s="62">
        <v>420</v>
      </c>
      <c r="H213" s="62">
        <v>1</v>
      </c>
      <c r="I213" s="12"/>
    </row>
    <row r="214" spans="2:9">
      <c r="B214" s="11"/>
      <c r="C214" s="61" t="s">
        <v>433</v>
      </c>
      <c r="D214" s="62">
        <v>1</v>
      </c>
      <c r="E214" s="62">
        <v>1700</v>
      </c>
      <c r="F214" s="62">
        <v>160</v>
      </c>
      <c r="G214" s="62">
        <v>20</v>
      </c>
      <c r="H214" s="62">
        <v>1</v>
      </c>
      <c r="I214" s="12"/>
    </row>
    <row r="215" spans="2:9">
      <c r="B215" s="11"/>
      <c r="C215" s="61" t="s">
        <v>435</v>
      </c>
      <c r="D215" s="62">
        <v>4</v>
      </c>
      <c r="E215" s="62">
        <v>15000</v>
      </c>
      <c r="F215" s="62">
        <v>80</v>
      </c>
      <c r="G215" s="62">
        <v>420</v>
      </c>
      <c r="H215" s="62">
        <v>1</v>
      </c>
      <c r="I215" s="12"/>
    </row>
    <row r="216" spans="2:9">
      <c r="B216" s="11"/>
      <c r="C216" s="61" t="s">
        <v>436</v>
      </c>
      <c r="D216" s="62">
        <v>1</v>
      </c>
      <c r="E216" s="62">
        <v>3750</v>
      </c>
      <c r="F216" s="62">
        <v>4</v>
      </c>
      <c r="G216" s="62">
        <v>420</v>
      </c>
      <c r="H216" s="62">
        <v>1</v>
      </c>
      <c r="I216" s="12"/>
    </row>
    <row r="217" spans="2:9">
      <c r="B217" s="11"/>
      <c r="C217" s="61" t="s">
        <v>438</v>
      </c>
      <c r="D217" s="62">
        <v>8</v>
      </c>
      <c r="E217" s="62">
        <v>61000</v>
      </c>
      <c r="F217" s="62">
        <v>1440</v>
      </c>
      <c r="G217" s="62">
        <v>20</v>
      </c>
      <c r="H217" s="62">
        <v>1</v>
      </c>
      <c r="I217" s="12"/>
    </row>
    <row r="218" spans="2:9">
      <c r="B218" s="11"/>
      <c r="C218" s="61" t="s">
        <v>439</v>
      </c>
      <c r="D218" s="62">
        <v>8</v>
      </c>
      <c r="E218" s="62">
        <v>30000</v>
      </c>
      <c r="F218" s="62">
        <v>160</v>
      </c>
      <c r="G218" s="62">
        <v>1820</v>
      </c>
      <c r="H218" s="62">
        <v>1</v>
      </c>
      <c r="I218" s="12"/>
    </row>
    <row r="219" spans="2:9">
      <c r="B219" s="11"/>
      <c r="C219" s="61" t="s">
        <v>440</v>
      </c>
      <c r="D219" s="62">
        <v>1</v>
      </c>
      <c r="E219" s="62">
        <v>1700</v>
      </c>
      <c r="F219" s="62">
        <v>160</v>
      </c>
      <c r="G219" s="62">
        <v>20</v>
      </c>
      <c r="H219" s="62">
        <v>1</v>
      </c>
      <c r="I219" s="12"/>
    </row>
    <row r="220" spans="2:9">
      <c r="B220" s="11"/>
      <c r="C220" s="61" t="s">
        <v>441</v>
      </c>
      <c r="D220" s="62">
        <v>4</v>
      </c>
      <c r="E220" s="62">
        <v>15000</v>
      </c>
      <c r="F220" s="62">
        <v>80</v>
      </c>
      <c r="G220" s="62">
        <v>420</v>
      </c>
      <c r="H220" s="62">
        <v>1</v>
      </c>
      <c r="I220" s="12"/>
    </row>
    <row r="221" spans="2:9">
      <c r="B221" s="11"/>
      <c r="C221" s="61" t="s">
        <v>442</v>
      </c>
      <c r="D221" s="62">
        <v>1</v>
      </c>
      <c r="E221" s="62">
        <v>1700</v>
      </c>
      <c r="F221" s="62">
        <v>160</v>
      </c>
      <c r="G221" s="62">
        <v>20</v>
      </c>
      <c r="H221" s="62">
        <v>1</v>
      </c>
      <c r="I221" s="12"/>
    </row>
    <row r="222" spans="2:9">
      <c r="B222" s="11"/>
      <c r="C222" s="61" t="s">
        <v>443</v>
      </c>
      <c r="D222" s="62">
        <v>1</v>
      </c>
      <c r="E222" s="62">
        <v>1700</v>
      </c>
      <c r="F222" s="62">
        <v>160</v>
      </c>
      <c r="G222" s="62">
        <v>20</v>
      </c>
      <c r="H222" s="62">
        <v>1</v>
      </c>
      <c r="I222" s="12"/>
    </row>
    <row r="223" spans="2:9">
      <c r="B223" s="11"/>
      <c r="C223" s="61" t="s">
        <v>444</v>
      </c>
      <c r="D223" s="62">
        <v>1</v>
      </c>
      <c r="E223" s="62">
        <v>1700</v>
      </c>
      <c r="F223" s="62">
        <v>160</v>
      </c>
      <c r="G223" s="62">
        <v>20</v>
      </c>
      <c r="H223" s="62">
        <v>1</v>
      </c>
      <c r="I223" s="12"/>
    </row>
    <row r="224" spans="2:9">
      <c r="B224" s="11"/>
      <c r="C224" s="61" t="s">
        <v>445</v>
      </c>
      <c r="D224" s="62">
        <v>1</v>
      </c>
      <c r="E224" s="62">
        <v>1700</v>
      </c>
      <c r="F224" s="62">
        <v>160</v>
      </c>
      <c r="G224" s="62">
        <v>520</v>
      </c>
      <c r="H224" s="62">
        <v>1</v>
      </c>
      <c r="I224" s="12"/>
    </row>
    <row r="225" spans="2:9">
      <c r="B225" s="11"/>
      <c r="C225" s="61" t="s">
        <v>447</v>
      </c>
      <c r="D225" s="62">
        <v>1</v>
      </c>
      <c r="E225" s="62">
        <v>1700</v>
      </c>
      <c r="F225" s="62">
        <v>160</v>
      </c>
      <c r="G225" s="62">
        <v>20</v>
      </c>
      <c r="H225" s="62">
        <v>1</v>
      </c>
      <c r="I225" s="12"/>
    </row>
    <row r="226" spans="2:9">
      <c r="B226" s="11"/>
      <c r="C226" s="61" t="s">
        <v>448</v>
      </c>
      <c r="D226" s="62">
        <v>1</v>
      </c>
      <c r="E226" s="62">
        <v>3750</v>
      </c>
      <c r="F226" s="62">
        <v>4</v>
      </c>
      <c r="G226" s="62">
        <v>820</v>
      </c>
      <c r="H226" s="62">
        <v>1</v>
      </c>
      <c r="I226" s="12"/>
    </row>
    <row r="227" spans="2:9">
      <c r="B227" s="11"/>
      <c r="C227" s="61" t="s">
        <v>449</v>
      </c>
      <c r="D227" s="62">
        <v>2</v>
      </c>
      <c r="E227" s="62">
        <v>7500</v>
      </c>
      <c r="F227" s="62">
        <v>32</v>
      </c>
      <c r="G227" s="62">
        <v>420</v>
      </c>
      <c r="H227" s="62">
        <v>1</v>
      </c>
      <c r="I227" s="12"/>
    </row>
    <row r="228" spans="2:9">
      <c r="B228" s="11"/>
      <c r="C228" s="61" t="s">
        <v>450</v>
      </c>
      <c r="D228" s="62">
        <v>1</v>
      </c>
      <c r="E228" s="62">
        <v>2000</v>
      </c>
      <c r="F228" s="62">
        <v>0</v>
      </c>
      <c r="G228" s="62">
        <v>20</v>
      </c>
      <c r="H228" s="62">
        <v>1</v>
      </c>
      <c r="I228" s="12"/>
    </row>
    <row r="229" spans="2:9">
      <c r="B229" s="11"/>
      <c r="C229" s="61" t="s">
        <v>451</v>
      </c>
      <c r="D229" s="62">
        <v>1</v>
      </c>
      <c r="E229" s="62">
        <v>2000</v>
      </c>
      <c r="F229" s="62">
        <v>0</v>
      </c>
      <c r="G229" s="62">
        <v>420</v>
      </c>
      <c r="H229" s="62">
        <v>1</v>
      </c>
      <c r="I229" s="12"/>
    </row>
    <row r="230" spans="2:9">
      <c r="B230" s="11"/>
      <c r="C230" s="61" t="s">
        <v>452</v>
      </c>
      <c r="D230" s="62">
        <v>4</v>
      </c>
      <c r="E230" s="62">
        <v>15000</v>
      </c>
      <c r="F230" s="62">
        <v>80</v>
      </c>
      <c r="G230" s="62">
        <v>420</v>
      </c>
      <c r="H230" s="62">
        <v>1</v>
      </c>
      <c r="I230" s="12"/>
    </row>
    <row r="231" spans="2:9">
      <c r="B231" s="11"/>
      <c r="C231" s="61" t="s">
        <v>453</v>
      </c>
      <c r="D231" s="62">
        <v>1</v>
      </c>
      <c r="E231" s="62">
        <v>1700</v>
      </c>
      <c r="F231" s="62">
        <v>160</v>
      </c>
      <c r="G231" s="62">
        <v>20</v>
      </c>
      <c r="H231" s="62">
        <v>1</v>
      </c>
      <c r="I231" s="12"/>
    </row>
    <row r="232" spans="2:9">
      <c r="B232" s="11"/>
      <c r="C232" s="61" t="s">
        <v>454</v>
      </c>
      <c r="D232" s="62">
        <v>1</v>
      </c>
      <c r="E232" s="62">
        <v>615</v>
      </c>
      <c r="F232" s="62">
        <v>160</v>
      </c>
      <c r="G232" s="62">
        <v>8</v>
      </c>
      <c r="H232" s="62">
        <v>1</v>
      </c>
      <c r="I232" s="12"/>
    </row>
    <row r="233" spans="2:9">
      <c r="B233" s="11"/>
      <c r="C233" s="61" t="s">
        <v>456</v>
      </c>
      <c r="D233" s="62">
        <v>1</v>
      </c>
      <c r="E233" s="62">
        <v>1700</v>
      </c>
      <c r="F233" s="62">
        <v>160</v>
      </c>
      <c r="G233" s="62">
        <v>520</v>
      </c>
      <c r="H233" s="62">
        <v>1</v>
      </c>
      <c r="I233" s="12"/>
    </row>
    <row r="234" spans="2:9">
      <c r="B234" s="11"/>
      <c r="C234" s="61" t="s">
        <v>457</v>
      </c>
      <c r="D234" s="62">
        <v>8</v>
      </c>
      <c r="E234" s="62">
        <v>15000</v>
      </c>
      <c r="F234" s="62">
        <v>160</v>
      </c>
      <c r="G234" s="62">
        <v>20</v>
      </c>
      <c r="H234" s="62">
        <v>1</v>
      </c>
      <c r="I234" s="12"/>
    </row>
    <row r="235" spans="2:9">
      <c r="B235" s="11"/>
      <c r="C235" s="61" t="s">
        <v>458</v>
      </c>
      <c r="D235" s="62">
        <v>1</v>
      </c>
      <c r="E235" s="62">
        <v>1700</v>
      </c>
      <c r="F235" s="62">
        <v>160</v>
      </c>
      <c r="G235" s="62">
        <v>20</v>
      </c>
      <c r="H235" s="62">
        <v>1</v>
      </c>
      <c r="I235" s="12"/>
    </row>
    <row r="236" spans="2:9">
      <c r="B236" s="11"/>
      <c r="C236" s="61" t="s">
        <v>459</v>
      </c>
      <c r="D236" s="62">
        <v>1</v>
      </c>
      <c r="E236" s="62">
        <v>2000</v>
      </c>
      <c r="F236" s="62">
        <v>0</v>
      </c>
      <c r="G236" s="62">
        <v>108</v>
      </c>
      <c r="H236" s="62">
        <v>1</v>
      </c>
      <c r="I236" s="12"/>
    </row>
    <row r="237" spans="2:9">
      <c r="B237" s="11"/>
      <c r="C237" s="61" t="s">
        <v>460</v>
      </c>
      <c r="D237" s="62">
        <v>1</v>
      </c>
      <c r="E237" s="62">
        <v>1700</v>
      </c>
      <c r="F237" s="62">
        <v>160</v>
      </c>
      <c r="G237" s="62">
        <v>820</v>
      </c>
      <c r="H237" s="62">
        <v>1</v>
      </c>
      <c r="I237" s="12"/>
    </row>
    <row r="238" spans="2:9">
      <c r="B238" s="11"/>
      <c r="C238" s="61" t="s">
        <v>461</v>
      </c>
      <c r="D238" s="62">
        <v>2</v>
      </c>
      <c r="E238" s="62">
        <v>4000</v>
      </c>
      <c r="F238" s="62">
        <v>0</v>
      </c>
      <c r="G238" s="62">
        <v>20</v>
      </c>
      <c r="H238" s="62">
        <v>1</v>
      </c>
      <c r="I238" s="12"/>
    </row>
    <row r="239" spans="2:9">
      <c r="B239" s="11"/>
      <c r="C239" s="61" t="s">
        <v>462</v>
      </c>
      <c r="D239" s="62">
        <v>2</v>
      </c>
      <c r="E239" s="62">
        <v>7500</v>
      </c>
      <c r="F239" s="62">
        <v>32</v>
      </c>
      <c r="G239" s="62">
        <v>420</v>
      </c>
      <c r="H239" s="62">
        <v>1</v>
      </c>
      <c r="I239" s="12"/>
    </row>
    <row r="240" spans="2:9">
      <c r="B240" s="11"/>
      <c r="C240" s="61" t="s">
        <v>463</v>
      </c>
      <c r="D240" s="62">
        <v>8</v>
      </c>
      <c r="E240" s="62">
        <v>30000</v>
      </c>
      <c r="F240" s="62">
        <v>160</v>
      </c>
      <c r="G240" s="62">
        <v>420</v>
      </c>
      <c r="H240" s="62">
        <v>1</v>
      </c>
      <c r="I240" s="12"/>
    </row>
    <row r="241" spans="2:9">
      <c r="B241" s="11"/>
      <c r="C241" s="61" t="s">
        <v>464</v>
      </c>
      <c r="D241" s="62">
        <v>1</v>
      </c>
      <c r="E241" s="62">
        <v>1700</v>
      </c>
      <c r="F241" s="62">
        <v>160</v>
      </c>
      <c r="G241" s="62">
        <v>20</v>
      </c>
      <c r="H241" s="62">
        <v>1</v>
      </c>
      <c r="I241" s="12"/>
    </row>
    <row r="242" spans="2:9">
      <c r="B242" s="11"/>
      <c r="C242" s="61" t="s">
        <v>465</v>
      </c>
      <c r="D242" s="62">
        <v>1</v>
      </c>
      <c r="E242" s="62">
        <v>1700</v>
      </c>
      <c r="F242" s="62">
        <v>160</v>
      </c>
      <c r="G242" s="62">
        <v>20</v>
      </c>
      <c r="H242" s="62">
        <v>1</v>
      </c>
      <c r="I242" s="12"/>
    </row>
    <row r="243" spans="2:9">
      <c r="B243" s="11"/>
      <c r="C243" s="61" t="s">
        <v>467</v>
      </c>
      <c r="D243" s="62">
        <v>4</v>
      </c>
      <c r="E243" s="62">
        <v>15000</v>
      </c>
      <c r="F243" s="62">
        <v>80</v>
      </c>
      <c r="G243" s="62">
        <v>1820</v>
      </c>
      <c r="H243" s="62">
        <v>1</v>
      </c>
      <c r="I243" s="12"/>
    </row>
    <row r="244" spans="2:9">
      <c r="B244" s="11"/>
      <c r="C244" s="61" t="s">
        <v>468</v>
      </c>
      <c r="D244" s="62">
        <v>1</v>
      </c>
      <c r="E244" s="62">
        <v>1700</v>
      </c>
      <c r="F244" s="62">
        <v>160</v>
      </c>
      <c r="G244" s="62">
        <v>420</v>
      </c>
      <c r="H244" s="62">
        <v>1</v>
      </c>
      <c r="I244" s="12"/>
    </row>
    <row r="245" spans="2:9">
      <c r="B245" s="11"/>
      <c r="C245" s="61" t="s">
        <v>469</v>
      </c>
      <c r="D245" s="62">
        <v>1</v>
      </c>
      <c r="E245" s="62">
        <v>2000</v>
      </c>
      <c r="F245" s="62">
        <v>0</v>
      </c>
      <c r="G245" s="62">
        <v>220</v>
      </c>
      <c r="H245" s="62">
        <v>1</v>
      </c>
      <c r="I245" s="12"/>
    </row>
    <row r="246" spans="2:9">
      <c r="B246" s="11"/>
      <c r="C246" s="61" t="s">
        <v>470</v>
      </c>
      <c r="D246" s="62">
        <v>1</v>
      </c>
      <c r="E246" s="62">
        <v>2000</v>
      </c>
      <c r="F246" s="62">
        <v>0</v>
      </c>
      <c r="G246" s="62">
        <v>820</v>
      </c>
      <c r="H246" s="62">
        <v>1</v>
      </c>
      <c r="I246" s="12"/>
    </row>
    <row r="247" spans="2:9">
      <c r="B247" s="11"/>
      <c r="C247" s="61" t="s">
        <v>471</v>
      </c>
      <c r="D247" s="62">
        <v>1</v>
      </c>
      <c r="E247" s="62">
        <v>2000</v>
      </c>
      <c r="F247" s="62">
        <v>0</v>
      </c>
      <c r="G247" s="62">
        <v>20</v>
      </c>
      <c r="H247" s="62">
        <v>1</v>
      </c>
      <c r="I247" s="12"/>
    </row>
    <row r="248" spans="2:9">
      <c r="B248" s="11"/>
      <c r="C248" s="61" t="s">
        <v>473</v>
      </c>
      <c r="D248" s="62">
        <v>1</v>
      </c>
      <c r="E248" s="62">
        <v>1700</v>
      </c>
      <c r="F248" s="62">
        <v>160</v>
      </c>
      <c r="G248" s="62">
        <v>20</v>
      </c>
      <c r="H248" s="62">
        <v>1</v>
      </c>
      <c r="I248" s="12"/>
    </row>
    <row r="249" spans="2:9">
      <c r="B249" s="11"/>
      <c r="C249" s="61" t="s">
        <v>474</v>
      </c>
      <c r="D249" s="62">
        <v>1</v>
      </c>
      <c r="E249" s="62">
        <v>1700</v>
      </c>
      <c r="F249" s="62">
        <v>160</v>
      </c>
      <c r="G249" s="62">
        <v>20</v>
      </c>
      <c r="H249" s="62">
        <v>1</v>
      </c>
      <c r="I249" s="12"/>
    </row>
    <row r="250" spans="2:9">
      <c r="B250" s="11"/>
      <c r="C250" s="61" t="s">
        <v>475</v>
      </c>
      <c r="D250" s="62">
        <v>1</v>
      </c>
      <c r="E250" s="62">
        <v>1700</v>
      </c>
      <c r="F250" s="62">
        <v>160</v>
      </c>
      <c r="G250" s="62">
        <v>20</v>
      </c>
      <c r="H250" s="62">
        <v>1</v>
      </c>
      <c r="I250" s="12"/>
    </row>
    <row r="251" spans="2:9">
      <c r="B251" s="11"/>
      <c r="C251" s="61" t="s">
        <v>476</v>
      </c>
      <c r="D251" s="62">
        <v>4</v>
      </c>
      <c r="E251" s="62">
        <v>15000</v>
      </c>
      <c r="F251" s="62">
        <v>80</v>
      </c>
      <c r="G251" s="62">
        <v>820</v>
      </c>
      <c r="H251" s="62">
        <v>1</v>
      </c>
      <c r="I251" s="12"/>
    </row>
    <row r="252" spans="2:9">
      <c r="B252" s="11"/>
      <c r="C252" s="61" t="s">
        <v>477</v>
      </c>
      <c r="D252" s="62">
        <v>1</v>
      </c>
      <c r="E252" s="62">
        <v>2000</v>
      </c>
      <c r="F252" s="62">
        <v>0</v>
      </c>
      <c r="G252" s="62">
        <v>820</v>
      </c>
      <c r="H252" s="62">
        <v>1</v>
      </c>
      <c r="I252" s="12"/>
    </row>
    <row r="253" spans="2:9">
      <c r="B253" s="11"/>
      <c r="C253" s="61" t="s">
        <v>478</v>
      </c>
      <c r="D253" s="62">
        <v>1</v>
      </c>
      <c r="E253" s="62">
        <v>2000</v>
      </c>
      <c r="F253" s="62">
        <v>0</v>
      </c>
      <c r="G253" s="62">
        <v>20</v>
      </c>
      <c r="H253" s="62">
        <v>1</v>
      </c>
      <c r="I253" s="12"/>
    </row>
    <row r="254" spans="2:9">
      <c r="B254" s="11"/>
      <c r="C254" s="61" t="s">
        <v>479</v>
      </c>
      <c r="D254" s="62">
        <v>1</v>
      </c>
      <c r="E254" s="62">
        <v>1700</v>
      </c>
      <c r="F254" s="62">
        <v>160</v>
      </c>
      <c r="G254" s="62">
        <v>20</v>
      </c>
      <c r="H254" s="62">
        <v>1</v>
      </c>
      <c r="I254" s="12"/>
    </row>
    <row r="255" spans="2:9">
      <c r="B255" s="11"/>
      <c r="C255" s="61" t="s">
        <v>480</v>
      </c>
      <c r="D255" s="62">
        <v>1</v>
      </c>
      <c r="E255" s="62">
        <v>1700</v>
      </c>
      <c r="F255" s="62">
        <v>160</v>
      </c>
      <c r="G255" s="62">
        <v>20</v>
      </c>
      <c r="H255" s="62">
        <v>1</v>
      </c>
      <c r="I255" s="12"/>
    </row>
    <row r="256" spans="2:9">
      <c r="B256" s="11"/>
      <c r="C256" s="61" t="s">
        <v>481</v>
      </c>
      <c r="D256" s="62">
        <v>2</v>
      </c>
      <c r="E256" s="62">
        <v>3750</v>
      </c>
      <c r="F256" s="62">
        <v>32</v>
      </c>
      <c r="G256" s="62">
        <v>20</v>
      </c>
      <c r="H256" s="62">
        <v>1</v>
      </c>
      <c r="I256" s="12"/>
    </row>
    <row r="257" spans="2:9">
      <c r="B257" s="11"/>
      <c r="C257" s="61" t="s">
        <v>483</v>
      </c>
      <c r="D257" s="62">
        <v>1</v>
      </c>
      <c r="E257" s="62">
        <v>2000</v>
      </c>
      <c r="F257" s="62">
        <v>0</v>
      </c>
      <c r="G257" s="62">
        <v>420</v>
      </c>
      <c r="H257" s="62">
        <v>1</v>
      </c>
      <c r="I257" s="12"/>
    </row>
    <row r="258" spans="2:9">
      <c r="B258" s="11"/>
      <c r="C258" s="61" t="s">
        <v>484</v>
      </c>
      <c r="D258" s="62">
        <v>1</v>
      </c>
      <c r="E258" s="62">
        <v>1700</v>
      </c>
      <c r="F258" s="62">
        <v>160</v>
      </c>
      <c r="G258" s="62">
        <v>20</v>
      </c>
      <c r="H258" s="62">
        <v>1</v>
      </c>
      <c r="I258" s="12"/>
    </row>
    <row r="259" spans="2:9">
      <c r="B259" s="11"/>
      <c r="C259" s="61" t="s">
        <v>485</v>
      </c>
      <c r="D259" s="62">
        <v>1</v>
      </c>
      <c r="E259" s="62">
        <v>1700</v>
      </c>
      <c r="F259" s="62">
        <v>160</v>
      </c>
      <c r="G259" s="62">
        <v>20</v>
      </c>
      <c r="H259" s="62">
        <v>1</v>
      </c>
      <c r="I259" s="12"/>
    </row>
    <row r="260" spans="2:9">
      <c r="B260" s="11"/>
      <c r="C260" s="61" t="s">
        <v>486</v>
      </c>
      <c r="D260" s="62">
        <v>1</v>
      </c>
      <c r="E260" s="62">
        <v>2000</v>
      </c>
      <c r="F260" s="62">
        <v>0</v>
      </c>
      <c r="G260" s="62">
        <v>820</v>
      </c>
      <c r="H260" s="62">
        <v>1</v>
      </c>
      <c r="I260" s="12"/>
    </row>
    <row r="261" spans="2:9">
      <c r="B261" s="11"/>
      <c r="C261" s="61" t="s">
        <v>487</v>
      </c>
      <c r="D261" s="62">
        <v>1</v>
      </c>
      <c r="E261" s="62">
        <v>2000</v>
      </c>
      <c r="F261" s="62">
        <v>0</v>
      </c>
      <c r="G261" s="62">
        <v>420</v>
      </c>
      <c r="H261" s="62">
        <v>1</v>
      </c>
      <c r="I261" s="12"/>
    </row>
    <row r="262" spans="2:9">
      <c r="B262" s="11"/>
      <c r="C262" s="61" t="s">
        <v>488</v>
      </c>
      <c r="D262" s="62">
        <v>1</v>
      </c>
      <c r="E262" s="62">
        <v>1700</v>
      </c>
      <c r="F262" s="62">
        <v>160</v>
      </c>
      <c r="G262" s="62">
        <v>20</v>
      </c>
      <c r="H262" s="62">
        <v>1</v>
      </c>
      <c r="I262" s="12"/>
    </row>
    <row r="263" spans="2:9">
      <c r="B263" s="11"/>
      <c r="C263" s="61" t="s">
        <v>489</v>
      </c>
      <c r="D263" s="62">
        <v>1</v>
      </c>
      <c r="E263" s="62">
        <v>1700</v>
      </c>
      <c r="F263" s="62">
        <v>160</v>
      </c>
      <c r="G263" s="62">
        <v>20</v>
      </c>
      <c r="H263" s="62">
        <v>1</v>
      </c>
      <c r="I263" s="12"/>
    </row>
    <row r="264" spans="2:9">
      <c r="B264" s="11"/>
      <c r="C264" s="61" t="s">
        <v>491</v>
      </c>
      <c r="D264" s="62">
        <v>8</v>
      </c>
      <c r="E264" s="62">
        <v>30000</v>
      </c>
      <c r="F264" s="62">
        <v>160</v>
      </c>
      <c r="G264" s="62">
        <v>420</v>
      </c>
      <c r="H264" s="62">
        <v>1</v>
      </c>
      <c r="I264" s="12"/>
    </row>
    <row r="265" spans="2:9">
      <c r="B265" s="11"/>
      <c r="C265" s="61" t="s">
        <v>492</v>
      </c>
      <c r="D265" s="62">
        <v>1</v>
      </c>
      <c r="E265" s="62">
        <v>1700</v>
      </c>
      <c r="F265" s="62">
        <v>160</v>
      </c>
      <c r="G265" s="62">
        <v>20</v>
      </c>
      <c r="H265" s="62">
        <v>1</v>
      </c>
      <c r="I265" s="12"/>
    </row>
    <row r="266" spans="2:9">
      <c r="B266" s="11"/>
      <c r="C266" s="61" t="s">
        <v>493</v>
      </c>
      <c r="D266" s="62">
        <v>1</v>
      </c>
      <c r="E266" s="62">
        <v>1700</v>
      </c>
      <c r="F266" s="62">
        <v>160</v>
      </c>
      <c r="G266" s="62">
        <v>20</v>
      </c>
      <c r="H266" s="62">
        <v>1</v>
      </c>
      <c r="I266" s="12"/>
    </row>
    <row r="267" spans="2:9">
      <c r="B267" s="11"/>
      <c r="C267" s="61" t="s">
        <v>494</v>
      </c>
      <c r="D267" s="62">
        <v>8</v>
      </c>
      <c r="E267" s="62">
        <v>30000</v>
      </c>
      <c r="F267" s="62">
        <v>160</v>
      </c>
      <c r="G267" s="62">
        <v>420</v>
      </c>
      <c r="H267" s="62">
        <v>1</v>
      </c>
      <c r="I267" s="12"/>
    </row>
    <row r="268" spans="2:9">
      <c r="B268" s="11"/>
      <c r="C268" s="61" t="s">
        <v>495</v>
      </c>
      <c r="D268" s="62">
        <v>1</v>
      </c>
      <c r="E268" s="62">
        <v>2000</v>
      </c>
      <c r="F268" s="62">
        <v>0</v>
      </c>
      <c r="G268" s="62">
        <v>20</v>
      </c>
      <c r="H268" s="62">
        <v>1</v>
      </c>
      <c r="I268" s="12"/>
    </row>
    <row r="269" spans="2:9">
      <c r="B269" s="11"/>
      <c r="C269" s="61" t="s">
        <v>496</v>
      </c>
      <c r="D269" s="62">
        <v>32</v>
      </c>
      <c r="E269" s="62">
        <v>60000</v>
      </c>
      <c r="F269" s="62">
        <v>640</v>
      </c>
      <c r="G269" s="62">
        <v>20</v>
      </c>
      <c r="H269" s="62">
        <v>1</v>
      </c>
      <c r="I269" s="12"/>
    </row>
    <row r="270" spans="2:9">
      <c r="B270" s="11"/>
      <c r="C270" s="61" t="s">
        <v>497</v>
      </c>
      <c r="D270" s="62">
        <v>1</v>
      </c>
      <c r="E270" s="62">
        <v>1700</v>
      </c>
      <c r="F270" s="62">
        <v>160</v>
      </c>
      <c r="G270" s="62">
        <v>20</v>
      </c>
      <c r="H270" s="62">
        <v>1</v>
      </c>
      <c r="I270" s="12"/>
    </row>
    <row r="271" spans="2:9">
      <c r="B271" s="11"/>
      <c r="C271" s="61" t="s">
        <v>499</v>
      </c>
      <c r="D271" s="62">
        <v>1</v>
      </c>
      <c r="E271" s="62">
        <v>1700</v>
      </c>
      <c r="F271" s="62">
        <v>160</v>
      </c>
      <c r="G271" s="62">
        <v>20</v>
      </c>
      <c r="H271" s="62">
        <v>1</v>
      </c>
      <c r="I271" s="12"/>
    </row>
    <row r="272" spans="2:9">
      <c r="B272" s="11"/>
      <c r="C272" s="61" t="s">
        <v>500</v>
      </c>
      <c r="D272" s="62">
        <v>1</v>
      </c>
      <c r="E272" s="62">
        <v>1700</v>
      </c>
      <c r="F272" s="62">
        <v>160</v>
      </c>
      <c r="G272" s="62">
        <v>20</v>
      </c>
      <c r="H272" s="62">
        <v>1</v>
      </c>
      <c r="I272" s="12"/>
    </row>
    <row r="273" spans="2:9">
      <c r="B273" s="11"/>
      <c r="C273" s="61" t="s">
        <v>501</v>
      </c>
      <c r="D273" s="62">
        <v>1</v>
      </c>
      <c r="E273" s="62">
        <v>2000</v>
      </c>
      <c r="F273" s="62">
        <v>0</v>
      </c>
      <c r="G273" s="62">
        <v>20</v>
      </c>
      <c r="H273" s="62">
        <v>1</v>
      </c>
      <c r="I273" s="12"/>
    </row>
    <row r="274" spans="2:9">
      <c r="B274" s="11"/>
      <c r="C274" s="61" t="s">
        <v>502</v>
      </c>
      <c r="D274" s="62">
        <v>8</v>
      </c>
      <c r="E274" s="62">
        <v>15000</v>
      </c>
      <c r="F274" s="62">
        <v>160</v>
      </c>
      <c r="G274" s="62">
        <v>20</v>
      </c>
      <c r="H274" s="62">
        <v>1</v>
      </c>
      <c r="I274" s="12"/>
    </row>
    <row r="275" spans="2:9">
      <c r="B275" s="11"/>
      <c r="C275" s="61" t="s">
        <v>503</v>
      </c>
      <c r="D275" s="62">
        <v>1</v>
      </c>
      <c r="E275" s="62">
        <v>1700</v>
      </c>
      <c r="F275" s="62">
        <v>160</v>
      </c>
      <c r="G275" s="62">
        <v>220</v>
      </c>
      <c r="H275" s="62">
        <v>1</v>
      </c>
      <c r="I275" s="12"/>
    </row>
    <row r="276" spans="2:9">
      <c r="B276" s="11"/>
      <c r="C276" s="61" t="s">
        <v>504</v>
      </c>
      <c r="D276" s="62">
        <v>1</v>
      </c>
      <c r="E276" s="62">
        <v>1700</v>
      </c>
      <c r="F276" s="62">
        <v>160</v>
      </c>
      <c r="G276" s="62">
        <v>20</v>
      </c>
      <c r="H276" s="62">
        <v>1</v>
      </c>
      <c r="I276" s="12"/>
    </row>
    <row r="277" spans="2:9">
      <c r="B277" s="11"/>
      <c r="C277" s="61" t="s">
        <v>505</v>
      </c>
      <c r="D277" s="62">
        <v>1</v>
      </c>
      <c r="E277" s="62">
        <v>2000</v>
      </c>
      <c r="F277" s="62">
        <v>0</v>
      </c>
      <c r="G277" s="62">
        <v>220</v>
      </c>
      <c r="H277" s="62">
        <v>1</v>
      </c>
      <c r="I277" s="12"/>
    </row>
    <row r="278" spans="2:9">
      <c r="B278" s="11"/>
      <c r="C278" s="61" t="s">
        <v>506</v>
      </c>
      <c r="D278" s="62">
        <v>1</v>
      </c>
      <c r="E278" s="62">
        <v>1700</v>
      </c>
      <c r="F278" s="62">
        <v>160</v>
      </c>
      <c r="G278" s="62">
        <v>20</v>
      </c>
      <c r="H278" s="62">
        <v>1</v>
      </c>
      <c r="I278" s="12"/>
    </row>
    <row r="279" spans="2:9">
      <c r="B279" s="11"/>
      <c r="C279" s="61" t="s">
        <v>507</v>
      </c>
      <c r="D279" s="62">
        <v>1</v>
      </c>
      <c r="E279" s="62">
        <v>1700</v>
      </c>
      <c r="F279" s="62">
        <v>160</v>
      </c>
      <c r="G279" s="62">
        <v>20</v>
      </c>
      <c r="H279" s="62">
        <v>1</v>
      </c>
      <c r="I279" s="12"/>
    </row>
    <row r="280" spans="2:9">
      <c r="B280" s="11"/>
      <c r="C280" s="61" t="s">
        <v>508</v>
      </c>
      <c r="D280" s="62">
        <v>1</v>
      </c>
      <c r="E280" s="62">
        <v>2000</v>
      </c>
      <c r="F280" s="62">
        <v>0</v>
      </c>
      <c r="G280" s="62">
        <v>220</v>
      </c>
      <c r="H280" s="62">
        <v>1</v>
      </c>
      <c r="I280" s="12"/>
    </row>
    <row r="281" spans="2:9">
      <c r="B281" s="11"/>
      <c r="C281" s="61" t="s">
        <v>509</v>
      </c>
      <c r="D281" s="62">
        <v>1</v>
      </c>
      <c r="E281" s="62">
        <v>1700</v>
      </c>
      <c r="F281" s="62">
        <v>160</v>
      </c>
      <c r="G281" s="62">
        <v>20</v>
      </c>
      <c r="H281" s="62">
        <v>1</v>
      </c>
      <c r="I281" s="12"/>
    </row>
    <row r="282" spans="2:9">
      <c r="B282" s="11"/>
      <c r="C282" s="61" t="s">
        <v>510</v>
      </c>
      <c r="D282" s="62">
        <v>1</v>
      </c>
      <c r="E282" s="62">
        <v>1700</v>
      </c>
      <c r="F282" s="62">
        <v>160</v>
      </c>
      <c r="G282" s="62">
        <v>270</v>
      </c>
      <c r="H282" s="62">
        <v>1</v>
      </c>
      <c r="I282" s="12"/>
    </row>
    <row r="283" spans="2:9">
      <c r="B283" s="11"/>
      <c r="C283" s="61" t="s">
        <v>511</v>
      </c>
      <c r="D283" s="62">
        <v>1</v>
      </c>
      <c r="E283" s="62">
        <v>1700</v>
      </c>
      <c r="F283" s="62">
        <v>160</v>
      </c>
      <c r="G283" s="62">
        <v>70</v>
      </c>
      <c r="H283" s="62">
        <v>1</v>
      </c>
      <c r="I283" s="12"/>
    </row>
    <row r="284" spans="2:9">
      <c r="B284" s="11"/>
      <c r="C284" s="61" t="s">
        <v>512</v>
      </c>
      <c r="D284" s="62">
        <v>1</v>
      </c>
      <c r="E284" s="62">
        <v>1700</v>
      </c>
      <c r="F284" s="62">
        <v>160</v>
      </c>
      <c r="G284" s="62">
        <v>20</v>
      </c>
      <c r="H284" s="62">
        <v>1</v>
      </c>
      <c r="I284" s="12"/>
    </row>
    <row r="285" spans="2:9">
      <c r="B285" s="11"/>
      <c r="C285" s="61" t="s">
        <v>513</v>
      </c>
      <c r="D285" s="62">
        <v>2</v>
      </c>
      <c r="E285" s="62">
        <v>7500</v>
      </c>
      <c r="F285" s="62">
        <v>32</v>
      </c>
      <c r="G285" s="62">
        <v>520</v>
      </c>
      <c r="H285" s="62">
        <v>1</v>
      </c>
      <c r="I285" s="12"/>
    </row>
    <row r="286" spans="2:9">
      <c r="B286" s="11"/>
      <c r="C286" s="61" t="s">
        <v>514</v>
      </c>
      <c r="D286" s="62">
        <v>1</v>
      </c>
      <c r="E286" s="62">
        <v>1700</v>
      </c>
      <c r="F286" s="62">
        <v>160</v>
      </c>
      <c r="G286" s="62">
        <v>20</v>
      </c>
      <c r="H286" s="62">
        <v>1</v>
      </c>
      <c r="I286" s="12"/>
    </row>
    <row r="287" spans="2:9">
      <c r="B287" s="11"/>
      <c r="C287" s="61" t="s">
        <v>515</v>
      </c>
      <c r="D287" s="62">
        <v>1</v>
      </c>
      <c r="E287" s="62">
        <v>615</v>
      </c>
      <c r="F287" s="62">
        <v>160</v>
      </c>
      <c r="G287" s="62">
        <v>8</v>
      </c>
      <c r="H287" s="62">
        <v>1</v>
      </c>
      <c r="I287" s="12"/>
    </row>
    <row r="288" spans="2:9">
      <c r="B288" s="11"/>
      <c r="C288" s="61" t="s">
        <v>516</v>
      </c>
      <c r="D288" s="62">
        <v>1</v>
      </c>
      <c r="E288" s="62">
        <v>1700</v>
      </c>
      <c r="F288" s="62">
        <v>160</v>
      </c>
      <c r="G288" s="62">
        <v>70</v>
      </c>
      <c r="H288" s="62">
        <v>1</v>
      </c>
      <c r="I288" s="12"/>
    </row>
    <row r="289" spans="2:9">
      <c r="B289" s="11"/>
      <c r="C289" s="61" t="s">
        <v>517</v>
      </c>
      <c r="D289" s="62">
        <v>2</v>
      </c>
      <c r="E289" s="62">
        <v>7500</v>
      </c>
      <c r="F289" s="62">
        <v>32</v>
      </c>
      <c r="G289" s="62">
        <v>6140</v>
      </c>
      <c r="H289" s="62">
        <v>1</v>
      </c>
      <c r="I289" s="12"/>
    </row>
    <row r="290" spans="2:9">
      <c r="B290" s="11"/>
      <c r="C290" s="61" t="s">
        <v>518</v>
      </c>
      <c r="D290" s="62">
        <v>1</v>
      </c>
      <c r="E290" s="62">
        <v>2000</v>
      </c>
      <c r="F290" s="62">
        <v>0</v>
      </c>
      <c r="G290" s="62">
        <v>420</v>
      </c>
      <c r="H290" s="62">
        <v>1</v>
      </c>
      <c r="I290" s="12"/>
    </row>
    <row r="291" spans="2:9">
      <c r="B291" s="11"/>
      <c r="C291" s="61" t="s">
        <v>519</v>
      </c>
      <c r="D291" s="62">
        <v>1</v>
      </c>
      <c r="E291" s="62">
        <v>2000</v>
      </c>
      <c r="F291" s="62">
        <v>0</v>
      </c>
      <c r="G291" s="62">
        <v>20</v>
      </c>
      <c r="H291" s="62">
        <v>1</v>
      </c>
      <c r="I291" s="12"/>
    </row>
    <row r="292" spans="2:9">
      <c r="B292" s="11"/>
      <c r="C292" s="61" t="s">
        <v>520</v>
      </c>
      <c r="D292" s="62">
        <v>1</v>
      </c>
      <c r="E292" s="62">
        <v>1700</v>
      </c>
      <c r="F292" s="62">
        <v>160</v>
      </c>
      <c r="G292" s="62">
        <v>20</v>
      </c>
      <c r="H292" s="62">
        <v>1</v>
      </c>
      <c r="I292" s="12"/>
    </row>
    <row r="293" spans="2:9">
      <c r="B293" s="11"/>
      <c r="C293" s="61" t="s">
        <v>521</v>
      </c>
      <c r="D293" s="62">
        <v>4</v>
      </c>
      <c r="E293" s="62">
        <v>15000</v>
      </c>
      <c r="F293" s="62">
        <v>80</v>
      </c>
      <c r="G293" s="62">
        <v>820</v>
      </c>
      <c r="H293" s="62">
        <v>1</v>
      </c>
      <c r="I293" s="12"/>
    </row>
    <row r="294" spans="2:9">
      <c r="B294" s="11"/>
      <c r="C294" s="61" t="s">
        <v>523</v>
      </c>
      <c r="D294" s="62">
        <v>2</v>
      </c>
      <c r="E294" s="62">
        <v>4000</v>
      </c>
      <c r="F294" s="62">
        <v>0</v>
      </c>
      <c r="G294" s="62">
        <v>20</v>
      </c>
      <c r="H294" s="62">
        <v>1</v>
      </c>
      <c r="I294" s="12"/>
    </row>
    <row r="295" spans="2:9">
      <c r="B295" s="11"/>
      <c r="C295" s="61" t="s">
        <v>524</v>
      </c>
      <c r="D295" s="62">
        <v>1</v>
      </c>
      <c r="E295" s="62">
        <v>3750</v>
      </c>
      <c r="F295" s="62">
        <v>410</v>
      </c>
      <c r="G295" s="62">
        <v>20</v>
      </c>
      <c r="H295" s="62">
        <v>1</v>
      </c>
      <c r="I295" s="12"/>
    </row>
    <row r="296" spans="2:9">
      <c r="B296" s="11"/>
      <c r="C296" s="61" t="s">
        <v>525</v>
      </c>
      <c r="D296" s="62">
        <v>1</v>
      </c>
      <c r="E296" s="62">
        <v>1700</v>
      </c>
      <c r="F296" s="62">
        <v>160</v>
      </c>
      <c r="G296" s="62">
        <v>820</v>
      </c>
      <c r="H296" s="62">
        <v>1</v>
      </c>
      <c r="I296" s="12"/>
    </row>
    <row r="297" spans="2:9">
      <c r="B297" s="11"/>
      <c r="C297" s="61" t="s">
        <v>526</v>
      </c>
      <c r="D297" s="62">
        <v>8</v>
      </c>
      <c r="E297" s="62">
        <v>30000</v>
      </c>
      <c r="F297" s="62">
        <v>160</v>
      </c>
      <c r="G297" s="62">
        <v>20</v>
      </c>
      <c r="H297" s="62">
        <v>1</v>
      </c>
      <c r="I297" s="12"/>
    </row>
    <row r="298" spans="2:9">
      <c r="B298" s="11"/>
      <c r="C298" s="61" t="s">
        <v>527</v>
      </c>
      <c r="D298" s="62">
        <v>1</v>
      </c>
      <c r="E298" s="62">
        <v>1700</v>
      </c>
      <c r="F298" s="62">
        <v>160</v>
      </c>
      <c r="G298" s="62">
        <v>20</v>
      </c>
      <c r="H298" s="62">
        <v>1</v>
      </c>
      <c r="I298" s="12"/>
    </row>
    <row r="299" spans="2:9">
      <c r="B299" s="11"/>
      <c r="C299" s="61" t="s">
        <v>528</v>
      </c>
      <c r="D299" s="62">
        <v>1</v>
      </c>
      <c r="E299" s="62">
        <v>2000</v>
      </c>
      <c r="F299" s="62">
        <v>0</v>
      </c>
      <c r="G299" s="62">
        <v>108</v>
      </c>
      <c r="H299" s="62">
        <v>1</v>
      </c>
      <c r="I299" s="12"/>
    </row>
    <row r="300" spans="2:9">
      <c r="B300" s="11"/>
      <c r="C300" s="61" t="s">
        <v>529</v>
      </c>
      <c r="D300" s="62">
        <v>1</v>
      </c>
      <c r="E300" s="62">
        <v>1700</v>
      </c>
      <c r="F300" s="62">
        <v>160</v>
      </c>
      <c r="G300" s="62">
        <v>20</v>
      </c>
      <c r="H300" s="62">
        <v>1</v>
      </c>
      <c r="I300" s="12"/>
    </row>
    <row r="301" spans="2:9">
      <c r="B301" s="11"/>
      <c r="C301" s="61" t="s">
        <v>530</v>
      </c>
      <c r="D301" s="62">
        <v>4</v>
      </c>
      <c r="E301" s="62">
        <v>15000</v>
      </c>
      <c r="F301" s="62">
        <v>80</v>
      </c>
      <c r="G301" s="62">
        <v>20</v>
      </c>
      <c r="H301" s="62">
        <v>1</v>
      </c>
      <c r="I301" s="12"/>
    </row>
    <row r="302" spans="2:9">
      <c r="B302" s="11"/>
      <c r="C302" s="61" t="s">
        <v>531</v>
      </c>
      <c r="D302" s="62">
        <v>2</v>
      </c>
      <c r="E302" s="62">
        <v>3750</v>
      </c>
      <c r="F302" s="62">
        <v>32</v>
      </c>
      <c r="G302" s="62">
        <v>20</v>
      </c>
      <c r="H302" s="62">
        <v>1</v>
      </c>
      <c r="I302" s="12"/>
    </row>
    <row r="303" spans="2:9">
      <c r="B303" s="11"/>
      <c r="C303" s="61" t="s">
        <v>532</v>
      </c>
      <c r="D303" s="62">
        <v>2</v>
      </c>
      <c r="E303" s="62">
        <v>3750</v>
      </c>
      <c r="F303" s="62">
        <v>32</v>
      </c>
      <c r="G303" s="62">
        <v>20</v>
      </c>
      <c r="H303" s="62">
        <v>1</v>
      </c>
      <c r="I303" s="12"/>
    </row>
    <row r="304" spans="2:9">
      <c r="B304" s="11"/>
      <c r="C304" s="61" t="s">
        <v>533</v>
      </c>
      <c r="D304" s="62">
        <v>1</v>
      </c>
      <c r="E304" s="62">
        <v>3750</v>
      </c>
      <c r="F304" s="62">
        <v>4</v>
      </c>
      <c r="G304" s="62">
        <v>420</v>
      </c>
      <c r="H304" s="62">
        <v>1</v>
      </c>
      <c r="I304" s="12"/>
    </row>
    <row r="305" spans="2:9">
      <c r="B305" s="11"/>
      <c r="C305" s="61" t="s">
        <v>534</v>
      </c>
      <c r="D305" s="62">
        <v>1</v>
      </c>
      <c r="E305" s="62">
        <v>2000</v>
      </c>
      <c r="F305" s="62">
        <v>0</v>
      </c>
      <c r="G305" s="62">
        <v>20</v>
      </c>
      <c r="H305" s="62">
        <v>1</v>
      </c>
      <c r="I305" s="12"/>
    </row>
    <row r="306" spans="2:9">
      <c r="B306" s="11"/>
      <c r="C306" s="61" t="s">
        <v>535</v>
      </c>
      <c r="D306" s="62">
        <v>1</v>
      </c>
      <c r="E306" s="62">
        <v>1700</v>
      </c>
      <c r="F306" s="62">
        <v>160</v>
      </c>
      <c r="G306" s="62">
        <v>20</v>
      </c>
      <c r="H306" s="62">
        <v>1</v>
      </c>
      <c r="I306" s="12"/>
    </row>
    <row r="307" spans="2:9">
      <c r="B307" s="11"/>
      <c r="C307" s="61" t="s">
        <v>536</v>
      </c>
      <c r="D307" s="62">
        <v>1</v>
      </c>
      <c r="E307" s="62">
        <v>2000</v>
      </c>
      <c r="F307" s="62">
        <v>0</v>
      </c>
      <c r="G307" s="62">
        <v>20</v>
      </c>
      <c r="H307" s="62">
        <v>1</v>
      </c>
      <c r="I307" s="12"/>
    </row>
    <row r="308" spans="2:9">
      <c r="B308" s="11"/>
      <c r="C308" s="61" t="s">
        <v>537</v>
      </c>
      <c r="D308" s="62">
        <v>1</v>
      </c>
      <c r="E308" s="62">
        <v>1700</v>
      </c>
      <c r="F308" s="62">
        <v>160</v>
      </c>
      <c r="G308" s="62">
        <v>20</v>
      </c>
      <c r="H308" s="62">
        <v>1</v>
      </c>
      <c r="I308" s="12"/>
    </row>
    <row r="309" spans="2:9">
      <c r="B309" s="11"/>
      <c r="C309" s="61" t="s">
        <v>538</v>
      </c>
      <c r="D309" s="62">
        <v>1</v>
      </c>
      <c r="E309" s="62">
        <v>2000</v>
      </c>
      <c r="F309" s="62">
        <v>0</v>
      </c>
      <c r="G309" s="62">
        <v>220</v>
      </c>
      <c r="H309" s="62">
        <v>1</v>
      </c>
      <c r="I309" s="12"/>
    </row>
    <row r="310" spans="2:9">
      <c r="B310" s="11"/>
      <c r="C310" s="61" t="s">
        <v>539</v>
      </c>
      <c r="D310" s="62">
        <v>1</v>
      </c>
      <c r="E310" s="62">
        <v>1700</v>
      </c>
      <c r="F310" s="62">
        <v>160</v>
      </c>
      <c r="G310" s="62">
        <v>20</v>
      </c>
      <c r="H310" s="62">
        <v>1</v>
      </c>
      <c r="I310" s="12"/>
    </row>
    <row r="311" spans="2:9">
      <c r="B311" s="11"/>
      <c r="C311" s="61" t="s">
        <v>540</v>
      </c>
      <c r="D311" s="62">
        <v>1</v>
      </c>
      <c r="E311" s="62">
        <v>1700</v>
      </c>
      <c r="F311" s="62">
        <v>160</v>
      </c>
      <c r="G311" s="62">
        <v>20</v>
      </c>
      <c r="H311" s="62">
        <v>1</v>
      </c>
      <c r="I311" s="12"/>
    </row>
    <row r="312" spans="2:9">
      <c r="B312" s="11"/>
      <c r="C312" s="61" t="s">
        <v>542</v>
      </c>
      <c r="D312" s="62">
        <v>1</v>
      </c>
      <c r="E312" s="62">
        <v>1700</v>
      </c>
      <c r="F312" s="62">
        <v>160</v>
      </c>
      <c r="G312" s="62">
        <v>820</v>
      </c>
      <c r="H312" s="62">
        <v>1</v>
      </c>
      <c r="I312" s="12"/>
    </row>
    <row r="313" spans="2:9">
      <c r="B313" s="11"/>
      <c r="C313" s="61" t="s">
        <v>543</v>
      </c>
      <c r="D313" s="62">
        <v>1</v>
      </c>
      <c r="E313" s="62">
        <v>1700</v>
      </c>
      <c r="F313" s="62">
        <v>160</v>
      </c>
      <c r="G313" s="62">
        <v>20</v>
      </c>
      <c r="H313" s="62">
        <v>1</v>
      </c>
      <c r="I313" s="12"/>
    </row>
    <row r="314" spans="2:9">
      <c r="B314" s="11"/>
      <c r="C314" s="61" t="s">
        <v>544</v>
      </c>
      <c r="D314" s="62">
        <v>1</v>
      </c>
      <c r="E314" s="62">
        <v>2000</v>
      </c>
      <c r="F314" s="62">
        <v>0</v>
      </c>
      <c r="G314" s="62">
        <v>120</v>
      </c>
      <c r="H314" s="62">
        <v>1</v>
      </c>
      <c r="I314" s="12"/>
    </row>
    <row r="315" spans="2:9">
      <c r="B315" s="11"/>
      <c r="C315" s="61" t="s">
        <v>545</v>
      </c>
      <c r="D315" s="62">
        <v>1</v>
      </c>
      <c r="E315" s="62">
        <v>1700</v>
      </c>
      <c r="F315" s="62">
        <v>160</v>
      </c>
      <c r="G315" s="62">
        <v>70</v>
      </c>
      <c r="H315" s="62">
        <v>1</v>
      </c>
      <c r="I315" s="12"/>
    </row>
    <row r="316" spans="2:9">
      <c r="B316" s="11"/>
      <c r="C316" s="61" t="s">
        <v>546</v>
      </c>
      <c r="D316" s="62">
        <v>2</v>
      </c>
      <c r="E316" s="62">
        <v>7500</v>
      </c>
      <c r="F316" s="62">
        <v>32</v>
      </c>
      <c r="G316" s="62">
        <v>420</v>
      </c>
      <c r="H316" s="62">
        <v>1</v>
      </c>
      <c r="I316" s="12"/>
    </row>
    <row r="317" spans="2:9">
      <c r="B317" s="11"/>
      <c r="C317" s="61" t="s">
        <v>547</v>
      </c>
      <c r="D317" s="62">
        <v>4</v>
      </c>
      <c r="E317" s="62">
        <v>15000</v>
      </c>
      <c r="F317" s="62">
        <v>80</v>
      </c>
      <c r="G317" s="62">
        <v>420</v>
      </c>
      <c r="H317" s="62">
        <v>1</v>
      </c>
      <c r="I317" s="12"/>
    </row>
    <row r="318" spans="2:9">
      <c r="B318" s="11"/>
      <c r="C318" s="61" t="s">
        <v>548</v>
      </c>
      <c r="D318" s="62">
        <v>4</v>
      </c>
      <c r="E318" s="62">
        <v>15000</v>
      </c>
      <c r="F318" s="62">
        <v>80</v>
      </c>
      <c r="G318" s="62">
        <v>420</v>
      </c>
      <c r="H318" s="62">
        <v>1</v>
      </c>
      <c r="I318" s="12"/>
    </row>
    <row r="319" spans="2:9">
      <c r="B319" s="11"/>
      <c r="C319" s="61" t="s">
        <v>549</v>
      </c>
      <c r="D319" s="62">
        <v>1</v>
      </c>
      <c r="E319" s="62">
        <v>1700</v>
      </c>
      <c r="F319" s="62">
        <v>160</v>
      </c>
      <c r="G319" s="62">
        <v>20</v>
      </c>
      <c r="H319" s="62">
        <v>1</v>
      </c>
      <c r="I319" s="12"/>
    </row>
    <row r="320" spans="2:9">
      <c r="B320" s="11"/>
      <c r="C320" s="61" t="s">
        <v>550</v>
      </c>
      <c r="D320" s="62">
        <v>2</v>
      </c>
      <c r="E320" s="62">
        <v>7500</v>
      </c>
      <c r="F320" s="62">
        <v>850</v>
      </c>
      <c r="G320" s="62">
        <v>20</v>
      </c>
      <c r="H320" s="62">
        <v>1</v>
      </c>
      <c r="I320" s="12"/>
    </row>
    <row r="321" spans="2:9">
      <c r="B321" s="11"/>
      <c r="C321" s="61" t="s">
        <v>551</v>
      </c>
      <c r="D321" s="62">
        <v>1</v>
      </c>
      <c r="E321" s="62">
        <v>1700</v>
      </c>
      <c r="F321" s="62">
        <v>160</v>
      </c>
      <c r="G321" s="62">
        <v>20</v>
      </c>
      <c r="H321" s="62">
        <v>1</v>
      </c>
      <c r="I321" s="12"/>
    </row>
    <row r="322" spans="2:9">
      <c r="B322" s="11"/>
      <c r="C322" s="61" t="s">
        <v>552</v>
      </c>
      <c r="D322" s="62">
        <v>1</v>
      </c>
      <c r="E322" s="62">
        <v>3750</v>
      </c>
      <c r="F322" s="62">
        <v>4</v>
      </c>
      <c r="G322" s="62">
        <v>820</v>
      </c>
      <c r="H322" s="62">
        <v>1</v>
      </c>
      <c r="I322" s="12"/>
    </row>
    <row r="323" spans="2:9">
      <c r="B323" s="11"/>
      <c r="C323" s="61" t="s">
        <v>553</v>
      </c>
      <c r="D323" s="62">
        <v>4</v>
      </c>
      <c r="E323" s="62">
        <v>15000</v>
      </c>
      <c r="F323" s="62">
        <v>80</v>
      </c>
      <c r="G323" s="62">
        <v>1420</v>
      </c>
      <c r="H323" s="62">
        <v>1</v>
      </c>
      <c r="I323" s="12"/>
    </row>
    <row r="324" spans="2:9">
      <c r="B324" s="11"/>
      <c r="C324" s="61" t="s">
        <v>554</v>
      </c>
      <c r="D324" s="62">
        <v>1</v>
      </c>
      <c r="E324" s="62">
        <v>2000</v>
      </c>
      <c r="F324" s="62">
        <v>0</v>
      </c>
      <c r="G324" s="62">
        <v>20</v>
      </c>
      <c r="H324" s="62">
        <v>1</v>
      </c>
      <c r="I324" s="12"/>
    </row>
    <row r="325" spans="2:9">
      <c r="B325" s="11"/>
      <c r="C325" s="61" t="s">
        <v>555</v>
      </c>
      <c r="D325" s="62">
        <v>1</v>
      </c>
      <c r="E325" s="62">
        <v>1700</v>
      </c>
      <c r="F325" s="62">
        <v>160</v>
      </c>
      <c r="G325" s="62">
        <v>20</v>
      </c>
      <c r="H325" s="62">
        <v>1</v>
      </c>
      <c r="I325" s="12"/>
    </row>
    <row r="326" spans="2:9">
      <c r="B326" s="11"/>
      <c r="C326" s="61" t="s">
        <v>556</v>
      </c>
      <c r="D326" s="62">
        <v>4</v>
      </c>
      <c r="E326" s="62">
        <v>15000</v>
      </c>
      <c r="F326" s="62">
        <v>80</v>
      </c>
      <c r="G326" s="62">
        <v>420</v>
      </c>
      <c r="H326" s="62">
        <v>1</v>
      </c>
      <c r="I326" s="12"/>
    </row>
    <row r="327" spans="2:9">
      <c r="B327" s="11"/>
      <c r="C327" s="61" t="s">
        <v>557</v>
      </c>
      <c r="D327" s="62">
        <v>1</v>
      </c>
      <c r="E327" s="62">
        <v>1700</v>
      </c>
      <c r="F327" s="62">
        <v>160</v>
      </c>
      <c r="G327" s="62">
        <v>670</v>
      </c>
      <c r="H327" s="62">
        <v>1</v>
      </c>
      <c r="I327" s="12"/>
    </row>
    <row r="328" spans="2:9">
      <c r="B328" s="11"/>
      <c r="C328" s="61" t="s">
        <v>558</v>
      </c>
      <c r="D328" s="62">
        <v>1</v>
      </c>
      <c r="E328" s="62">
        <v>2000</v>
      </c>
      <c r="F328" s="62">
        <v>0</v>
      </c>
      <c r="G328" s="62">
        <v>20</v>
      </c>
      <c r="H328" s="62">
        <v>1</v>
      </c>
      <c r="I328" s="12"/>
    </row>
    <row r="329" spans="2:9">
      <c r="B329" s="11"/>
      <c r="C329" s="61" t="s">
        <v>559</v>
      </c>
      <c r="D329" s="62">
        <v>1</v>
      </c>
      <c r="E329" s="62">
        <v>2000</v>
      </c>
      <c r="F329" s="62">
        <v>0</v>
      </c>
      <c r="G329" s="62">
        <v>20</v>
      </c>
      <c r="H329" s="62">
        <v>1</v>
      </c>
      <c r="I329" s="12"/>
    </row>
    <row r="330" spans="2:9">
      <c r="B330" s="11"/>
      <c r="C330" s="61" t="s">
        <v>560</v>
      </c>
      <c r="D330" s="62">
        <v>1</v>
      </c>
      <c r="E330" s="62">
        <v>2000</v>
      </c>
      <c r="F330" s="62">
        <v>0</v>
      </c>
      <c r="G330" s="62">
        <v>20</v>
      </c>
      <c r="H330" s="62">
        <v>1</v>
      </c>
      <c r="I330" s="12"/>
    </row>
    <row r="331" spans="2:9">
      <c r="B331" s="11"/>
      <c r="C331" s="61" t="s">
        <v>561</v>
      </c>
      <c r="D331" s="62">
        <v>1</v>
      </c>
      <c r="E331" s="62">
        <v>1700</v>
      </c>
      <c r="F331" s="62">
        <v>160</v>
      </c>
      <c r="G331" s="62">
        <v>20</v>
      </c>
      <c r="H331" s="62">
        <v>1</v>
      </c>
      <c r="I331" s="12"/>
    </row>
    <row r="332" spans="2:9">
      <c r="B332" s="11"/>
      <c r="C332" s="61" t="s">
        <v>562</v>
      </c>
      <c r="D332" s="62">
        <v>1</v>
      </c>
      <c r="E332" s="62">
        <v>1700</v>
      </c>
      <c r="F332" s="62">
        <v>160</v>
      </c>
      <c r="G332" s="62">
        <v>20</v>
      </c>
      <c r="H332" s="62">
        <v>1</v>
      </c>
      <c r="I332" s="12"/>
    </row>
    <row r="333" spans="2:9">
      <c r="B333" s="11"/>
      <c r="C333" s="61" t="s">
        <v>564</v>
      </c>
      <c r="D333" s="62">
        <v>1</v>
      </c>
      <c r="E333" s="62">
        <v>1700</v>
      </c>
      <c r="F333" s="62">
        <v>160</v>
      </c>
      <c r="G333" s="62">
        <v>220</v>
      </c>
      <c r="H333" s="62">
        <v>1</v>
      </c>
      <c r="I333" s="12"/>
    </row>
    <row r="334" spans="2:9">
      <c r="B334" s="11"/>
      <c r="C334" s="61" t="s">
        <v>565</v>
      </c>
      <c r="D334" s="62">
        <v>1</v>
      </c>
      <c r="E334" s="62">
        <v>1700</v>
      </c>
      <c r="F334" s="62">
        <v>160</v>
      </c>
      <c r="G334" s="62">
        <v>20</v>
      </c>
      <c r="H334" s="62">
        <v>1</v>
      </c>
      <c r="I334" s="12"/>
    </row>
    <row r="335" spans="2:9">
      <c r="B335" s="11"/>
      <c r="C335" s="61" t="s">
        <v>567</v>
      </c>
      <c r="D335" s="62">
        <v>1</v>
      </c>
      <c r="E335" s="62">
        <v>615</v>
      </c>
      <c r="F335" s="62">
        <v>160</v>
      </c>
      <c r="G335" s="62">
        <v>20</v>
      </c>
      <c r="H335" s="62">
        <v>1</v>
      </c>
      <c r="I335" s="12"/>
    </row>
    <row r="336" spans="2:9">
      <c r="B336" s="11"/>
      <c r="C336" s="61" t="s">
        <v>568</v>
      </c>
      <c r="D336" s="62">
        <v>16</v>
      </c>
      <c r="E336" s="62">
        <v>30000</v>
      </c>
      <c r="F336" s="62">
        <v>320</v>
      </c>
      <c r="G336" s="62">
        <v>420</v>
      </c>
      <c r="H336" s="62">
        <v>1</v>
      </c>
      <c r="I336" s="12"/>
    </row>
    <row r="337" spans="2:9">
      <c r="B337" s="11"/>
      <c r="C337" s="61" t="s">
        <v>569</v>
      </c>
      <c r="D337" s="62">
        <v>1</v>
      </c>
      <c r="E337" s="62">
        <v>2000</v>
      </c>
      <c r="F337" s="62">
        <v>0</v>
      </c>
      <c r="G337" s="62">
        <v>20</v>
      </c>
      <c r="H337" s="62">
        <v>1</v>
      </c>
      <c r="I337" s="12"/>
    </row>
    <row r="338" spans="2:9">
      <c r="B338" s="11"/>
      <c r="C338" s="61" t="s">
        <v>570</v>
      </c>
      <c r="D338" s="62">
        <v>1</v>
      </c>
      <c r="E338" s="62">
        <v>3750</v>
      </c>
      <c r="F338" s="62">
        <v>4</v>
      </c>
      <c r="G338" s="62">
        <v>1420</v>
      </c>
      <c r="H338" s="62">
        <v>1</v>
      </c>
      <c r="I338" s="12"/>
    </row>
    <row r="339" spans="2:9">
      <c r="B339" s="11"/>
      <c r="C339" s="61" t="s">
        <v>571</v>
      </c>
      <c r="D339" s="62">
        <v>1</v>
      </c>
      <c r="E339" s="62">
        <v>2000</v>
      </c>
      <c r="F339" s="62">
        <v>0</v>
      </c>
      <c r="G339" s="62">
        <v>420</v>
      </c>
      <c r="H339" s="62">
        <v>1</v>
      </c>
      <c r="I339" s="12"/>
    </row>
    <row r="340" spans="2:9">
      <c r="B340" s="11"/>
      <c r="C340" s="61" t="s">
        <v>572</v>
      </c>
      <c r="D340" s="62">
        <v>1</v>
      </c>
      <c r="E340" s="62">
        <v>1700</v>
      </c>
      <c r="F340" s="62">
        <v>160</v>
      </c>
      <c r="G340" s="62">
        <v>20</v>
      </c>
      <c r="H340" s="62">
        <v>1</v>
      </c>
      <c r="I340" s="12"/>
    </row>
    <row r="341" spans="2:9">
      <c r="B341" s="11"/>
      <c r="C341" s="61" t="s">
        <v>573</v>
      </c>
      <c r="D341" s="62">
        <v>1</v>
      </c>
      <c r="E341" s="62">
        <v>3750</v>
      </c>
      <c r="F341" s="62">
        <v>410</v>
      </c>
      <c r="G341" s="62">
        <v>220</v>
      </c>
      <c r="H341" s="62">
        <v>1</v>
      </c>
      <c r="I341" s="12"/>
    </row>
    <row r="342" spans="2:9">
      <c r="B342" s="11"/>
      <c r="C342" s="61" t="s">
        <v>574</v>
      </c>
      <c r="D342" s="62">
        <v>1</v>
      </c>
      <c r="E342" s="62">
        <v>1700</v>
      </c>
      <c r="F342" s="62">
        <v>160</v>
      </c>
      <c r="G342" s="62">
        <v>20</v>
      </c>
      <c r="H342" s="62">
        <v>1</v>
      </c>
      <c r="I342" s="12"/>
    </row>
    <row r="343" spans="2:9">
      <c r="B343" s="11"/>
      <c r="C343" s="61" t="s">
        <v>575</v>
      </c>
      <c r="D343" s="62">
        <v>2</v>
      </c>
      <c r="E343" s="62">
        <v>7500</v>
      </c>
      <c r="F343" s="62">
        <v>850</v>
      </c>
      <c r="G343" s="62">
        <v>20</v>
      </c>
      <c r="H343" s="62">
        <v>1</v>
      </c>
      <c r="I343" s="12"/>
    </row>
    <row r="344" spans="2:9">
      <c r="B344" s="11"/>
      <c r="C344" s="61" t="s">
        <v>576</v>
      </c>
      <c r="D344" s="62">
        <v>1</v>
      </c>
      <c r="E344" s="62">
        <v>1700</v>
      </c>
      <c r="F344" s="62">
        <v>160</v>
      </c>
      <c r="G344" s="62">
        <v>20</v>
      </c>
      <c r="H344" s="62">
        <v>1</v>
      </c>
      <c r="I344" s="12"/>
    </row>
    <row r="345" spans="2:9">
      <c r="B345" s="11"/>
      <c r="C345" s="61" t="s">
        <v>577</v>
      </c>
      <c r="D345" s="62">
        <v>1</v>
      </c>
      <c r="E345" s="62">
        <v>1700</v>
      </c>
      <c r="F345" s="62">
        <v>160</v>
      </c>
      <c r="G345" s="62">
        <v>20</v>
      </c>
      <c r="H345" s="62">
        <v>1</v>
      </c>
      <c r="I345" s="12"/>
    </row>
    <row r="346" spans="2:9">
      <c r="B346" s="11"/>
      <c r="C346" s="61" t="s">
        <v>578</v>
      </c>
      <c r="D346" s="62">
        <v>1</v>
      </c>
      <c r="E346" s="62">
        <v>2000</v>
      </c>
      <c r="F346" s="62">
        <v>0</v>
      </c>
      <c r="G346" s="62">
        <v>220</v>
      </c>
      <c r="H346" s="62">
        <v>1</v>
      </c>
      <c r="I346" s="12"/>
    </row>
    <row r="347" spans="2:9">
      <c r="B347" s="11"/>
      <c r="C347" s="61" t="s">
        <v>579</v>
      </c>
      <c r="D347" s="62">
        <v>1</v>
      </c>
      <c r="E347" s="62">
        <v>1700</v>
      </c>
      <c r="F347" s="62">
        <v>160</v>
      </c>
      <c r="G347" s="62">
        <v>820</v>
      </c>
      <c r="H347" s="62">
        <v>1</v>
      </c>
      <c r="I347" s="12"/>
    </row>
    <row r="348" spans="2:9">
      <c r="B348" s="11"/>
      <c r="C348" s="61" t="s">
        <v>580</v>
      </c>
      <c r="D348" s="62">
        <v>2</v>
      </c>
      <c r="E348" s="62">
        <v>3750</v>
      </c>
      <c r="F348" s="62">
        <v>32</v>
      </c>
      <c r="G348" s="62">
        <v>820</v>
      </c>
      <c r="H348" s="62">
        <v>1</v>
      </c>
      <c r="I348" s="12"/>
    </row>
    <row r="349" spans="2:9">
      <c r="B349" s="11"/>
      <c r="C349" s="61" t="s">
        <v>581</v>
      </c>
      <c r="D349" s="62">
        <v>1</v>
      </c>
      <c r="E349" s="62">
        <v>1700</v>
      </c>
      <c r="F349" s="62">
        <v>160</v>
      </c>
      <c r="G349" s="62">
        <v>20</v>
      </c>
      <c r="H349" s="62">
        <v>1</v>
      </c>
      <c r="I349" s="12"/>
    </row>
    <row r="350" spans="2:9">
      <c r="B350" s="11"/>
      <c r="C350" s="61" t="s">
        <v>582</v>
      </c>
      <c r="D350" s="62">
        <v>1</v>
      </c>
      <c r="E350" s="62">
        <v>2000</v>
      </c>
      <c r="F350" s="62">
        <v>0</v>
      </c>
      <c r="G350" s="62">
        <v>820</v>
      </c>
      <c r="H350" s="62">
        <v>1</v>
      </c>
      <c r="I350" s="12"/>
    </row>
    <row r="351" spans="2:9">
      <c r="B351" s="11"/>
      <c r="C351" s="61" t="s">
        <v>583</v>
      </c>
      <c r="D351" s="62">
        <v>1</v>
      </c>
      <c r="E351" s="62">
        <v>3750</v>
      </c>
      <c r="F351" s="62">
        <v>410</v>
      </c>
      <c r="G351" s="62">
        <v>20</v>
      </c>
      <c r="H351" s="62">
        <v>1</v>
      </c>
      <c r="I351" s="12"/>
    </row>
    <row r="352" spans="2:9">
      <c r="B352" s="11"/>
      <c r="C352" s="61" t="s">
        <v>584</v>
      </c>
      <c r="D352" s="62">
        <v>1</v>
      </c>
      <c r="E352" s="62">
        <v>3750</v>
      </c>
      <c r="F352" s="62">
        <v>4</v>
      </c>
      <c r="G352" s="62">
        <v>420</v>
      </c>
      <c r="H352" s="62">
        <v>1</v>
      </c>
      <c r="I352" s="12"/>
    </row>
    <row r="353" spans="2:9">
      <c r="B353" s="11"/>
      <c r="C353" s="61" t="s">
        <v>585</v>
      </c>
      <c r="D353" s="62">
        <v>1</v>
      </c>
      <c r="E353" s="62">
        <v>1700</v>
      </c>
      <c r="F353" s="62">
        <v>160</v>
      </c>
      <c r="G353" s="62">
        <v>20</v>
      </c>
      <c r="H353" s="62">
        <v>1</v>
      </c>
      <c r="I353" s="12"/>
    </row>
    <row r="354" spans="2:9">
      <c r="B354" s="11"/>
      <c r="C354" s="61" t="s">
        <v>586</v>
      </c>
      <c r="D354" s="62">
        <v>1</v>
      </c>
      <c r="E354" s="62">
        <v>2000</v>
      </c>
      <c r="F354" s="62">
        <v>0</v>
      </c>
      <c r="G354" s="62">
        <v>20</v>
      </c>
      <c r="H354" s="62">
        <v>1</v>
      </c>
      <c r="I354" s="12"/>
    </row>
    <row r="355" spans="2:9">
      <c r="B355" s="11"/>
      <c r="C355" s="61" t="s">
        <v>587</v>
      </c>
      <c r="D355" s="62">
        <v>2</v>
      </c>
      <c r="E355" s="62">
        <v>3750</v>
      </c>
      <c r="F355" s="62">
        <v>32</v>
      </c>
      <c r="G355" s="62">
        <v>20</v>
      </c>
      <c r="H355" s="62">
        <v>1</v>
      </c>
      <c r="I355" s="12"/>
    </row>
    <row r="356" spans="2:9">
      <c r="B356" s="11"/>
      <c r="C356" s="61" t="s">
        <v>589</v>
      </c>
      <c r="D356" s="62">
        <v>4</v>
      </c>
      <c r="E356" s="62">
        <v>7500</v>
      </c>
      <c r="F356" s="62">
        <v>80</v>
      </c>
      <c r="G356" s="62">
        <v>70</v>
      </c>
      <c r="H356" s="62">
        <v>1</v>
      </c>
      <c r="I356" s="12"/>
    </row>
    <row r="357" spans="2:9">
      <c r="B357" s="11"/>
      <c r="C357" s="61" t="s">
        <v>590</v>
      </c>
      <c r="D357" s="62">
        <v>4</v>
      </c>
      <c r="E357" s="62">
        <v>15000</v>
      </c>
      <c r="F357" s="62">
        <v>80</v>
      </c>
      <c r="G357" s="62">
        <v>420</v>
      </c>
      <c r="H357" s="62">
        <v>1</v>
      </c>
      <c r="I357" s="12"/>
    </row>
    <row r="358" spans="2:9">
      <c r="B358" s="11"/>
      <c r="C358" s="61" t="s">
        <v>591</v>
      </c>
      <c r="D358" s="62">
        <v>1</v>
      </c>
      <c r="E358" s="62">
        <v>1700</v>
      </c>
      <c r="F358" s="62">
        <v>160</v>
      </c>
      <c r="G358" s="62">
        <v>420</v>
      </c>
      <c r="H358" s="62">
        <v>1</v>
      </c>
      <c r="I358" s="12"/>
    </row>
    <row r="359" spans="2:9">
      <c r="B359" s="11"/>
      <c r="C359" s="61" t="s">
        <v>592</v>
      </c>
      <c r="D359" s="62">
        <v>4</v>
      </c>
      <c r="E359" s="62">
        <v>15000</v>
      </c>
      <c r="F359" s="62">
        <v>80</v>
      </c>
      <c r="G359" s="62">
        <v>20</v>
      </c>
      <c r="H359" s="62">
        <v>1</v>
      </c>
      <c r="I359" s="12"/>
    </row>
    <row r="360" spans="2:9">
      <c r="B360" s="11"/>
      <c r="C360" s="61" t="s">
        <v>593</v>
      </c>
      <c r="D360" s="62">
        <v>1</v>
      </c>
      <c r="E360" s="62">
        <v>1700</v>
      </c>
      <c r="F360" s="62">
        <v>160</v>
      </c>
      <c r="G360" s="62">
        <v>70</v>
      </c>
      <c r="H360" s="62">
        <v>1</v>
      </c>
      <c r="I360" s="12"/>
    </row>
    <row r="361" spans="2:9">
      <c r="B361" s="11"/>
      <c r="C361" s="61" t="s">
        <v>594</v>
      </c>
      <c r="D361" s="62">
        <v>1</v>
      </c>
      <c r="E361" s="62">
        <v>3750</v>
      </c>
      <c r="F361" s="62">
        <v>4</v>
      </c>
      <c r="G361" s="62">
        <v>420</v>
      </c>
      <c r="H361" s="62">
        <v>1</v>
      </c>
      <c r="I361" s="12"/>
    </row>
    <row r="362" spans="2:9">
      <c r="B362" s="11"/>
      <c r="C362" s="61" t="s">
        <v>595</v>
      </c>
      <c r="D362" s="62">
        <v>8</v>
      </c>
      <c r="E362" s="62">
        <v>30000</v>
      </c>
      <c r="F362" s="62">
        <v>160</v>
      </c>
      <c r="G362" s="62">
        <v>820</v>
      </c>
      <c r="H362" s="62">
        <v>1</v>
      </c>
      <c r="I362" s="12"/>
    </row>
    <row r="363" spans="2:9">
      <c r="B363" s="11"/>
      <c r="C363" s="61" t="s">
        <v>596</v>
      </c>
      <c r="D363" s="62">
        <v>1</v>
      </c>
      <c r="E363" s="62">
        <v>3750</v>
      </c>
      <c r="F363" s="62">
        <v>410</v>
      </c>
      <c r="G363" s="62">
        <v>20</v>
      </c>
      <c r="H363" s="62">
        <v>1</v>
      </c>
      <c r="I363" s="12"/>
    </row>
    <row r="364" spans="2:9">
      <c r="B364" s="11"/>
      <c r="C364" s="61" t="s">
        <v>597</v>
      </c>
      <c r="D364" s="62">
        <v>1</v>
      </c>
      <c r="E364" s="62">
        <v>1700</v>
      </c>
      <c r="F364" s="62">
        <v>160</v>
      </c>
      <c r="G364" s="62">
        <v>20</v>
      </c>
      <c r="H364" s="62">
        <v>1</v>
      </c>
      <c r="I364" s="12"/>
    </row>
    <row r="365" spans="2:9">
      <c r="B365" s="11"/>
      <c r="C365" s="61" t="s">
        <v>598</v>
      </c>
      <c r="D365" s="62">
        <v>2</v>
      </c>
      <c r="E365" s="62">
        <v>3750</v>
      </c>
      <c r="F365" s="62">
        <v>32</v>
      </c>
      <c r="G365" s="62">
        <v>8</v>
      </c>
      <c r="H365" s="62">
        <v>1</v>
      </c>
      <c r="I365" s="12"/>
    </row>
    <row r="366" spans="2:9">
      <c r="B366" s="11"/>
      <c r="C366" s="61" t="s">
        <v>599</v>
      </c>
      <c r="D366" s="62">
        <v>1</v>
      </c>
      <c r="E366" s="62">
        <v>1700</v>
      </c>
      <c r="F366" s="62">
        <v>160</v>
      </c>
      <c r="G366" s="62">
        <v>20</v>
      </c>
      <c r="H366" s="62">
        <v>1</v>
      </c>
      <c r="I366" s="12"/>
    </row>
    <row r="367" spans="2:9">
      <c r="B367" s="11"/>
      <c r="C367" s="61" t="s">
        <v>600</v>
      </c>
      <c r="D367" s="62">
        <v>1</v>
      </c>
      <c r="E367" s="62">
        <v>1700</v>
      </c>
      <c r="F367" s="62">
        <v>160</v>
      </c>
      <c r="G367" s="62">
        <v>20</v>
      </c>
      <c r="H367" s="62">
        <v>1</v>
      </c>
      <c r="I367" s="12"/>
    </row>
    <row r="368" spans="2:9">
      <c r="B368" s="11"/>
      <c r="C368" s="61" t="s">
        <v>601</v>
      </c>
      <c r="D368" s="62">
        <v>4</v>
      </c>
      <c r="E368" s="62">
        <v>15000</v>
      </c>
      <c r="F368" s="62">
        <v>80</v>
      </c>
      <c r="G368" s="62">
        <v>420</v>
      </c>
      <c r="H368" s="62">
        <v>1</v>
      </c>
      <c r="I368" s="12"/>
    </row>
    <row r="369" spans="2:9">
      <c r="B369" s="11"/>
      <c r="C369" s="61" t="s">
        <v>602</v>
      </c>
      <c r="D369" s="62">
        <v>1</v>
      </c>
      <c r="E369" s="62">
        <v>3750</v>
      </c>
      <c r="F369" s="62">
        <v>4</v>
      </c>
      <c r="G369" s="62">
        <v>20</v>
      </c>
      <c r="H369" s="62">
        <v>1</v>
      </c>
      <c r="I369" s="12"/>
    </row>
    <row r="370" spans="2:9">
      <c r="B370" s="11"/>
      <c r="C370" s="61" t="s">
        <v>604</v>
      </c>
      <c r="D370" s="62">
        <v>1</v>
      </c>
      <c r="E370" s="62">
        <v>1700</v>
      </c>
      <c r="F370" s="62">
        <v>160</v>
      </c>
      <c r="G370" s="62">
        <v>20</v>
      </c>
      <c r="H370" s="62">
        <v>1</v>
      </c>
      <c r="I370" s="12"/>
    </row>
    <row r="371" spans="2:9">
      <c r="B371" s="11"/>
      <c r="C371" s="61" t="s">
        <v>605</v>
      </c>
      <c r="D371" s="62">
        <v>1</v>
      </c>
      <c r="E371" s="62">
        <v>3750</v>
      </c>
      <c r="F371" s="62">
        <v>4</v>
      </c>
      <c r="G371" s="62">
        <v>420</v>
      </c>
      <c r="H371" s="62">
        <v>1</v>
      </c>
      <c r="I371" s="12"/>
    </row>
    <row r="372" spans="2:9">
      <c r="B372" s="11"/>
      <c r="C372" s="61" t="s">
        <v>606</v>
      </c>
      <c r="D372" s="62">
        <v>1</v>
      </c>
      <c r="E372" s="62">
        <v>1700</v>
      </c>
      <c r="F372" s="62">
        <v>160</v>
      </c>
      <c r="G372" s="62">
        <v>20</v>
      </c>
      <c r="H372" s="62">
        <v>1</v>
      </c>
      <c r="I372" s="12"/>
    </row>
    <row r="373" spans="2:9">
      <c r="B373" s="11"/>
      <c r="C373" s="61" t="s">
        <v>607</v>
      </c>
      <c r="D373" s="62">
        <v>1</v>
      </c>
      <c r="E373" s="62">
        <v>3750</v>
      </c>
      <c r="F373" s="62">
        <v>4</v>
      </c>
      <c r="G373" s="62">
        <v>420</v>
      </c>
      <c r="H373" s="62">
        <v>1</v>
      </c>
      <c r="I373" s="12"/>
    </row>
    <row r="374" spans="2:9">
      <c r="B374" s="11"/>
      <c r="C374" s="61" t="s">
        <v>608</v>
      </c>
      <c r="D374" s="62">
        <v>1</v>
      </c>
      <c r="E374" s="62">
        <v>1700</v>
      </c>
      <c r="F374" s="62">
        <v>160</v>
      </c>
      <c r="G374" s="62">
        <v>20</v>
      </c>
      <c r="H374" s="62">
        <v>1</v>
      </c>
      <c r="I374" s="12"/>
    </row>
    <row r="375" spans="2:9">
      <c r="B375" s="11"/>
      <c r="C375" s="61" t="s">
        <v>610</v>
      </c>
      <c r="D375" s="62">
        <v>1</v>
      </c>
      <c r="E375" s="62">
        <v>3750</v>
      </c>
      <c r="F375" s="62">
        <v>4</v>
      </c>
      <c r="G375" s="62">
        <v>420</v>
      </c>
      <c r="H375" s="62">
        <v>1</v>
      </c>
      <c r="I375" s="12"/>
    </row>
    <row r="376" spans="2:9">
      <c r="B376" s="11"/>
      <c r="C376" s="61" t="s">
        <v>611</v>
      </c>
      <c r="D376" s="62">
        <v>1</v>
      </c>
      <c r="E376" s="62">
        <v>1700</v>
      </c>
      <c r="F376" s="62">
        <v>160</v>
      </c>
      <c r="G376" s="62">
        <v>20</v>
      </c>
      <c r="H376" s="62">
        <v>1</v>
      </c>
      <c r="I376" s="12"/>
    </row>
    <row r="377" spans="2:9">
      <c r="B377" s="11"/>
      <c r="C377" s="61" t="s">
        <v>613</v>
      </c>
      <c r="D377" s="62">
        <v>2</v>
      </c>
      <c r="E377" s="62">
        <v>7500</v>
      </c>
      <c r="F377" s="62">
        <v>850</v>
      </c>
      <c r="G377" s="62">
        <v>1128</v>
      </c>
      <c r="H377" s="62">
        <v>1</v>
      </c>
      <c r="I377" s="12"/>
    </row>
    <row r="378" spans="2:9">
      <c r="B378" s="11"/>
      <c r="C378" s="61" t="s">
        <v>614</v>
      </c>
      <c r="D378" s="62">
        <v>1</v>
      </c>
      <c r="E378" s="62">
        <v>1700</v>
      </c>
      <c r="F378" s="62">
        <v>160</v>
      </c>
      <c r="G378" s="62">
        <v>220</v>
      </c>
      <c r="H378" s="62">
        <v>1</v>
      </c>
      <c r="I378" s="12"/>
    </row>
    <row r="379" spans="2:9">
      <c r="B379" s="11"/>
      <c r="C379" s="61" t="s">
        <v>615</v>
      </c>
      <c r="D379" s="62">
        <v>1</v>
      </c>
      <c r="E379" s="62">
        <v>2000</v>
      </c>
      <c r="F379" s="62">
        <v>0</v>
      </c>
      <c r="G379" s="62">
        <v>20</v>
      </c>
      <c r="H379" s="62">
        <v>1</v>
      </c>
      <c r="I379" s="12"/>
    </row>
    <row r="380" spans="2:9">
      <c r="B380" s="11"/>
      <c r="C380" s="61" t="s">
        <v>616</v>
      </c>
      <c r="D380" s="62">
        <v>4</v>
      </c>
      <c r="E380" s="62">
        <v>15000</v>
      </c>
      <c r="F380" s="62">
        <v>80</v>
      </c>
      <c r="G380" s="62">
        <v>420</v>
      </c>
      <c r="H380" s="62">
        <v>1</v>
      </c>
      <c r="I380" s="12"/>
    </row>
    <row r="381" spans="2:9">
      <c r="B381" s="11"/>
      <c r="C381" s="61" t="s">
        <v>617</v>
      </c>
      <c r="D381" s="62">
        <v>1</v>
      </c>
      <c r="E381" s="62">
        <v>1700</v>
      </c>
      <c r="F381" s="62">
        <v>160</v>
      </c>
      <c r="G381" s="62">
        <v>20</v>
      </c>
      <c r="H381" s="62">
        <v>1</v>
      </c>
      <c r="I381" s="12"/>
    </row>
    <row r="382" spans="2:9">
      <c r="B382" s="11"/>
      <c r="C382" s="61" t="s">
        <v>618</v>
      </c>
      <c r="D382" s="62">
        <v>1</v>
      </c>
      <c r="E382" s="62">
        <v>1700</v>
      </c>
      <c r="F382" s="62">
        <v>160</v>
      </c>
      <c r="G382" s="62">
        <v>20</v>
      </c>
      <c r="H382" s="62">
        <v>1</v>
      </c>
      <c r="I382" s="12"/>
    </row>
    <row r="383" spans="2:9">
      <c r="B383" s="11"/>
      <c r="C383" s="61" t="s">
        <v>619</v>
      </c>
      <c r="D383" s="62">
        <v>1</v>
      </c>
      <c r="E383" s="62">
        <v>1700</v>
      </c>
      <c r="F383" s="62">
        <v>160</v>
      </c>
      <c r="G383" s="62">
        <v>20</v>
      </c>
      <c r="H383" s="62">
        <v>1</v>
      </c>
      <c r="I383" s="12"/>
    </row>
    <row r="384" spans="2:9">
      <c r="B384" s="11"/>
      <c r="C384" s="61" t="s">
        <v>620</v>
      </c>
      <c r="D384" s="62">
        <v>1</v>
      </c>
      <c r="E384" s="62">
        <v>1700</v>
      </c>
      <c r="F384" s="62">
        <v>160</v>
      </c>
      <c r="G384" s="62">
        <v>20</v>
      </c>
      <c r="H384" s="62">
        <v>1</v>
      </c>
      <c r="I384" s="12"/>
    </row>
    <row r="385" spans="2:9">
      <c r="B385" s="11"/>
      <c r="C385" s="61" t="s">
        <v>621</v>
      </c>
      <c r="D385" s="62">
        <v>4</v>
      </c>
      <c r="E385" s="62">
        <v>15000</v>
      </c>
      <c r="F385" s="62">
        <v>80</v>
      </c>
      <c r="G385" s="62">
        <v>420</v>
      </c>
      <c r="H385" s="62">
        <v>1</v>
      </c>
      <c r="I385" s="12"/>
    </row>
    <row r="386" spans="2:9">
      <c r="B386" s="11"/>
      <c r="C386" s="61" t="s">
        <v>622</v>
      </c>
      <c r="D386" s="62">
        <v>1</v>
      </c>
      <c r="E386" s="62">
        <v>1700</v>
      </c>
      <c r="F386" s="62">
        <v>160</v>
      </c>
      <c r="G386" s="62">
        <v>820</v>
      </c>
      <c r="H386" s="62">
        <v>1</v>
      </c>
      <c r="I386" s="12"/>
    </row>
    <row r="387" spans="2:9">
      <c r="B387" s="11"/>
      <c r="C387" s="61" t="s">
        <v>623</v>
      </c>
      <c r="D387" s="62">
        <v>2</v>
      </c>
      <c r="E387" s="62">
        <v>4000</v>
      </c>
      <c r="F387" s="62">
        <v>0</v>
      </c>
      <c r="G387" s="62">
        <v>20</v>
      </c>
      <c r="H387" s="62">
        <v>1</v>
      </c>
      <c r="I387" s="12"/>
    </row>
    <row r="388" spans="2:9">
      <c r="B388" s="11"/>
      <c r="C388" s="61" t="s">
        <v>624</v>
      </c>
      <c r="D388" s="62">
        <v>2</v>
      </c>
      <c r="E388" s="62">
        <v>3750</v>
      </c>
      <c r="F388" s="62">
        <v>32</v>
      </c>
      <c r="G388" s="62">
        <v>20</v>
      </c>
      <c r="H388" s="62">
        <v>1</v>
      </c>
      <c r="I388" s="12"/>
    </row>
    <row r="389" spans="2:9">
      <c r="B389" s="11"/>
      <c r="C389" s="61" t="s">
        <v>625</v>
      </c>
      <c r="D389" s="62">
        <v>2</v>
      </c>
      <c r="E389" s="62">
        <v>3750</v>
      </c>
      <c r="F389" s="62">
        <v>32</v>
      </c>
      <c r="G389" s="62">
        <v>20</v>
      </c>
      <c r="H389" s="62">
        <v>1</v>
      </c>
      <c r="I389" s="12"/>
    </row>
    <row r="390" spans="2:9">
      <c r="B390" s="11"/>
      <c r="C390" s="61" t="s">
        <v>626</v>
      </c>
      <c r="D390" s="62">
        <v>2</v>
      </c>
      <c r="E390" s="62">
        <v>3750</v>
      </c>
      <c r="F390" s="62">
        <v>32</v>
      </c>
      <c r="G390" s="62">
        <v>20</v>
      </c>
      <c r="H390" s="62">
        <v>1</v>
      </c>
      <c r="I390" s="12"/>
    </row>
    <row r="391" spans="2:9">
      <c r="B391" s="11"/>
      <c r="C391" s="61" t="s">
        <v>627</v>
      </c>
      <c r="D391" s="62">
        <v>2</v>
      </c>
      <c r="E391" s="62">
        <v>3750</v>
      </c>
      <c r="F391" s="62">
        <v>32</v>
      </c>
      <c r="G391" s="62">
        <v>20</v>
      </c>
      <c r="H391" s="62">
        <v>1</v>
      </c>
      <c r="I391" s="12"/>
    </row>
    <row r="392" spans="2:9">
      <c r="B392" s="11"/>
      <c r="C392" s="61" t="s">
        <v>628</v>
      </c>
      <c r="D392" s="62">
        <v>2</v>
      </c>
      <c r="E392" s="62">
        <v>3750</v>
      </c>
      <c r="F392" s="62">
        <v>32</v>
      </c>
      <c r="G392" s="62">
        <v>20</v>
      </c>
      <c r="H392" s="62">
        <v>1</v>
      </c>
      <c r="I392" s="12"/>
    </row>
    <row r="393" spans="2:9">
      <c r="B393" s="11"/>
      <c r="C393" s="61" t="s">
        <v>629</v>
      </c>
      <c r="D393" s="62">
        <v>1</v>
      </c>
      <c r="E393" s="62">
        <v>1700</v>
      </c>
      <c r="F393" s="62">
        <v>160</v>
      </c>
      <c r="G393" s="62">
        <v>20</v>
      </c>
      <c r="H393" s="62">
        <v>1</v>
      </c>
      <c r="I393" s="12"/>
    </row>
    <row r="394" spans="2:9">
      <c r="B394" s="11"/>
      <c r="C394" s="61" t="s">
        <v>630</v>
      </c>
      <c r="D394" s="62">
        <v>1</v>
      </c>
      <c r="E394" s="62">
        <v>1700</v>
      </c>
      <c r="F394" s="62">
        <v>160</v>
      </c>
      <c r="G394" s="62">
        <v>20</v>
      </c>
      <c r="H394" s="62">
        <v>1</v>
      </c>
      <c r="I394" s="12"/>
    </row>
    <row r="395" spans="2:9">
      <c r="B395" s="11"/>
      <c r="C395" s="61" t="s">
        <v>631</v>
      </c>
      <c r="D395" s="62">
        <v>8</v>
      </c>
      <c r="E395" s="62">
        <v>15000</v>
      </c>
      <c r="F395" s="62">
        <v>160</v>
      </c>
      <c r="G395" s="62">
        <v>20</v>
      </c>
      <c r="H395" s="62">
        <v>1</v>
      </c>
      <c r="I395" s="12"/>
    </row>
    <row r="396" spans="2:9">
      <c r="B396" s="11"/>
      <c r="C396" s="61" t="s">
        <v>633</v>
      </c>
      <c r="D396" s="62">
        <v>1</v>
      </c>
      <c r="E396" s="62">
        <v>2000</v>
      </c>
      <c r="F396" s="62">
        <v>0</v>
      </c>
      <c r="G396" s="62">
        <v>20</v>
      </c>
      <c r="H396" s="62">
        <v>1</v>
      </c>
      <c r="I396" s="12"/>
    </row>
    <row r="397" spans="2:9">
      <c r="B397" s="11"/>
      <c r="C397" s="61" t="s">
        <v>634</v>
      </c>
      <c r="D397" s="62">
        <v>1</v>
      </c>
      <c r="E397" s="62">
        <v>1700</v>
      </c>
      <c r="F397" s="62">
        <v>160</v>
      </c>
      <c r="G397" s="62">
        <v>1820</v>
      </c>
      <c r="H397" s="62">
        <v>1</v>
      </c>
      <c r="I397" s="12"/>
    </row>
    <row r="398" spans="2:9">
      <c r="B398" s="11"/>
      <c r="C398" s="61" t="s">
        <v>635</v>
      </c>
      <c r="D398" s="62">
        <v>1</v>
      </c>
      <c r="E398" s="62">
        <v>1700</v>
      </c>
      <c r="F398" s="62">
        <v>160</v>
      </c>
      <c r="G398" s="62">
        <v>20</v>
      </c>
      <c r="H398" s="62">
        <v>1</v>
      </c>
      <c r="I398" s="12"/>
    </row>
    <row r="399" spans="2:9">
      <c r="B399" s="11"/>
      <c r="C399" s="61" t="s">
        <v>636</v>
      </c>
      <c r="D399" s="62">
        <v>4</v>
      </c>
      <c r="E399" s="62">
        <v>15000</v>
      </c>
      <c r="F399" s="62">
        <v>80</v>
      </c>
      <c r="G399" s="62">
        <v>420</v>
      </c>
      <c r="H399" s="62">
        <v>1</v>
      </c>
      <c r="I399" s="12"/>
    </row>
    <row r="400" spans="2:9">
      <c r="B400" s="11"/>
      <c r="C400" s="61" t="s">
        <v>637</v>
      </c>
      <c r="D400" s="62">
        <v>1</v>
      </c>
      <c r="E400" s="62">
        <v>2000</v>
      </c>
      <c r="F400" s="62">
        <v>0</v>
      </c>
      <c r="G400" s="62">
        <v>20</v>
      </c>
      <c r="H400" s="62">
        <v>1</v>
      </c>
      <c r="I400" s="12"/>
    </row>
    <row r="401" spans="2:9">
      <c r="B401" s="11"/>
      <c r="C401" s="61" t="s">
        <v>638</v>
      </c>
      <c r="D401" s="62">
        <v>1</v>
      </c>
      <c r="E401" s="62">
        <v>1700</v>
      </c>
      <c r="F401" s="62">
        <v>160</v>
      </c>
      <c r="G401" s="62">
        <v>20</v>
      </c>
      <c r="H401" s="62">
        <v>1</v>
      </c>
      <c r="I401" s="12"/>
    </row>
    <row r="402" spans="2:9">
      <c r="B402" s="11"/>
      <c r="C402" s="61" t="s">
        <v>639</v>
      </c>
      <c r="D402" s="62">
        <v>1</v>
      </c>
      <c r="E402" s="62">
        <v>1700</v>
      </c>
      <c r="F402" s="62">
        <v>160</v>
      </c>
      <c r="G402" s="62">
        <v>1220</v>
      </c>
      <c r="H402" s="62">
        <v>1</v>
      </c>
      <c r="I402" s="12"/>
    </row>
    <row r="403" spans="2:9">
      <c r="B403" s="11"/>
      <c r="C403" s="61" t="s">
        <v>640</v>
      </c>
      <c r="D403" s="62">
        <v>1</v>
      </c>
      <c r="E403" s="62">
        <v>1700</v>
      </c>
      <c r="F403" s="62">
        <v>160</v>
      </c>
      <c r="G403" s="62">
        <v>20</v>
      </c>
      <c r="H403" s="62">
        <v>1</v>
      </c>
      <c r="I403" s="12"/>
    </row>
    <row r="404" spans="2:9">
      <c r="B404" s="11"/>
      <c r="C404" s="61" t="s">
        <v>641</v>
      </c>
      <c r="D404" s="62">
        <v>1</v>
      </c>
      <c r="E404" s="62">
        <v>1700</v>
      </c>
      <c r="F404" s="62">
        <v>160</v>
      </c>
      <c r="G404" s="62">
        <v>20</v>
      </c>
      <c r="H404" s="62">
        <v>1</v>
      </c>
      <c r="I404" s="12"/>
    </row>
    <row r="405" spans="2:9">
      <c r="B405" s="11"/>
      <c r="C405" s="61" t="s">
        <v>642</v>
      </c>
      <c r="D405" s="62">
        <v>2</v>
      </c>
      <c r="E405" s="62">
        <v>3750</v>
      </c>
      <c r="F405" s="62">
        <v>32</v>
      </c>
      <c r="G405" s="62">
        <v>20</v>
      </c>
      <c r="H405" s="62">
        <v>1</v>
      </c>
      <c r="I405" s="12"/>
    </row>
    <row r="406" spans="2:9">
      <c r="B406" s="11"/>
      <c r="C406" s="61" t="s">
        <v>643</v>
      </c>
      <c r="D406" s="62">
        <v>1</v>
      </c>
      <c r="E406" s="62">
        <v>1700</v>
      </c>
      <c r="F406" s="62">
        <v>160</v>
      </c>
      <c r="G406" s="62">
        <v>20</v>
      </c>
      <c r="H406" s="62">
        <v>1</v>
      </c>
      <c r="I406" s="12"/>
    </row>
    <row r="407" spans="2:9">
      <c r="B407" s="11"/>
      <c r="C407" s="61" t="s">
        <v>644</v>
      </c>
      <c r="D407" s="62">
        <v>1</v>
      </c>
      <c r="E407" s="62">
        <v>1700</v>
      </c>
      <c r="F407" s="62">
        <v>160</v>
      </c>
      <c r="G407" s="62">
        <v>20</v>
      </c>
      <c r="H407" s="62">
        <v>1</v>
      </c>
      <c r="I407" s="12"/>
    </row>
    <row r="408" spans="2:9">
      <c r="B408" s="11"/>
      <c r="C408" s="61" t="s">
        <v>645</v>
      </c>
      <c r="D408" s="62">
        <v>1</v>
      </c>
      <c r="E408" s="62">
        <v>1700</v>
      </c>
      <c r="F408" s="62">
        <v>160</v>
      </c>
      <c r="G408" s="62">
        <v>20</v>
      </c>
      <c r="H408" s="62">
        <v>1</v>
      </c>
      <c r="I408" s="12"/>
    </row>
    <row r="409" spans="2:9">
      <c r="B409" s="11"/>
      <c r="C409" s="61" t="s">
        <v>646</v>
      </c>
      <c r="D409" s="62">
        <v>1</v>
      </c>
      <c r="E409" s="62">
        <v>1700</v>
      </c>
      <c r="F409" s="62">
        <v>160</v>
      </c>
      <c r="G409" s="62">
        <v>20</v>
      </c>
      <c r="H409" s="62">
        <v>1</v>
      </c>
      <c r="I409" s="12"/>
    </row>
    <row r="410" spans="2:9">
      <c r="B410" s="11"/>
      <c r="C410" s="61" t="s">
        <v>647</v>
      </c>
      <c r="D410" s="62">
        <v>1</v>
      </c>
      <c r="E410" s="62">
        <v>1700</v>
      </c>
      <c r="F410" s="62">
        <v>160</v>
      </c>
      <c r="G410" s="62">
        <v>20</v>
      </c>
      <c r="H410" s="62">
        <v>1</v>
      </c>
      <c r="I410" s="12"/>
    </row>
    <row r="411" spans="2:9">
      <c r="B411" s="11"/>
      <c r="C411" s="61" t="s">
        <v>648</v>
      </c>
      <c r="D411" s="62">
        <v>1</v>
      </c>
      <c r="E411" s="62">
        <v>3750</v>
      </c>
      <c r="F411" s="62">
        <v>4</v>
      </c>
      <c r="G411" s="62">
        <v>420</v>
      </c>
      <c r="H411" s="62">
        <v>1</v>
      </c>
      <c r="I411" s="12"/>
    </row>
    <row r="412" spans="2:9">
      <c r="B412" s="11"/>
      <c r="C412" s="61" t="s">
        <v>649</v>
      </c>
      <c r="D412" s="62">
        <v>1</v>
      </c>
      <c r="E412" s="62">
        <v>1700</v>
      </c>
      <c r="F412" s="62">
        <v>160</v>
      </c>
      <c r="G412" s="62">
        <v>20</v>
      </c>
      <c r="H412" s="62">
        <v>1</v>
      </c>
      <c r="I412" s="12"/>
    </row>
    <row r="413" spans="2:9">
      <c r="B413" s="11"/>
      <c r="C413" s="61" t="s">
        <v>651</v>
      </c>
      <c r="D413" s="62">
        <v>1</v>
      </c>
      <c r="E413" s="62">
        <v>1700</v>
      </c>
      <c r="F413" s="62">
        <v>160</v>
      </c>
      <c r="G413" s="62">
        <v>20</v>
      </c>
      <c r="H413" s="62">
        <v>1</v>
      </c>
      <c r="I413" s="12"/>
    </row>
    <row r="414" spans="2:9">
      <c r="B414" s="11"/>
      <c r="C414" s="61" t="s">
        <v>652</v>
      </c>
      <c r="D414" s="62">
        <v>4</v>
      </c>
      <c r="E414" s="62">
        <v>15000</v>
      </c>
      <c r="F414" s="62">
        <v>80</v>
      </c>
      <c r="G414" s="62">
        <v>1420</v>
      </c>
      <c r="H414" s="62">
        <v>1</v>
      </c>
      <c r="I414" s="12"/>
    </row>
    <row r="415" spans="2:9">
      <c r="B415" s="11"/>
      <c r="C415" s="61" t="s">
        <v>653</v>
      </c>
      <c r="D415" s="62">
        <v>1</v>
      </c>
      <c r="E415" s="62">
        <v>3750</v>
      </c>
      <c r="F415" s="62">
        <v>410</v>
      </c>
      <c r="G415" s="62">
        <v>20</v>
      </c>
      <c r="H415" s="62">
        <v>1</v>
      </c>
      <c r="I415" s="12"/>
    </row>
    <row r="416" spans="2:9">
      <c r="B416" s="11"/>
      <c r="C416" s="61" t="s">
        <v>654</v>
      </c>
      <c r="D416" s="62">
        <v>1</v>
      </c>
      <c r="E416" s="62">
        <v>1700</v>
      </c>
      <c r="F416" s="62">
        <v>160</v>
      </c>
      <c r="G416" s="62">
        <v>220</v>
      </c>
      <c r="H416" s="62">
        <v>1</v>
      </c>
      <c r="I416" s="12"/>
    </row>
    <row r="417" spans="2:9">
      <c r="B417" s="11"/>
      <c r="C417" s="61" t="s">
        <v>655</v>
      </c>
      <c r="D417" s="62">
        <v>1</v>
      </c>
      <c r="E417" s="62">
        <v>1700</v>
      </c>
      <c r="F417" s="62">
        <v>160</v>
      </c>
      <c r="G417" s="62">
        <v>20</v>
      </c>
      <c r="H417" s="62">
        <v>1</v>
      </c>
      <c r="I417" s="12"/>
    </row>
    <row r="418" spans="2:9">
      <c r="B418" s="11"/>
      <c r="C418" s="61" t="s">
        <v>656</v>
      </c>
      <c r="D418" s="62">
        <v>1</v>
      </c>
      <c r="E418" s="62">
        <v>3750</v>
      </c>
      <c r="F418" s="62">
        <v>410</v>
      </c>
      <c r="G418" s="62">
        <v>30</v>
      </c>
      <c r="H418" s="62">
        <v>1</v>
      </c>
      <c r="I418" s="12"/>
    </row>
    <row r="419" spans="2:9">
      <c r="B419" s="11"/>
      <c r="C419" s="61" t="s">
        <v>657</v>
      </c>
      <c r="D419" s="62">
        <v>1</v>
      </c>
      <c r="E419" s="62">
        <v>1700</v>
      </c>
      <c r="F419" s="62">
        <v>160</v>
      </c>
      <c r="G419" s="62">
        <v>20</v>
      </c>
      <c r="H419" s="62">
        <v>1</v>
      </c>
      <c r="I419" s="12"/>
    </row>
    <row r="420" spans="2:9">
      <c r="B420" s="11"/>
      <c r="C420" s="61" t="s">
        <v>658</v>
      </c>
      <c r="D420" s="62">
        <v>1</v>
      </c>
      <c r="E420" s="62">
        <v>1700</v>
      </c>
      <c r="F420" s="62">
        <v>160</v>
      </c>
      <c r="G420" s="62">
        <v>20</v>
      </c>
      <c r="H420" s="62">
        <v>1</v>
      </c>
      <c r="I420" s="12"/>
    </row>
    <row r="421" spans="2:9">
      <c r="B421" s="11"/>
      <c r="C421" s="61" t="s">
        <v>659</v>
      </c>
      <c r="D421" s="62">
        <v>1</v>
      </c>
      <c r="E421" s="62">
        <v>1700</v>
      </c>
      <c r="F421" s="62">
        <v>160</v>
      </c>
      <c r="G421" s="62">
        <v>420</v>
      </c>
      <c r="H421" s="62">
        <v>1</v>
      </c>
      <c r="I421" s="12"/>
    </row>
    <row r="422" spans="2:9">
      <c r="B422" s="11"/>
      <c r="C422" s="61" t="s">
        <v>660</v>
      </c>
      <c r="D422" s="62">
        <v>1</v>
      </c>
      <c r="E422" s="62">
        <v>2000</v>
      </c>
      <c r="F422" s="62">
        <v>0</v>
      </c>
      <c r="G422" s="62">
        <v>20</v>
      </c>
      <c r="H422" s="62">
        <v>1</v>
      </c>
      <c r="I422" s="12"/>
    </row>
    <row r="423" spans="2:9">
      <c r="B423" s="11"/>
      <c r="C423" s="61" t="s">
        <v>662</v>
      </c>
      <c r="D423" s="62">
        <v>1</v>
      </c>
      <c r="E423" s="62">
        <v>615</v>
      </c>
      <c r="F423" s="62">
        <v>160</v>
      </c>
      <c r="G423" s="62">
        <v>20</v>
      </c>
      <c r="H423" s="62">
        <v>1</v>
      </c>
      <c r="I423" s="12"/>
    </row>
    <row r="424" spans="2:9">
      <c r="B424" s="11"/>
      <c r="C424" s="61" t="s">
        <v>663</v>
      </c>
      <c r="D424" s="62">
        <v>1</v>
      </c>
      <c r="E424" s="62">
        <v>2000</v>
      </c>
      <c r="F424" s="62">
        <v>0</v>
      </c>
      <c r="G424" s="62">
        <v>1220</v>
      </c>
      <c r="H424" s="62">
        <v>1</v>
      </c>
      <c r="I424" s="12"/>
    </row>
    <row r="425" spans="2:9">
      <c r="B425" s="11"/>
      <c r="C425" s="61" t="s">
        <v>664</v>
      </c>
      <c r="D425" s="62">
        <v>1</v>
      </c>
      <c r="E425" s="62">
        <v>1700</v>
      </c>
      <c r="F425" s="62">
        <v>160</v>
      </c>
      <c r="G425" s="62">
        <v>20</v>
      </c>
      <c r="H425" s="62">
        <v>1</v>
      </c>
      <c r="I425" s="12"/>
    </row>
    <row r="426" spans="2:9">
      <c r="B426" s="11"/>
      <c r="C426" s="61" t="s">
        <v>665</v>
      </c>
      <c r="D426" s="62">
        <v>1</v>
      </c>
      <c r="E426" s="62">
        <v>3750</v>
      </c>
      <c r="F426" s="62">
        <v>4</v>
      </c>
      <c r="G426" s="62">
        <v>420</v>
      </c>
      <c r="H426" s="62">
        <v>1</v>
      </c>
      <c r="I426" s="12"/>
    </row>
    <row r="427" spans="2:9">
      <c r="B427" s="11"/>
      <c r="C427" s="61" t="s">
        <v>666</v>
      </c>
      <c r="D427" s="62">
        <v>1</v>
      </c>
      <c r="E427" s="62">
        <v>1700</v>
      </c>
      <c r="F427" s="62">
        <v>160</v>
      </c>
      <c r="G427" s="62">
        <v>20</v>
      </c>
      <c r="H427" s="62">
        <v>1</v>
      </c>
      <c r="I427" s="12"/>
    </row>
    <row r="428" spans="2:9">
      <c r="B428" s="11"/>
      <c r="C428" s="61" t="s">
        <v>667</v>
      </c>
      <c r="D428" s="62">
        <v>4</v>
      </c>
      <c r="E428" s="62">
        <v>15000</v>
      </c>
      <c r="F428" s="62">
        <v>80</v>
      </c>
      <c r="G428" s="62">
        <v>420</v>
      </c>
      <c r="H428" s="62">
        <v>1</v>
      </c>
      <c r="I428" s="12"/>
    </row>
    <row r="429" spans="2:9">
      <c r="B429" s="11"/>
      <c r="C429" s="61" t="s">
        <v>668</v>
      </c>
      <c r="D429" s="62">
        <v>1</v>
      </c>
      <c r="E429" s="62">
        <v>1700</v>
      </c>
      <c r="F429" s="62">
        <v>160</v>
      </c>
      <c r="G429" s="62">
        <v>820</v>
      </c>
      <c r="H429" s="62">
        <v>1</v>
      </c>
      <c r="I429" s="12"/>
    </row>
    <row r="430" spans="2:9">
      <c r="B430" s="11"/>
      <c r="C430" s="61" t="s">
        <v>669</v>
      </c>
      <c r="D430" s="62">
        <v>2</v>
      </c>
      <c r="E430" s="62">
        <v>3750</v>
      </c>
      <c r="F430" s="62">
        <v>32</v>
      </c>
      <c r="G430" s="62">
        <v>220</v>
      </c>
      <c r="H430" s="62">
        <v>1</v>
      </c>
      <c r="I430" s="12"/>
    </row>
    <row r="431" spans="2:9">
      <c r="B431" s="11"/>
      <c r="C431" s="61" t="s">
        <v>670</v>
      </c>
      <c r="D431" s="62">
        <v>1</v>
      </c>
      <c r="E431" s="62">
        <v>1700</v>
      </c>
      <c r="F431" s="62">
        <v>160</v>
      </c>
      <c r="G431" s="62">
        <v>20</v>
      </c>
      <c r="H431" s="62">
        <v>1</v>
      </c>
      <c r="I431" s="12"/>
    </row>
    <row r="432" spans="2:9">
      <c r="B432" s="11"/>
      <c r="C432" s="61" t="s">
        <v>671</v>
      </c>
      <c r="D432" s="62">
        <v>1</v>
      </c>
      <c r="E432" s="62">
        <v>1700</v>
      </c>
      <c r="F432" s="62">
        <v>160</v>
      </c>
      <c r="G432" s="62">
        <v>20</v>
      </c>
      <c r="H432" s="62">
        <v>1</v>
      </c>
      <c r="I432" s="12"/>
    </row>
    <row r="433" spans="2:9">
      <c r="B433" s="11"/>
      <c r="C433" s="61" t="s">
        <v>672</v>
      </c>
      <c r="D433" s="62">
        <v>2</v>
      </c>
      <c r="E433" s="62">
        <v>4000</v>
      </c>
      <c r="F433" s="62">
        <v>0</v>
      </c>
      <c r="G433" s="62">
        <v>820</v>
      </c>
      <c r="H433" s="62">
        <v>1</v>
      </c>
      <c r="I433" s="12"/>
    </row>
    <row r="434" spans="2:9">
      <c r="B434" s="11"/>
      <c r="C434" s="61" t="s">
        <v>673</v>
      </c>
      <c r="D434" s="62">
        <v>1</v>
      </c>
      <c r="E434" s="62">
        <v>1700</v>
      </c>
      <c r="F434" s="62">
        <v>160</v>
      </c>
      <c r="G434" s="62">
        <v>20</v>
      </c>
      <c r="H434" s="62">
        <v>1</v>
      </c>
      <c r="I434" s="12"/>
    </row>
    <row r="435" spans="2:9">
      <c r="B435" s="11"/>
      <c r="C435" s="61" t="s">
        <v>674</v>
      </c>
      <c r="D435" s="62">
        <v>1</v>
      </c>
      <c r="E435" s="62">
        <v>1700</v>
      </c>
      <c r="F435" s="62">
        <v>160</v>
      </c>
      <c r="G435" s="62">
        <v>20</v>
      </c>
      <c r="H435" s="62">
        <v>1</v>
      </c>
      <c r="I435" s="12"/>
    </row>
    <row r="436" spans="2:9">
      <c r="B436" s="11"/>
      <c r="C436" s="61" t="s">
        <v>675</v>
      </c>
      <c r="D436" s="62">
        <v>2</v>
      </c>
      <c r="E436" s="62">
        <v>3750</v>
      </c>
      <c r="F436" s="62">
        <v>32</v>
      </c>
      <c r="G436" s="62">
        <v>20</v>
      </c>
      <c r="H436" s="62">
        <v>1</v>
      </c>
      <c r="I436" s="12"/>
    </row>
    <row r="437" spans="2:9">
      <c r="B437" s="11"/>
      <c r="C437" s="61" t="s">
        <v>676</v>
      </c>
      <c r="D437" s="62">
        <v>1</v>
      </c>
      <c r="E437" s="62">
        <v>1700</v>
      </c>
      <c r="F437" s="62">
        <v>160</v>
      </c>
      <c r="G437" s="62">
        <v>20</v>
      </c>
      <c r="H437" s="62">
        <v>1</v>
      </c>
      <c r="I437" s="12"/>
    </row>
    <row r="438" spans="2:9">
      <c r="B438" s="11"/>
      <c r="C438" s="61" t="s">
        <v>677</v>
      </c>
      <c r="D438" s="62">
        <v>1</v>
      </c>
      <c r="E438" s="62">
        <v>1700</v>
      </c>
      <c r="F438" s="62">
        <v>160</v>
      </c>
      <c r="G438" s="62">
        <v>1820</v>
      </c>
      <c r="H438" s="62">
        <v>1</v>
      </c>
      <c r="I438" s="12"/>
    </row>
    <row r="439" spans="2:9">
      <c r="B439" s="11"/>
      <c r="C439" s="61" t="s">
        <v>678</v>
      </c>
      <c r="D439" s="62">
        <v>1</v>
      </c>
      <c r="E439" s="62">
        <v>1700</v>
      </c>
      <c r="F439" s="62">
        <v>160</v>
      </c>
      <c r="G439" s="62">
        <v>20</v>
      </c>
      <c r="H439" s="62">
        <v>1</v>
      </c>
      <c r="I439" s="12"/>
    </row>
    <row r="440" spans="2:9">
      <c r="B440" s="11"/>
      <c r="C440" s="61" t="s">
        <v>679</v>
      </c>
      <c r="D440" s="62">
        <v>1</v>
      </c>
      <c r="E440" s="62">
        <v>1700</v>
      </c>
      <c r="F440" s="62">
        <v>160</v>
      </c>
      <c r="G440" s="62">
        <v>20</v>
      </c>
      <c r="H440" s="62">
        <v>1</v>
      </c>
      <c r="I440" s="12"/>
    </row>
    <row r="441" spans="2:9">
      <c r="B441" s="11"/>
      <c r="C441" s="61" t="s">
        <v>680</v>
      </c>
      <c r="D441" s="62">
        <v>1</v>
      </c>
      <c r="E441" s="62">
        <v>1700</v>
      </c>
      <c r="F441" s="62">
        <v>160</v>
      </c>
      <c r="G441" s="62">
        <v>20</v>
      </c>
      <c r="H441" s="62">
        <v>1</v>
      </c>
      <c r="I441" s="12"/>
    </row>
    <row r="442" spans="2:9">
      <c r="B442" s="11"/>
      <c r="C442" s="61" t="s">
        <v>681</v>
      </c>
      <c r="D442" s="62">
        <v>1</v>
      </c>
      <c r="E442" s="62">
        <v>1700</v>
      </c>
      <c r="F442" s="62">
        <v>160</v>
      </c>
      <c r="G442" s="62">
        <v>20</v>
      </c>
      <c r="H442" s="62">
        <v>1</v>
      </c>
      <c r="I442" s="12"/>
    </row>
    <row r="443" spans="2:9">
      <c r="B443" s="11"/>
      <c r="C443" s="61" t="s">
        <v>682</v>
      </c>
      <c r="D443" s="62">
        <v>1</v>
      </c>
      <c r="E443" s="62">
        <v>1700</v>
      </c>
      <c r="F443" s="62">
        <v>160</v>
      </c>
      <c r="G443" s="62">
        <v>20</v>
      </c>
      <c r="H443" s="62">
        <v>1</v>
      </c>
      <c r="I443" s="12"/>
    </row>
    <row r="444" spans="2:9">
      <c r="B444" s="11"/>
      <c r="C444" s="61" t="s">
        <v>683</v>
      </c>
      <c r="D444" s="62">
        <v>1</v>
      </c>
      <c r="E444" s="62">
        <v>1700</v>
      </c>
      <c r="F444" s="62">
        <v>160</v>
      </c>
      <c r="G444" s="62">
        <v>70</v>
      </c>
      <c r="H444" s="62">
        <v>1</v>
      </c>
      <c r="I444" s="12"/>
    </row>
    <row r="445" spans="2:9">
      <c r="B445" s="11"/>
      <c r="C445" s="61" t="s">
        <v>684</v>
      </c>
      <c r="D445" s="62">
        <v>32</v>
      </c>
      <c r="E445" s="62">
        <v>60000</v>
      </c>
      <c r="F445" s="62">
        <v>640</v>
      </c>
      <c r="G445" s="62">
        <v>20</v>
      </c>
      <c r="H445" s="62">
        <v>1</v>
      </c>
      <c r="I445" s="12"/>
    </row>
    <row r="446" spans="2:9">
      <c r="B446" s="11"/>
      <c r="C446" s="61" t="s">
        <v>685</v>
      </c>
      <c r="D446" s="62">
        <v>8</v>
      </c>
      <c r="E446" s="62">
        <v>30000</v>
      </c>
      <c r="F446" s="62">
        <v>160</v>
      </c>
      <c r="G446" s="62">
        <v>15340</v>
      </c>
      <c r="H446" s="62">
        <v>1</v>
      </c>
      <c r="I446" s="12"/>
    </row>
    <row r="447" spans="2:9">
      <c r="B447" s="11"/>
      <c r="C447" s="61" t="s">
        <v>686</v>
      </c>
      <c r="D447" s="62">
        <v>2</v>
      </c>
      <c r="E447" s="62">
        <v>7500</v>
      </c>
      <c r="F447" s="62">
        <v>32</v>
      </c>
      <c r="G447" s="62">
        <v>20</v>
      </c>
      <c r="H447" s="62">
        <v>1</v>
      </c>
      <c r="I447" s="12"/>
    </row>
    <row r="448" spans="2:9">
      <c r="B448" s="11"/>
      <c r="C448" s="61" t="s">
        <v>687</v>
      </c>
      <c r="D448" s="62">
        <v>2</v>
      </c>
      <c r="E448" s="62">
        <v>7500</v>
      </c>
      <c r="F448" s="62">
        <v>32</v>
      </c>
      <c r="G448" s="62">
        <v>1020</v>
      </c>
      <c r="H448" s="62">
        <v>1</v>
      </c>
      <c r="I448" s="12"/>
    </row>
    <row r="449" spans="2:9">
      <c r="B449" s="11"/>
      <c r="C449" s="61" t="s">
        <v>688</v>
      </c>
      <c r="D449" s="62">
        <v>1</v>
      </c>
      <c r="E449" s="62">
        <v>1700</v>
      </c>
      <c r="F449" s="62">
        <v>160</v>
      </c>
      <c r="G449" s="62">
        <v>20</v>
      </c>
      <c r="H449" s="62">
        <v>1</v>
      </c>
      <c r="I449" s="12"/>
    </row>
    <row r="450" spans="2:9">
      <c r="B450" s="11"/>
      <c r="C450" s="61" t="s">
        <v>689</v>
      </c>
      <c r="D450" s="62">
        <v>1</v>
      </c>
      <c r="E450" s="62">
        <v>1700</v>
      </c>
      <c r="F450" s="62">
        <v>160</v>
      </c>
      <c r="G450" s="62">
        <v>20</v>
      </c>
      <c r="H450" s="62">
        <v>1</v>
      </c>
      <c r="I450" s="12"/>
    </row>
    <row r="451" spans="2:9">
      <c r="B451" s="11"/>
      <c r="C451" s="61" t="s">
        <v>690</v>
      </c>
      <c r="D451" s="62">
        <v>1</v>
      </c>
      <c r="E451" s="62">
        <v>2000</v>
      </c>
      <c r="F451" s="62">
        <v>0</v>
      </c>
      <c r="G451" s="62">
        <v>20</v>
      </c>
      <c r="H451" s="62">
        <v>1</v>
      </c>
      <c r="I451" s="12"/>
    </row>
    <row r="452" spans="2:9">
      <c r="B452" s="11"/>
      <c r="C452" s="61" t="s">
        <v>691</v>
      </c>
      <c r="D452" s="62">
        <v>1</v>
      </c>
      <c r="E452" s="62">
        <v>2000</v>
      </c>
      <c r="F452" s="62">
        <v>0</v>
      </c>
      <c r="G452" s="62">
        <v>420</v>
      </c>
      <c r="H452" s="62">
        <v>1</v>
      </c>
      <c r="I452" s="12"/>
    </row>
    <row r="453" spans="2:9">
      <c r="B453" s="11"/>
      <c r="C453" s="61" t="s">
        <v>692</v>
      </c>
      <c r="D453" s="62">
        <v>1</v>
      </c>
      <c r="E453" s="62">
        <v>1700</v>
      </c>
      <c r="F453" s="62">
        <v>160</v>
      </c>
      <c r="G453" s="62">
        <v>20</v>
      </c>
      <c r="H453" s="62">
        <v>1</v>
      </c>
      <c r="I453" s="12"/>
    </row>
    <row r="454" spans="2:9">
      <c r="B454" s="11"/>
      <c r="C454" s="61" t="s">
        <v>693</v>
      </c>
      <c r="D454" s="62">
        <v>1</v>
      </c>
      <c r="E454" s="62">
        <v>1700</v>
      </c>
      <c r="F454" s="62">
        <v>160</v>
      </c>
      <c r="G454" s="62">
        <v>70</v>
      </c>
      <c r="H454" s="62">
        <v>1</v>
      </c>
      <c r="I454" s="12"/>
    </row>
    <row r="455" spans="2:9">
      <c r="B455" s="11"/>
      <c r="C455" s="61" t="s">
        <v>694</v>
      </c>
      <c r="D455" s="62">
        <v>4</v>
      </c>
      <c r="E455" s="62">
        <v>15000</v>
      </c>
      <c r="F455" s="62">
        <v>80</v>
      </c>
      <c r="G455" s="62">
        <v>820</v>
      </c>
      <c r="H455" s="62">
        <v>1</v>
      </c>
      <c r="I455" s="12"/>
    </row>
    <row r="456" spans="2:9">
      <c r="B456" s="11"/>
      <c r="C456" s="61" t="s">
        <v>695</v>
      </c>
      <c r="D456" s="62">
        <v>1</v>
      </c>
      <c r="E456" s="62">
        <v>1700</v>
      </c>
      <c r="F456" s="62">
        <v>160</v>
      </c>
      <c r="G456" s="62">
        <v>820</v>
      </c>
      <c r="H456" s="62">
        <v>1</v>
      </c>
      <c r="I456" s="12"/>
    </row>
    <row r="457" spans="2:9">
      <c r="B457" s="11"/>
      <c r="C457" s="61" t="s">
        <v>696</v>
      </c>
      <c r="D457" s="62">
        <v>4</v>
      </c>
      <c r="E457" s="62">
        <v>7500</v>
      </c>
      <c r="F457" s="62">
        <v>80</v>
      </c>
      <c r="G457" s="62">
        <v>20</v>
      </c>
      <c r="H457" s="62">
        <v>1</v>
      </c>
      <c r="I457" s="12"/>
    </row>
    <row r="458" spans="2:9">
      <c r="B458" s="11"/>
      <c r="C458" s="61" t="s">
        <v>697</v>
      </c>
      <c r="D458" s="62">
        <v>1</v>
      </c>
      <c r="E458" s="62">
        <v>2000</v>
      </c>
      <c r="F458" s="62">
        <v>0</v>
      </c>
      <c r="G458" s="62">
        <v>620</v>
      </c>
      <c r="H458" s="62">
        <v>1</v>
      </c>
      <c r="I458" s="12"/>
    </row>
    <row r="459" spans="2:9">
      <c r="B459" s="11"/>
      <c r="C459" s="61" t="s">
        <v>698</v>
      </c>
      <c r="D459" s="62">
        <v>4</v>
      </c>
      <c r="E459" s="62">
        <v>15000</v>
      </c>
      <c r="F459" s="62">
        <v>80</v>
      </c>
      <c r="G459" s="62">
        <v>1820</v>
      </c>
      <c r="H459" s="62">
        <v>1</v>
      </c>
      <c r="I459" s="12"/>
    </row>
    <row r="460" spans="2:9">
      <c r="B460" s="11"/>
      <c r="C460" s="61" t="s">
        <v>699</v>
      </c>
      <c r="D460" s="62">
        <v>2</v>
      </c>
      <c r="E460" s="62">
        <v>3750</v>
      </c>
      <c r="F460" s="62">
        <v>32</v>
      </c>
      <c r="G460" s="62">
        <v>20</v>
      </c>
      <c r="H460" s="62">
        <v>1</v>
      </c>
      <c r="I460" s="12"/>
    </row>
    <row r="461" spans="2:9">
      <c r="B461" s="11"/>
      <c r="C461" s="61" t="s">
        <v>700</v>
      </c>
      <c r="D461" s="62">
        <v>8</v>
      </c>
      <c r="E461" s="62">
        <v>30000</v>
      </c>
      <c r="F461" s="62">
        <v>160</v>
      </c>
      <c r="G461" s="62">
        <v>1844</v>
      </c>
      <c r="H461" s="62">
        <v>1</v>
      </c>
      <c r="I461" s="12"/>
    </row>
    <row r="462" spans="2:9">
      <c r="B462" s="11"/>
      <c r="C462" s="61" t="s">
        <v>701</v>
      </c>
      <c r="D462" s="62">
        <v>1</v>
      </c>
      <c r="E462" s="62">
        <v>2000</v>
      </c>
      <c r="F462" s="62">
        <v>0</v>
      </c>
      <c r="G462" s="62">
        <v>820</v>
      </c>
      <c r="H462" s="62">
        <v>1</v>
      </c>
      <c r="I462" s="12"/>
    </row>
    <row r="463" spans="2:9">
      <c r="B463" s="11"/>
      <c r="C463" s="61" t="s">
        <v>702</v>
      </c>
      <c r="D463" s="62">
        <v>1</v>
      </c>
      <c r="E463" s="62">
        <v>1700</v>
      </c>
      <c r="F463" s="62">
        <v>160</v>
      </c>
      <c r="G463" s="62">
        <v>20</v>
      </c>
      <c r="H463" s="62">
        <v>1</v>
      </c>
      <c r="I463" s="12"/>
    </row>
    <row r="464" spans="2:9">
      <c r="B464" s="11"/>
      <c r="C464" s="61" t="s">
        <v>703</v>
      </c>
      <c r="D464" s="62">
        <v>1</v>
      </c>
      <c r="E464" s="62">
        <v>1700</v>
      </c>
      <c r="F464" s="62">
        <v>160</v>
      </c>
      <c r="G464" s="62">
        <v>220</v>
      </c>
      <c r="H464" s="62">
        <v>1</v>
      </c>
      <c r="I464" s="12"/>
    </row>
    <row r="465" spans="2:9">
      <c r="B465" s="11"/>
      <c r="C465" s="61" t="s">
        <v>704</v>
      </c>
      <c r="D465" s="62">
        <v>1</v>
      </c>
      <c r="E465" s="62">
        <v>1700</v>
      </c>
      <c r="F465" s="62">
        <v>160</v>
      </c>
      <c r="G465" s="62">
        <v>70</v>
      </c>
      <c r="H465" s="62">
        <v>1</v>
      </c>
      <c r="I465" s="12"/>
    </row>
    <row r="466" spans="2:9">
      <c r="B466" s="11"/>
      <c r="C466" s="61" t="s">
        <v>705</v>
      </c>
      <c r="D466" s="62">
        <v>1</v>
      </c>
      <c r="E466" s="62">
        <v>1700</v>
      </c>
      <c r="F466" s="62">
        <v>160</v>
      </c>
      <c r="G466" s="62">
        <v>20</v>
      </c>
      <c r="H466" s="62">
        <v>1</v>
      </c>
      <c r="I466" s="12"/>
    </row>
    <row r="467" spans="2:9">
      <c r="B467" s="11"/>
      <c r="C467" s="61" t="s">
        <v>706</v>
      </c>
      <c r="D467" s="62">
        <v>1</v>
      </c>
      <c r="E467" s="62">
        <v>1700</v>
      </c>
      <c r="F467" s="62">
        <v>160</v>
      </c>
      <c r="G467" s="62">
        <v>20</v>
      </c>
      <c r="H467" s="62">
        <v>1</v>
      </c>
      <c r="I467" s="12"/>
    </row>
    <row r="468" spans="2:9">
      <c r="B468" s="11"/>
      <c r="C468" s="61" t="s">
        <v>707</v>
      </c>
      <c r="D468" s="62">
        <v>1</v>
      </c>
      <c r="E468" s="62">
        <v>1700</v>
      </c>
      <c r="F468" s="62">
        <v>160</v>
      </c>
      <c r="G468" s="62">
        <v>20</v>
      </c>
      <c r="H468" s="62">
        <v>1</v>
      </c>
      <c r="I468" s="12"/>
    </row>
    <row r="469" spans="2:9">
      <c r="B469" s="11"/>
      <c r="C469" s="61" t="s">
        <v>708</v>
      </c>
      <c r="D469" s="62">
        <v>1</v>
      </c>
      <c r="E469" s="62">
        <v>2000</v>
      </c>
      <c r="F469" s="62">
        <v>0</v>
      </c>
      <c r="G469" s="62">
        <v>20</v>
      </c>
      <c r="H469" s="62">
        <v>1</v>
      </c>
      <c r="I469" s="12"/>
    </row>
    <row r="470" spans="2:9">
      <c r="B470" s="11"/>
      <c r="C470" s="61" t="s">
        <v>709</v>
      </c>
      <c r="D470" s="62">
        <v>8</v>
      </c>
      <c r="E470" s="62">
        <v>30000</v>
      </c>
      <c r="F470" s="62">
        <v>160</v>
      </c>
      <c r="G470" s="62">
        <v>3492</v>
      </c>
      <c r="H470" s="62">
        <v>1</v>
      </c>
      <c r="I470" s="12"/>
    </row>
    <row r="471" spans="2:9">
      <c r="B471" s="11"/>
      <c r="C471" s="61" t="s">
        <v>710</v>
      </c>
      <c r="D471" s="62">
        <v>1</v>
      </c>
      <c r="E471" s="62">
        <v>1700</v>
      </c>
      <c r="F471" s="62">
        <v>160</v>
      </c>
      <c r="G471" s="62">
        <v>20</v>
      </c>
      <c r="H471" s="62">
        <v>1</v>
      </c>
      <c r="I471" s="12"/>
    </row>
    <row r="472" spans="2:9">
      <c r="B472" s="11"/>
      <c r="C472" s="61" t="s">
        <v>711</v>
      </c>
      <c r="D472" s="62">
        <v>1</v>
      </c>
      <c r="E472" s="62">
        <v>2000</v>
      </c>
      <c r="F472" s="62">
        <v>0</v>
      </c>
      <c r="G472" s="62">
        <v>220</v>
      </c>
      <c r="H472" s="62">
        <v>1</v>
      </c>
      <c r="I472" s="12"/>
    </row>
    <row r="473" spans="2:9">
      <c r="B473" s="11"/>
      <c r="C473" s="61" t="s">
        <v>712</v>
      </c>
      <c r="D473" s="62">
        <v>4</v>
      </c>
      <c r="E473" s="62">
        <v>15000</v>
      </c>
      <c r="F473" s="62">
        <v>80</v>
      </c>
      <c r="G473" s="62">
        <v>820</v>
      </c>
      <c r="H473" s="62">
        <v>1</v>
      </c>
      <c r="I473" s="12"/>
    </row>
    <row r="474" spans="2:9">
      <c r="B474" s="11"/>
      <c r="C474" s="61" t="s">
        <v>713</v>
      </c>
      <c r="D474" s="62">
        <v>1</v>
      </c>
      <c r="E474" s="62">
        <v>1700</v>
      </c>
      <c r="F474" s="62">
        <v>160</v>
      </c>
      <c r="G474" s="62">
        <v>20</v>
      </c>
      <c r="H474" s="62">
        <v>1</v>
      </c>
      <c r="I474" s="12"/>
    </row>
    <row r="475" spans="2:9">
      <c r="B475" s="11"/>
      <c r="C475" s="61" t="s">
        <v>714</v>
      </c>
      <c r="D475" s="62">
        <v>1</v>
      </c>
      <c r="E475" s="62">
        <v>1700</v>
      </c>
      <c r="F475" s="62">
        <v>160</v>
      </c>
      <c r="G475" s="62">
        <v>820</v>
      </c>
      <c r="H475" s="62">
        <v>1</v>
      </c>
      <c r="I475" s="12"/>
    </row>
    <row r="476" spans="2:9">
      <c r="B476" s="11"/>
      <c r="C476" s="61" t="s">
        <v>715</v>
      </c>
      <c r="D476" s="62">
        <v>1</v>
      </c>
      <c r="E476" s="62">
        <v>3750</v>
      </c>
      <c r="F476" s="62">
        <v>4</v>
      </c>
      <c r="G476" s="62">
        <v>520</v>
      </c>
      <c r="H476" s="62">
        <v>1</v>
      </c>
      <c r="I476" s="12"/>
    </row>
    <row r="477" spans="2:9">
      <c r="B477" s="11"/>
      <c r="C477" s="61" t="s">
        <v>716</v>
      </c>
      <c r="D477" s="62">
        <v>1</v>
      </c>
      <c r="E477" s="62">
        <v>2000</v>
      </c>
      <c r="F477" s="62">
        <v>0</v>
      </c>
      <c r="G477" s="62">
        <v>20</v>
      </c>
      <c r="H477" s="62">
        <v>1</v>
      </c>
      <c r="I477" s="12"/>
    </row>
    <row r="478" spans="2:9">
      <c r="B478" s="11"/>
      <c r="C478" s="61" t="s">
        <v>717</v>
      </c>
      <c r="D478" s="62">
        <v>8</v>
      </c>
      <c r="E478" s="62">
        <v>15000</v>
      </c>
      <c r="F478" s="62">
        <v>160</v>
      </c>
      <c r="G478" s="62">
        <v>20</v>
      </c>
      <c r="H478" s="62">
        <v>1</v>
      </c>
      <c r="I478" s="12"/>
    </row>
    <row r="479" spans="2:9">
      <c r="B479" s="11"/>
      <c r="C479" s="61" t="s">
        <v>718</v>
      </c>
      <c r="D479" s="62">
        <v>1</v>
      </c>
      <c r="E479" s="62">
        <v>1700</v>
      </c>
      <c r="F479" s="62">
        <v>160</v>
      </c>
      <c r="G479" s="62">
        <v>20</v>
      </c>
      <c r="H479" s="62">
        <v>1</v>
      </c>
      <c r="I479" s="12"/>
    </row>
    <row r="480" spans="2:9">
      <c r="B480" s="11"/>
      <c r="C480" s="61" t="s">
        <v>719</v>
      </c>
      <c r="D480" s="62">
        <v>4</v>
      </c>
      <c r="E480" s="62">
        <v>15000</v>
      </c>
      <c r="F480" s="62">
        <v>80</v>
      </c>
      <c r="G480" s="62">
        <v>420</v>
      </c>
      <c r="H480" s="62">
        <v>1</v>
      </c>
      <c r="I480" s="12"/>
    </row>
    <row r="481" spans="2:9">
      <c r="B481" s="11"/>
      <c r="C481" s="61" t="s">
        <v>720</v>
      </c>
      <c r="D481" s="62">
        <v>1</v>
      </c>
      <c r="E481" s="62">
        <v>2000</v>
      </c>
      <c r="F481" s="62">
        <v>0</v>
      </c>
      <c r="G481" s="62">
        <v>20</v>
      </c>
      <c r="H481" s="62">
        <v>1</v>
      </c>
      <c r="I481" s="12"/>
    </row>
    <row r="482" spans="2:9">
      <c r="B482" s="11"/>
      <c r="C482" s="61" t="s">
        <v>721</v>
      </c>
      <c r="D482" s="62">
        <v>1</v>
      </c>
      <c r="E482" s="62">
        <v>1700</v>
      </c>
      <c r="F482" s="62">
        <v>160</v>
      </c>
      <c r="G482" s="62">
        <v>820</v>
      </c>
      <c r="H482" s="62">
        <v>1</v>
      </c>
      <c r="I482" s="12"/>
    </row>
    <row r="483" spans="2:9">
      <c r="B483" s="11"/>
      <c r="C483" s="61" t="s">
        <v>722</v>
      </c>
      <c r="D483" s="62">
        <v>1</v>
      </c>
      <c r="E483" s="62">
        <v>2000</v>
      </c>
      <c r="F483" s="62">
        <v>0</v>
      </c>
      <c r="G483" s="62">
        <v>20</v>
      </c>
      <c r="H483" s="62">
        <v>1</v>
      </c>
      <c r="I483" s="12"/>
    </row>
    <row r="484" spans="2:9">
      <c r="B484" s="11"/>
      <c r="C484" s="61" t="s">
        <v>723</v>
      </c>
      <c r="D484" s="62">
        <v>4</v>
      </c>
      <c r="E484" s="62">
        <v>7500</v>
      </c>
      <c r="F484" s="62">
        <v>80</v>
      </c>
      <c r="G484" s="62">
        <v>130</v>
      </c>
      <c r="H484" s="62">
        <v>1</v>
      </c>
      <c r="I484" s="12"/>
    </row>
    <row r="485" spans="2:9">
      <c r="B485" s="11"/>
      <c r="C485" s="61" t="s">
        <v>724</v>
      </c>
      <c r="D485" s="62">
        <v>1</v>
      </c>
      <c r="E485" s="62">
        <v>1700</v>
      </c>
      <c r="F485" s="62">
        <v>160</v>
      </c>
      <c r="G485" s="62">
        <v>20</v>
      </c>
      <c r="H485" s="62">
        <v>1</v>
      </c>
      <c r="I485" s="12"/>
    </row>
    <row r="486" spans="2:9">
      <c r="B486" s="11"/>
      <c r="C486" s="61" t="s">
        <v>725</v>
      </c>
      <c r="D486" s="62">
        <v>1</v>
      </c>
      <c r="E486" s="62">
        <v>1700</v>
      </c>
      <c r="F486" s="62">
        <v>160</v>
      </c>
      <c r="G486" s="62">
        <v>20</v>
      </c>
      <c r="H486" s="62">
        <v>1</v>
      </c>
      <c r="I486" s="12"/>
    </row>
    <row r="487" spans="2:9">
      <c r="B487" s="11"/>
      <c r="C487" s="61" t="s">
        <v>726</v>
      </c>
      <c r="D487" s="62">
        <v>1</v>
      </c>
      <c r="E487" s="62">
        <v>2000</v>
      </c>
      <c r="F487" s="62">
        <v>0</v>
      </c>
      <c r="G487" s="62">
        <v>420</v>
      </c>
      <c r="H487" s="62">
        <v>1</v>
      </c>
      <c r="I487" s="12"/>
    </row>
    <row r="488" spans="2:9">
      <c r="B488" s="11"/>
      <c r="C488" s="61" t="s">
        <v>727</v>
      </c>
      <c r="D488" s="62">
        <v>1</v>
      </c>
      <c r="E488" s="62">
        <v>1700</v>
      </c>
      <c r="F488" s="62">
        <v>160</v>
      </c>
      <c r="G488" s="62">
        <v>70</v>
      </c>
      <c r="H488" s="62">
        <v>1</v>
      </c>
      <c r="I488" s="12"/>
    </row>
    <row r="489" spans="2:9">
      <c r="B489" s="11"/>
      <c r="C489" s="61" t="s">
        <v>728</v>
      </c>
      <c r="D489" s="62">
        <v>2</v>
      </c>
      <c r="E489" s="62">
        <v>3750</v>
      </c>
      <c r="F489" s="62">
        <v>32</v>
      </c>
      <c r="G489" s="62">
        <v>20</v>
      </c>
      <c r="H489" s="62">
        <v>1</v>
      </c>
      <c r="I489" s="12"/>
    </row>
    <row r="490" spans="2:9">
      <c r="B490" s="11"/>
      <c r="C490" s="61" t="s">
        <v>729</v>
      </c>
      <c r="D490" s="62">
        <v>1</v>
      </c>
      <c r="E490" s="62">
        <v>615</v>
      </c>
      <c r="F490" s="62">
        <v>160</v>
      </c>
      <c r="G490" s="62">
        <v>8</v>
      </c>
      <c r="H490" s="62">
        <v>1</v>
      </c>
      <c r="I490" s="12"/>
    </row>
    <row r="491" spans="2:9">
      <c r="B491" s="11"/>
      <c r="C491" s="61" t="s">
        <v>730</v>
      </c>
      <c r="D491" s="62">
        <v>2</v>
      </c>
      <c r="E491" s="62">
        <v>4000</v>
      </c>
      <c r="F491" s="62">
        <v>0</v>
      </c>
      <c r="G491" s="62">
        <v>20</v>
      </c>
      <c r="H491" s="62">
        <v>1</v>
      </c>
      <c r="I491" s="12"/>
    </row>
    <row r="492" spans="2:9">
      <c r="B492" s="11"/>
      <c r="C492" s="61" t="s">
        <v>731</v>
      </c>
      <c r="D492" s="62">
        <v>1</v>
      </c>
      <c r="E492" s="62">
        <v>3750</v>
      </c>
      <c r="F492" s="62">
        <v>4</v>
      </c>
      <c r="G492" s="62">
        <v>220</v>
      </c>
      <c r="H492" s="62">
        <v>1</v>
      </c>
      <c r="I492" s="12"/>
    </row>
    <row r="493" spans="2:9">
      <c r="B493" s="11"/>
      <c r="C493" s="61" t="s">
        <v>732</v>
      </c>
      <c r="D493" s="62">
        <v>1</v>
      </c>
      <c r="E493" s="62">
        <v>1700</v>
      </c>
      <c r="F493" s="62">
        <v>160</v>
      </c>
      <c r="G493" s="62">
        <v>20</v>
      </c>
      <c r="H493" s="62">
        <v>1</v>
      </c>
      <c r="I493" s="12"/>
    </row>
    <row r="494" spans="2:9">
      <c r="B494" s="11"/>
      <c r="C494" s="61" t="s">
        <v>733</v>
      </c>
      <c r="D494" s="62">
        <v>1</v>
      </c>
      <c r="E494" s="62">
        <v>2000</v>
      </c>
      <c r="F494" s="62">
        <v>0</v>
      </c>
      <c r="G494" s="62">
        <v>220</v>
      </c>
      <c r="H494" s="62">
        <v>1</v>
      </c>
      <c r="I494" s="12"/>
    </row>
    <row r="495" spans="2:9">
      <c r="B495" s="11"/>
      <c r="C495" s="61" t="s">
        <v>734</v>
      </c>
      <c r="D495" s="62">
        <v>1</v>
      </c>
      <c r="E495" s="62">
        <v>1700</v>
      </c>
      <c r="F495" s="62">
        <v>160</v>
      </c>
      <c r="G495" s="62">
        <v>70</v>
      </c>
      <c r="H495" s="62">
        <v>1</v>
      </c>
      <c r="I495" s="12"/>
    </row>
    <row r="496" spans="2:9">
      <c r="B496" s="11"/>
      <c r="C496" s="61" t="s">
        <v>735</v>
      </c>
      <c r="D496" s="62">
        <v>2</v>
      </c>
      <c r="E496" s="62">
        <v>3750</v>
      </c>
      <c r="F496" s="62">
        <v>32</v>
      </c>
      <c r="G496" s="62">
        <v>20</v>
      </c>
      <c r="H496" s="62">
        <v>1</v>
      </c>
      <c r="I496" s="12"/>
    </row>
    <row r="497" spans="2:9">
      <c r="B497" s="11"/>
      <c r="C497" s="61" t="s">
        <v>736</v>
      </c>
      <c r="D497" s="62">
        <v>4</v>
      </c>
      <c r="E497" s="62">
        <v>15000</v>
      </c>
      <c r="F497" s="62">
        <v>80</v>
      </c>
      <c r="G497" s="62">
        <v>820</v>
      </c>
      <c r="H497" s="62">
        <v>1</v>
      </c>
      <c r="I497" s="12"/>
    </row>
    <row r="498" spans="2:9">
      <c r="B498" s="11"/>
      <c r="C498" s="61" t="s">
        <v>737</v>
      </c>
      <c r="D498" s="62">
        <v>4</v>
      </c>
      <c r="E498" s="62">
        <v>15000</v>
      </c>
      <c r="F498" s="62">
        <v>80</v>
      </c>
      <c r="G498" s="62">
        <v>420</v>
      </c>
      <c r="H498" s="62">
        <v>1</v>
      </c>
      <c r="I498" s="12"/>
    </row>
    <row r="499" spans="2:9">
      <c r="B499" s="11"/>
      <c r="C499" s="61" t="s">
        <v>738</v>
      </c>
      <c r="D499" s="62">
        <v>1</v>
      </c>
      <c r="E499" s="62">
        <v>1700</v>
      </c>
      <c r="F499" s="62">
        <v>160</v>
      </c>
      <c r="G499" s="62">
        <v>20</v>
      </c>
      <c r="H499" s="62">
        <v>1</v>
      </c>
      <c r="I499" s="12"/>
    </row>
    <row r="500" spans="2:9">
      <c r="B500" s="11"/>
      <c r="C500" s="61" t="s">
        <v>739</v>
      </c>
      <c r="D500" s="62">
        <v>1</v>
      </c>
      <c r="E500" s="62">
        <v>1700</v>
      </c>
      <c r="F500" s="62">
        <v>160</v>
      </c>
      <c r="G500" s="62">
        <v>420</v>
      </c>
      <c r="H500" s="62">
        <v>1</v>
      </c>
      <c r="I500" s="12"/>
    </row>
    <row r="501" spans="2:9">
      <c r="B501" s="11"/>
      <c r="C501" s="61" t="s">
        <v>740</v>
      </c>
      <c r="D501" s="62">
        <v>1</v>
      </c>
      <c r="E501" s="62">
        <v>2000</v>
      </c>
      <c r="F501" s="62">
        <v>0</v>
      </c>
      <c r="G501" s="62">
        <v>20</v>
      </c>
      <c r="H501" s="62">
        <v>1</v>
      </c>
      <c r="I501" s="12"/>
    </row>
    <row r="502" spans="2:9">
      <c r="B502" s="11"/>
      <c r="C502" s="61" t="s">
        <v>741</v>
      </c>
      <c r="D502" s="62">
        <v>1</v>
      </c>
      <c r="E502" s="62">
        <v>1700</v>
      </c>
      <c r="F502" s="62">
        <v>160</v>
      </c>
      <c r="G502" s="62">
        <v>20</v>
      </c>
      <c r="H502" s="62">
        <v>1</v>
      </c>
      <c r="I502" s="12"/>
    </row>
    <row r="503" spans="2:9">
      <c r="B503" s="11"/>
      <c r="C503" s="61" t="s">
        <v>743</v>
      </c>
      <c r="D503" s="62">
        <v>1</v>
      </c>
      <c r="E503" s="62">
        <v>2000</v>
      </c>
      <c r="F503" s="62">
        <v>0</v>
      </c>
      <c r="G503" s="62">
        <v>420</v>
      </c>
      <c r="H503" s="62">
        <v>1</v>
      </c>
      <c r="I503" s="12"/>
    </row>
    <row r="504" spans="2:9">
      <c r="B504" s="11"/>
      <c r="C504" s="61" t="s">
        <v>744</v>
      </c>
      <c r="D504" s="62">
        <v>1</v>
      </c>
      <c r="E504" s="62">
        <v>1700</v>
      </c>
      <c r="F504" s="62">
        <v>160</v>
      </c>
      <c r="G504" s="62">
        <v>20</v>
      </c>
      <c r="H504" s="62">
        <v>1</v>
      </c>
      <c r="I504" s="12"/>
    </row>
    <row r="505" spans="2:9">
      <c r="B505" s="11"/>
      <c r="C505" s="61" t="s">
        <v>745</v>
      </c>
      <c r="D505" s="62">
        <v>1</v>
      </c>
      <c r="E505" s="62">
        <v>1700</v>
      </c>
      <c r="F505" s="62">
        <v>160</v>
      </c>
      <c r="G505" s="62">
        <v>820</v>
      </c>
      <c r="H505" s="62">
        <v>1</v>
      </c>
      <c r="I505" s="12"/>
    </row>
    <row r="506" spans="2:9">
      <c r="B506" s="11"/>
      <c r="C506" s="61" t="s">
        <v>746</v>
      </c>
      <c r="D506" s="62">
        <v>1</v>
      </c>
      <c r="E506" s="62">
        <v>1700</v>
      </c>
      <c r="F506" s="62">
        <v>160</v>
      </c>
      <c r="G506" s="62">
        <v>20</v>
      </c>
      <c r="H506" s="62">
        <v>1</v>
      </c>
      <c r="I506" s="12"/>
    </row>
    <row r="507" spans="2:9">
      <c r="B507" s="11"/>
      <c r="C507" s="61" t="s">
        <v>748</v>
      </c>
      <c r="D507" s="62">
        <v>1</v>
      </c>
      <c r="E507" s="62">
        <v>1700</v>
      </c>
      <c r="F507" s="62">
        <v>160</v>
      </c>
      <c r="G507" s="62">
        <v>20</v>
      </c>
      <c r="H507" s="62">
        <v>1</v>
      </c>
      <c r="I507" s="12"/>
    </row>
    <row r="508" spans="2:9">
      <c r="B508" s="11"/>
      <c r="C508" s="61" t="s">
        <v>750</v>
      </c>
      <c r="D508" s="62">
        <v>1</v>
      </c>
      <c r="E508" s="62">
        <v>1700</v>
      </c>
      <c r="F508" s="62">
        <v>160</v>
      </c>
      <c r="G508" s="62">
        <v>20</v>
      </c>
      <c r="H508" s="62">
        <v>1</v>
      </c>
      <c r="I508" s="12"/>
    </row>
    <row r="509" spans="2:9">
      <c r="B509" s="11"/>
      <c r="C509" s="61" t="s">
        <v>751</v>
      </c>
      <c r="D509" s="62">
        <v>1</v>
      </c>
      <c r="E509" s="62">
        <v>3750</v>
      </c>
      <c r="F509" s="62">
        <v>4</v>
      </c>
      <c r="G509" s="62">
        <v>20</v>
      </c>
      <c r="H509" s="62">
        <v>1</v>
      </c>
      <c r="I509" s="12"/>
    </row>
    <row r="510" spans="2:9">
      <c r="B510" s="11"/>
      <c r="C510" s="61" t="s">
        <v>753</v>
      </c>
      <c r="D510" s="62">
        <v>1</v>
      </c>
      <c r="E510" s="62">
        <v>3750</v>
      </c>
      <c r="F510" s="62">
        <v>4</v>
      </c>
      <c r="G510" s="62">
        <v>20</v>
      </c>
      <c r="H510" s="62">
        <v>1</v>
      </c>
      <c r="I510" s="12"/>
    </row>
    <row r="511" spans="2:9">
      <c r="B511" s="11"/>
      <c r="C511" s="61" t="s">
        <v>755</v>
      </c>
      <c r="D511" s="62">
        <v>1</v>
      </c>
      <c r="E511" s="62">
        <v>2000</v>
      </c>
      <c r="F511" s="62">
        <v>0</v>
      </c>
      <c r="G511" s="62">
        <v>20</v>
      </c>
      <c r="H511" s="62">
        <v>1</v>
      </c>
      <c r="I511" s="12"/>
    </row>
    <row r="512" spans="2:9">
      <c r="B512" s="11"/>
      <c r="C512" s="61" t="s">
        <v>757</v>
      </c>
      <c r="D512" s="62">
        <v>1</v>
      </c>
      <c r="E512" s="62">
        <v>2000</v>
      </c>
      <c r="F512" s="62">
        <v>0</v>
      </c>
      <c r="G512" s="62">
        <v>20</v>
      </c>
      <c r="H512" s="62">
        <v>1</v>
      </c>
      <c r="I512" s="12"/>
    </row>
    <row r="513" spans="2:9">
      <c r="B513" s="11"/>
      <c r="C513" s="61" t="s">
        <v>758</v>
      </c>
      <c r="D513" s="62">
        <v>1</v>
      </c>
      <c r="E513" s="62">
        <v>2000</v>
      </c>
      <c r="F513" s="62">
        <v>0</v>
      </c>
      <c r="G513" s="62">
        <v>20</v>
      </c>
      <c r="H513" s="62">
        <v>1</v>
      </c>
      <c r="I513" s="12"/>
    </row>
    <row r="514" spans="2:9">
      <c r="B514" s="11"/>
      <c r="C514" s="61" t="s">
        <v>759</v>
      </c>
      <c r="D514" s="62">
        <v>1</v>
      </c>
      <c r="E514" s="62">
        <v>2000</v>
      </c>
      <c r="F514" s="62">
        <v>0</v>
      </c>
      <c r="G514" s="62">
        <v>20</v>
      </c>
      <c r="H514" s="62">
        <v>1</v>
      </c>
      <c r="I514" s="12"/>
    </row>
    <row r="515" spans="2:9">
      <c r="B515" s="11"/>
      <c r="C515" s="61" t="s">
        <v>760</v>
      </c>
      <c r="D515" s="62">
        <v>1</v>
      </c>
      <c r="E515" s="62">
        <v>1700</v>
      </c>
      <c r="F515" s="62">
        <v>160</v>
      </c>
      <c r="G515" s="62">
        <v>20</v>
      </c>
      <c r="H515" s="62">
        <v>1</v>
      </c>
      <c r="I515" s="12"/>
    </row>
    <row r="516" spans="2:9">
      <c r="B516" s="11"/>
      <c r="C516" s="61" t="s">
        <v>761</v>
      </c>
      <c r="D516" s="62">
        <v>2</v>
      </c>
      <c r="E516" s="62">
        <v>4000</v>
      </c>
      <c r="F516" s="62">
        <v>0</v>
      </c>
      <c r="G516" s="62">
        <v>820</v>
      </c>
      <c r="H516" s="62">
        <v>1</v>
      </c>
      <c r="I516" s="12"/>
    </row>
    <row r="517" spans="2:9">
      <c r="B517" s="11"/>
      <c r="C517" s="61" t="s">
        <v>762</v>
      </c>
      <c r="D517" s="62">
        <v>2</v>
      </c>
      <c r="E517" s="62">
        <v>4000</v>
      </c>
      <c r="F517" s="62">
        <v>0</v>
      </c>
      <c r="G517" s="62">
        <v>420</v>
      </c>
      <c r="H517" s="62">
        <v>1</v>
      </c>
      <c r="I517" s="12"/>
    </row>
    <row r="518" spans="2:9">
      <c r="B518" s="11"/>
      <c r="C518" s="61" t="s">
        <v>763</v>
      </c>
      <c r="D518" s="62">
        <v>2</v>
      </c>
      <c r="E518" s="62">
        <v>4000</v>
      </c>
      <c r="F518" s="62">
        <v>0</v>
      </c>
      <c r="G518" s="62">
        <v>420</v>
      </c>
      <c r="H518" s="62">
        <v>1</v>
      </c>
      <c r="I518" s="12"/>
    </row>
    <row r="519" spans="2:9">
      <c r="B519" s="11"/>
      <c r="C519" s="61" t="s">
        <v>764</v>
      </c>
      <c r="D519" s="62">
        <v>1</v>
      </c>
      <c r="E519" s="62">
        <v>615</v>
      </c>
      <c r="F519" s="62">
        <v>160</v>
      </c>
      <c r="G519" s="62">
        <v>20</v>
      </c>
      <c r="H519" s="62">
        <v>1</v>
      </c>
      <c r="I519" s="12"/>
    </row>
    <row r="520" spans="2:9">
      <c r="B520" s="11"/>
      <c r="C520" s="61" t="s">
        <v>765</v>
      </c>
      <c r="D520" s="62">
        <v>1</v>
      </c>
      <c r="E520" s="62">
        <v>2000</v>
      </c>
      <c r="F520" s="62">
        <v>0</v>
      </c>
      <c r="G520" s="62">
        <v>20</v>
      </c>
      <c r="H520" s="62">
        <v>1</v>
      </c>
      <c r="I520" s="12"/>
    </row>
    <row r="521" spans="2:9">
      <c r="B521" s="11"/>
      <c r="C521" s="61" t="s">
        <v>767</v>
      </c>
      <c r="D521" s="62">
        <v>8</v>
      </c>
      <c r="E521" s="62">
        <v>15000</v>
      </c>
      <c r="F521" s="62">
        <v>160</v>
      </c>
      <c r="G521" s="62">
        <v>20</v>
      </c>
      <c r="H521" s="62">
        <v>1</v>
      </c>
      <c r="I521" s="12"/>
    </row>
    <row r="522" spans="2:9">
      <c r="B522" s="11"/>
      <c r="C522" s="61" t="s">
        <v>768</v>
      </c>
      <c r="D522" s="62">
        <v>1</v>
      </c>
      <c r="E522" s="62">
        <v>615</v>
      </c>
      <c r="F522" s="62">
        <v>160</v>
      </c>
      <c r="G522" s="62">
        <v>8</v>
      </c>
      <c r="H522" s="62">
        <v>1</v>
      </c>
      <c r="I522" s="12"/>
    </row>
    <row r="523" spans="2:9">
      <c r="B523" s="11"/>
      <c r="C523" s="61" t="s">
        <v>769</v>
      </c>
      <c r="D523" s="62">
        <v>2</v>
      </c>
      <c r="E523" s="62">
        <v>3750</v>
      </c>
      <c r="F523" s="62">
        <v>32</v>
      </c>
      <c r="G523" s="62">
        <v>20</v>
      </c>
      <c r="H523" s="62">
        <v>1</v>
      </c>
      <c r="I523" s="12"/>
    </row>
    <row r="524" spans="2:9">
      <c r="B524" s="11"/>
      <c r="C524" s="61" t="s">
        <v>771</v>
      </c>
      <c r="D524" s="62">
        <v>2</v>
      </c>
      <c r="E524" s="62">
        <v>4000</v>
      </c>
      <c r="F524" s="62">
        <v>0</v>
      </c>
      <c r="G524" s="62">
        <v>20</v>
      </c>
      <c r="H524" s="62">
        <v>1</v>
      </c>
      <c r="I524" s="12"/>
    </row>
    <row r="525" spans="2:9">
      <c r="B525" s="11"/>
      <c r="C525" s="61" t="s">
        <v>772</v>
      </c>
      <c r="D525" s="62">
        <v>1</v>
      </c>
      <c r="E525" s="62">
        <v>2000</v>
      </c>
      <c r="F525" s="62">
        <v>0</v>
      </c>
      <c r="G525" s="62">
        <v>20</v>
      </c>
      <c r="H525" s="62">
        <v>1</v>
      </c>
      <c r="I525" s="12"/>
    </row>
    <row r="526" spans="2:9">
      <c r="B526" s="11"/>
      <c r="C526" s="61" t="s">
        <v>774</v>
      </c>
      <c r="D526" s="62">
        <v>1</v>
      </c>
      <c r="E526" s="62">
        <v>2000</v>
      </c>
      <c r="F526" s="62">
        <v>0</v>
      </c>
      <c r="G526" s="62">
        <v>20</v>
      </c>
      <c r="H526" s="62">
        <v>1</v>
      </c>
      <c r="I526" s="12"/>
    </row>
    <row r="527" spans="2:9">
      <c r="B527" s="11"/>
      <c r="C527" s="61" t="s">
        <v>775</v>
      </c>
      <c r="D527" s="62">
        <v>1</v>
      </c>
      <c r="E527" s="62">
        <v>3750</v>
      </c>
      <c r="F527" s="62">
        <v>4</v>
      </c>
      <c r="G527" s="62">
        <v>20</v>
      </c>
      <c r="H527" s="62">
        <v>1</v>
      </c>
      <c r="I527" s="12"/>
    </row>
    <row r="528" spans="2:9">
      <c r="B528" s="11"/>
      <c r="C528" s="61" t="s">
        <v>776</v>
      </c>
      <c r="D528" s="62">
        <v>1</v>
      </c>
      <c r="E528" s="62">
        <v>2000</v>
      </c>
      <c r="F528" s="62">
        <v>0</v>
      </c>
      <c r="G528" s="62">
        <v>20</v>
      </c>
      <c r="H528" s="62">
        <v>1</v>
      </c>
      <c r="I528" s="12"/>
    </row>
    <row r="529" spans="2:9">
      <c r="B529" s="11"/>
      <c r="C529" s="61" t="s">
        <v>777</v>
      </c>
      <c r="D529" s="62">
        <v>1</v>
      </c>
      <c r="E529" s="62">
        <v>2000</v>
      </c>
      <c r="F529" s="62">
        <v>0</v>
      </c>
      <c r="G529" s="62">
        <v>20</v>
      </c>
      <c r="H529" s="62">
        <v>1</v>
      </c>
      <c r="I529" s="12"/>
    </row>
    <row r="530" spans="2:9">
      <c r="B530" s="11"/>
      <c r="C530" s="61" t="s">
        <v>779</v>
      </c>
      <c r="D530" s="62">
        <v>2</v>
      </c>
      <c r="E530" s="62">
        <v>4000</v>
      </c>
      <c r="F530" s="62">
        <v>0</v>
      </c>
      <c r="G530" s="62">
        <v>120</v>
      </c>
      <c r="H530" s="62">
        <v>1</v>
      </c>
      <c r="I530" s="12"/>
    </row>
    <row r="531" spans="2:9">
      <c r="B531" s="11"/>
      <c r="C531" s="61" t="s">
        <v>780</v>
      </c>
      <c r="D531" s="62">
        <v>1</v>
      </c>
      <c r="E531" s="62">
        <v>2000</v>
      </c>
      <c r="F531" s="62">
        <v>0</v>
      </c>
      <c r="G531" s="62">
        <v>20</v>
      </c>
      <c r="H531" s="62">
        <v>1</v>
      </c>
      <c r="I531" s="12"/>
    </row>
    <row r="532" spans="2:9">
      <c r="B532" s="11"/>
      <c r="C532" s="61" t="s">
        <v>783</v>
      </c>
      <c r="D532" s="62">
        <v>1</v>
      </c>
      <c r="E532" s="62">
        <v>2000</v>
      </c>
      <c r="F532" s="62">
        <v>0</v>
      </c>
      <c r="G532" s="62">
        <v>20</v>
      </c>
      <c r="H532" s="62">
        <v>1</v>
      </c>
      <c r="I532" s="12"/>
    </row>
    <row r="533" spans="2:9">
      <c r="B533" s="11"/>
      <c r="C533" s="61" t="s">
        <v>784</v>
      </c>
      <c r="D533" s="62">
        <v>2</v>
      </c>
      <c r="E533" s="62">
        <v>4000</v>
      </c>
      <c r="F533" s="62">
        <v>0</v>
      </c>
      <c r="G533" s="62">
        <v>120</v>
      </c>
      <c r="H533" s="62">
        <v>1</v>
      </c>
      <c r="I533" s="12"/>
    </row>
    <row r="534" spans="2:9">
      <c r="B534" s="11"/>
      <c r="C534" s="61" t="s">
        <v>786</v>
      </c>
      <c r="D534" s="62">
        <v>1</v>
      </c>
      <c r="E534" s="62">
        <v>2000</v>
      </c>
      <c r="F534" s="62">
        <v>0</v>
      </c>
      <c r="G534" s="62">
        <v>20</v>
      </c>
      <c r="H534" s="62">
        <v>1</v>
      </c>
      <c r="I534" s="12"/>
    </row>
    <row r="535" spans="2:9">
      <c r="B535" s="11"/>
      <c r="C535" s="61" t="s">
        <v>787</v>
      </c>
      <c r="D535" s="62">
        <v>1</v>
      </c>
      <c r="E535" s="62">
        <v>2000</v>
      </c>
      <c r="F535" s="62">
        <v>0</v>
      </c>
      <c r="G535" s="62">
        <v>20</v>
      </c>
      <c r="H535" s="62">
        <v>1</v>
      </c>
      <c r="I535" s="12"/>
    </row>
    <row r="536" spans="2:9">
      <c r="B536" s="11"/>
      <c r="C536" s="61" t="s">
        <v>788</v>
      </c>
      <c r="D536" s="62">
        <v>1</v>
      </c>
      <c r="E536" s="62">
        <v>2000</v>
      </c>
      <c r="F536" s="62">
        <v>0</v>
      </c>
      <c r="G536" s="62">
        <v>20</v>
      </c>
      <c r="H536" s="62">
        <v>1</v>
      </c>
      <c r="I536" s="12"/>
    </row>
    <row r="537" spans="2:9">
      <c r="B537" s="11"/>
      <c r="C537" s="61" t="s">
        <v>790</v>
      </c>
      <c r="D537" s="62">
        <v>1</v>
      </c>
      <c r="E537" s="62">
        <v>2000</v>
      </c>
      <c r="F537" s="62">
        <v>0</v>
      </c>
      <c r="G537" s="62">
        <v>20</v>
      </c>
      <c r="H537" s="62">
        <v>1</v>
      </c>
      <c r="I537" s="12"/>
    </row>
    <row r="538" spans="2:9">
      <c r="B538" s="11"/>
      <c r="C538" s="61" t="s">
        <v>792</v>
      </c>
      <c r="D538" s="62">
        <v>4</v>
      </c>
      <c r="E538" s="62">
        <v>15000</v>
      </c>
      <c r="F538" s="62">
        <v>1690</v>
      </c>
      <c r="G538" s="62">
        <v>20</v>
      </c>
      <c r="H538" s="62">
        <v>1</v>
      </c>
      <c r="I538" s="12"/>
    </row>
    <row r="539" spans="2:9">
      <c r="B539" s="11"/>
      <c r="C539" s="61" t="s">
        <v>794</v>
      </c>
      <c r="D539" s="62">
        <v>1</v>
      </c>
      <c r="E539" s="62">
        <v>1700</v>
      </c>
      <c r="F539" s="62">
        <v>160</v>
      </c>
      <c r="G539" s="62">
        <v>20</v>
      </c>
      <c r="H539" s="62">
        <v>1</v>
      </c>
      <c r="I539" s="12"/>
    </row>
    <row r="540" spans="2:9">
      <c r="B540" s="11"/>
      <c r="C540" s="61" t="s">
        <v>795</v>
      </c>
      <c r="D540" s="62">
        <v>1</v>
      </c>
      <c r="E540" s="62">
        <v>3750</v>
      </c>
      <c r="F540" s="62">
        <v>4</v>
      </c>
      <c r="G540" s="62">
        <v>20</v>
      </c>
      <c r="H540" s="62">
        <v>1</v>
      </c>
      <c r="I540" s="12"/>
    </row>
    <row r="541" spans="2:9">
      <c r="B541" s="11"/>
      <c r="C541" s="61" t="s">
        <v>796</v>
      </c>
      <c r="D541" s="62">
        <v>1</v>
      </c>
      <c r="E541" s="62">
        <v>3750</v>
      </c>
      <c r="F541" s="62">
        <v>4</v>
      </c>
      <c r="G541" s="62">
        <v>20</v>
      </c>
      <c r="H541" s="62">
        <v>1</v>
      </c>
      <c r="I541" s="12"/>
    </row>
    <row r="542" spans="2:9">
      <c r="B542" s="11"/>
      <c r="C542" s="61" t="s">
        <v>797</v>
      </c>
      <c r="D542" s="62">
        <v>1</v>
      </c>
      <c r="E542" s="62">
        <v>3750</v>
      </c>
      <c r="F542" s="62">
        <v>4</v>
      </c>
      <c r="G542" s="62">
        <v>20</v>
      </c>
      <c r="H542" s="62">
        <v>1</v>
      </c>
      <c r="I542" s="12"/>
    </row>
    <row r="543" spans="2:9">
      <c r="B543" s="11"/>
      <c r="C543" s="61" t="s">
        <v>798</v>
      </c>
      <c r="D543" s="62">
        <v>1</v>
      </c>
      <c r="E543" s="62">
        <v>3750</v>
      </c>
      <c r="F543" s="62">
        <v>4</v>
      </c>
      <c r="G543" s="62">
        <v>20</v>
      </c>
      <c r="H543" s="62">
        <v>1</v>
      </c>
      <c r="I543" s="12"/>
    </row>
    <row r="544" spans="2:9">
      <c r="B544" s="11"/>
      <c r="C544" s="61" t="s">
        <v>799</v>
      </c>
      <c r="D544" s="62">
        <v>1</v>
      </c>
      <c r="E544" s="62">
        <v>3750</v>
      </c>
      <c r="F544" s="62">
        <v>4</v>
      </c>
      <c r="G544" s="62">
        <v>20</v>
      </c>
      <c r="H544" s="62">
        <v>1</v>
      </c>
      <c r="I544" s="12"/>
    </row>
    <row r="545" spans="2:9">
      <c r="B545" s="11"/>
      <c r="C545" s="61" t="s">
        <v>800</v>
      </c>
      <c r="D545" s="62">
        <v>1</v>
      </c>
      <c r="E545" s="62">
        <v>3750</v>
      </c>
      <c r="F545" s="62">
        <v>4</v>
      </c>
      <c r="G545" s="62">
        <v>20</v>
      </c>
      <c r="H545" s="62">
        <v>1</v>
      </c>
      <c r="I545" s="12"/>
    </row>
    <row r="546" spans="2:9">
      <c r="B546" s="11"/>
      <c r="C546" s="61" t="s">
        <v>801</v>
      </c>
      <c r="D546" s="62">
        <v>1</v>
      </c>
      <c r="E546" s="62">
        <v>3750</v>
      </c>
      <c r="F546" s="62">
        <v>4</v>
      </c>
      <c r="G546" s="62">
        <v>20</v>
      </c>
      <c r="H546" s="62">
        <v>1</v>
      </c>
      <c r="I546" s="12"/>
    </row>
    <row r="547" spans="2:9">
      <c r="B547" s="11"/>
      <c r="C547" s="61" t="s">
        <v>802</v>
      </c>
      <c r="D547" s="62">
        <v>1</v>
      </c>
      <c r="E547" s="62">
        <v>2000</v>
      </c>
      <c r="F547" s="62">
        <v>0</v>
      </c>
      <c r="G547" s="62">
        <v>20</v>
      </c>
      <c r="H547" s="62">
        <v>1</v>
      </c>
      <c r="I547" s="12"/>
    </row>
    <row r="548" spans="2:9">
      <c r="B548" s="11"/>
      <c r="C548" s="61" t="s">
        <v>803</v>
      </c>
      <c r="D548" s="62">
        <v>1</v>
      </c>
      <c r="E548" s="62">
        <v>1700</v>
      </c>
      <c r="F548" s="62">
        <v>160</v>
      </c>
      <c r="G548" s="62">
        <v>20</v>
      </c>
      <c r="H548" s="62">
        <v>1</v>
      </c>
      <c r="I548" s="12"/>
    </row>
    <row r="549" spans="2:9">
      <c r="B549" s="11"/>
      <c r="C549" s="61" t="s">
        <v>804</v>
      </c>
      <c r="D549" s="62">
        <v>1</v>
      </c>
      <c r="E549" s="62">
        <v>1700</v>
      </c>
      <c r="F549" s="62">
        <v>160</v>
      </c>
      <c r="G549" s="62">
        <v>20</v>
      </c>
      <c r="H549" s="62">
        <v>1</v>
      </c>
      <c r="I549" s="12"/>
    </row>
    <row r="550" spans="2:9">
      <c r="B550" s="11"/>
      <c r="C550" s="61" t="s">
        <v>805</v>
      </c>
      <c r="D550" s="62">
        <v>1</v>
      </c>
      <c r="E550" s="62">
        <v>2000</v>
      </c>
      <c r="F550" s="62">
        <v>0</v>
      </c>
      <c r="G550" s="62">
        <v>20</v>
      </c>
      <c r="H550" s="62">
        <v>1</v>
      </c>
      <c r="I550" s="12"/>
    </row>
    <row r="551" spans="2:9">
      <c r="B551" s="11"/>
      <c r="C551" s="61" t="s">
        <v>806</v>
      </c>
      <c r="D551" s="62">
        <v>1</v>
      </c>
      <c r="E551" s="62">
        <v>1700</v>
      </c>
      <c r="F551" s="62">
        <v>160</v>
      </c>
      <c r="G551" s="62">
        <v>20</v>
      </c>
      <c r="H551" s="62">
        <v>1</v>
      </c>
      <c r="I551" s="12"/>
    </row>
    <row r="552" spans="2:9">
      <c r="B552" s="11"/>
      <c r="C552" s="61" t="s">
        <v>807</v>
      </c>
      <c r="D552" s="62">
        <v>8</v>
      </c>
      <c r="E552" s="62">
        <v>15000</v>
      </c>
      <c r="F552" s="62">
        <v>160</v>
      </c>
      <c r="G552" s="62">
        <v>20</v>
      </c>
      <c r="H552" s="62">
        <v>1</v>
      </c>
      <c r="I552" s="12"/>
    </row>
    <row r="553" spans="2:9">
      <c r="B553" s="11"/>
      <c r="C553" s="61" t="s">
        <v>808</v>
      </c>
      <c r="D553" s="62">
        <v>8</v>
      </c>
      <c r="E553" s="62">
        <v>15000</v>
      </c>
      <c r="F553" s="62">
        <v>160</v>
      </c>
      <c r="G553" s="62">
        <v>20</v>
      </c>
      <c r="H553" s="62">
        <v>1</v>
      </c>
      <c r="I553" s="12"/>
    </row>
    <row r="554" spans="2:9">
      <c r="B554" s="11"/>
      <c r="C554" s="61" t="s">
        <v>810</v>
      </c>
      <c r="D554" s="62">
        <v>4</v>
      </c>
      <c r="E554" s="62">
        <v>30500</v>
      </c>
      <c r="F554" s="62">
        <v>720</v>
      </c>
      <c r="G554" s="62">
        <v>20</v>
      </c>
      <c r="H554" s="62">
        <v>1</v>
      </c>
      <c r="I554" s="12"/>
    </row>
    <row r="555" spans="2:9">
      <c r="B555" s="11"/>
      <c r="C555" s="61" t="s">
        <v>811</v>
      </c>
      <c r="D555" s="62">
        <v>4</v>
      </c>
      <c r="E555" s="62">
        <v>30500</v>
      </c>
      <c r="F555" s="62">
        <v>720</v>
      </c>
      <c r="G555" s="62">
        <v>20</v>
      </c>
      <c r="H555" s="62">
        <v>1</v>
      </c>
      <c r="I555" s="12"/>
    </row>
    <row r="556" spans="2:9">
      <c r="B556" s="11"/>
      <c r="C556" s="61" t="s">
        <v>812</v>
      </c>
      <c r="D556" s="62">
        <v>4</v>
      </c>
      <c r="E556" s="62">
        <v>30500</v>
      </c>
      <c r="F556" s="62">
        <v>720</v>
      </c>
      <c r="G556" s="62">
        <v>20</v>
      </c>
      <c r="H556" s="62">
        <v>1</v>
      </c>
      <c r="I556" s="12"/>
    </row>
    <row r="557" spans="2:9">
      <c r="B557" s="11"/>
      <c r="C557" s="61" t="s">
        <v>813</v>
      </c>
      <c r="D557" s="62">
        <v>4</v>
      </c>
      <c r="E557" s="62">
        <v>30500</v>
      </c>
      <c r="F557" s="62">
        <v>720</v>
      </c>
      <c r="G557" s="62">
        <v>20</v>
      </c>
      <c r="H557" s="62">
        <v>1</v>
      </c>
      <c r="I557" s="12"/>
    </row>
    <row r="558" spans="2:9">
      <c r="B558" s="11"/>
      <c r="C558" s="61" t="s">
        <v>814</v>
      </c>
      <c r="D558" s="62">
        <v>2</v>
      </c>
      <c r="E558" s="62">
        <v>4000</v>
      </c>
      <c r="F558" s="62">
        <v>0</v>
      </c>
      <c r="G558" s="62">
        <v>20</v>
      </c>
      <c r="H558" s="62">
        <v>1</v>
      </c>
      <c r="I558" s="12"/>
    </row>
    <row r="559" spans="2:9">
      <c r="B559" s="11"/>
      <c r="C559" s="61" t="s">
        <v>815</v>
      </c>
      <c r="D559" s="62">
        <v>1</v>
      </c>
      <c r="E559" s="62">
        <v>615</v>
      </c>
      <c r="F559" s="62">
        <v>160</v>
      </c>
      <c r="G559" s="62">
        <v>20</v>
      </c>
      <c r="H559" s="62">
        <v>1</v>
      </c>
      <c r="I559" s="12"/>
    </row>
    <row r="560" spans="2:9">
      <c r="B560" s="11"/>
      <c r="C560" s="61" t="s">
        <v>816</v>
      </c>
      <c r="D560" s="62">
        <v>4</v>
      </c>
      <c r="E560" s="62">
        <v>15000</v>
      </c>
      <c r="F560" s="62">
        <v>80</v>
      </c>
      <c r="G560" s="62">
        <v>2078</v>
      </c>
      <c r="H560" s="62">
        <v>1</v>
      </c>
      <c r="I560" s="12"/>
    </row>
    <row r="561" spans="2:9">
      <c r="B561" s="11"/>
      <c r="C561" s="61" t="s">
        <v>817</v>
      </c>
      <c r="D561" s="62">
        <v>2</v>
      </c>
      <c r="E561" s="62">
        <v>4000</v>
      </c>
      <c r="F561" s="62">
        <v>0</v>
      </c>
      <c r="G561" s="62">
        <v>20</v>
      </c>
      <c r="H561" s="62">
        <v>1</v>
      </c>
      <c r="I561" s="12"/>
    </row>
    <row r="562" spans="2:9">
      <c r="B562" s="11"/>
      <c r="C562" s="61" t="s">
        <v>818</v>
      </c>
      <c r="D562" s="62">
        <v>2</v>
      </c>
      <c r="E562" s="62">
        <v>7500</v>
      </c>
      <c r="F562" s="62">
        <v>32</v>
      </c>
      <c r="G562" s="62">
        <v>420</v>
      </c>
      <c r="H562" s="62">
        <v>1</v>
      </c>
      <c r="I562" s="12"/>
    </row>
    <row r="563" spans="2:9">
      <c r="B563" s="11"/>
      <c r="C563" s="61" t="s">
        <v>819</v>
      </c>
      <c r="D563" s="62">
        <v>2</v>
      </c>
      <c r="E563" s="62">
        <v>7500</v>
      </c>
      <c r="F563" s="62">
        <v>32</v>
      </c>
      <c r="G563" s="62">
        <v>420</v>
      </c>
      <c r="H563" s="62">
        <v>1</v>
      </c>
      <c r="I563" s="12"/>
    </row>
    <row r="564" spans="2:9">
      <c r="B564" s="11"/>
      <c r="C564" s="61" t="s">
        <v>820</v>
      </c>
      <c r="D564" s="62">
        <v>2</v>
      </c>
      <c r="E564" s="62">
        <v>7500</v>
      </c>
      <c r="F564" s="62">
        <v>32</v>
      </c>
      <c r="G564" s="62">
        <v>420</v>
      </c>
      <c r="H564" s="62">
        <v>1</v>
      </c>
      <c r="I564" s="12"/>
    </row>
    <row r="565" spans="2:9">
      <c r="B565" s="11"/>
      <c r="C565" s="61" t="s">
        <v>821</v>
      </c>
      <c r="D565" s="62">
        <v>2</v>
      </c>
      <c r="E565" s="62">
        <v>4000</v>
      </c>
      <c r="F565" s="62">
        <v>0</v>
      </c>
      <c r="G565" s="62">
        <v>20</v>
      </c>
      <c r="H565" s="62">
        <v>1</v>
      </c>
      <c r="I565" s="12"/>
    </row>
    <row r="566" spans="2:9">
      <c r="B566" s="11"/>
      <c r="C566" s="61" t="s">
        <v>822</v>
      </c>
      <c r="D566" s="62">
        <v>2</v>
      </c>
      <c r="E566" s="62">
        <v>7500</v>
      </c>
      <c r="F566" s="62">
        <v>32</v>
      </c>
      <c r="G566" s="62">
        <v>820</v>
      </c>
      <c r="H566" s="62">
        <v>1</v>
      </c>
      <c r="I566" s="12"/>
    </row>
    <row r="567" spans="2:9">
      <c r="B567" s="11"/>
      <c r="C567" s="61" t="s">
        <v>823</v>
      </c>
      <c r="D567" s="62">
        <v>1</v>
      </c>
      <c r="E567" s="62">
        <v>3750</v>
      </c>
      <c r="F567" s="62">
        <v>410</v>
      </c>
      <c r="G567" s="62">
        <v>20</v>
      </c>
      <c r="H567" s="62">
        <v>1</v>
      </c>
      <c r="I567" s="12"/>
    </row>
    <row r="568" spans="2:9">
      <c r="B568" s="11"/>
      <c r="C568" s="61" t="s">
        <v>824</v>
      </c>
      <c r="D568" s="62">
        <v>2</v>
      </c>
      <c r="E568" s="62">
        <v>4000</v>
      </c>
      <c r="F568" s="62">
        <v>0</v>
      </c>
      <c r="G568" s="62">
        <v>20</v>
      </c>
      <c r="H568" s="62">
        <v>1</v>
      </c>
      <c r="I568" s="12"/>
    </row>
    <row r="569" spans="2:9">
      <c r="B569" s="11"/>
      <c r="C569" s="61" t="s">
        <v>825</v>
      </c>
      <c r="D569" s="62">
        <v>1</v>
      </c>
      <c r="E569" s="62">
        <v>2000</v>
      </c>
      <c r="F569" s="62">
        <v>0</v>
      </c>
      <c r="G569" s="62">
        <v>20</v>
      </c>
      <c r="H569" s="62">
        <v>1</v>
      </c>
      <c r="I569" s="12"/>
    </row>
    <row r="570" spans="2:9">
      <c r="B570" s="11"/>
      <c r="C570" s="61" t="s">
        <v>826</v>
      </c>
      <c r="D570" s="62">
        <v>1</v>
      </c>
      <c r="E570" s="62">
        <v>1700</v>
      </c>
      <c r="F570" s="62">
        <v>160</v>
      </c>
      <c r="G570" s="62">
        <v>20</v>
      </c>
      <c r="H570" s="62">
        <v>1</v>
      </c>
      <c r="I570" s="12"/>
    </row>
    <row r="571" spans="2:9">
      <c r="B571" s="11"/>
      <c r="C571" s="61" t="s">
        <v>827</v>
      </c>
      <c r="D571" s="62">
        <v>1</v>
      </c>
      <c r="E571" s="62">
        <v>2000</v>
      </c>
      <c r="F571" s="62">
        <v>0</v>
      </c>
      <c r="G571" s="62">
        <v>20</v>
      </c>
      <c r="H571" s="62">
        <v>1</v>
      </c>
      <c r="I571" s="12"/>
    </row>
    <row r="572" spans="2:9">
      <c r="B572" s="11"/>
      <c r="C572" s="61" t="s">
        <v>829</v>
      </c>
      <c r="D572" s="62">
        <v>1</v>
      </c>
      <c r="E572" s="62">
        <v>2000</v>
      </c>
      <c r="F572" s="62">
        <v>0</v>
      </c>
      <c r="G572" s="62">
        <v>20</v>
      </c>
      <c r="H572" s="62">
        <v>1</v>
      </c>
      <c r="I572" s="12"/>
    </row>
    <row r="573" spans="2:9">
      <c r="B573" s="11"/>
      <c r="C573" s="61" t="s">
        <v>830</v>
      </c>
      <c r="D573" s="62">
        <v>16</v>
      </c>
      <c r="E573" s="62">
        <v>30000</v>
      </c>
      <c r="F573" s="62">
        <v>320</v>
      </c>
      <c r="G573" s="62">
        <v>20</v>
      </c>
      <c r="H573" s="62">
        <v>1</v>
      </c>
      <c r="I573" s="12"/>
    </row>
    <row r="574" spans="2:9">
      <c r="B574" s="11"/>
      <c r="C574" s="61" t="s">
        <v>831</v>
      </c>
      <c r="D574" s="62">
        <v>1</v>
      </c>
      <c r="E574" s="62">
        <v>1700</v>
      </c>
      <c r="F574" s="62">
        <v>160</v>
      </c>
      <c r="G574" s="62">
        <v>20</v>
      </c>
      <c r="H574" s="62">
        <v>1</v>
      </c>
      <c r="I574" s="12"/>
    </row>
    <row r="575" spans="2:9">
      <c r="B575" s="11"/>
      <c r="C575" s="61" t="s">
        <v>832</v>
      </c>
      <c r="D575" s="62">
        <v>2</v>
      </c>
      <c r="E575" s="62">
        <v>3750</v>
      </c>
      <c r="F575" s="62">
        <v>32</v>
      </c>
      <c r="G575" s="62">
        <v>20</v>
      </c>
      <c r="H575" s="62">
        <v>1</v>
      </c>
      <c r="I575" s="12"/>
    </row>
    <row r="576" spans="2:9">
      <c r="B576" s="11"/>
      <c r="C576" s="61" t="s">
        <v>833</v>
      </c>
      <c r="D576" s="62">
        <v>1</v>
      </c>
      <c r="E576" s="62">
        <v>1000</v>
      </c>
      <c r="F576" s="62">
        <v>0</v>
      </c>
      <c r="G576" s="62">
        <v>8</v>
      </c>
      <c r="H576" s="62">
        <v>1</v>
      </c>
      <c r="I576" s="12"/>
    </row>
    <row r="577" spans="2:9">
      <c r="B577" s="11"/>
      <c r="C577" s="61" t="s">
        <v>834</v>
      </c>
      <c r="D577" s="62">
        <v>1</v>
      </c>
      <c r="E577" s="62">
        <v>2000</v>
      </c>
      <c r="F577" s="62">
        <v>0</v>
      </c>
      <c r="G577" s="62">
        <v>20</v>
      </c>
      <c r="H577" s="62">
        <v>1</v>
      </c>
      <c r="I577" s="12"/>
    </row>
    <row r="578" spans="2:9">
      <c r="B578" s="11"/>
      <c r="C578" s="61" t="s">
        <v>837</v>
      </c>
      <c r="D578" s="62">
        <v>1</v>
      </c>
      <c r="E578" s="62">
        <v>2000</v>
      </c>
      <c r="F578" s="62">
        <v>0</v>
      </c>
      <c r="G578" s="62">
        <v>20</v>
      </c>
      <c r="H578" s="62">
        <v>1</v>
      </c>
      <c r="I578" s="12"/>
    </row>
    <row r="579" spans="2:9">
      <c r="B579" s="11"/>
      <c r="C579" s="61" t="s">
        <v>838</v>
      </c>
      <c r="D579" s="62">
        <v>1</v>
      </c>
      <c r="E579" s="62">
        <v>2000</v>
      </c>
      <c r="F579" s="62">
        <v>0</v>
      </c>
      <c r="G579" s="62">
        <v>20</v>
      </c>
      <c r="H579" s="62">
        <v>1</v>
      </c>
      <c r="I579" s="12"/>
    </row>
    <row r="580" spans="2:9">
      <c r="B580" s="11"/>
      <c r="C580" s="61" t="s">
        <v>839</v>
      </c>
      <c r="D580" s="62">
        <v>1</v>
      </c>
      <c r="E580" s="62">
        <v>2000</v>
      </c>
      <c r="F580" s="62">
        <v>0</v>
      </c>
      <c r="G580" s="62">
        <v>20</v>
      </c>
      <c r="H580" s="62">
        <v>1</v>
      </c>
      <c r="I580" s="12"/>
    </row>
    <row r="581" spans="2:9">
      <c r="B581" s="11"/>
      <c r="C581" s="61" t="s">
        <v>840</v>
      </c>
      <c r="D581" s="62">
        <v>1</v>
      </c>
      <c r="E581" s="62">
        <v>2000</v>
      </c>
      <c r="F581" s="62">
        <v>0</v>
      </c>
      <c r="G581" s="62">
        <v>20</v>
      </c>
      <c r="H581" s="62">
        <v>1</v>
      </c>
      <c r="I581" s="12"/>
    </row>
    <row r="582" spans="2:9">
      <c r="B582" s="11"/>
      <c r="C582" s="61" t="s">
        <v>841</v>
      </c>
      <c r="D582" s="62">
        <v>8</v>
      </c>
      <c r="E582" s="62">
        <v>15000</v>
      </c>
      <c r="F582" s="62">
        <v>160</v>
      </c>
      <c r="G582" s="62">
        <v>20</v>
      </c>
      <c r="H582" s="62">
        <v>1</v>
      </c>
      <c r="I582" s="12"/>
    </row>
    <row r="583" spans="2:9">
      <c r="B583" s="11"/>
      <c r="C583" s="61" t="s">
        <v>842</v>
      </c>
      <c r="D583" s="62">
        <v>8</v>
      </c>
      <c r="E583" s="62">
        <v>15000</v>
      </c>
      <c r="F583" s="62">
        <v>160</v>
      </c>
      <c r="G583" s="62">
        <v>20</v>
      </c>
      <c r="H583" s="62">
        <v>1</v>
      </c>
      <c r="I583" s="12"/>
    </row>
    <row r="584" spans="2:9">
      <c r="B584" s="11"/>
      <c r="C584" s="61" t="s">
        <v>843</v>
      </c>
      <c r="D584" s="62">
        <v>8</v>
      </c>
      <c r="E584" s="62">
        <v>15000</v>
      </c>
      <c r="F584" s="62">
        <v>160</v>
      </c>
      <c r="G584" s="62">
        <v>20</v>
      </c>
      <c r="H584" s="62">
        <v>1</v>
      </c>
      <c r="I584" s="12"/>
    </row>
    <row r="585" spans="2:9">
      <c r="B585" s="11"/>
      <c r="C585" s="61" t="s">
        <v>844</v>
      </c>
      <c r="D585" s="62">
        <v>1</v>
      </c>
      <c r="E585" s="62">
        <v>2000</v>
      </c>
      <c r="F585" s="62">
        <v>0</v>
      </c>
      <c r="G585" s="62">
        <v>20</v>
      </c>
      <c r="H585" s="62">
        <v>1</v>
      </c>
      <c r="I585" s="12"/>
    </row>
    <row r="586" spans="2:9">
      <c r="B586" s="11"/>
      <c r="C586" s="61" t="s">
        <v>846</v>
      </c>
      <c r="D586" s="62">
        <v>2</v>
      </c>
      <c r="E586" s="62">
        <v>3750</v>
      </c>
      <c r="F586" s="62">
        <v>32</v>
      </c>
      <c r="G586" s="62">
        <v>20</v>
      </c>
      <c r="H586" s="62">
        <v>1</v>
      </c>
      <c r="I586" s="12"/>
    </row>
    <row r="587" spans="2:9">
      <c r="B587" s="11"/>
      <c r="C587" s="61" t="s">
        <v>847</v>
      </c>
      <c r="D587" s="62">
        <v>2</v>
      </c>
      <c r="E587" s="62">
        <v>3750</v>
      </c>
      <c r="F587" s="62">
        <v>32</v>
      </c>
      <c r="G587" s="62">
        <v>20</v>
      </c>
      <c r="H587" s="62">
        <v>1</v>
      </c>
      <c r="I587" s="12"/>
    </row>
    <row r="588" spans="2:9">
      <c r="B588" s="11"/>
      <c r="C588" s="61" t="s">
        <v>848</v>
      </c>
      <c r="D588" s="62">
        <v>2</v>
      </c>
      <c r="E588" s="62">
        <v>3750</v>
      </c>
      <c r="F588" s="62">
        <v>32</v>
      </c>
      <c r="G588" s="62">
        <v>20</v>
      </c>
      <c r="H588" s="62">
        <v>1</v>
      </c>
      <c r="I588" s="12"/>
    </row>
    <row r="589" spans="2:9">
      <c r="B589" s="11"/>
      <c r="C589" s="61" t="s">
        <v>849</v>
      </c>
      <c r="D589" s="62">
        <v>2</v>
      </c>
      <c r="E589" s="62">
        <v>3750</v>
      </c>
      <c r="F589" s="62">
        <v>32</v>
      </c>
      <c r="G589" s="62">
        <v>20</v>
      </c>
      <c r="H589" s="62">
        <v>1</v>
      </c>
      <c r="I589" s="12"/>
    </row>
    <row r="590" spans="2:9">
      <c r="B590" s="11"/>
      <c r="C590" s="61" t="s">
        <v>850</v>
      </c>
      <c r="D590" s="62">
        <v>2</v>
      </c>
      <c r="E590" s="62">
        <v>3750</v>
      </c>
      <c r="F590" s="62">
        <v>32</v>
      </c>
      <c r="G590" s="62">
        <v>20</v>
      </c>
      <c r="H590" s="62">
        <v>1</v>
      </c>
      <c r="I590" s="12"/>
    </row>
    <row r="591" spans="2:9">
      <c r="B591" s="11"/>
      <c r="C591" s="61" t="s">
        <v>851</v>
      </c>
      <c r="D591" s="62">
        <v>2</v>
      </c>
      <c r="E591" s="62">
        <v>3750</v>
      </c>
      <c r="F591" s="62">
        <v>32</v>
      </c>
      <c r="G591" s="62">
        <v>20</v>
      </c>
      <c r="H591" s="62">
        <v>1</v>
      </c>
      <c r="I591" s="12"/>
    </row>
    <row r="592" spans="2:9">
      <c r="B592" s="11"/>
      <c r="C592" s="61" t="s">
        <v>852</v>
      </c>
      <c r="D592" s="62">
        <v>2</v>
      </c>
      <c r="E592" s="62">
        <v>3750</v>
      </c>
      <c r="F592" s="62">
        <v>32</v>
      </c>
      <c r="G592" s="62">
        <v>20</v>
      </c>
      <c r="H592" s="62">
        <v>1</v>
      </c>
      <c r="I592" s="12"/>
    </row>
    <row r="593" spans="2:9">
      <c r="B593" s="11"/>
      <c r="C593" s="61" t="s">
        <v>853</v>
      </c>
      <c r="D593" s="62">
        <v>2</v>
      </c>
      <c r="E593" s="62">
        <v>3750</v>
      </c>
      <c r="F593" s="62">
        <v>32</v>
      </c>
      <c r="G593" s="62">
        <v>20</v>
      </c>
      <c r="H593" s="62">
        <v>1</v>
      </c>
      <c r="I593" s="12"/>
    </row>
    <row r="594" spans="2:9">
      <c r="B594" s="11"/>
      <c r="C594" s="61" t="s">
        <v>854</v>
      </c>
      <c r="D594" s="62">
        <v>2</v>
      </c>
      <c r="E594" s="62">
        <v>3750</v>
      </c>
      <c r="F594" s="62">
        <v>32</v>
      </c>
      <c r="G594" s="62">
        <v>20</v>
      </c>
      <c r="H594" s="62">
        <v>1</v>
      </c>
      <c r="I594" s="12"/>
    </row>
    <row r="595" spans="2:9">
      <c r="B595" s="11"/>
      <c r="C595" s="61" t="s">
        <v>855</v>
      </c>
      <c r="D595" s="62">
        <v>2</v>
      </c>
      <c r="E595" s="62">
        <v>3750</v>
      </c>
      <c r="F595" s="62">
        <v>32</v>
      </c>
      <c r="G595" s="62">
        <v>20</v>
      </c>
      <c r="H595" s="62">
        <v>1</v>
      </c>
      <c r="I595" s="12"/>
    </row>
    <row r="596" spans="2:9">
      <c r="B596" s="11"/>
      <c r="C596" s="61" t="s">
        <v>856</v>
      </c>
      <c r="D596" s="62">
        <v>2</v>
      </c>
      <c r="E596" s="62">
        <v>3750</v>
      </c>
      <c r="F596" s="62">
        <v>32</v>
      </c>
      <c r="G596" s="62">
        <v>20</v>
      </c>
      <c r="H596" s="62">
        <v>1</v>
      </c>
      <c r="I596" s="12"/>
    </row>
    <row r="597" spans="2:9">
      <c r="B597" s="11"/>
      <c r="C597" s="61" t="s">
        <v>857</v>
      </c>
      <c r="D597" s="62">
        <v>2</v>
      </c>
      <c r="E597" s="62">
        <v>3750</v>
      </c>
      <c r="F597" s="62">
        <v>32</v>
      </c>
      <c r="G597" s="62">
        <v>20</v>
      </c>
      <c r="H597" s="62">
        <v>1</v>
      </c>
      <c r="I597" s="12"/>
    </row>
    <row r="598" spans="2:9">
      <c r="B598" s="11"/>
      <c r="C598" s="61" t="s">
        <v>858</v>
      </c>
      <c r="D598" s="62">
        <v>2</v>
      </c>
      <c r="E598" s="62">
        <v>3750</v>
      </c>
      <c r="F598" s="62">
        <v>32</v>
      </c>
      <c r="G598" s="62">
        <v>20</v>
      </c>
      <c r="H598" s="62">
        <v>1</v>
      </c>
      <c r="I598" s="12"/>
    </row>
    <row r="599" spans="2:9">
      <c r="B599" s="11"/>
      <c r="C599" s="61" t="s">
        <v>859</v>
      </c>
      <c r="D599" s="62">
        <v>2</v>
      </c>
      <c r="E599" s="62">
        <v>3750</v>
      </c>
      <c r="F599" s="62">
        <v>32</v>
      </c>
      <c r="G599" s="62">
        <v>20</v>
      </c>
      <c r="H599" s="62">
        <v>1</v>
      </c>
      <c r="I599" s="12"/>
    </row>
    <row r="600" spans="2:9">
      <c r="B600" s="11"/>
      <c r="C600" s="61" t="s">
        <v>860</v>
      </c>
      <c r="D600" s="62">
        <v>2</v>
      </c>
      <c r="E600" s="62">
        <v>3750</v>
      </c>
      <c r="F600" s="62">
        <v>32</v>
      </c>
      <c r="G600" s="62">
        <v>20</v>
      </c>
      <c r="H600" s="62">
        <v>1</v>
      </c>
      <c r="I600" s="12"/>
    </row>
    <row r="601" spans="2:9">
      <c r="B601" s="11"/>
      <c r="C601" s="61" t="s">
        <v>861</v>
      </c>
      <c r="D601" s="62">
        <v>2</v>
      </c>
      <c r="E601" s="62">
        <v>3750</v>
      </c>
      <c r="F601" s="62">
        <v>32</v>
      </c>
      <c r="G601" s="62">
        <v>20</v>
      </c>
      <c r="H601" s="62">
        <v>1</v>
      </c>
      <c r="I601" s="12"/>
    </row>
    <row r="602" spans="2:9">
      <c r="B602" s="11"/>
      <c r="C602" s="61" t="s">
        <v>862</v>
      </c>
      <c r="D602" s="62">
        <v>2</v>
      </c>
      <c r="E602" s="62">
        <v>3750</v>
      </c>
      <c r="F602" s="62">
        <v>32</v>
      </c>
      <c r="G602" s="62">
        <v>20</v>
      </c>
      <c r="H602" s="62">
        <v>1</v>
      </c>
      <c r="I602" s="12"/>
    </row>
    <row r="603" spans="2:9">
      <c r="B603" s="11"/>
      <c r="C603" s="61" t="s">
        <v>863</v>
      </c>
      <c r="D603" s="62">
        <v>1</v>
      </c>
      <c r="E603" s="62">
        <v>2000</v>
      </c>
      <c r="F603" s="62">
        <v>0</v>
      </c>
      <c r="G603" s="62">
        <v>20</v>
      </c>
      <c r="H603" s="62">
        <v>1</v>
      </c>
      <c r="I603" s="12"/>
    </row>
    <row r="604" spans="2:9">
      <c r="B604" s="11"/>
      <c r="C604" s="61" t="s">
        <v>864</v>
      </c>
      <c r="D604" s="62">
        <v>2</v>
      </c>
      <c r="E604" s="62">
        <v>3750</v>
      </c>
      <c r="F604" s="62">
        <v>32</v>
      </c>
      <c r="G604" s="62">
        <v>20</v>
      </c>
      <c r="H604" s="62">
        <v>1</v>
      </c>
      <c r="I604" s="12"/>
    </row>
    <row r="605" spans="2:9">
      <c r="B605" s="11"/>
      <c r="C605" s="61" t="s">
        <v>865</v>
      </c>
      <c r="D605" s="62">
        <v>1</v>
      </c>
      <c r="E605" s="62">
        <v>2000</v>
      </c>
      <c r="F605" s="62">
        <v>0</v>
      </c>
      <c r="G605" s="62">
        <v>20</v>
      </c>
      <c r="H605" s="62">
        <v>1</v>
      </c>
      <c r="I605" s="12"/>
    </row>
    <row r="606" spans="2:9">
      <c r="B606" s="11"/>
      <c r="C606" s="61" t="s">
        <v>866</v>
      </c>
      <c r="D606" s="62">
        <v>1</v>
      </c>
      <c r="E606" s="62">
        <v>2000</v>
      </c>
      <c r="F606" s="62">
        <v>0</v>
      </c>
      <c r="G606" s="62">
        <v>20</v>
      </c>
      <c r="H606" s="62">
        <v>1</v>
      </c>
      <c r="I606" s="12"/>
    </row>
    <row r="607" spans="2:9">
      <c r="B607" s="11"/>
      <c r="C607" s="61" t="s">
        <v>867</v>
      </c>
      <c r="D607" s="62">
        <v>2</v>
      </c>
      <c r="E607" s="62">
        <v>3750</v>
      </c>
      <c r="F607" s="62">
        <v>32</v>
      </c>
      <c r="G607" s="62">
        <v>20</v>
      </c>
      <c r="H607" s="62">
        <v>1</v>
      </c>
      <c r="I607" s="12"/>
    </row>
    <row r="608" spans="2:9">
      <c r="B608" s="11"/>
      <c r="C608" s="61" t="s">
        <v>868</v>
      </c>
      <c r="D608" s="62">
        <v>2</v>
      </c>
      <c r="E608" s="62">
        <v>3750</v>
      </c>
      <c r="F608" s="62">
        <v>32</v>
      </c>
      <c r="G608" s="62">
        <v>20</v>
      </c>
      <c r="H608" s="62">
        <v>1</v>
      </c>
      <c r="I608" s="12"/>
    </row>
    <row r="609" spans="2:9">
      <c r="B609" s="11"/>
      <c r="C609" s="61" t="s">
        <v>869</v>
      </c>
      <c r="D609" s="62">
        <v>2</v>
      </c>
      <c r="E609" s="62">
        <v>3750</v>
      </c>
      <c r="F609" s="62">
        <v>32</v>
      </c>
      <c r="G609" s="62">
        <v>20</v>
      </c>
      <c r="H609" s="62">
        <v>1</v>
      </c>
      <c r="I609" s="12"/>
    </row>
    <row r="610" spans="2:9">
      <c r="B610" s="11"/>
      <c r="C610" s="61" t="s">
        <v>870</v>
      </c>
      <c r="D610" s="62">
        <v>2</v>
      </c>
      <c r="E610" s="62">
        <v>3750</v>
      </c>
      <c r="F610" s="62">
        <v>32</v>
      </c>
      <c r="G610" s="62">
        <v>20</v>
      </c>
      <c r="H610" s="62">
        <v>1</v>
      </c>
      <c r="I610" s="12"/>
    </row>
    <row r="611" spans="2:9">
      <c r="B611" s="11"/>
      <c r="C611" s="61" t="s">
        <v>871</v>
      </c>
      <c r="D611" s="62">
        <v>2</v>
      </c>
      <c r="E611" s="62">
        <v>3750</v>
      </c>
      <c r="F611" s="62">
        <v>32</v>
      </c>
      <c r="G611" s="62">
        <v>20</v>
      </c>
      <c r="H611" s="62">
        <v>1</v>
      </c>
      <c r="I611" s="12"/>
    </row>
    <row r="612" spans="2:9">
      <c r="B612" s="11"/>
      <c r="C612" s="61" t="s">
        <v>872</v>
      </c>
      <c r="D612" s="62">
        <v>2</v>
      </c>
      <c r="E612" s="62">
        <v>3750</v>
      </c>
      <c r="F612" s="62">
        <v>32</v>
      </c>
      <c r="G612" s="62">
        <v>20</v>
      </c>
      <c r="H612" s="62">
        <v>1</v>
      </c>
      <c r="I612" s="12"/>
    </row>
    <row r="613" spans="2:9">
      <c r="B613" s="11"/>
      <c r="C613" s="61" t="s">
        <v>873</v>
      </c>
      <c r="D613" s="62">
        <v>2</v>
      </c>
      <c r="E613" s="62">
        <v>3750</v>
      </c>
      <c r="F613" s="62">
        <v>32</v>
      </c>
      <c r="G613" s="62">
        <v>20</v>
      </c>
      <c r="H613" s="62">
        <v>1</v>
      </c>
      <c r="I613" s="12"/>
    </row>
    <row r="614" spans="2:9">
      <c r="B614" s="11"/>
      <c r="C614" s="61" t="s">
        <v>874</v>
      </c>
      <c r="D614" s="62">
        <v>2</v>
      </c>
      <c r="E614" s="62">
        <v>3750</v>
      </c>
      <c r="F614" s="62">
        <v>32</v>
      </c>
      <c r="G614" s="62">
        <v>20</v>
      </c>
      <c r="H614" s="62">
        <v>1</v>
      </c>
      <c r="I614" s="12"/>
    </row>
    <row r="615" spans="2:9">
      <c r="B615" s="11"/>
      <c r="C615" s="61" t="s">
        <v>875</v>
      </c>
      <c r="D615" s="62">
        <v>1</v>
      </c>
      <c r="E615" s="62">
        <v>1700</v>
      </c>
      <c r="F615" s="62">
        <v>160</v>
      </c>
      <c r="G615" s="62">
        <v>20</v>
      </c>
      <c r="H615" s="62">
        <v>1</v>
      </c>
      <c r="I615" s="12"/>
    </row>
    <row r="616" spans="2:9">
      <c r="B616" s="11"/>
      <c r="C616" s="61" t="s">
        <v>876</v>
      </c>
      <c r="D616" s="62">
        <v>2</v>
      </c>
      <c r="E616" s="62">
        <v>3750</v>
      </c>
      <c r="F616" s="62">
        <v>32</v>
      </c>
      <c r="G616" s="62">
        <v>20</v>
      </c>
      <c r="H616" s="62">
        <v>1</v>
      </c>
      <c r="I616" s="12"/>
    </row>
    <row r="617" spans="2:9">
      <c r="B617" s="11"/>
      <c r="C617" s="61" t="s">
        <v>877</v>
      </c>
      <c r="D617" s="62">
        <v>2</v>
      </c>
      <c r="E617" s="62">
        <v>3750</v>
      </c>
      <c r="F617" s="62">
        <v>32</v>
      </c>
      <c r="G617" s="62">
        <v>20</v>
      </c>
      <c r="H617" s="62">
        <v>1</v>
      </c>
      <c r="I617" s="12"/>
    </row>
    <row r="618" spans="2:9">
      <c r="B618" s="11"/>
      <c r="C618" s="61" t="s">
        <v>878</v>
      </c>
      <c r="D618" s="62">
        <v>2</v>
      </c>
      <c r="E618" s="62">
        <v>3750</v>
      </c>
      <c r="F618" s="62">
        <v>32</v>
      </c>
      <c r="G618" s="62">
        <v>20</v>
      </c>
      <c r="H618" s="62">
        <v>1</v>
      </c>
      <c r="I618" s="12"/>
    </row>
    <row r="619" spans="2:9">
      <c r="B619" s="11"/>
      <c r="C619" s="61" t="s">
        <v>879</v>
      </c>
      <c r="D619" s="62">
        <v>2</v>
      </c>
      <c r="E619" s="62">
        <v>3750</v>
      </c>
      <c r="F619" s="62">
        <v>32</v>
      </c>
      <c r="G619" s="62">
        <v>20</v>
      </c>
      <c r="H619" s="62">
        <v>1</v>
      </c>
      <c r="I619" s="12"/>
    </row>
    <row r="620" spans="2:9">
      <c r="B620" s="11"/>
      <c r="C620" s="61" t="s">
        <v>880</v>
      </c>
      <c r="D620" s="62">
        <v>2</v>
      </c>
      <c r="E620" s="62">
        <v>3750</v>
      </c>
      <c r="F620" s="62">
        <v>32</v>
      </c>
      <c r="G620" s="62">
        <v>20</v>
      </c>
      <c r="H620" s="62">
        <v>1</v>
      </c>
      <c r="I620" s="12"/>
    </row>
    <row r="621" spans="2:9">
      <c r="B621" s="11"/>
      <c r="C621" s="61" t="s">
        <v>881</v>
      </c>
      <c r="D621" s="62">
        <v>2</v>
      </c>
      <c r="E621" s="62">
        <v>3750</v>
      </c>
      <c r="F621" s="62">
        <v>32</v>
      </c>
      <c r="G621" s="62">
        <v>20</v>
      </c>
      <c r="H621" s="62">
        <v>1</v>
      </c>
      <c r="I621" s="12"/>
    </row>
    <row r="622" spans="2:9">
      <c r="B622" s="11"/>
      <c r="C622" s="61" t="s">
        <v>882</v>
      </c>
      <c r="D622" s="62">
        <v>2</v>
      </c>
      <c r="E622" s="62">
        <v>3750</v>
      </c>
      <c r="F622" s="62">
        <v>32</v>
      </c>
      <c r="G622" s="62">
        <v>20</v>
      </c>
      <c r="H622" s="62">
        <v>1</v>
      </c>
      <c r="I622" s="12"/>
    </row>
    <row r="623" spans="2:9">
      <c r="B623" s="11"/>
      <c r="C623" s="61" t="s">
        <v>883</v>
      </c>
      <c r="D623" s="62">
        <v>2</v>
      </c>
      <c r="E623" s="62">
        <v>3750</v>
      </c>
      <c r="F623" s="62">
        <v>32</v>
      </c>
      <c r="G623" s="62">
        <v>20</v>
      </c>
      <c r="H623" s="62">
        <v>1</v>
      </c>
      <c r="I623" s="12"/>
    </row>
    <row r="624" spans="2:9">
      <c r="B624" s="11"/>
      <c r="C624" s="61" t="s">
        <v>884</v>
      </c>
      <c r="D624" s="62">
        <v>2</v>
      </c>
      <c r="E624" s="62">
        <v>3750</v>
      </c>
      <c r="F624" s="62">
        <v>32</v>
      </c>
      <c r="G624" s="62">
        <v>20</v>
      </c>
      <c r="H624" s="62">
        <v>1</v>
      </c>
      <c r="I624" s="12"/>
    </row>
    <row r="625" spans="2:9">
      <c r="B625" s="11"/>
      <c r="C625" s="61" t="s">
        <v>885</v>
      </c>
      <c r="D625" s="62">
        <v>2</v>
      </c>
      <c r="E625" s="62">
        <v>3750</v>
      </c>
      <c r="F625" s="62">
        <v>32</v>
      </c>
      <c r="G625" s="62">
        <v>20</v>
      </c>
      <c r="H625" s="62">
        <v>1</v>
      </c>
      <c r="I625" s="12"/>
    </row>
    <row r="626" spans="2:9">
      <c r="B626" s="11"/>
      <c r="C626" s="61" t="s">
        <v>886</v>
      </c>
      <c r="D626" s="62">
        <v>2</v>
      </c>
      <c r="E626" s="62">
        <v>3750</v>
      </c>
      <c r="F626" s="62">
        <v>32</v>
      </c>
      <c r="G626" s="62">
        <v>20</v>
      </c>
      <c r="H626" s="62">
        <v>1</v>
      </c>
      <c r="I626" s="12"/>
    </row>
    <row r="627" spans="2:9">
      <c r="B627" s="11"/>
      <c r="C627" s="61" t="s">
        <v>887</v>
      </c>
      <c r="D627" s="62">
        <v>2</v>
      </c>
      <c r="E627" s="62">
        <v>3750</v>
      </c>
      <c r="F627" s="62">
        <v>32</v>
      </c>
      <c r="G627" s="62">
        <v>20</v>
      </c>
      <c r="H627" s="62">
        <v>1</v>
      </c>
      <c r="I627" s="12"/>
    </row>
    <row r="628" spans="2:9">
      <c r="B628" s="11"/>
      <c r="C628" s="61" t="s">
        <v>888</v>
      </c>
      <c r="D628" s="62">
        <v>2</v>
      </c>
      <c r="E628" s="62">
        <v>3750</v>
      </c>
      <c r="F628" s="62">
        <v>32</v>
      </c>
      <c r="G628" s="62">
        <v>20</v>
      </c>
      <c r="H628" s="62">
        <v>1</v>
      </c>
      <c r="I628" s="12"/>
    </row>
    <row r="629" spans="2:9">
      <c r="B629" s="11"/>
      <c r="C629" s="61" t="s">
        <v>889</v>
      </c>
      <c r="D629" s="62">
        <v>2</v>
      </c>
      <c r="E629" s="62">
        <v>3750</v>
      </c>
      <c r="F629" s="62">
        <v>32</v>
      </c>
      <c r="G629" s="62">
        <v>20</v>
      </c>
      <c r="H629" s="62">
        <v>1</v>
      </c>
      <c r="I629" s="12"/>
    </row>
    <row r="630" spans="2:9">
      <c r="B630" s="11"/>
      <c r="C630" s="61" t="s">
        <v>890</v>
      </c>
      <c r="D630" s="62">
        <v>2</v>
      </c>
      <c r="E630" s="62">
        <v>3750</v>
      </c>
      <c r="F630" s="62">
        <v>32</v>
      </c>
      <c r="G630" s="62">
        <v>20</v>
      </c>
      <c r="H630" s="62">
        <v>1</v>
      </c>
      <c r="I630" s="12"/>
    </row>
    <row r="631" spans="2:9">
      <c r="B631" s="11"/>
      <c r="C631" s="61" t="s">
        <v>891</v>
      </c>
      <c r="D631" s="62">
        <v>2</v>
      </c>
      <c r="E631" s="62">
        <v>3750</v>
      </c>
      <c r="F631" s="62">
        <v>32</v>
      </c>
      <c r="G631" s="62">
        <v>20</v>
      </c>
      <c r="H631" s="62">
        <v>1</v>
      </c>
      <c r="I631" s="12"/>
    </row>
    <row r="632" spans="2:9">
      <c r="B632" s="11"/>
      <c r="C632" s="61" t="s">
        <v>892</v>
      </c>
      <c r="D632" s="62">
        <v>2</v>
      </c>
      <c r="E632" s="62">
        <v>7500</v>
      </c>
      <c r="F632" s="62">
        <v>32</v>
      </c>
      <c r="G632" s="62">
        <v>420</v>
      </c>
      <c r="H632" s="62">
        <v>1</v>
      </c>
      <c r="I632" s="12"/>
    </row>
    <row r="633" spans="2:9">
      <c r="B633" s="11"/>
      <c r="C633" s="61" t="s">
        <v>893</v>
      </c>
      <c r="D633" s="62">
        <v>2</v>
      </c>
      <c r="E633" s="62">
        <v>7500</v>
      </c>
      <c r="F633" s="62">
        <v>32</v>
      </c>
      <c r="G633" s="62">
        <v>1420</v>
      </c>
      <c r="H633" s="62">
        <v>1</v>
      </c>
      <c r="I633" s="12"/>
    </row>
    <row r="634" spans="2:9">
      <c r="B634" s="11"/>
      <c r="C634" s="61" t="s">
        <v>894</v>
      </c>
      <c r="D634" s="62">
        <v>2</v>
      </c>
      <c r="E634" s="62">
        <v>7500</v>
      </c>
      <c r="F634" s="62">
        <v>32</v>
      </c>
      <c r="G634" s="62">
        <v>420</v>
      </c>
      <c r="H634" s="62">
        <v>1</v>
      </c>
      <c r="I634" s="12"/>
    </row>
    <row r="635" spans="2:9">
      <c r="B635" s="11"/>
      <c r="C635" s="61" t="s">
        <v>895</v>
      </c>
      <c r="D635" s="62">
        <v>2</v>
      </c>
      <c r="E635" s="62">
        <v>4000</v>
      </c>
      <c r="F635" s="62">
        <v>0</v>
      </c>
      <c r="G635" s="62">
        <v>20</v>
      </c>
      <c r="H635" s="62">
        <v>1</v>
      </c>
      <c r="I635" s="12"/>
    </row>
    <row r="636" spans="2:9">
      <c r="B636" s="11"/>
      <c r="C636" s="61" t="s">
        <v>896</v>
      </c>
      <c r="D636" s="62">
        <v>2</v>
      </c>
      <c r="E636" s="62">
        <v>7500</v>
      </c>
      <c r="F636" s="62">
        <v>32</v>
      </c>
      <c r="G636" s="62">
        <v>420</v>
      </c>
      <c r="H636" s="62">
        <v>1</v>
      </c>
      <c r="I636" s="12"/>
    </row>
    <row r="637" spans="2:9">
      <c r="B637" s="11"/>
      <c r="C637" s="61" t="s">
        <v>897</v>
      </c>
      <c r="D637" s="62">
        <v>2</v>
      </c>
      <c r="E637" s="62">
        <v>3750</v>
      </c>
      <c r="F637" s="62">
        <v>32</v>
      </c>
      <c r="G637" s="62">
        <v>20</v>
      </c>
      <c r="H637" s="62">
        <v>1</v>
      </c>
      <c r="I637" s="12"/>
    </row>
    <row r="638" spans="2:9">
      <c r="B638" s="11"/>
      <c r="C638" s="61" t="s">
        <v>898</v>
      </c>
      <c r="D638" s="62">
        <v>2</v>
      </c>
      <c r="E638" s="62">
        <v>7500</v>
      </c>
      <c r="F638" s="62">
        <v>32</v>
      </c>
      <c r="G638" s="62">
        <v>20</v>
      </c>
      <c r="H638" s="62">
        <v>1</v>
      </c>
      <c r="I638" s="12"/>
    </row>
    <row r="639" spans="2:9">
      <c r="B639" s="11"/>
      <c r="C639" s="61" t="s">
        <v>899</v>
      </c>
      <c r="D639" s="62">
        <v>2</v>
      </c>
      <c r="E639" s="62">
        <v>7500</v>
      </c>
      <c r="F639" s="62">
        <v>32</v>
      </c>
      <c r="G639" s="62">
        <v>20</v>
      </c>
      <c r="H639" s="62">
        <v>1</v>
      </c>
      <c r="I639" s="12"/>
    </row>
    <row r="640" spans="2:9">
      <c r="B640" s="11"/>
      <c r="C640" s="61" t="s">
        <v>900</v>
      </c>
      <c r="D640" s="62">
        <v>2</v>
      </c>
      <c r="E640" s="62">
        <v>7500</v>
      </c>
      <c r="F640" s="62">
        <v>32</v>
      </c>
      <c r="G640" s="62">
        <v>20</v>
      </c>
      <c r="H640" s="62">
        <v>1</v>
      </c>
      <c r="I640" s="12"/>
    </row>
    <row r="641" spans="2:9">
      <c r="B641" s="11"/>
      <c r="C641" s="61" t="s">
        <v>901</v>
      </c>
      <c r="D641" s="62">
        <v>2</v>
      </c>
      <c r="E641" s="62">
        <v>7500</v>
      </c>
      <c r="F641" s="62">
        <v>32</v>
      </c>
      <c r="G641" s="62">
        <v>20</v>
      </c>
      <c r="H641" s="62">
        <v>1</v>
      </c>
      <c r="I641" s="12"/>
    </row>
    <row r="642" spans="2:9">
      <c r="B642" s="11"/>
      <c r="C642" s="61" t="s">
        <v>902</v>
      </c>
      <c r="D642" s="62">
        <v>2</v>
      </c>
      <c r="E642" s="62">
        <v>3750</v>
      </c>
      <c r="F642" s="62">
        <v>32</v>
      </c>
      <c r="G642" s="62">
        <v>20</v>
      </c>
      <c r="H642" s="62">
        <v>1</v>
      </c>
      <c r="I642" s="12"/>
    </row>
    <row r="643" spans="2:9">
      <c r="B643" s="11"/>
      <c r="C643" s="61" t="s">
        <v>903</v>
      </c>
      <c r="D643" s="62">
        <v>2</v>
      </c>
      <c r="E643" s="62">
        <v>3750</v>
      </c>
      <c r="F643" s="62">
        <v>32</v>
      </c>
      <c r="G643" s="62">
        <v>20</v>
      </c>
      <c r="H643" s="62">
        <v>1</v>
      </c>
      <c r="I643" s="12"/>
    </row>
    <row r="644" spans="2:9">
      <c r="B644" s="11"/>
      <c r="C644" s="61" t="s">
        <v>904</v>
      </c>
      <c r="D644" s="62">
        <v>2</v>
      </c>
      <c r="E644" s="62">
        <v>3750</v>
      </c>
      <c r="F644" s="62">
        <v>32</v>
      </c>
      <c r="G644" s="62">
        <v>20</v>
      </c>
      <c r="H644" s="62">
        <v>1</v>
      </c>
      <c r="I644" s="12"/>
    </row>
    <row r="645" spans="2:9">
      <c r="B645" s="11"/>
      <c r="C645" s="61" t="s">
        <v>905</v>
      </c>
      <c r="D645" s="62">
        <v>2</v>
      </c>
      <c r="E645" s="62">
        <v>3750</v>
      </c>
      <c r="F645" s="62">
        <v>32</v>
      </c>
      <c r="G645" s="62">
        <v>20</v>
      </c>
      <c r="H645" s="62">
        <v>1</v>
      </c>
      <c r="I645" s="12"/>
    </row>
    <row r="646" spans="2:9">
      <c r="B646" s="11"/>
      <c r="C646" s="61" t="s">
        <v>906</v>
      </c>
      <c r="D646" s="62">
        <v>2</v>
      </c>
      <c r="E646" s="62">
        <v>3750</v>
      </c>
      <c r="F646" s="62">
        <v>32</v>
      </c>
      <c r="G646" s="62">
        <v>20</v>
      </c>
      <c r="H646" s="62">
        <v>1</v>
      </c>
      <c r="I646" s="12"/>
    </row>
    <row r="647" spans="2:9">
      <c r="B647" s="11"/>
      <c r="C647" s="61" t="s">
        <v>907</v>
      </c>
      <c r="D647" s="62">
        <v>1</v>
      </c>
      <c r="E647" s="62">
        <v>2000</v>
      </c>
      <c r="F647" s="62">
        <v>0</v>
      </c>
      <c r="G647" s="62">
        <v>20</v>
      </c>
      <c r="H647" s="62">
        <v>1</v>
      </c>
      <c r="I647" s="12"/>
    </row>
    <row r="648" spans="2:9">
      <c r="B648" s="11"/>
      <c r="C648" s="61" t="s">
        <v>908</v>
      </c>
      <c r="D648" s="62">
        <v>1</v>
      </c>
      <c r="E648" s="62">
        <v>2000</v>
      </c>
      <c r="F648" s="62">
        <v>0</v>
      </c>
      <c r="G648" s="62">
        <v>20</v>
      </c>
      <c r="H648" s="62">
        <v>1</v>
      </c>
      <c r="I648" s="12"/>
    </row>
    <row r="649" spans="2:9">
      <c r="B649" s="11"/>
      <c r="C649" s="61" t="s">
        <v>909</v>
      </c>
      <c r="D649" s="62">
        <v>2</v>
      </c>
      <c r="E649" s="62">
        <v>3750</v>
      </c>
      <c r="F649" s="62">
        <v>32</v>
      </c>
      <c r="G649" s="62">
        <v>20</v>
      </c>
      <c r="H649" s="62">
        <v>1</v>
      </c>
      <c r="I649" s="12"/>
    </row>
    <row r="650" spans="2:9">
      <c r="B650" s="11"/>
      <c r="C650" s="61" t="s">
        <v>910</v>
      </c>
      <c r="D650" s="62">
        <v>1</v>
      </c>
      <c r="E650" s="62">
        <v>3750</v>
      </c>
      <c r="F650" s="62">
        <v>4</v>
      </c>
      <c r="G650" s="62">
        <v>20</v>
      </c>
      <c r="H650" s="62">
        <v>1</v>
      </c>
      <c r="I650" s="12"/>
    </row>
    <row r="651" spans="2:9">
      <c r="B651" s="11"/>
      <c r="C651" s="61" t="s">
        <v>911</v>
      </c>
      <c r="D651" s="62">
        <v>2</v>
      </c>
      <c r="E651" s="62">
        <v>3750</v>
      </c>
      <c r="F651" s="62">
        <v>32</v>
      </c>
      <c r="G651" s="62">
        <v>20</v>
      </c>
      <c r="H651" s="62">
        <v>1</v>
      </c>
      <c r="I651" s="12"/>
    </row>
    <row r="652" spans="2:9">
      <c r="B652" s="11"/>
      <c r="C652" s="61" t="s">
        <v>912</v>
      </c>
      <c r="D652" s="62">
        <v>1</v>
      </c>
      <c r="E652" s="62">
        <v>2000</v>
      </c>
      <c r="F652" s="62">
        <v>0</v>
      </c>
      <c r="G652" s="62">
        <v>20</v>
      </c>
      <c r="H652" s="62">
        <v>1</v>
      </c>
      <c r="I652" s="12"/>
    </row>
    <row r="653" spans="2:9">
      <c r="B653" s="11"/>
      <c r="C653" s="61" t="s">
        <v>913</v>
      </c>
      <c r="D653" s="62">
        <v>1</v>
      </c>
      <c r="E653" s="62">
        <v>2000</v>
      </c>
      <c r="F653" s="62">
        <v>0</v>
      </c>
      <c r="G653" s="62">
        <v>20</v>
      </c>
      <c r="H653" s="62">
        <v>1</v>
      </c>
      <c r="I653" s="12"/>
    </row>
    <row r="654" spans="2:9">
      <c r="B654" s="11"/>
      <c r="C654" s="61" t="s">
        <v>914</v>
      </c>
      <c r="D654" s="62">
        <v>1</v>
      </c>
      <c r="E654" s="62">
        <v>2000</v>
      </c>
      <c r="F654" s="62">
        <v>0</v>
      </c>
      <c r="G654" s="62">
        <v>20</v>
      </c>
      <c r="H654" s="62">
        <v>1</v>
      </c>
      <c r="I654" s="12"/>
    </row>
    <row r="655" spans="2:9">
      <c r="B655" s="11"/>
      <c r="C655" s="61" t="s">
        <v>915</v>
      </c>
      <c r="D655" s="62">
        <v>2</v>
      </c>
      <c r="E655" s="62">
        <v>3750</v>
      </c>
      <c r="F655" s="62">
        <v>32</v>
      </c>
      <c r="G655" s="62">
        <v>20</v>
      </c>
      <c r="H655" s="62">
        <v>1</v>
      </c>
      <c r="I655" s="12"/>
    </row>
    <row r="656" spans="2:9">
      <c r="B656" s="11"/>
      <c r="C656" s="61" t="s">
        <v>916</v>
      </c>
      <c r="D656" s="62">
        <v>2</v>
      </c>
      <c r="E656" s="62">
        <v>3750</v>
      </c>
      <c r="F656" s="62">
        <v>32</v>
      </c>
      <c r="G656" s="62">
        <v>20</v>
      </c>
      <c r="H656" s="62">
        <v>1</v>
      </c>
      <c r="I656" s="12"/>
    </row>
    <row r="657" spans="2:9">
      <c r="B657" s="11"/>
      <c r="C657" s="61" t="s">
        <v>917</v>
      </c>
      <c r="D657" s="62">
        <v>2</v>
      </c>
      <c r="E657" s="62">
        <v>3750</v>
      </c>
      <c r="F657" s="62">
        <v>32</v>
      </c>
      <c r="G657" s="62">
        <v>20</v>
      </c>
      <c r="H657" s="62">
        <v>1</v>
      </c>
      <c r="I657" s="12"/>
    </row>
    <row r="658" spans="2:9">
      <c r="B658" s="11"/>
      <c r="C658" s="61" t="s">
        <v>918</v>
      </c>
      <c r="D658" s="62">
        <v>2</v>
      </c>
      <c r="E658" s="62">
        <v>3750</v>
      </c>
      <c r="F658" s="62">
        <v>32</v>
      </c>
      <c r="G658" s="62">
        <v>20</v>
      </c>
      <c r="H658" s="62">
        <v>1</v>
      </c>
      <c r="I658" s="12"/>
    </row>
    <row r="659" spans="2:9">
      <c r="B659" s="11"/>
      <c r="C659" s="61" t="s">
        <v>919</v>
      </c>
      <c r="D659" s="62">
        <v>1</v>
      </c>
      <c r="E659" s="62">
        <v>2000</v>
      </c>
      <c r="F659" s="62">
        <v>0</v>
      </c>
      <c r="G659" s="62">
        <v>20</v>
      </c>
      <c r="H659" s="62">
        <v>1</v>
      </c>
      <c r="I659" s="12"/>
    </row>
    <row r="660" spans="2:9">
      <c r="B660" s="11"/>
      <c r="C660" s="61" t="s">
        <v>920</v>
      </c>
      <c r="D660" s="62">
        <v>2</v>
      </c>
      <c r="E660" s="62">
        <v>3750</v>
      </c>
      <c r="F660" s="62">
        <v>32</v>
      </c>
      <c r="G660" s="62">
        <v>20</v>
      </c>
      <c r="H660" s="62">
        <v>1</v>
      </c>
      <c r="I660" s="12"/>
    </row>
    <row r="661" spans="2:9">
      <c r="B661" s="11"/>
      <c r="C661" s="61" t="s">
        <v>921</v>
      </c>
      <c r="D661" s="62">
        <v>2</v>
      </c>
      <c r="E661" s="62">
        <v>3750</v>
      </c>
      <c r="F661" s="62">
        <v>32</v>
      </c>
      <c r="G661" s="62">
        <v>20</v>
      </c>
      <c r="H661" s="62">
        <v>1</v>
      </c>
      <c r="I661" s="12"/>
    </row>
    <row r="662" spans="2:9">
      <c r="B662" s="11"/>
      <c r="C662" s="61" t="s">
        <v>922</v>
      </c>
      <c r="D662" s="62">
        <v>2</v>
      </c>
      <c r="E662" s="62">
        <v>3750</v>
      </c>
      <c r="F662" s="62">
        <v>32</v>
      </c>
      <c r="G662" s="62">
        <v>20</v>
      </c>
      <c r="H662" s="62">
        <v>1</v>
      </c>
      <c r="I662" s="12"/>
    </row>
    <row r="663" spans="2:9">
      <c r="B663" s="11"/>
      <c r="C663" s="61" t="s">
        <v>924</v>
      </c>
      <c r="D663" s="62">
        <v>2</v>
      </c>
      <c r="E663" s="62">
        <v>3750</v>
      </c>
      <c r="F663" s="62">
        <v>32</v>
      </c>
      <c r="G663" s="62">
        <v>20</v>
      </c>
      <c r="H663" s="62">
        <v>1</v>
      </c>
      <c r="I663" s="12"/>
    </row>
    <row r="664" spans="2:9">
      <c r="B664" s="11"/>
      <c r="C664" s="61" t="s">
        <v>925</v>
      </c>
      <c r="D664" s="62">
        <v>2</v>
      </c>
      <c r="E664" s="62">
        <v>3750</v>
      </c>
      <c r="F664" s="62">
        <v>32</v>
      </c>
      <c r="G664" s="62">
        <v>20</v>
      </c>
      <c r="H664" s="62">
        <v>1</v>
      </c>
      <c r="I664" s="12"/>
    </row>
    <row r="665" spans="2:9">
      <c r="B665" s="11"/>
      <c r="C665" s="61" t="s">
        <v>926</v>
      </c>
      <c r="D665" s="62">
        <v>2</v>
      </c>
      <c r="E665" s="62">
        <v>3750</v>
      </c>
      <c r="F665" s="62">
        <v>32</v>
      </c>
      <c r="G665" s="62">
        <v>20</v>
      </c>
      <c r="H665" s="62">
        <v>1</v>
      </c>
      <c r="I665" s="12"/>
    </row>
    <row r="666" spans="2:9">
      <c r="B666" s="11"/>
      <c r="C666" s="61" t="s">
        <v>927</v>
      </c>
      <c r="D666" s="62">
        <v>2</v>
      </c>
      <c r="E666" s="62">
        <v>3750</v>
      </c>
      <c r="F666" s="62">
        <v>32</v>
      </c>
      <c r="G666" s="62">
        <v>20</v>
      </c>
      <c r="H666" s="62">
        <v>1</v>
      </c>
      <c r="I666" s="12"/>
    </row>
    <row r="667" spans="2:9">
      <c r="B667" s="11"/>
      <c r="C667" s="61" t="s">
        <v>928</v>
      </c>
      <c r="D667" s="62">
        <v>2</v>
      </c>
      <c r="E667" s="62">
        <v>3750</v>
      </c>
      <c r="F667" s="62">
        <v>32</v>
      </c>
      <c r="G667" s="62">
        <v>20</v>
      </c>
      <c r="H667" s="62">
        <v>1</v>
      </c>
      <c r="I667" s="12"/>
    </row>
    <row r="668" spans="2:9">
      <c r="B668" s="11"/>
      <c r="C668" s="61" t="s">
        <v>929</v>
      </c>
      <c r="D668" s="62">
        <v>2</v>
      </c>
      <c r="E668" s="62">
        <v>3750</v>
      </c>
      <c r="F668" s="62">
        <v>32</v>
      </c>
      <c r="G668" s="62">
        <v>20</v>
      </c>
      <c r="H668" s="62">
        <v>1</v>
      </c>
      <c r="I668" s="12"/>
    </row>
    <row r="669" spans="2:9">
      <c r="B669" s="11"/>
      <c r="C669" s="61" t="s">
        <v>930</v>
      </c>
      <c r="D669" s="62">
        <v>2</v>
      </c>
      <c r="E669" s="62">
        <v>3750</v>
      </c>
      <c r="F669" s="62">
        <v>32</v>
      </c>
      <c r="G669" s="62">
        <v>20</v>
      </c>
      <c r="H669" s="62">
        <v>1</v>
      </c>
      <c r="I669" s="12"/>
    </row>
    <row r="670" spans="2:9">
      <c r="B670" s="11"/>
      <c r="C670" s="61" t="s">
        <v>931</v>
      </c>
      <c r="D670" s="62">
        <v>2</v>
      </c>
      <c r="E670" s="62">
        <v>3750</v>
      </c>
      <c r="F670" s="62">
        <v>32</v>
      </c>
      <c r="G670" s="62">
        <v>20</v>
      </c>
      <c r="H670" s="62">
        <v>1</v>
      </c>
      <c r="I670" s="12"/>
    </row>
    <row r="671" spans="2:9">
      <c r="B671" s="11"/>
      <c r="C671" s="61" t="s">
        <v>932</v>
      </c>
      <c r="D671" s="62">
        <v>2</v>
      </c>
      <c r="E671" s="62">
        <v>3750</v>
      </c>
      <c r="F671" s="62">
        <v>32</v>
      </c>
      <c r="G671" s="62">
        <v>20</v>
      </c>
      <c r="H671" s="62">
        <v>1</v>
      </c>
      <c r="I671" s="12"/>
    </row>
    <row r="672" spans="2:9">
      <c r="B672" s="11"/>
      <c r="C672" s="61" t="s">
        <v>933</v>
      </c>
      <c r="D672" s="62">
        <v>2</v>
      </c>
      <c r="E672" s="62">
        <v>3750</v>
      </c>
      <c r="F672" s="62">
        <v>32</v>
      </c>
      <c r="G672" s="62">
        <v>20</v>
      </c>
      <c r="H672" s="62">
        <v>1</v>
      </c>
      <c r="I672" s="12"/>
    </row>
    <row r="673" spans="2:9">
      <c r="B673" s="11"/>
      <c r="C673" s="61" t="s">
        <v>934</v>
      </c>
      <c r="D673" s="62">
        <v>2</v>
      </c>
      <c r="E673" s="62">
        <v>3750</v>
      </c>
      <c r="F673" s="62">
        <v>32</v>
      </c>
      <c r="G673" s="62">
        <v>20</v>
      </c>
      <c r="H673" s="62">
        <v>1</v>
      </c>
      <c r="I673" s="12"/>
    </row>
    <row r="674" spans="2:9">
      <c r="B674" s="11"/>
      <c r="C674" s="61" t="s">
        <v>935</v>
      </c>
      <c r="D674" s="62">
        <v>2</v>
      </c>
      <c r="E674" s="62">
        <v>3750</v>
      </c>
      <c r="F674" s="62">
        <v>32</v>
      </c>
      <c r="G674" s="62">
        <v>20</v>
      </c>
      <c r="H674" s="62">
        <v>1</v>
      </c>
      <c r="I674" s="12"/>
    </row>
    <row r="675" spans="2:9">
      <c r="B675" s="11"/>
      <c r="C675" s="61" t="s">
        <v>936</v>
      </c>
      <c r="D675" s="62">
        <v>2</v>
      </c>
      <c r="E675" s="62">
        <v>3750</v>
      </c>
      <c r="F675" s="62">
        <v>32</v>
      </c>
      <c r="G675" s="62">
        <v>20</v>
      </c>
      <c r="H675" s="62">
        <v>1</v>
      </c>
      <c r="I675" s="12"/>
    </row>
    <row r="676" spans="2:9">
      <c r="B676" s="11"/>
      <c r="C676" s="61" t="s">
        <v>937</v>
      </c>
      <c r="D676" s="62">
        <v>2</v>
      </c>
      <c r="E676" s="62">
        <v>3750</v>
      </c>
      <c r="F676" s="62">
        <v>32</v>
      </c>
      <c r="G676" s="62">
        <v>20</v>
      </c>
      <c r="H676" s="62">
        <v>1</v>
      </c>
      <c r="I676" s="12"/>
    </row>
    <row r="677" spans="2:9">
      <c r="B677" s="11"/>
      <c r="C677" s="61" t="s">
        <v>938</v>
      </c>
      <c r="D677" s="62">
        <v>2</v>
      </c>
      <c r="E677" s="62">
        <v>3750</v>
      </c>
      <c r="F677" s="62">
        <v>32</v>
      </c>
      <c r="G677" s="62">
        <v>20</v>
      </c>
      <c r="H677" s="62">
        <v>1</v>
      </c>
      <c r="I677" s="12"/>
    </row>
    <row r="678" spans="2:9">
      <c r="B678" s="11"/>
      <c r="C678" s="61" t="s">
        <v>939</v>
      </c>
      <c r="D678" s="62">
        <v>2</v>
      </c>
      <c r="E678" s="62">
        <v>3750</v>
      </c>
      <c r="F678" s="62">
        <v>32</v>
      </c>
      <c r="G678" s="62">
        <v>20</v>
      </c>
      <c r="H678" s="62">
        <v>1</v>
      </c>
      <c r="I678" s="12"/>
    </row>
    <row r="679" spans="2:9">
      <c r="B679" s="11"/>
      <c r="C679" s="61" t="s">
        <v>940</v>
      </c>
      <c r="D679" s="62">
        <v>2</v>
      </c>
      <c r="E679" s="62">
        <v>3750</v>
      </c>
      <c r="F679" s="62">
        <v>32</v>
      </c>
      <c r="G679" s="62">
        <v>20</v>
      </c>
      <c r="H679" s="62">
        <v>1</v>
      </c>
      <c r="I679" s="12"/>
    </row>
    <row r="680" spans="2:9">
      <c r="B680" s="11"/>
      <c r="C680" s="61" t="s">
        <v>941</v>
      </c>
      <c r="D680" s="62">
        <v>2</v>
      </c>
      <c r="E680" s="62">
        <v>3750</v>
      </c>
      <c r="F680" s="62">
        <v>32</v>
      </c>
      <c r="G680" s="62">
        <v>20</v>
      </c>
      <c r="H680" s="62">
        <v>1</v>
      </c>
      <c r="I680" s="12"/>
    </row>
    <row r="681" spans="2:9">
      <c r="B681" s="11"/>
      <c r="C681" s="61" t="s">
        <v>942</v>
      </c>
      <c r="D681" s="62">
        <v>2</v>
      </c>
      <c r="E681" s="62">
        <v>3750</v>
      </c>
      <c r="F681" s="62">
        <v>32</v>
      </c>
      <c r="G681" s="62">
        <v>20</v>
      </c>
      <c r="H681" s="62">
        <v>1</v>
      </c>
      <c r="I681" s="12"/>
    </row>
    <row r="682" spans="2:9">
      <c r="B682" s="11"/>
      <c r="C682" s="61" t="s">
        <v>943</v>
      </c>
      <c r="D682" s="62">
        <v>2</v>
      </c>
      <c r="E682" s="62">
        <v>3750</v>
      </c>
      <c r="F682" s="62">
        <v>32</v>
      </c>
      <c r="G682" s="62">
        <v>20</v>
      </c>
      <c r="H682" s="62">
        <v>1</v>
      </c>
      <c r="I682" s="12"/>
    </row>
    <row r="683" spans="2:9">
      <c r="B683" s="11"/>
      <c r="C683" s="61" t="s">
        <v>944</v>
      </c>
      <c r="D683" s="62">
        <v>2</v>
      </c>
      <c r="E683" s="62">
        <v>3750</v>
      </c>
      <c r="F683" s="62">
        <v>32</v>
      </c>
      <c r="G683" s="62">
        <v>20</v>
      </c>
      <c r="H683" s="62">
        <v>1</v>
      </c>
      <c r="I683" s="12"/>
    </row>
    <row r="684" spans="2:9">
      <c r="B684" s="11"/>
      <c r="C684" s="61" t="s">
        <v>945</v>
      </c>
      <c r="D684" s="62">
        <v>2</v>
      </c>
      <c r="E684" s="62">
        <v>3750</v>
      </c>
      <c r="F684" s="62">
        <v>32</v>
      </c>
      <c r="G684" s="62">
        <v>20</v>
      </c>
      <c r="H684" s="62">
        <v>1</v>
      </c>
      <c r="I684" s="12"/>
    </row>
    <row r="685" spans="2:9">
      <c r="B685" s="11"/>
      <c r="C685" s="61" t="s">
        <v>946</v>
      </c>
      <c r="D685" s="62">
        <v>2</v>
      </c>
      <c r="E685" s="62">
        <v>3750</v>
      </c>
      <c r="F685" s="62">
        <v>32</v>
      </c>
      <c r="G685" s="62">
        <v>20</v>
      </c>
      <c r="H685" s="62">
        <v>1</v>
      </c>
      <c r="I685" s="12"/>
    </row>
    <row r="686" spans="2:9">
      <c r="B686" s="11"/>
      <c r="C686" s="61" t="s">
        <v>947</v>
      </c>
      <c r="D686" s="62">
        <v>2</v>
      </c>
      <c r="E686" s="62">
        <v>3750</v>
      </c>
      <c r="F686" s="62">
        <v>32</v>
      </c>
      <c r="G686" s="62">
        <v>20</v>
      </c>
      <c r="H686" s="62">
        <v>1</v>
      </c>
      <c r="I686" s="12"/>
    </row>
    <row r="687" spans="2:9">
      <c r="B687" s="11"/>
      <c r="C687" s="61" t="s">
        <v>948</v>
      </c>
      <c r="D687" s="62">
        <v>2</v>
      </c>
      <c r="E687" s="62">
        <v>3750</v>
      </c>
      <c r="F687" s="62">
        <v>32</v>
      </c>
      <c r="G687" s="62">
        <v>20</v>
      </c>
      <c r="H687" s="62">
        <v>1</v>
      </c>
      <c r="I687" s="12"/>
    </row>
    <row r="688" spans="2:9">
      <c r="B688" s="11"/>
      <c r="C688" s="61" t="s">
        <v>949</v>
      </c>
      <c r="D688" s="62">
        <v>2</v>
      </c>
      <c r="E688" s="62">
        <v>3750</v>
      </c>
      <c r="F688" s="62">
        <v>32</v>
      </c>
      <c r="G688" s="62">
        <v>20</v>
      </c>
      <c r="H688" s="62">
        <v>1</v>
      </c>
      <c r="I688" s="12"/>
    </row>
    <row r="689" spans="2:9">
      <c r="B689" s="11"/>
      <c r="C689" s="61" t="s">
        <v>950</v>
      </c>
      <c r="D689" s="62">
        <v>2</v>
      </c>
      <c r="E689" s="62">
        <v>3750</v>
      </c>
      <c r="F689" s="62">
        <v>32</v>
      </c>
      <c r="G689" s="62">
        <v>20</v>
      </c>
      <c r="H689" s="62">
        <v>1</v>
      </c>
      <c r="I689" s="12"/>
    </row>
    <row r="690" spans="2:9">
      <c r="B690" s="11"/>
      <c r="C690" s="61" t="s">
        <v>951</v>
      </c>
      <c r="D690" s="62">
        <v>2</v>
      </c>
      <c r="E690" s="62">
        <v>3750</v>
      </c>
      <c r="F690" s="62">
        <v>32</v>
      </c>
      <c r="G690" s="62">
        <v>20</v>
      </c>
      <c r="H690" s="62">
        <v>1</v>
      </c>
      <c r="I690" s="12"/>
    </row>
    <row r="691" spans="2:9">
      <c r="B691" s="11"/>
      <c r="C691" s="61" t="s">
        <v>952</v>
      </c>
      <c r="D691" s="62">
        <v>2</v>
      </c>
      <c r="E691" s="62">
        <v>3750</v>
      </c>
      <c r="F691" s="62">
        <v>32</v>
      </c>
      <c r="G691" s="62">
        <v>20</v>
      </c>
      <c r="H691" s="62">
        <v>1</v>
      </c>
      <c r="I691" s="12"/>
    </row>
    <row r="692" spans="2:9">
      <c r="B692" s="11"/>
      <c r="C692" s="61" t="s">
        <v>953</v>
      </c>
      <c r="D692" s="62">
        <v>2</v>
      </c>
      <c r="E692" s="62">
        <v>3750</v>
      </c>
      <c r="F692" s="62">
        <v>32</v>
      </c>
      <c r="G692" s="62">
        <v>20</v>
      </c>
      <c r="H692" s="62">
        <v>1</v>
      </c>
      <c r="I692" s="12"/>
    </row>
    <row r="693" spans="2:9">
      <c r="B693" s="11"/>
      <c r="C693" s="61" t="s">
        <v>954</v>
      </c>
      <c r="D693" s="62">
        <v>2</v>
      </c>
      <c r="E693" s="62">
        <v>3750</v>
      </c>
      <c r="F693" s="62">
        <v>32</v>
      </c>
      <c r="G693" s="62">
        <v>20</v>
      </c>
      <c r="H693" s="62">
        <v>1</v>
      </c>
      <c r="I693" s="12"/>
    </row>
    <row r="694" spans="2:9">
      <c r="B694" s="11"/>
      <c r="C694" s="61" t="s">
        <v>955</v>
      </c>
      <c r="D694" s="62">
        <v>2</v>
      </c>
      <c r="E694" s="62">
        <v>3750</v>
      </c>
      <c r="F694" s="62">
        <v>32</v>
      </c>
      <c r="G694" s="62">
        <v>20</v>
      </c>
      <c r="H694" s="62">
        <v>1</v>
      </c>
      <c r="I694" s="12"/>
    </row>
    <row r="695" spans="2:9">
      <c r="B695" s="11"/>
      <c r="C695" s="61" t="s">
        <v>956</v>
      </c>
      <c r="D695" s="62">
        <v>2</v>
      </c>
      <c r="E695" s="62">
        <v>3750</v>
      </c>
      <c r="F695" s="62">
        <v>32</v>
      </c>
      <c r="G695" s="62">
        <v>20</v>
      </c>
      <c r="H695" s="62">
        <v>1</v>
      </c>
      <c r="I695" s="12"/>
    </row>
    <row r="696" spans="2:9">
      <c r="B696" s="11"/>
      <c r="C696" s="61" t="s">
        <v>957</v>
      </c>
      <c r="D696" s="62">
        <v>2</v>
      </c>
      <c r="E696" s="62">
        <v>3750</v>
      </c>
      <c r="F696" s="62">
        <v>32</v>
      </c>
      <c r="G696" s="62">
        <v>20</v>
      </c>
      <c r="H696" s="62">
        <v>1</v>
      </c>
      <c r="I696" s="12"/>
    </row>
    <row r="697" spans="2:9">
      <c r="B697" s="11"/>
      <c r="C697" s="61" t="s">
        <v>958</v>
      </c>
      <c r="D697" s="62">
        <v>2</v>
      </c>
      <c r="E697" s="62">
        <v>3750</v>
      </c>
      <c r="F697" s="62">
        <v>32</v>
      </c>
      <c r="G697" s="62">
        <v>20</v>
      </c>
      <c r="H697" s="62">
        <v>1</v>
      </c>
      <c r="I697" s="12"/>
    </row>
    <row r="698" spans="2:9">
      <c r="B698" s="11"/>
      <c r="C698" s="61" t="s">
        <v>959</v>
      </c>
      <c r="D698" s="62">
        <v>2</v>
      </c>
      <c r="E698" s="62">
        <v>3750</v>
      </c>
      <c r="F698" s="62">
        <v>32</v>
      </c>
      <c r="G698" s="62">
        <v>20</v>
      </c>
      <c r="H698" s="62">
        <v>1</v>
      </c>
      <c r="I698" s="12"/>
    </row>
    <row r="699" spans="2:9">
      <c r="B699" s="11"/>
      <c r="C699" s="61" t="s">
        <v>960</v>
      </c>
      <c r="D699" s="62">
        <v>1</v>
      </c>
      <c r="E699" s="62">
        <v>2000</v>
      </c>
      <c r="F699" s="62">
        <v>0</v>
      </c>
      <c r="G699" s="62">
        <v>20</v>
      </c>
      <c r="H699" s="62">
        <v>1</v>
      </c>
      <c r="I699" s="12"/>
    </row>
    <row r="700" spans="2:9">
      <c r="B700" s="11"/>
      <c r="C700" s="61" t="s">
        <v>961</v>
      </c>
      <c r="D700" s="62">
        <v>1</v>
      </c>
      <c r="E700" s="62">
        <v>2000</v>
      </c>
      <c r="F700" s="62">
        <v>0</v>
      </c>
      <c r="G700" s="62">
        <v>20</v>
      </c>
      <c r="H700" s="62">
        <v>1</v>
      </c>
      <c r="I700" s="12"/>
    </row>
    <row r="701" spans="2:9">
      <c r="B701" s="11"/>
      <c r="C701" s="61" t="s">
        <v>962</v>
      </c>
      <c r="D701" s="62">
        <v>1</v>
      </c>
      <c r="E701" s="62">
        <v>2000</v>
      </c>
      <c r="F701" s="62">
        <v>0</v>
      </c>
      <c r="G701" s="62">
        <v>20</v>
      </c>
      <c r="H701" s="62">
        <v>1</v>
      </c>
      <c r="I701" s="12"/>
    </row>
    <row r="702" spans="2:9">
      <c r="B702" s="11"/>
      <c r="C702" s="61" t="s">
        <v>963</v>
      </c>
      <c r="D702" s="62">
        <v>2</v>
      </c>
      <c r="E702" s="62">
        <v>3750</v>
      </c>
      <c r="F702" s="62">
        <v>32</v>
      </c>
      <c r="G702" s="62">
        <v>20</v>
      </c>
      <c r="H702" s="62">
        <v>1</v>
      </c>
      <c r="I702" s="12"/>
    </row>
    <row r="703" spans="2:9">
      <c r="B703" s="11"/>
      <c r="C703" s="61" t="s">
        <v>964</v>
      </c>
      <c r="D703" s="62">
        <v>2</v>
      </c>
      <c r="E703" s="62">
        <v>3750</v>
      </c>
      <c r="F703" s="62">
        <v>32</v>
      </c>
      <c r="G703" s="62">
        <v>20</v>
      </c>
      <c r="H703" s="62">
        <v>1</v>
      </c>
      <c r="I703" s="12"/>
    </row>
    <row r="704" spans="2:9">
      <c r="B704" s="11"/>
      <c r="C704" s="61" t="s">
        <v>965</v>
      </c>
      <c r="D704" s="62">
        <v>2</v>
      </c>
      <c r="E704" s="62">
        <v>3750</v>
      </c>
      <c r="F704" s="62">
        <v>32</v>
      </c>
      <c r="G704" s="62">
        <v>20</v>
      </c>
      <c r="H704" s="62">
        <v>1</v>
      </c>
      <c r="I704" s="12"/>
    </row>
    <row r="705" spans="2:9">
      <c r="B705" s="11"/>
      <c r="C705" s="61" t="s">
        <v>966</v>
      </c>
      <c r="D705" s="62">
        <v>2</v>
      </c>
      <c r="E705" s="62">
        <v>3750</v>
      </c>
      <c r="F705" s="62">
        <v>32</v>
      </c>
      <c r="G705" s="62">
        <v>20</v>
      </c>
      <c r="H705" s="62">
        <v>1</v>
      </c>
      <c r="I705" s="12"/>
    </row>
    <row r="706" spans="2:9">
      <c r="B706" s="11"/>
      <c r="C706" s="61" t="s">
        <v>967</v>
      </c>
      <c r="D706" s="62">
        <v>2</v>
      </c>
      <c r="E706" s="62">
        <v>3750</v>
      </c>
      <c r="F706" s="62">
        <v>32</v>
      </c>
      <c r="G706" s="62">
        <v>20</v>
      </c>
      <c r="H706" s="62">
        <v>1</v>
      </c>
      <c r="I706" s="12"/>
    </row>
    <row r="707" spans="2:9">
      <c r="B707" s="11"/>
      <c r="C707" s="61" t="s">
        <v>968</v>
      </c>
      <c r="D707" s="62">
        <v>2</v>
      </c>
      <c r="E707" s="62">
        <v>3750</v>
      </c>
      <c r="F707" s="62">
        <v>32</v>
      </c>
      <c r="G707" s="62">
        <v>20</v>
      </c>
      <c r="H707" s="62">
        <v>1</v>
      </c>
      <c r="I707" s="12"/>
    </row>
    <row r="708" spans="2:9">
      <c r="B708" s="11"/>
      <c r="C708" s="61" t="s">
        <v>969</v>
      </c>
      <c r="D708" s="62">
        <v>2</v>
      </c>
      <c r="E708" s="62">
        <v>3750</v>
      </c>
      <c r="F708" s="62">
        <v>32</v>
      </c>
      <c r="G708" s="62">
        <v>20</v>
      </c>
      <c r="H708" s="62">
        <v>1</v>
      </c>
      <c r="I708" s="12"/>
    </row>
    <row r="709" spans="2:9">
      <c r="B709" s="11"/>
      <c r="C709" s="61" t="s">
        <v>970</v>
      </c>
      <c r="D709" s="62">
        <v>2</v>
      </c>
      <c r="E709" s="62">
        <v>3750</v>
      </c>
      <c r="F709" s="62">
        <v>32</v>
      </c>
      <c r="G709" s="62">
        <v>20</v>
      </c>
      <c r="H709" s="62">
        <v>1</v>
      </c>
      <c r="I709" s="12"/>
    </row>
    <row r="710" spans="2:9">
      <c r="B710" s="11"/>
      <c r="C710" s="61" t="s">
        <v>971</v>
      </c>
      <c r="D710" s="62">
        <v>2</v>
      </c>
      <c r="E710" s="62">
        <v>3750</v>
      </c>
      <c r="F710" s="62">
        <v>32</v>
      </c>
      <c r="G710" s="62">
        <v>20</v>
      </c>
      <c r="H710" s="62">
        <v>1</v>
      </c>
      <c r="I710" s="12"/>
    </row>
    <row r="711" spans="2:9">
      <c r="B711" s="11"/>
      <c r="C711" s="61" t="s">
        <v>972</v>
      </c>
      <c r="D711" s="62">
        <v>2</v>
      </c>
      <c r="E711" s="62">
        <v>3750</v>
      </c>
      <c r="F711" s="62">
        <v>32</v>
      </c>
      <c r="G711" s="62">
        <v>20</v>
      </c>
      <c r="H711" s="62">
        <v>1</v>
      </c>
      <c r="I711" s="12"/>
    </row>
    <row r="712" spans="2:9">
      <c r="B712" s="11"/>
      <c r="C712" s="61" t="s">
        <v>973</v>
      </c>
      <c r="D712" s="62">
        <v>2</v>
      </c>
      <c r="E712" s="62">
        <v>3750</v>
      </c>
      <c r="F712" s="62">
        <v>32</v>
      </c>
      <c r="G712" s="62">
        <v>20</v>
      </c>
      <c r="H712" s="62">
        <v>1</v>
      </c>
      <c r="I712" s="12"/>
    </row>
    <row r="713" spans="2:9">
      <c r="B713" s="11"/>
      <c r="C713" s="61" t="s">
        <v>974</v>
      </c>
      <c r="D713" s="62">
        <v>2</v>
      </c>
      <c r="E713" s="62">
        <v>4000</v>
      </c>
      <c r="F713" s="62">
        <v>0</v>
      </c>
      <c r="G713" s="62">
        <v>20</v>
      </c>
      <c r="H713" s="62">
        <v>1</v>
      </c>
      <c r="I713" s="12"/>
    </row>
    <row r="714" spans="2:9">
      <c r="B714" s="11"/>
      <c r="C714" s="61" t="s">
        <v>975</v>
      </c>
      <c r="D714" s="62">
        <v>1</v>
      </c>
      <c r="E714" s="62">
        <v>2000</v>
      </c>
      <c r="F714" s="62">
        <v>0</v>
      </c>
      <c r="G714" s="62">
        <v>20</v>
      </c>
      <c r="H714" s="62">
        <v>1</v>
      </c>
      <c r="I714" s="12"/>
    </row>
    <row r="715" spans="2:9">
      <c r="B715" s="11"/>
      <c r="C715" s="61" t="s">
        <v>976</v>
      </c>
      <c r="D715" s="62">
        <v>1</v>
      </c>
      <c r="E715" s="62">
        <v>2000</v>
      </c>
      <c r="F715" s="62">
        <v>0</v>
      </c>
      <c r="G715" s="62">
        <v>20</v>
      </c>
      <c r="H715" s="62">
        <v>1</v>
      </c>
      <c r="I715" s="12"/>
    </row>
    <row r="716" spans="2:9">
      <c r="B716" s="11"/>
      <c r="C716" s="61" t="s">
        <v>977</v>
      </c>
      <c r="D716" s="62">
        <v>8</v>
      </c>
      <c r="E716" s="62">
        <v>15000</v>
      </c>
      <c r="F716" s="62">
        <v>160</v>
      </c>
      <c r="G716" s="62">
        <v>20</v>
      </c>
      <c r="H716" s="62">
        <v>1</v>
      </c>
      <c r="I716" s="12"/>
    </row>
    <row r="717" spans="2:9">
      <c r="B717" s="11"/>
      <c r="C717" s="61" t="s">
        <v>979</v>
      </c>
      <c r="D717" s="62">
        <v>8</v>
      </c>
      <c r="E717" s="62">
        <v>15000</v>
      </c>
      <c r="F717" s="62">
        <v>160</v>
      </c>
      <c r="G717" s="62">
        <v>20</v>
      </c>
      <c r="H717" s="62">
        <v>1</v>
      </c>
      <c r="I717" s="12"/>
    </row>
    <row r="718" spans="2:9">
      <c r="B718" s="11"/>
      <c r="C718" s="61" t="s">
        <v>980</v>
      </c>
      <c r="D718" s="62">
        <v>8</v>
      </c>
      <c r="E718" s="62">
        <v>15000</v>
      </c>
      <c r="F718" s="62">
        <v>160</v>
      </c>
      <c r="G718" s="62">
        <v>20</v>
      </c>
      <c r="H718" s="62">
        <v>1</v>
      </c>
      <c r="I718" s="12"/>
    </row>
    <row r="719" spans="2:9">
      <c r="B719" s="11"/>
      <c r="C719" s="61" t="s">
        <v>981</v>
      </c>
      <c r="D719" s="62">
        <v>8</v>
      </c>
      <c r="E719" s="62">
        <v>15000</v>
      </c>
      <c r="F719" s="62">
        <v>160</v>
      </c>
      <c r="G719" s="62">
        <v>20</v>
      </c>
      <c r="H719" s="62">
        <v>1</v>
      </c>
      <c r="I719" s="12"/>
    </row>
    <row r="720" spans="2:9">
      <c r="B720" s="11"/>
      <c r="C720" s="61" t="s">
        <v>982</v>
      </c>
      <c r="D720" s="62">
        <v>8</v>
      </c>
      <c r="E720" s="62">
        <v>15000</v>
      </c>
      <c r="F720" s="62">
        <v>160</v>
      </c>
      <c r="G720" s="62">
        <v>20</v>
      </c>
      <c r="H720" s="62">
        <v>1</v>
      </c>
      <c r="I720" s="12"/>
    </row>
    <row r="721" spans="2:9">
      <c r="B721" s="11"/>
      <c r="C721" s="61" t="s">
        <v>983</v>
      </c>
      <c r="D721" s="62">
        <v>2</v>
      </c>
      <c r="E721" s="62">
        <v>3750</v>
      </c>
      <c r="F721" s="62">
        <v>32</v>
      </c>
      <c r="G721" s="62">
        <v>220</v>
      </c>
      <c r="H721" s="62">
        <v>1</v>
      </c>
      <c r="I721" s="12"/>
    </row>
    <row r="722" spans="2:9">
      <c r="B722" s="11"/>
      <c r="C722" s="61" t="s">
        <v>984</v>
      </c>
      <c r="D722" s="62">
        <v>8</v>
      </c>
      <c r="E722" s="62">
        <v>15000</v>
      </c>
      <c r="F722" s="62">
        <v>160</v>
      </c>
      <c r="G722" s="62">
        <v>20</v>
      </c>
      <c r="H722" s="62">
        <v>1</v>
      </c>
      <c r="I722" s="12"/>
    </row>
    <row r="723" spans="2:9">
      <c r="B723" s="11"/>
      <c r="C723" s="61" t="s">
        <v>985</v>
      </c>
      <c r="D723" s="62">
        <v>2</v>
      </c>
      <c r="E723" s="62">
        <v>3750</v>
      </c>
      <c r="F723" s="62">
        <v>32</v>
      </c>
      <c r="G723" s="62">
        <v>50</v>
      </c>
      <c r="H723" s="62">
        <v>1</v>
      </c>
      <c r="I723" s="12"/>
    </row>
    <row r="724" spans="2:9">
      <c r="B724" s="11"/>
      <c r="C724" s="61" t="s">
        <v>986</v>
      </c>
      <c r="D724" s="62">
        <v>1</v>
      </c>
      <c r="E724" s="62">
        <v>2000</v>
      </c>
      <c r="F724" s="62">
        <v>0</v>
      </c>
      <c r="G724" s="62">
        <v>20</v>
      </c>
      <c r="H724" s="62">
        <v>1</v>
      </c>
      <c r="I724" s="12"/>
    </row>
    <row r="725" spans="2:9">
      <c r="B725" s="11"/>
      <c r="C725" s="61" t="s">
        <v>987</v>
      </c>
      <c r="D725" s="62">
        <v>1</v>
      </c>
      <c r="E725" s="62">
        <v>2000</v>
      </c>
      <c r="F725" s="62">
        <v>0</v>
      </c>
      <c r="G725" s="62">
        <v>20</v>
      </c>
      <c r="H725" s="62">
        <v>1</v>
      </c>
      <c r="I725" s="12"/>
    </row>
    <row r="726" spans="2:9">
      <c r="B726" s="11"/>
      <c r="C726" s="61" t="s">
        <v>988</v>
      </c>
      <c r="D726" s="62">
        <v>2</v>
      </c>
      <c r="E726" s="62">
        <v>4000</v>
      </c>
      <c r="F726" s="62">
        <v>0</v>
      </c>
      <c r="G726" s="62">
        <v>20</v>
      </c>
      <c r="H726" s="62">
        <v>1</v>
      </c>
      <c r="I726" s="12"/>
    </row>
    <row r="727" spans="2:9">
      <c r="B727" s="11"/>
      <c r="C727" s="61" t="s">
        <v>989</v>
      </c>
      <c r="D727" s="62">
        <v>2</v>
      </c>
      <c r="E727" s="62">
        <v>7500</v>
      </c>
      <c r="F727" s="62">
        <v>32</v>
      </c>
      <c r="G727" s="62">
        <v>420</v>
      </c>
      <c r="H727" s="62">
        <v>1</v>
      </c>
      <c r="I727" s="12"/>
    </row>
    <row r="728" spans="2:9">
      <c r="B728" s="11"/>
      <c r="C728" s="61" t="s">
        <v>990</v>
      </c>
      <c r="D728" s="62">
        <v>2</v>
      </c>
      <c r="E728" s="62">
        <v>7500</v>
      </c>
      <c r="F728" s="62">
        <v>32</v>
      </c>
      <c r="G728" s="62">
        <v>420</v>
      </c>
      <c r="H728" s="62">
        <v>1</v>
      </c>
      <c r="I728" s="12"/>
    </row>
    <row r="729" spans="2:9">
      <c r="B729" s="11"/>
      <c r="C729" s="61" t="s">
        <v>991</v>
      </c>
      <c r="D729" s="62">
        <v>2</v>
      </c>
      <c r="E729" s="62">
        <v>7500</v>
      </c>
      <c r="F729" s="62">
        <v>32</v>
      </c>
      <c r="G729" s="62">
        <v>820</v>
      </c>
      <c r="H729" s="62">
        <v>1</v>
      </c>
      <c r="I729" s="12"/>
    </row>
    <row r="730" spans="2:9">
      <c r="B730" s="11"/>
      <c r="C730" s="61" t="s">
        <v>992</v>
      </c>
      <c r="D730" s="62">
        <v>2</v>
      </c>
      <c r="E730" s="62">
        <v>7500</v>
      </c>
      <c r="F730" s="62">
        <v>32</v>
      </c>
      <c r="G730" s="62">
        <v>420</v>
      </c>
      <c r="H730" s="62">
        <v>1</v>
      </c>
      <c r="I730" s="12"/>
    </row>
    <row r="731" spans="2:9">
      <c r="B731" s="11"/>
      <c r="C731" s="61" t="s">
        <v>993</v>
      </c>
      <c r="D731" s="62">
        <v>2</v>
      </c>
      <c r="E731" s="62">
        <v>3750</v>
      </c>
      <c r="F731" s="62">
        <v>32</v>
      </c>
      <c r="G731" s="62">
        <v>20</v>
      </c>
      <c r="H731" s="62">
        <v>1</v>
      </c>
      <c r="I731" s="12"/>
    </row>
    <row r="732" spans="2:9">
      <c r="B732" s="11"/>
      <c r="C732" s="61" t="s">
        <v>994</v>
      </c>
      <c r="D732" s="62">
        <v>2</v>
      </c>
      <c r="E732" s="62">
        <v>3750</v>
      </c>
      <c r="F732" s="62">
        <v>32</v>
      </c>
      <c r="G732" s="62">
        <v>20</v>
      </c>
      <c r="H732" s="62">
        <v>1</v>
      </c>
      <c r="I732" s="12"/>
    </row>
    <row r="733" spans="2:9">
      <c r="B733" s="11"/>
      <c r="C733" s="61" t="s">
        <v>995</v>
      </c>
      <c r="D733" s="62">
        <v>1</v>
      </c>
      <c r="E733" s="62">
        <v>2000</v>
      </c>
      <c r="F733" s="62">
        <v>0</v>
      </c>
      <c r="G733" s="62">
        <v>20</v>
      </c>
      <c r="H733" s="62">
        <v>1</v>
      </c>
      <c r="I733" s="12"/>
    </row>
    <row r="734" spans="2:9">
      <c r="B734" s="11"/>
      <c r="C734" s="61" t="s">
        <v>996</v>
      </c>
      <c r="D734" s="62">
        <v>1</v>
      </c>
      <c r="E734" s="62">
        <v>3750</v>
      </c>
      <c r="F734" s="62">
        <v>4</v>
      </c>
      <c r="G734" s="62">
        <v>30</v>
      </c>
      <c r="H734" s="62">
        <v>1</v>
      </c>
      <c r="I734" s="12"/>
    </row>
    <row r="735" spans="2:9">
      <c r="B735" s="11"/>
      <c r="C735" s="61" t="s">
        <v>997</v>
      </c>
      <c r="D735" s="62">
        <v>2</v>
      </c>
      <c r="E735" s="62">
        <v>4000</v>
      </c>
      <c r="F735" s="62">
        <v>0</v>
      </c>
      <c r="G735" s="62">
        <v>20</v>
      </c>
      <c r="H735" s="62">
        <v>1</v>
      </c>
      <c r="I735" s="12"/>
    </row>
    <row r="736" spans="2:9">
      <c r="B736" s="11"/>
      <c r="C736" s="61" t="s">
        <v>999</v>
      </c>
      <c r="D736" s="62">
        <v>1</v>
      </c>
      <c r="E736" s="62">
        <v>3750</v>
      </c>
      <c r="F736" s="62">
        <v>4</v>
      </c>
      <c r="G736" s="62">
        <v>8</v>
      </c>
      <c r="H736" s="62">
        <v>1</v>
      </c>
      <c r="I736" s="12"/>
    </row>
    <row r="737" spans="2:9">
      <c r="B737" s="11"/>
      <c r="C737" s="61" t="s">
        <v>1000</v>
      </c>
      <c r="D737" s="62">
        <v>2</v>
      </c>
      <c r="E737" s="62">
        <v>4000</v>
      </c>
      <c r="F737" s="62">
        <v>0</v>
      </c>
      <c r="G737" s="62">
        <v>20</v>
      </c>
      <c r="H737" s="62">
        <v>1</v>
      </c>
      <c r="I737" s="12"/>
    </row>
    <row r="738" spans="2:9">
      <c r="B738" s="11"/>
      <c r="C738" s="61" t="s">
        <v>1001</v>
      </c>
      <c r="D738" s="62">
        <v>2</v>
      </c>
      <c r="E738" s="62">
        <v>4000</v>
      </c>
      <c r="F738" s="62">
        <v>0</v>
      </c>
      <c r="G738" s="62">
        <v>20</v>
      </c>
      <c r="H738" s="62">
        <v>1</v>
      </c>
      <c r="I738" s="12"/>
    </row>
    <row r="739" spans="2:9">
      <c r="B739" s="11"/>
      <c r="C739" s="61" t="s">
        <v>1002</v>
      </c>
      <c r="D739" s="62">
        <v>1</v>
      </c>
      <c r="E739" s="62">
        <v>2000</v>
      </c>
      <c r="F739" s="62">
        <v>0</v>
      </c>
      <c r="G739" s="62">
        <v>20</v>
      </c>
      <c r="H739" s="62">
        <v>1</v>
      </c>
      <c r="I739" s="12"/>
    </row>
    <row r="740" spans="2:9">
      <c r="B740" s="11"/>
      <c r="C740" s="61" t="s">
        <v>1003</v>
      </c>
      <c r="D740" s="62">
        <v>1</v>
      </c>
      <c r="E740" s="62">
        <v>2000</v>
      </c>
      <c r="F740" s="62">
        <v>0</v>
      </c>
      <c r="G740" s="62">
        <v>20</v>
      </c>
      <c r="H740" s="62">
        <v>1</v>
      </c>
      <c r="I740" s="12"/>
    </row>
    <row r="741" spans="2:9">
      <c r="B741" s="11"/>
      <c r="C741" s="61" t="s">
        <v>1004</v>
      </c>
      <c r="D741" s="62">
        <v>1</v>
      </c>
      <c r="E741" s="62">
        <v>2000</v>
      </c>
      <c r="F741" s="62">
        <v>0</v>
      </c>
      <c r="G741" s="62">
        <v>20</v>
      </c>
      <c r="H741" s="62">
        <v>1</v>
      </c>
      <c r="I741" s="12"/>
    </row>
    <row r="742" spans="2:9">
      <c r="B742" s="11"/>
      <c r="C742" s="61" t="s">
        <v>1005</v>
      </c>
      <c r="D742" s="62">
        <v>1</v>
      </c>
      <c r="E742" s="62">
        <v>1000</v>
      </c>
      <c r="F742" s="62">
        <v>0</v>
      </c>
      <c r="G742" s="62">
        <v>20</v>
      </c>
      <c r="H742" s="62">
        <v>1</v>
      </c>
      <c r="I742" s="12"/>
    </row>
    <row r="743" spans="2:9">
      <c r="B743" s="11"/>
      <c r="C743" s="61" t="s">
        <v>1006</v>
      </c>
      <c r="D743" s="62">
        <v>4</v>
      </c>
      <c r="E743" s="62">
        <v>7500</v>
      </c>
      <c r="F743" s="62">
        <v>80</v>
      </c>
      <c r="G743" s="62">
        <v>20</v>
      </c>
      <c r="H743" s="62">
        <v>1</v>
      </c>
      <c r="I743" s="12"/>
    </row>
    <row r="744" spans="2:9">
      <c r="B744" s="11"/>
      <c r="C744" s="61" t="s">
        <v>1007</v>
      </c>
      <c r="D744" s="62">
        <v>4</v>
      </c>
      <c r="E744" s="62">
        <v>7500</v>
      </c>
      <c r="F744" s="62">
        <v>80</v>
      </c>
      <c r="G744" s="62">
        <v>20</v>
      </c>
      <c r="H744" s="62">
        <v>1</v>
      </c>
      <c r="I744" s="12"/>
    </row>
    <row r="745" spans="2:9">
      <c r="B745" s="11"/>
      <c r="C745" s="61" t="s">
        <v>1008</v>
      </c>
      <c r="D745" s="62">
        <v>2</v>
      </c>
      <c r="E745" s="62">
        <v>7500</v>
      </c>
      <c r="F745" s="62">
        <v>32</v>
      </c>
      <c r="G745" s="62">
        <v>820</v>
      </c>
      <c r="H745" s="62">
        <v>1</v>
      </c>
      <c r="I745" s="12"/>
    </row>
    <row r="746" spans="2:9">
      <c r="B746" s="11"/>
      <c r="C746" s="61" t="s">
        <v>1010</v>
      </c>
      <c r="D746" s="62">
        <v>2</v>
      </c>
      <c r="E746" s="62">
        <v>7500</v>
      </c>
      <c r="F746" s="62">
        <v>32</v>
      </c>
      <c r="G746" s="62">
        <v>420</v>
      </c>
      <c r="H746" s="62">
        <v>1</v>
      </c>
      <c r="I746" s="12"/>
    </row>
    <row r="747" spans="2:9">
      <c r="B747" s="11"/>
      <c r="C747" s="61" t="s">
        <v>1011</v>
      </c>
      <c r="D747" s="62">
        <v>2</v>
      </c>
      <c r="E747" s="62">
        <v>7500</v>
      </c>
      <c r="F747" s="62">
        <v>32</v>
      </c>
      <c r="G747" s="62">
        <v>420</v>
      </c>
      <c r="H747" s="62">
        <v>1</v>
      </c>
      <c r="I747" s="12"/>
    </row>
    <row r="748" spans="2:9">
      <c r="B748" s="11"/>
      <c r="C748" s="61" t="s">
        <v>1012</v>
      </c>
      <c r="D748" s="62">
        <v>1</v>
      </c>
      <c r="E748" s="62">
        <v>2000</v>
      </c>
      <c r="F748" s="62">
        <v>0</v>
      </c>
      <c r="G748" s="62">
        <v>20</v>
      </c>
      <c r="H748" s="62">
        <v>1</v>
      </c>
      <c r="I748" s="12"/>
    </row>
    <row r="749" spans="2:9">
      <c r="B749" s="11"/>
      <c r="C749" s="61" t="s">
        <v>1013</v>
      </c>
      <c r="D749" s="62">
        <v>2</v>
      </c>
      <c r="E749" s="62">
        <v>7500</v>
      </c>
      <c r="F749" s="62">
        <v>32</v>
      </c>
      <c r="G749" s="62">
        <v>820</v>
      </c>
      <c r="H749" s="62">
        <v>1</v>
      </c>
      <c r="I749" s="12"/>
    </row>
    <row r="750" spans="2:9">
      <c r="B750" s="11"/>
      <c r="C750" s="61" t="s">
        <v>1014</v>
      </c>
      <c r="D750" s="62">
        <v>2</v>
      </c>
      <c r="E750" s="62">
        <v>4000</v>
      </c>
      <c r="F750" s="62">
        <v>0</v>
      </c>
      <c r="G750" s="62">
        <v>20</v>
      </c>
      <c r="H750" s="62">
        <v>1</v>
      </c>
      <c r="I750" s="12"/>
    </row>
    <row r="751" spans="2:9">
      <c r="B751" s="11"/>
      <c r="C751" s="61" t="s">
        <v>1015</v>
      </c>
      <c r="D751" s="62">
        <v>2</v>
      </c>
      <c r="E751" s="62">
        <v>7500</v>
      </c>
      <c r="F751" s="62">
        <v>32</v>
      </c>
      <c r="G751" s="62">
        <v>420</v>
      </c>
      <c r="H751" s="62">
        <v>1</v>
      </c>
      <c r="I751" s="12"/>
    </row>
    <row r="752" spans="2:9">
      <c r="B752" s="11"/>
      <c r="C752" s="61" t="s">
        <v>1016</v>
      </c>
      <c r="D752" s="62">
        <v>2</v>
      </c>
      <c r="E752" s="62">
        <v>7500</v>
      </c>
      <c r="F752" s="62">
        <v>32</v>
      </c>
      <c r="G752" s="62">
        <v>420</v>
      </c>
      <c r="H752" s="62">
        <v>1</v>
      </c>
      <c r="I752" s="12"/>
    </row>
    <row r="753" spans="2:9">
      <c r="B753" s="11"/>
      <c r="C753" s="61" t="s">
        <v>1017</v>
      </c>
      <c r="D753" s="62">
        <v>2</v>
      </c>
      <c r="E753" s="62">
        <v>7500</v>
      </c>
      <c r="F753" s="62">
        <v>32</v>
      </c>
      <c r="G753" s="62">
        <v>420</v>
      </c>
      <c r="H753" s="62">
        <v>1</v>
      </c>
      <c r="I753" s="12"/>
    </row>
    <row r="754" spans="2:9">
      <c r="B754" s="11"/>
      <c r="C754" s="61" t="s">
        <v>1018</v>
      </c>
      <c r="D754" s="62">
        <v>1</v>
      </c>
      <c r="E754" s="62">
        <v>2000</v>
      </c>
      <c r="F754" s="62">
        <v>0</v>
      </c>
      <c r="G754" s="62">
        <v>20</v>
      </c>
      <c r="H754" s="62">
        <v>1</v>
      </c>
      <c r="I754" s="12"/>
    </row>
    <row r="755" spans="2:9">
      <c r="B755" s="11"/>
      <c r="C755" s="61" t="s">
        <v>1019</v>
      </c>
      <c r="D755" s="62">
        <v>1</v>
      </c>
      <c r="E755" s="62">
        <v>2000</v>
      </c>
      <c r="F755" s="62">
        <v>0</v>
      </c>
      <c r="G755" s="62">
        <v>20</v>
      </c>
      <c r="H755" s="62">
        <v>1</v>
      </c>
      <c r="I755" s="12"/>
    </row>
    <row r="756" spans="2:9">
      <c r="B756" s="11"/>
      <c r="C756" s="61" t="s">
        <v>1020</v>
      </c>
      <c r="D756" s="62">
        <v>1</v>
      </c>
      <c r="E756" s="62">
        <v>2000</v>
      </c>
      <c r="F756" s="62">
        <v>0</v>
      </c>
      <c r="G756" s="62">
        <v>20</v>
      </c>
      <c r="H756" s="62">
        <v>1</v>
      </c>
      <c r="I756" s="12"/>
    </row>
    <row r="757" spans="2:9">
      <c r="B757" s="11"/>
      <c r="C757" s="61" t="s">
        <v>1021</v>
      </c>
      <c r="D757" s="62">
        <v>2</v>
      </c>
      <c r="E757" s="62">
        <v>4000</v>
      </c>
      <c r="F757" s="62">
        <v>0</v>
      </c>
      <c r="G757" s="62">
        <v>20</v>
      </c>
      <c r="H757" s="62">
        <v>1</v>
      </c>
      <c r="I757" s="12"/>
    </row>
    <row r="758" spans="2:9">
      <c r="B758" s="11"/>
      <c r="C758" s="61" t="s">
        <v>1022</v>
      </c>
      <c r="D758" s="62">
        <v>2</v>
      </c>
      <c r="E758" s="62">
        <v>4000</v>
      </c>
      <c r="F758" s="62">
        <v>0</v>
      </c>
      <c r="G758" s="62">
        <v>20</v>
      </c>
      <c r="H758" s="62">
        <v>1</v>
      </c>
      <c r="I758" s="12"/>
    </row>
    <row r="759" spans="2:9">
      <c r="B759" s="11"/>
      <c r="C759" s="61" t="s">
        <v>1023</v>
      </c>
      <c r="D759" s="62">
        <v>2</v>
      </c>
      <c r="E759" s="62">
        <v>3750</v>
      </c>
      <c r="F759" s="62">
        <v>32</v>
      </c>
      <c r="G759" s="62">
        <v>20</v>
      </c>
      <c r="H759" s="62">
        <v>1</v>
      </c>
      <c r="I759" s="12"/>
    </row>
    <row r="760" spans="2:9">
      <c r="B760" s="11"/>
      <c r="C760" s="61" t="s">
        <v>1024</v>
      </c>
      <c r="D760" s="62">
        <v>2</v>
      </c>
      <c r="E760" s="62">
        <v>4000</v>
      </c>
      <c r="F760" s="62">
        <v>0</v>
      </c>
      <c r="G760" s="62">
        <v>20</v>
      </c>
      <c r="H760" s="62">
        <v>1</v>
      </c>
      <c r="I760" s="12"/>
    </row>
    <row r="761" spans="2:9">
      <c r="B761" s="11"/>
      <c r="C761" s="61" t="s">
        <v>1025</v>
      </c>
      <c r="D761" s="62">
        <v>1</v>
      </c>
      <c r="E761" s="62">
        <v>2000</v>
      </c>
      <c r="F761" s="62">
        <v>0</v>
      </c>
      <c r="G761" s="62">
        <v>20</v>
      </c>
      <c r="H761" s="62">
        <v>1</v>
      </c>
      <c r="I761" s="12"/>
    </row>
    <row r="762" spans="2:9">
      <c r="B762" s="11"/>
      <c r="C762" s="61" t="s">
        <v>1026</v>
      </c>
      <c r="D762" s="62">
        <v>1</v>
      </c>
      <c r="E762" s="62">
        <v>2000</v>
      </c>
      <c r="F762" s="62">
        <v>0</v>
      </c>
      <c r="G762" s="62">
        <v>20</v>
      </c>
      <c r="H762" s="62">
        <v>1</v>
      </c>
      <c r="I762" s="12"/>
    </row>
    <row r="763" spans="2:9">
      <c r="B763" s="11"/>
      <c r="C763" s="61" t="s">
        <v>1027</v>
      </c>
      <c r="D763" s="62">
        <v>1</v>
      </c>
      <c r="E763" s="62">
        <v>2000</v>
      </c>
      <c r="F763" s="62">
        <v>0</v>
      </c>
      <c r="G763" s="62">
        <v>20</v>
      </c>
      <c r="H763" s="62">
        <v>1</v>
      </c>
      <c r="I763" s="12"/>
    </row>
    <row r="764" spans="2:9">
      <c r="B764" s="11"/>
      <c r="C764" s="61" t="s">
        <v>1028</v>
      </c>
      <c r="D764" s="62">
        <v>1</v>
      </c>
      <c r="E764" s="62">
        <v>2000</v>
      </c>
      <c r="F764" s="62">
        <v>0</v>
      </c>
      <c r="G764" s="62">
        <v>20</v>
      </c>
      <c r="H764" s="62">
        <v>1</v>
      </c>
      <c r="I764" s="12"/>
    </row>
    <row r="765" spans="2:9">
      <c r="B765" s="11"/>
      <c r="C765" s="61" t="s">
        <v>1029</v>
      </c>
      <c r="D765" s="62">
        <v>1</v>
      </c>
      <c r="E765" s="62">
        <v>2000</v>
      </c>
      <c r="F765" s="62">
        <v>0</v>
      </c>
      <c r="G765" s="62">
        <v>20</v>
      </c>
      <c r="H765" s="62">
        <v>1</v>
      </c>
      <c r="I765" s="12"/>
    </row>
    <row r="766" spans="2:9">
      <c r="B766" s="11"/>
      <c r="C766" s="61" t="s">
        <v>1031</v>
      </c>
      <c r="D766" s="62">
        <v>1</v>
      </c>
      <c r="E766" s="62">
        <v>1700</v>
      </c>
      <c r="F766" s="62">
        <v>160</v>
      </c>
      <c r="G766" s="62">
        <v>20</v>
      </c>
      <c r="H766" s="62">
        <v>1</v>
      </c>
      <c r="I766" s="12"/>
    </row>
    <row r="767" spans="2:9">
      <c r="B767" s="11"/>
      <c r="C767" s="61" t="s">
        <v>1032</v>
      </c>
      <c r="D767" s="62">
        <v>1</v>
      </c>
      <c r="E767" s="62">
        <v>1700</v>
      </c>
      <c r="F767" s="62">
        <v>160</v>
      </c>
      <c r="G767" s="62">
        <v>20</v>
      </c>
      <c r="H767" s="62">
        <v>1</v>
      </c>
      <c r="I767" s="12"/>
    </row>
    <row r="768" spans="2:9">
      <c r="B768" s="11"/>
      <c r="C768" s="61" t="s">
        <v>1033</v>
      </c>
      <c r="D768" s="62">
        <v>1</v>
      </c>
      <c r="E768" s="62">
        <v>1700</v>
      </c>
      <c r="F768" s="62">
        <v>160</v>
      </c>
      <c r="G768" s="62">
        <v>20</v>
      </c>
      <c r="H768" s="62">
        <v>1</v>
      </c>
      <c r="I768" s="12"/>
    </row>
    <row r="769" spans="2:9">
      <c r="B769" s="11"/>
      <c r="C769" s="61" t="s">
        <v>1034</v>
      </c>
      <c r="D769" s="62">
        <v>1</v>
      </c>
      <c r="E769" s="62">
        <v>3750</v>
      </c>
      <c r="F769" s="62">
        <v>410</v>
      </c>
      <c r="G769" s="62">
        <v>20</v>
      </c>
      <c r="H769" s="62">
        <v>1</v>
      </c>
      <c r="I769" s="12"/>
    </row>
    <row r="770" spans="2:9">
      <c r="B770" s="11"/>
      <c r="C770" s="61" t="s">
        <v>1035</v>
      </c>
      <c r="D770" s="62">
        <v>1</v>
      </c>
      <c r="E770" s="62">
        <v>1700</v>
      </c>
      <c r="F770" s="62">
        <v>160</v>
      </c>
      <c r="G770" s="62">
        <v>20</v>
      </c>
      <c r="H770" s="62">
        <v>1</v>
      </c>
      <c r="I770" s="12"/>
    </row>
    <row r="771" spans="2:9">
      <c r="B771" s="11"/>
      <c r="C771" s="61" t="s">
        <v>1036</v>
      </c>
      <c r="D771" s="62">
        <v>1</v>
      </c>
      <c r="E771" s="62">
        <v>1700</v>
      </c>
      <c r="F771" s="62">
        <v>160</v>
      </c>
      <c r="G771" s="62">
        <v>20</v>
      </c>
      <c r="H771" s="62">
        <v>1</v>
      </c>
      <c r="I771" s="12"/>
    </row>
    <row r="772" spans="2:9">
      <c r="B772" s="11"/>
      <c r="C772" s="61" t="s">
        <v>1037</v>
      </c>
      <c r="D772" s="62">
        <v>2</v>
      </c>
      <c r="E772" s="62">
        <v>4000</v>
      </c>
      <c r="F772" s="62">
        <v>0</v>
      </c>
      <c r="G772" s="62">
        <v>20</v>
      </c>
      <c r="H772" s="62">
        <v>1</v>
      </c>
      <c r="I772" s="12"/>
    </row>
    <row r="773" spans="2:9">
      <c r="B773" s="11"/>
      <c r="C773" s="61" t="s">
        <v>1038</v>
      </c>
      <c r="D773" s="62">
        <v>1</v>
      </c>
      <c r="E773" s="62">
        <v>1700</v>
      </c>
      <c r="F773" s="62">
        <v>160</v>
      </c>
      <c r="G773" s="62">
        <v>20</v>
      </c>
      <c r="H773" s="62">
        <v>1</v>
      </c>
      <c r="I773" s="12"/>
    </row>
    <row r="774" spans="2:9">
      <c r="B774" s="11"/>
      <c r="C774" s="61" t="s">
        <v>1039</v>
      </c>
      <c r="D774" s="62">
        <v>2</v>
      </c>
      <c r="E774" s="62">
        <v>4000</v>
      </c>
      <c r="F774" s="62">
        <v>0</v>
      </c>
      <c r="G774" s="62">
        <v>20</v>
      </c>
      <c r="H774" s="62">
        <v>1</v>
      </c>
      <c r="I774" s="12"/>
    </row>
    <row r="775" spans="2:9">
      <c r="B775" s="11"/>
      <c r="C775" s="61" t="s">
        <v>1040</v>
      </c>
      <c r="D775" s="62">
        <v>1</v>
      </c>
      <c r="E775" s="62">
        <v>2000</v>
      </c>
      <c r="F775" s="62">
        <v>0</v>
      </c>
      <c r="G775" s="62">
        <v>20</v>
      </c>
      <c r="H775" s="62">
        <v>1</v>
      </c>
      <c r="I775" s="12"/>
    </row>
    <row r="776" spans="2:9">
      <c r="B776" s="11"/>
      <c r="C776" s="61" t="s">
        <v>1041</v>
      </c>
      <c r="D776" s="62">
        <v>1</v>
      </c>
      <c r="E776" s="62">
        <v>2000</v>
      </c>
      <c r="F776" s="62">
        <v>0</v>
      </c>
      <c r="G776" s="62">
        <v>20</v>
      </c>
      <c r="H776" s="62">
        <v>1</v>
      </c>
      <c r="I776" s="12"/>
    </row>
    <row r="777" spans="2:9">
      <c r="B777" s="11"/>
      <c r="C777" s="61" t="s">
        <v>1042</v>
      </c>
      <c r="D777" s="62">
        <v>1</v>
      </c>
      <c r="E777" s="62">
        <v>2000</v>
      </c>
      <c r="F777" s="62">
        <v>0</v>
      </c>
      <c r="G777" s="62">
        <v>20</v>
      </c>
      <c r="H777" s="62">
        <v>1</v>
      </c>
      <c r="I777" s="12"/>
    </row>
    <row r="778" spans="2:9">
      <c r="B778" s="11"/>
      <c r="C778" s="61" t="s">
        <v>1044</v>
      </c>
      <c r="D778" s="62">
        <v>1</v>
      </c>
      <c r="E778" s="62">
        <v>2000</v>
      </c>
      <c r="F778" s="62">
        <v>0</v>
      </c>
      <c r="G778" s="62">
        <v>20</v>
      </c>
      <c r="H778" s="62">
        <v>1</v>
      </c>
      <c r="I778" s="12"/>
    </row>
    <row r="779" spans="2:9">
      <c r="B779" s="11"/>
      <c r="C779" s="61" t="s">
        <v>1046</v>
      </c>
      <c r="D779" s="62">
        <v>2</v>
      </c>
      <c r="E779" s="62">
        <v>4000</v>
      </c>
      <c r="F779" s="62">
        <v>0</v>
      </c>
      <c r="G779" s="62">
        <v>20</v>
      </c>
      <c r="H779" s="62">
        <v>1</v>
      </c>
      <c r="I779" s="12"/>
    </row>
    <row r="780" spans="2:9">
      <c r="B780" s="11"/>
      <c r="C780" s="61" t="s">
        <v>1048</v>
      </c>
      <c r="D780" s="62">
        <v>2</v>
      </c>
      <c r="E780" s="62">
        <v>4000</v>
      </c>
      <c r="F780" s="62">
        <v>0</v>
      </c>
      <c r="G780" s="62">
        <v>20</v>
      </c>
      <c r="H780" s="62">
        <v>1</v>
      </c>
      <c r="I780" s="12"/>
    </row>
    <row r="781" spans="2:9">
      <c r="B781" s="11"/>
      <c r="C781" s="61" t="s">
        <v>1049</v>
      </c>
      <c r="D781" s="62">
        <v>2</v>
      </c>
      <c r="E781" s="62">
        <v>7500</v>
      </c>
      <c r="F781" s="62">
        <v>32</v>
      </c>
      <c r="G781" s="62">
        <v>820</v>
      </c>
      <c r="H781" s="62">
        <v>1</v>
      </c>
      <c r="I781" s="12"/>
    </row>
    <row r="782" spans="2:9">
      <c r="B782" s="11"/>
      <c r="C782" s="61" t="s">
        <v>1050</v>
      </c>
      <c r="D782" s="62">
        <v>2</v>
      </c>
      <c r="E782" s="62">
        <v>7500</v>
      </c>
      <c r="F782" s="62">
        <v>32</v>
      </c>
      <c r="G782" s="62">
        <v>420</v>
      </c>
      <c r="H782" s="62">
        <v>1</v>
      </c>
      <c r="I782" s="12"/>
    </row>
    <row r="783" spans="2:9">
      <c r="B783" s="11"/>
      <c r="C783" s="61" t="s">
        <v>1051</v>
      </c>
      <c r="D783" s="62">
        <v>2</v>
      </c>
      <c r="E783" s="62">
        <v>7500</v>
      </c>
      <c r="F783" s="62">
        <v>32</v>
      </c>
      <c r="G783" s="62">
        <v>420</v>
      </c>
      <c r="H783" s="62">
        <v>1</v>
      </c>
      <c r="I783" s="12"/>
    </row>
    <row r="784" spans="2:9">
      <c r="B784" s="11"/>
      <c r="C784" s="61" t="s">
        <v>1052</v>
      </c>
      <c r="D784" s="62">
        <v>1</v>
      </c>
      <c r="E784" s="62">
        <v>2000</v>
      </c>
      <c r="F784" s="62">
        <v>0</v>
      </c>
      <c r="G784" s="62">
        <v>20</v>
      </c>
      <c r="H784" s="62">
        <v>1</v>
      </c>
      <c r="I784" s="12"/>
    </row>
    <row r="785" spans="2:9">
      <c r="B785" s="11"/>
      <c r="C785" s="61" t="s">
        <v>1053</v>
      </c>
      <c r="D785" s="62">
        <v>1</v>
      </c>
      <c r="E785" s="62">
        <v>2000</v>
      </c>
      <c r="F785" s="62">
        <v>0</v>
      </c>
      <c r="G785" s="62">
        <v>20</v>
      </c>
      <c r="H785" s="62">
        <v>1</v>
      </c>
      <c r="I785" s="12"/>
    </row>
    <row r="786" spans="2:9">
      <c r="B786" s="11"/>
      <c r="C786" s="61" t="s">
        <v>1054</v>
      </c>
      <c r="D786" s="62">
        <v>1</v>
      </c>
      <c r="E786" s="62">
        <v>2000</v>
      </c>
      <c r="F786" s="62">
        <v>0</v>
      </c>
      <c r="G786" s="62">
        <v>20</v>
      </c>
      <c r="H786" s="62">
        <v>1</v>
      </c>
      <c r="I786" s="12"/>
    </row>
    <row r="787" spans="2:9">
      <c r="B787" s="11"/>
      <c r="C787" s="61" t="s">
        <v>1055</v>
      </c>
      <c r="D787" s="62">
        <v>1</v>
      </c>
      <c r="E787" s="62">
        <v>2000</v>
      </c>
      <c r="F787" s="62">
        <v>0</v>
      </c>
      <c r="G787" s="62">
        <v>20</v>
      </c>
      <c r="H787" s="62">
        <v>1</v>
      </c>
      <c r="I787" s="12"/>
    </row>
    <row r="788" spans="2:9">
      <c r="B788" s="11"/>
      <c r="C788" s="61" t="s">
        <v>1056</v>
      </c>
      <c r="D788" s="62">
        <v>1</v>
      </c>
      <c r="E788" s="62">
        <v>2000</v>
      </c>
      <c r="F788" s="62">
        <v>0</v>
      </c>
      <c r="G788" s="62">
        <v>20</v>
      </c>
      <c r="H788" s="62">
        <v>1</v>
      </c>
      <c r="I788" s="12"/>
    </row>
    <row r="789" spans="2:9">
      <c r="B789" s="11"/>
      <c r="C789" s="61" t="s">
        <v>1057</v>
      </c>
      <c r="D789" s="62">
        <v>1</v>
      </c>
      <c r="E789" s="62">
        <v>2000</v>
      </c>
      <c r="F789" s="62">
        <v>0</v>
      </c>
      <c r="G789" s="62">
        <v>20</v>
      </c>
      <c r="H789" s="62">
        <v>1</v>
      </c>
      <c r="I789" s="12"/>
    </row>
    <row r="790" spans="2:9">
      <c r="B790" s="11"/>
      <c r="C790" s="61" t="s">
        <v>1058</v>
      </c>
      <c r="D790" s="62">
        <v>1</v>
      </c>
      <c r="E790" s="62">
        <v>2000</v>
      </c>
      <c r="F790" s="62">
        <v>0</v>
      </c>
      <c r="G790" s="62">
        <v>20</v>
      </c>
      <c r="H790" s="62">
        <v>1</v>
      </c>
      <c r="I790" s="12"/>
    </row>
    <row r="791" spans="2:9">
      <c r="B791" s="11"/>
      <c r="C791" s="61" t="s">
        <v>1059</v>
      </c>
      <c r="D791" s="62">
        <v>1</v>
      </c>
      <c r="E791" s="62">
        <v>2000</v>
      </c>
      <c r="F791" s="62">
        <v>0</v>
      </c>
      <c r="G791" s="62">
        <v>20</v>
      </c>
      <c r="H791" s="62">
        <v>1</v>
      </c>
      <c r="I791" s="12"/>
    </row>
    <row r="792" spans="2:9">
      <c r="B792" s="11"/>
      <c r="C792" s="61" t="s">
        <v>1060</v>
      </c>
      <c r="D792" s="62">
        <v>1</v>
      </c>
      <c r="E792" s="62">
        <v>2000</v>
      </c>
      <c r="F792" s="62">
        <v>0</v>
      </c>
      <c r="G792" s="62">
        <v>20</v>
      </c>
      <c r="H792" s="62">
        <v>1</v>
      </c>
      <c r="I792" s="12"/>
    </row>
    <row r="793" spans="2:9">
      <c r="B793" s="11"/>
      <c r="C793" s="61" t="s">
        <v>1061</v>
      </c>
      <c r="D793" s="62">
        <v>1</v>
      </c>
      <c r="E793" s="62">
        <v>2000</v>
      </c>
      <c r="F793" s="62">
        <v>0</v>
      </c>
      <c r="G793" s="62">
        <v>20</v>
      </c>
      <c r="H793" s="62">
        <v>1</v>
      </c>
      <c r="I793" s="12"/>
    </row>
    <row r="794" spans="2:9">
      <c r="B794" s="11"/>
      <c r="C794" s="61" t="s">
        <v>1062</v>
      </c>
      <c r="D794" s="62">
        <v>1</v>
      </c>
      <c r="E794" s="62">
        <v>2000</v>
      </c>
      <c r="F794" s="62">
        <v>0</v>
      </c>
      <c r="G794" s="62">
        <v>20</v>
      </c>
      <c r="H794" s="62">
        <v>1</v>
      </c>
      <c r="I794" s="12"/>
    </row>
    <row r="795" spans="2:9">
      <c r="B795" s="11"/>
      <c r="C795" s="61" t="s">
        <v>1063</v>
      </c>
      <c r="D795" s="62">
        <v>1</v>
      </c>
      <c r="E795" s="62">
        <v>2000</v>
      </c>
      <c r="F795" s="62">
        <v>0</v>
      </c>
      <c r="G795" s="62">
        <v>20</v>
      </c>
      <c r="H795" s="62">
        <v>1</v>
      </c>
      <c r="I795" s="12"/>
    </row>
    <row r="796" spans="2:9">
      <c r="B796" s="11"/>
      <c r="C796" s="61" t="s">
        <v>1064</v>
      </c>
      <c r="D796" s="62">
        <v>2</v>
      </c>
      <c r="E796" s="62">
        <v>4000</v>
      </c>
      <c r="F796" s="62">
        <v>0</v>
      </c>
      <c r="G796" s="62">
        <v>420</v>
      </c>
      <c r="H796" s="62">
        <v>1</v>
      </c>
      <c r="I796" s="12"/>
    </row>
    <row r="797" spans="2:9">
      <c r="B797" s="11"/>
      <c r="C797" s="61" t="s">
        <v>1065</v>
      </c>
      <c r="D797" s="62">
        <v>2</v>
      </c>
      <c r="E797" s="62">
        <v>4000</v>
      </c>
      <c r="F797" s="62">
        <v>0</v>
      </c>
      <c r="G797" s="62">
        <v>420</v>
      </c>
      <c r="H797" s="62">
        <v>1</v>
      </c>
      <c r="I797" s="12"/>
    </row>
    <row r="798" spans="2:9">
      <c r="B798" s="11"/>
      <c r="C798" s="61" t="s">
        <v>1066</v>
      </c>
      <c r="D798" s="62">
        <v>2</v>
      </c>
      <c r="E798" s="62">
        <v>4000</v>
      </c>
      <c r="F798" s="62">
        <v>0</v>
      </c>
      <c r="G798" s="62">
        <v>820</v>
      </c>
      <c r="H798" s="62">
        <v>1</v>
      </c>
      <c r="I798" s="12"/>
    </row>
    <row r="799" spans="2:9">
      <c r="B799" s="11"/>
      <c r="C799" s="61" t="s">
        <v>1067</v>
      </c>
      <c r="D799" s="62">
        <v>1</v>
      </c>
      <c r="E799" s="62">
        <v>2000</v>
      </c>
      <c r="F799" s="62">
        <v>0</v>
      </c>
      <c r="G799" s="62">
        <v>20</v>
      </c>
      <c r="H799" s="62">
        <v>1</v>
      </c>
      <c r="I799" s="12"/>
    </row>
    <row r="800" spans="2:9">
      <c r="B800" s="11"/>
      <c r="C800" s="61" t="s">
        <v>1068</v>
      </c>
      <c r="D800" s="62">
        <v>1</v>
      </c>
      <c r="E800" s="62">
        <v>2000</v>
      </c>
      <c r="F800" s="62">
        <v>0</v>
      </c>
      <c r="G800" s="62">
        <v>20</v>
      </c>
      <c r="H800" s="62">
        <v>1</v>
      </c>
      <c r="I800" s="12"/>
    </row>
    <row r="801" spans="2:9">
      <c r="B801" s="11"/>
      <c r="C801" s="61" t="s">
        <v>1070</v>
      </c>
      <c r="D801" s="62">
        <v>1</v>
      </c>
      <c r="E801" s="62">
        <v>2000</v>
      </c>
      <c r="F801" s="62">
        <v>0</v>
      </c>
      <c r="G801" s="62">
        <v>20</v>
      </c>
      <c r="H801" s="62">
        <v>1</v>
      </c>
      <c r="I801" s="12"/>
    </row>
    <row r="802" spans="2:9">
      <c r="B802" s="11"/>
      <c r="C802" s="61" t="s">
        <v>1071</v>
      </c>
      <c r="D802" s="62">
        <v>1</v>
      </c>
      <c r="E802" s="62">
        <v>2000</v>
      </c>
      <c r="F802" s="62">
        <v>0</v>
      </c>
      <c r="G802" s="62">
        <v>20</v>
      </c>
      <c r="H802" s="62">
        <v>1</v>
      </c>
      <c r="I802" s="12"/>
    </row>
    <row r="803" spans="2:9">
      <c r="B803" s="11"/>
      <c r="C803" s="61" t="s">
        <v>1072</v>
      </c>
      <c r="D803" s="62">
        <v>1</v>
      </c>
      <c r="E803" s="62">
        <v>2000</v>
      </c>
      <c r="F803" s="62">
        <v>0</v>
      </c>
      <c r="G803" s="62">
        <v>20</v>
      </c>
      <c r="H803" s="62">
        <v>1</v>
      </c>
      <c r="I803" s="12"/>
    </row>
    <row r="804" spans="2:9">
      <c r="B804" s="11"/>
      <c r="C804" s="61" t="s">
        <v>1073</v>
      </c>
      <c r="D804" s="62">
        <v>1</v>
      </c>
      <c r="E804" s="62">
        <v>2000</v>
      </c>
      <c r="F804" s="62">
        <v>0</v>
      </c>
      <c r="G804" s="62">
        <v>20</v>
      </c>
      <c r="H804" s="62">
        <v>1</v>
      </c>
      <c r="I804" s="12"/>
    </row>
    <row r="805" spans="2:9">
      <c r="B805" s="11"/>
      <c r="C805" s="61" t="s">
        <v>1074</v>
      </c>
      <c r="D805" s="62">
        <v>1</v>
      </c>
      <c r="E805" s="62">
        <v>2000</v>
      </c>
      <c r="F805" s="62">
        <v>0</v>
      </c>
      <c r="G805" s="62">
        <v>20</v>
      </c>
      <c r="H805" s="62">
        <v>1</v>
      </c>
      <c r="I805" s="12"/>
    </row>
    <row r="806" spans="2:9">
      <c r="B806" s="11"/>
      <c r="C806" s="61" t="s">
        <v>1075</v>
      </c>
      <c r="D806" s="62">
        <v>1</v>
      </c>
      <c r="E806" s="62">
        <v>2000</v>
      </c>
      <c r="F806" s="62">
        <v>0</v>
      </c>
      <c r="G806" s="62">
        <v>20</v>
      </c>
      <c r="H806" s="62">
        <v>1</v>
      </c>
      <c r="I806" s="12"/>
    </row>
    <row r="807" spans="2:9">
      <c r="B807" s="11"/>
      <c r="C807" s="61" t="s">
        <v>1076</v>
      </c>
      <c r="D807" s="62">
        <v>1</v>
      </c>
      <c r="E807" s="62">
        <v>2000</v>
      </c>
      <c r="F807" s="62">
        <v>0</v>
      </c>
      <c r="G807" s="62">
        <v>20</v>
      </c>
      <c r="H807" s="62">
        <v>1</v>
      </c>
      <c r="I807" s="12"/>
    </row>
    <row r="808" spans="2:9">
      <c r="B808" s="11"/>
      <c r="C808" s="61" t="s">
        <v>1077</v>
      </c>
      <c r="D808" s="62">
        <v>1</v>
      </c>
      <c r="E808" s="62">
        <v>2000</v>
      </c>
      <c r="F808" s="62">
        <v>0</v>
      </c>
      <c r="G808" s="62">
        <v>20</v>
      </c>
      <c r="H808" s="62">
        <v>1</v>
      </c>
      <c r="I808" s="12"/>
    </row>
    <row r="809" spans="2:9">
      <c r="B809" s="11"/>
      <c r="C809" s="61" t="s">
        <v>1078</v>
      </c>
      <c r="D809" s="62">
        <v>1</v>
      </c>
      <c r="E809" s="62">
        <v>2000</v>
      </c>
      <c r="F809" s="62">
        <v>0</v>
      </c>
      <c r="G809" s="62">
        <v>20</v>
      </c>
      <c r="H809" s="62">
        <v>1</v>
      </c>
      <c r="I809" s="12"/>
    </row>
    <row r="810" spans="2:9">
      <c r="B810" s="11"/>
      <c r="C810" s="61" t="s">
        <v>1079</v>
      </c>
      <c r="D810" s="62">
        <v>1</v>
      </c>
      <c r="E810" s="62">
        <v>3750</v>
      </c>
      <c r="F810" s="62">
        <v>410</v>
      </c>
      <c r="G810" s="62">
        <v>20</v>
      </c>
      <c r="H810" s="62">
        <v>1</v>
      </c>
      <c r="I810" s="12"/>
    </row>
    <row r="811" spans="2:9">
      <c r="B811" s="11"/>
      <c r="C811" s="61" t="s">
        <v>1080</v>
      </c>
      <c r="D811" s="62">
        <v>1</v>
      </c>
      <c r="E811" s="62">
        <v>1700</v>
      </c>
      <c r="F811" s="62">
        <v>160</v>
      </c>
      <c r="G811" s="62">
        <v>20</v>
      </c>
      <c r="H811" s="62">
        <v>1</v>
      </c>
      <c r="I811" s="12"/>
    </row>
    <row r="812" spans="2:9">
      <c r="B812" s="11"/>
      <c r="C812" s="61" t="s">
        <v>1081</v>
      </c>
      <c r="D812" s="62">
        <v>1</v>
      </c>
      <c r="E812" s="62">
        <v>3750</v>
      </c>
      <c r="F812" s="62">
        <v>410</v>
      </c>
      <c r="G812" s="62">
        <v>20</v>
      </c>
      <c r="H812" s="62">
        <v>1</v>
      </c>
      <c r="I812" s="12"/>
    </row>
    <row r="813" spans="2:9">
      <c r="B813" s="11"/>
      <c r="C813" s="61" t="s">
        <v>1082</v>
      </c>
      <c r="D813" s="62">
        <v>1</v>
      </c>
      <c r="E813" s="62">
        <v>2000</v>
      </c>
      <c r="F813" s="62">
        <v>0</v>
      </c>
      <c r="G813" s="62">
        <v>20</v>
      </c>
      <c r="H813" s="62">
        <v>1</v>
      </c>
      <c r="I813" s="12"/>
    </row>
    <row r="814" spans="2:9">
      <c r="B814" s="11"/>
      <c r="C814" s="61" t="s">
        <v>1083</v>
      </c>
      <c r="D814" s="62">
        <v>1</v>
      </c>
      <c r="E814" s="62">
        <v>2000</v>
      </c>
      <c r="F814" s="62">
        <v>0</v>
      </c>
      <c r="G814" s="62">
        <v>20</v>
      </c>
      <c r="H814" s="62">
        <v>1</v>
      </c>
      <c r="I814" s="12"/>
    </row>
    <row r="815" spans="2:9">
      <c r="B815" s="11"/>
      <c r="C815" s="61" t="s">
        <v>1084</v>
      </c>
      <c r="D815" s="62">
        <v>1</v>
      </c>
      <c r="E815" s="62">
        <v>2000</v>
      </c>
      <c r="F815" s="62">
        <v>0</v>
      </c>
      <c r="G815" s="62">
        <v>20</v>
      </c>
      <c r="H815" s="62">
        <v>1</v>
      </c>
      <c r="I815" s="12"/>
    </row>
    <row r="816" spans="2:9">
      <c r="B816" s="11"/>
      <c r="C816" s="61" t="s">
        <v>1085</v>
      </c>
      <c r="D816" s="62">
        <v>1</v>
      </c>
      <c r="E816" s="62">
        <v>2000</v>
      </c>
      <c r="F816" s="62">
        <v>0</v>
      </c>
      <c r="G816" s="62">
        <v>20</v>
      </c>
      <c r="H816" s="62">
        <v>1</v>
      </c>
      <c r="I816" s="12"/>
    </row>
    <row r="817" spans="2:9">
      <c r="B817" s="11"/>
      <c r="C817" s="61" t="s">
        <v>1086</v>
      </c>
      <c r="D817" s="62">
        <v>1</v>
      </c>
      <c r="E817" s="62">
        <v>2000</v>
      </c>
      <c r="F817" s="62">
        <v>0</v>
      </c>
      <c r="G817" s="62">
        <v>20</v>
      </c>
      <c r="H817" s="62">
        <v>1</v>
      </c>
      <c r="I817" s="12"/>
    </row>
    <row r="818" spans="2:9">
      <c r="B818" s="11"/>
      <c r="C818" s="61" t="s">
        <v>1087</v>
      </c>
      <c r="D818" s="62">
        <v>1</v>
      </c>
      <c r="E818" s="62">
        <v>2000</v>
      </c>
      <c r="F818" s="62">
        <v>0</v>
      </c>
      <c r="G818" s="62">
        <v>20</v>
      </c>
      <c r="H818" s="62">
        <v>1</v>
      </c>
      <c r="I818" s="12"/>
    </row>
    <row r="819" spans="2:9">
      <c r="B819" s="11"/>
      <c r="C819" s="61" t="s">
        <v>1088</v>
      </c>
      <c r="D819" s="62">
        <v>1</v>
      </c>
      <c r="E819" s="62">
        <v>2000</v>
      </c>
      <c r="F819" s="62">
        <v>0</v>
      </c>
      <c r="G819" s="62">
        <v>20</v>
      </c>
      <c r="H819" s="62">
        <v>1</v>
      </c>
      <c r="I819" s="12"/>
    </row>
    <row r="820" spans="2:9">
      <c r="B820" s="11"/>
      <c r="C820" s="61" t="s">
        <v>1089</v>
      </c>
      <c r="D820" s="62">
        <v>1</v>
      </c>
      <c r="E820" s="62">
        <v>2000</v>
      </c>
      <c r="F820" s="62">
        <v>0</v>
      </c>
      <c r="G820" s="62">
        <v>20</v>
      </c>
      <c r="H820" s="62">
        <v>1</v>
      </c>
      <c r="I820" s="12"/>
    </row>
    <row r="821" spans="2:9">
      <c r="B821" s="11"/>
      <c r="C821" s="61" t="s">
        <v>1090</v>
      </c>
      <c r="D821" s="62">
        <v>1</v>
      </c>
      <c r="E821" s="62">
        <v>2000</v>
      </c>
      <c r="F821" s="62">
        <v>0</v>
      </c>
      <c r="G821" s="62">
        <v>20</v>
      </c>
      <c r="H821" s="62">
        <v>1</v>
      </c>
      <c r="I821" s="12"/>
    </row>
    <row r="822" spans="2:9">
      <c r="B822" s="11"/>
      <c r="C822" s="61" t="s">
        <v>1091</v>
      </c>
      <c r="D822" s="62">
        <v>1</v>
      </c>
      <c r="E822" s="62">
        <v>2000</v>
      </c>
      <c r="F822" s="62">
        <v>0</v>
      </c>
      <c r="G822" s="62">
        <v>20</v>
      </c>
      <c r="H822" s="62">
        <v>1</v>
      </c>
      <c r="I822" s="12"/>
    </row>
    <row r="823" spans="2:9">
      <c r="B823" s="11"/>
      <c r="C823" s="61" t="s">
        <v>1092</v>
      </c>
      <c r="D823" s="62">
        <v>1</v>
      </c>
      <c r="E823" s="62">
        <v>2000</v>
      </c>
      <c r="F823" s="62">
        <v>0</v>
      </c>
      <c r="G823" s="62">
        <v>20</v>
      </c>
      <c r="H823" s="62">
        <v>1</v>
      </c>
      <c r="I823" s="12"/>
    </row>
    <row r="824" spans="2:9">
      <c r="B824" s="11"/>
      <c r="C824" s="61" t="s">
        <v>1093</v>
      </c>
      <c r="D824" s="62">
        <v>1</v>
      </c>
      <c r="E824" s="62">
        <v>2000</v>
      </c>
      <c r="F824" s="62">
        <v>0</v>
      </c>
      <c r="G824" s="62">
        <v>20</v>
      </c>
      <c r="H824" s="62">
        <v>1</v>
      </c>
      <c r="I824" s="12"/>
    </row>
    <row r="825" spans="2:9">
      <c r="B825" s="11"/>
      <c r="C825" s="61" t="s">
        <v>1094</v>
      </c>
      <c r="D825" s="62">
        <v>1</v>
      </c>
      <c r="E825" s="62">
        <v>2000</v>
      </c>
      <c r="F825" s="62">
        <v>0</v>
      </c>
      <c r="G825" s="62">
        <v>20</v>
      </c>
      <c r="H825" s="62">
        <v>1</v>
      </c>
      <c r="I825" s="12"/>
    </row>
    <row r="826" spans="2:9">
      <c r="B826" s="11"/>
      <c r="C826" s="61" t="s">
        <v>1095</v>
      </c>
      <c r="D826" s="62">
        <v>1</v>
      </c>
      <c r="E826" s="62">
        <v>2000</v>
      </c>
      <c r="F826" s="62">
        <v>0</v>
      </c>
      <c r="G826" s="62">
        <v>20</v>
      </c>
      <c r="H826" s="62">
        <v>1</v>
      </c>
      <c r="I826" s="12"/>
    </row>
    <row r="827" spans="2:9">
      <c r="B827" s="11"/>
      <c r="C827" s="61" t="s">
        <v>1096</v>
      </c>
      <c r="D827" s="62">
        <v>1</v>
      </c>
      <c r="E827" s="62">
        <v>2000</v>
      </c>
      <c r="F827" s="62">
        <v>0</v>
      </c>
      <c r="G827" s="62">
        <v>20</v>
      </c>
      <c r="H827" s="62">
        <v>1</v>
      </c>
      <c r="I827" s="12"/>
    </row>
    <row r="828" spans="2:9">
      <c r="B828" s="11"/>
      <c r="C828" s="61" t="s">
        <v>1097</v>
      </c>
      <c r="D828" s="62">
        <v>1</v>
      </c>
      <c r="E828" s="62">
        <v>2000</v>
      </c>
      <c r="F828" s="62">
        <v>0</v>
      </c>
      <c r="G828" s="62">
        <v>20</v>
      </c>
      <c r="H828" s="62">
        <v>1</v>
      </c>
      <c r="I828" s="12"/>
    </row>
    <row r="829" spans="2:9">
      <c r="B829" s="11"/>
      <c r="C829" s="61" t="s">
        <v>1098</v>
      </c>
      <c r="D829" s="62">
        <v>1</v>
      </c>
      <c r="E829" s="62">
        <v>2000</v>
      </c>
      <c r="F829" s="62">
        <v>0</v>
      </c>
      <c r="G829" s="62">
        <v>20</v>
      </c>
      <c r="H829" s="62">
        <v>1</v>
      </c>
      <c r="I829" s="12"/>
    </row>
    <row r="830" spans="2:9">
      <c r="B830" s="11"/>
      <c r="C830" s="61" t="s">
        <v>1099</v>
      </c>
      <c r="D830" s="62">
        <v>1</v>
      </c>
      <c r="E830" s="62">
        <v>2000</v>
      </c>
      <c r="F830" s="62">
        <v>0</v>
      </c>
      <c r="G830" s="62">
        <v>20</v>
      </c>
      <c r="H830" s="62">
        <v>1</v>
      </c>
      <c r="I830" s="12"/>
    </row>
    <row r="831" spans="2:9">
      <c r="B831" s="11"/>
      <c r="C831" s="61" t="s">
        <v>1100</v>
      </c>
      <c r="D831" s="62">
        <v>1</v>
      </c>
      <c r="E831" s="62">
        <v>2000</v>
      </c>
      <c r="F831" s="62">
        <v>0</v>
      </c>
      <c r="G831" s="62">
        <v>20</v>
      </c>
      <c r="H831" s="62">
        <v>1</v>
      </c>
      <c r="I831" s="12"/>
    </row>
    <row r="832" spans="2:9">
      <c r="B832" s="11"/>
      <c r="C832" s="61" t="s">
        <v>1101</v>
      </c>
      <c r="D832" s="62">
        <v>1</v>
      </c>
      <c r="E832" s="62">
        <v>2000</v>
      </c>
      <c r="F832" s="62">
        <v>0</v>
      </c>
      <c r="G832" s="62">
        <v>20</v>
      </c>
      <c r="H832" s="62">
        <v>1</v>
      </c>
      <c r="I832" s="12"/>
    </row>
    <row r="833" spans="2:9">
      <c r="B833" s="11"/>
      <c r="C833" s="61" t="s">
        <v>1102</v>
      </c>
      <c r="D833" s="62">
        <v>1</v>
      </c>
      <c r="E833" s="62">
        <v>3750</v>
      </c>
      <c r="F833" s="62">
        <v>4</v>
      </c>
      <c r="G833" s="62">
        <v>4020</v>
      </c>
      <c r="H833" s="62">
        <v>1</v>
      </c>
      <c r="I833" s="12"/>
    </row>
    <row r="834" spans="2:9">
      <c r="B834" s="11"/>
      <c r="C834" s="61" t="s">
        <v>1104</v>
      </c>
      <c r="D834" s="62">
        <v>2</v>
      </c>
      <c r="E834" s="62">
        <v>3750</v>
      </c>
      <c r="F834" s="62">
        <v>32</v>
      </c>
      <c r="G834" s="62">
        <v>4020</v>
      </c>
      <c r="H834" s="62">
        <v>1</v>
      </c>
      <c r="I834" s="12"/>
    </row>
    <row r="835" spans="2:9">
      <c r="B835" s="11"/>
      <c r="C835" s="61" t="s">
        <v>1105</v>
      </c>
      <c r="D835" s="62">
        <v>1</v>
      </c>
      <c r="E835" s="62">
        <v>2000</v>
      </c>
      <c r="F835" s="62">
        <v>0</v>
      </c>
      <c r="G835" s="62">
        <v>20</v>
      </c>
      <c r="H835" s="62">
        <v>1</v>
      </c>
      <c r="I835" s="12"/>
    </row>
    <row r="836" spans="2:9">
      <c r="B836" s="11"/>
      <c r="C836" s="61" t="s">
        <v>1106</v>
      </c>
      <c r="D836" s="62">
        <v>1</v>
      </c>
      <c r="E836" s="62">
        <v>1000</v>
      </c>
      <c r="F836" s="62">
        <v>0</v>
      </c>
      <c r="G836" s="62">
        <v>8</v>
      </c>
      <c r="H836" s="62">
        <v>1</v>
      </c>
      <c r="I836" s="12"/>
    </row>
    <row r="837" spans="2:9">
      <c r="B837" s="11"/>
      <c r="C837" s="61" t="s">
        <v>1107</v>
      </c>
      <c r="D837" s="62">
        <v>1</v>
      </c>
      <c r="E837" s="62">
        <v>2000</v>
      </c>
      <c r="F837" s="62">
        <v>0</v>
      </c>
      <c r="G837" s="62">
        <v>20</v>
      </c>
      <c r="H837" s="62">
        <v>1</v>
      </c>
      <c r="I837" s="12"/>
    </row>
    <row r="838" spans="2:9">
      <c r="B838" s="11"/>
      <c r="C838" s="61" t="s">
        <v>1108</v>
      </c>
      <c r="D838" s="62">
        <v>1</v>
      </c>
      <c r="E838" s="62">
        <v>2000</v>
      </c>
      <c r="F838" s="62">
        <v>0</v>
      </c>
      <c r="G838" s="62">
        <v>20</v>
      </c>
      <c r="H838" s="62">
        <v>1</v>
      </c>
      <c r="I838" s="12"/>
    </row>
    <row r="839" spans="2:9">
      <c r="B839" s="11"/>
      <c r="C839" s="61" t="s">
        <v>1109</v>
      </c>
      <c r="D839" s="62">
        <v>2</v>
      </c>
      <c r="E839" s="62">
        <v>7500</v>
      </c>
      <c r="F839" s="62">
        <v>32</v>
      </c>
      <c r="G839" s="62">
        <v>420</v>
      </c>
      <c r="H839" s="62">
        <v>1</v>
      </c>
      <c r="I839" s="12"/>
    </row>
    <row r="840" spans="2:9">
      <c r="B840" s="11"/>
      <c r="C840" s="61" t="s">
        <v>1110</v>
      </c>
      <c r="D840" s="62">
        <v>1</v>
      </c>
      <c r="E840" s="62">
        <v>2000</v>
      </c>
      <c r="F840" s="62">
        <v>0</v>
      </c>
      <c r="G840" s="62">
        <v>20</v>
      </c>
      <c r="H840" s="62">
        <v>1</v>
      </c>
      <c r="I840" s="12"/>
    </row>
    <row r="841" spans="2:9">
      <c r="B841" s="11"/>
      <c r="C841" s="61" t="s">
        <v>1111</v>
      </c>
      <c r="D841" s="62">
        <v>2</v>
      </c>
      <c r="E841" s="62">
        <v>7500</v>
      </c>
      <c r="F841" s="62">
        <v>32</v>
      </c>
      <c r="G841" s="62">
        <v>820</v>
      </c>
      <c r="H841" s="62">
        <v>1</v>
      </c>
      <c r="I841" s="12"/>
    </row>
    <row r="842" spans="2:9">
      <c r="B842" s="11"/>
      <c r="C842" s="61" t="s">
        <v>1112</v>
      </c>
      <c r="D842" s="62">
        <v>2</v>
      </c>
      <c r="E842" s="62">
        <v>7500</v>
      </c>
      <c r="F842" s="62">
        <v>32</v>
      </c>
      <c r="G842" s="62">
        <v>420</v>
      </c>
      <c r="H842" s="62">
        <v>1</v>
      </c>
      <c r="I842" s="12"/>
    </row>
    <row r="843" spans="2:9">
      <c r="B843" s="11"/>
      <c r="C843" s="61" t="s">
        <v>1113</v>
      </c>
      <c r="D843" s="62">
        <v>2</v>
      </c>
      <c r="E843" s="62">
        <v>7500</v>
      </c>
      <c r="F843" s="62">
        <v>32</v>
      </c>
      <c r="G843" s="62">
        <v>420</v>
      </c>
      <c r="H843" s="62">
        <v>1</v>
      </c>
      <c r="I843" s="12"/>
    </row>
    <row r="844" spans="2:9">
      <c r="B844" s="11"/>
      <c r="C844" s="61" t="s">
        <v>1114</v>
      </c>
      <c r="D844" s="62">
        <v>1</v>
      </c>
      <c r="E844" s="62">
        <v>2000</v>
      </c>
      <c r="F844" s="62">
        <v>0</v>
      </c>
      <c r="G844" s="62">
        <v>20</v>
      </c>
      <c r="H844" s="62">
        <v>1</v>
      </c>
      <c r="I844" s="12"/>
    </row>
    <row r="845" spans="2:9">
      <c r="B845" s="11"/>
      <c r="C845" s="61" t="s">
        <v>1115</v>
      </c>
      <c r="D845" s="62">
        <v>1</v>
      </c>
      <c r="E845" s="62">
        <v>2000</v>
      </c>
      <c r="F845" s="62">
        <v>0</v>
      </c>
      <c r="G845" s="62">
        <v>20</v>
      </c>
      <c r="H845" s="62">
        <v>1</v>
      </c>
      <c r="I845" s="12"/>
    </row>
    <row r="846" spans="2:9">
      <c r="B846" s="11"/>
      <c r="C846" s="61" t="s">
        <v>1116</v>
      </c>
      <c r="D846" s="62">
        <v>1</v>
      </c>
      <c r="E846" s="62">
        <v>2000</v>
      </c>
      <c r="F846" s="62">
        <v>0</v>
      </c>
      <c r="G846" s="62">
        <v>20</v>
      </c>
      <c r="H846" s="62">
        <v>1</v>
      </c>
      <c r="I846" s="12"/>
    </row>
    <row r="847" spans="2:9">
      <c r="B847" s="11"/>
      <c r="C847" s="61" t="s">
        <v>1117</v>
      </c>
      <c r="D847" s="62">
        <v>2</v>
      </c>
      <c r="E847" s="62">
        <v>4000</v>
      </c>
      <c r="F847" s="62">
        <v>0</v>
      </c>
      <c r="G847" s="62">
        <v>20</v>
      </c>
      <c r="H847" s="62">
        <v>1</v>
      </c>
      <c r="I847" s="12"/>
    </row>
    <row r="848" spans="2:9">
      <c r="B848" s="11"/>
      <c r="C848" s="61" t="s">
        <v>1119</v>
      </c>
      <c r="D848" s="62">
        <v>2</v>
      </c>
      <c r="E848" s="62">
        <v>4000</v>
      </c>
      <c r="F848" s="62">
        <v>0</v>
      </c>
      <c r="G848" s="62">
        <v>20</v>
      </c>
      <c r="H848" s="62">
        <v>1</v>
      </c>
      <c r="I848" s="12"/>
    </row>
    <row r="849" spans="2:9">
      <c r="B849" s="11"/>
      <c r="C849" s="61" t="s">
        <v>1120</v>
      </c>
      <c r="D849" s="62">
        <v>2</v>
      </c>
      <c r="E849" s="62">
        <v>4000</v>
      </c>
      <c r="F849" s="62">
        <v>0</v>
      </c>
      <c r="G849" s="62">
        <v>20</v>
      </c>
      <c r="H849" s="62">
        <v>1</v>
      </c>
      <c r="I849" s="12"/>
    </row>
    <row r="850" spans="2:9">
      <c r="B850" s="11"/>
      <c r="C850" s="61" t="s">
        <v>1121</v>
      </c>
      <c r="D850" s="62">
        <v>1</v>
      </c>
      <c r="E850" s="62">
        <v>2000</v>
      </c>
      <c r="F850" s="62">
        <v>0</v>
      </c>
      <c r="G850" s="62">
        <v>20</v>
      </c>
      <c r="H850" s="62">
        <v>1</v>
      </c>
      <c r="I850" s="12"/>
    </row>
    <row r="851" spans="2:9">
      <c r="B851" s="11"/>
      <c r="C851" s="61" t="s">
        <v>1122</v>
      </c>
      <c r="D851" s="62">
        <v>1</v>
      </c>
      <c r="E851" s="62">
        <v>2000</v>
      </c>
      <c r="F851" s="62">
        <v>0</v>
      </c>
      <c r="G851" s="62">
        <v>20</v>
      </c>
      <c r="H851" s="62">
        <v>1</v>
      </c>
      <c r="I851" s="12"/>
    </row>
    <row r="852" spans="2:9">
      <c r="B852" s="11"/>
      <c r="C852" s="61" t="s">
        <v>1123</v>
      </c>
      <c r="D852" s="62">
        <v>2</v>
      </c>
      <c r="E852" s="62">
        <v>4000</v>
      </c>
      <c r="F852" s="62">
        <v>0</v>
      </c>
      <c r="G852" s="62">
        <v>20</v>
      </c>
      <c r="H852" s="62">
        <v>1</v>
      </c>
      <c r="I852" s="12"/>
    </row>
    <row r="853" spans="2:9">
      <c r="B853" s="11"/>
      <c r="C853" s="61" t="s">
        <v>1124</v>
      </c>
      <c r="D853" s="62">
        <v>2</v>
      </c>
      <c r="E853" s="62">
        <v>4000</v>
      </c>
      <c r="F853" s="62">
        <v>0</v>
      </c>
      <c r="G853" s="62">
        <v>20</v>
      </c>
      <c r="H853" s="62">
        <v>1</v>
      </c>
      <c r="I853" s="12"/>
    </row>
    <row r="854" spans="2:9">
      <c r="B854" s="11"/>
      <c r="C854" s="61" t="s">
        <v>1125</v>
      </c>
      <c r="D854" s="62">
        <v>1</v>
      </c>
      <c r="E854" s="62">
        <v>2000</v>
      </c>
      <c r="F854" s="62">
        <v>0</v>
      </c>
      <c r="G854" s="62">
        <v>20</v>
      </c>
      <c r="H854" s="62">
        <v>1</v>
      </c>
      <c r="I854" s="12"/>
    </row>
    <row r="855" spans="2:9">
      <c r="B855" s="11"/>
      <c r="C855" s="61" t="s">
        <v>1126</v>
      </c>
      <c r="D855" s="62">
        <v>1</v>
      </c>
      <c r="E855" s="62">
        <v>2000</v>
      </c>
      <c r="F855" s="62">
        <v>0</v>
      </c>
      <c r="G855" s="62">
        <v>20</v>
      </c>
      <c r="H855" s="62">
        <v>1</v>
      </c>
      <c r="I855" s="12"/>
    </row>
    <row r="856" spans="2:9">
      <c r="B856" s="11"/>
      <c r="C856" s="61" t="s">
        <v>1127</v>
      </c>
      <c r="D856" s="62">
        <v>1</v>
      </c>
      <c r="E856" s="62">
        <v>2000</v>
      </c>
      <c r="F856" s="62">
        <v>0</v>
      </c>
      <c r="G856" s="62">
        <v>20</v>
      </c>
      <c r="H856" s="62">
        <v>1</v>
      </c>
      <c r="I856" s="12"/>
    </row>
    <row r="857" spans="2:9">
      <c r="B857" s="11"/>
      <c r="C857" s="61" t="s">
        <v>1128</v>
      </c>
      <c r="D857" s="62">
        <v>4</v>
      </c>
      <c r="E857" s="62">
        <v>7500</v>
      </c>
      <c r="F857" s="62">
        <v>80</v>
      </c>
      <c r="G857" s="62">
        <v>420</v>
      </c>
      <c r="H857" s="62">
        <v>1</v>
      </c>
      <c r="I857" s="12"/>
    </row>
    <row r="858" spans="2:9">
      <c r="B858" s="11"/>
      <c r="C858" s="61" t="s">
        <v>1129</v>
      </c>
      <c r="D858" s="62">
        <v>4</v>
      </c>
      <c r="E858" s="62">
        <v>7500</v>
      </c>
      <c r="F858" s="62">
        <v>80</v>
      </c>
      <c r="G858" s="62">
        <v>420</v>
      </c>
      <c r="H858" s="62">
        <v>1</v>
      </c>
      <c r="I858" s="12"/>
    </row>
    <row r="859" spans="2:9">
      <c r="B859" s="11"/>
      <c r="C859" s="61" t="s">
        <v>1130</v>
      </c>
      <c r="D859" s="62">
        <v>4</v>
      </c>
      <c r="E859" s="62">
        <v>7500</v>
      </c>
      <c r="F859" s="62">
        <v>80</v>
      </c>
      <c r="G859" s="62">
        <v>1420</v>
      </c>
      <c r="H859" s="62">
        <v>1</v>
      </c>
      <c r="I859" s="12"/>
    </row>
    <row r="860" spans="2:9">
      <c r="B860" s="11"/>
      <c r="C860" s="61" t="s">
        <v>1131</v>
      </c>
      <c r="D860" s="62">
        <v>1</v>
      </c>
      <c r="E860" s="62">
        <v>2000</v>
      </c>
      <c r="F860" s="62">
        <v>0</v>
      </c>
      <c r="G860" s="62">
        <v>20</v>
      </c>
      <c r="H860" s="62">
        <v>1</v>
      </c>
      <c r="I860" s="12"/>
    </row>
    <row r="861" spans="2:9">
      <c r="B861" s="11"/>
      <c r="C861" s="61" t="s">
        <v>1132</v>
      </c>
      <c r="D861" s="62">
        <v>2</v>
      </c>
      <c r="E861" s="62">
        <v>3750</v>
      </c>
      <c r="F861" s="62">
        <v>32</v>
      </c>
      <c r="G861" s="62">
        <v>20</v>
      </c>
      <c r="H861" s="62">
        <v>1</v>
      </c>
      <c r="I861" s="12"/>
    </row>
    <row r="862" spans="2:9">
      <c r="B862" s="11"/>
      <c r="C862" s="61" t="s">
        <v>1133</v>
      </c>
      <c r="D862" s="62">
        <v>1</v>
      </c>
      <c r="E862" s="62">
        <v>2000</v>
      </c>
      <c r="F862" s="62">
        <v>0</v>
      </c>
      <c r="G862" s="62">
        <v>20</v>
      </c>
      <c r="H862" s="62">
        <v>1</v>
      </c>
      <c r="I862" s="12"/>
    </row>
    <row r="863" spans="2:9">
      <c r="B863" s="11"/>
      <c r="C863" s="61" t="s">
        <v>1134</v>
      </c>
      <c r="D863" s="62">
        <v>1</v>
      </c>
      <c r="E863" s="62">
        <v>2000</v>
      </c>
      <c r="F863" s="62">
        <v>0</v>
      </c>
      <c r="G863" s="62">
        <v>20</v>
      </c>
      <c r="H863" s="62">
        <v>1</v>
      </c>
      <c r="I863" s="12"/>
    </row>
    <row r="864" spans="2:9">
      <c r="B864" s="11"/>
      <c r="C864" s="61" t="s">
        <v>1135</v>
      </c>
      <c r="D864" s="62">
        <v>1</v>
      </c>
      <c r="E864" s="62">
        <v>2000</v>
      </c>
      <c r="F864" s="62">
        <v>0</v>
      </c>
      <c r="G864" s="62">
        <v>20</v>
      </c>
      <c r="H864" s="62">
        <v>1</v>
      </c>
      <c r="I864" s="12"/>
    </row>
    <row r="865" spans="2:9">
      <c r="B865" s="11"/>
      <c r="C865" s="61" t="s">
        <v>1136</v>
      </c>
      <c r="D865" s="62">
        <v>1</v>
      </c>
      <c r="E865" s="62">
        <v>2000</v>
      </c>
      <c r="F865" s="62">
        <v>0</v>
      </c>
      <c r="G865" s="62">
        <v>20</v>
      </c>
      <c r="H865" s="62">
        <v>1</v>
      </c>
      <c r="I865" s="12"/>
    </row>
    <row r="866" spans="2:9">
      <c r="B866" s="11"/>
      <c r="C866" s="61" t="s">
        <v>1137</v>
      </c>
      <c r="D866" s="62">
        <v>2</v>
      </c>
      <c r="E866" s="62">
        <v>3750</v>
      </c>
      <c r="F866" s="62">
        <v>32</v>
      </c>
      <c r="G866" s="62">
        <v>20</v>
      </c>
      <c r="H866" s="62">
        <v>1</v>
      </c>
      <c r="I866" s="12"/>
    </row>
    <row r="867" spans="2:9">
      <c r="B867" s="11"/>
      <c r="C867" s="61" t="s">
        <v>1138</v>
      </c>
      <c r="D867" s="62">
        <v>1</v>
      </c>
      <c r="E867" s="62">
        <v>2000</v>
      </c>
      <c r="F867" s="62">
        <v>0</v>
      </c>
      <c r="G867" s="62">
        <v>20</v>
      </c>
      <c r="H867" s="62">
        <v>1</v>
      </c>
      <c r="I867" s="12"/>
    </row>
    <row r="868" spans="2:9">
      <c r="B868" s="11"/>
      <c r="C868" s="61" t="s">
        <v>1139</v>
      </c>
      <c r="D868" s="62">
        <v>1</v>
      </c>
      <c r="E868" s="62">
        <v>2000</v>
      </c>
      <c r="F868" s="62">
        <v>0</v>
      </c>
      <c r="G868" s="62">
        <v>20</v>
      </c>
      <c r="H868" s="62">
        <v>1</v>
      </c>
      <c r="I868" s="12"/>
    </row>
    <row r="869" spans="2:9">
      <c r="B869" s="11"/>
      <c r="C869" s="61" t="s">
        <v>1140</v>
      </c>
      <c r="D869" s="62">
        <v>1</v>
      </c>
      <c r="E869" s="62">
        <v>2000</v>
      </c>
      <c r="F869" s="62">
        <v>0</v>
      </c>
      <c r="G869" s="62">
        <v>20</v>
      </c>
      <c r="H869" s="62">
        <v>1</v>
      </c>
      <c r="I869" s="12"/>
    </row>
    <row r="870" spans="2:9">
      <c r="B870" s="11"/>
      <c r="C870" s="61" t="s">
        <v>1141</v>
      </c>
      <c r="D870" s="62">
        <v>1</v>
      </c>
      <c r="E870" s="62">
        <v>2000</v>
      </c>
      <c r="F870" s="62">
        <v>0</v>
      </c>
      <c r="G870" s="62">
        <v>20</v>
      </c>
      <c r="H870" s="62">
        <v>1</v>
      </c>
      <c r="I870" s="12"/>
    </row>
    <row r="871" spans="2:9">
      <c r="B871" s="11"/>
      <c r="C871" s="61" t="s">
        <v>1142</v>
      </c>
      <c r="D871" s="62">
        <v>1</v>
      </c>
      <c r="E871" s="62">
        <v>2000</v>
      </c>
      <c r="F871" s="62">
        <v>0</v>
      </c>
      <c r="G871" s="62">
        <v>20</v>
      </c>
      <c r="H871" s="62">
        <v>1</v>
      </c>
      <c r="I871" s="12"/>
    </row>
    <row r="872" spans="2:9">
      <c r="B872" s="11"/>
      <c r="C872" s="61" t="s">
        <v>1143</v>
      </c>
      <c r="D872" s="62">
        <v>1</v>
      </c>
      <c r="E872" s="62">
        <v>2000</v>
      </c>
      <c r="F872" s="62">
        <v>0</v>
      </c>
      <c r="G872" s="62">
        <v>20</v>
      </c>
      <c r="H872" s="62">
        <v>1</v>
      </c>
      <c r="I872" s="12"/>
    </row>
    <row r="873" spans="2:9">
      <c r="B873" s="11"/>
      <c r="C873" s="61" t="s">
        <v>1144</v>
      </c>
      <c r="D873" s="62">
        <v>1</v>
      </c>
      <c r="E873" s="62">
        <v>2000</v>
      </c>
      <c r="F873" s="62">
        <v>0</v>
      </c>
      <c r="G873" s="62">
        <v>20</v>
      </c>
      <c r="H873" s="62">
        <v>1</v>
      </c>
      <c r="I873" s="12"/>
    </row>
    <row r="874" spans="2:9">
      <c r="B874" s="11"/>
      <c r="C874" s="61" t="s">
        <v>1145</v>
      </c>
      <c r="D874" s="62">
        <v>1</v>
      </c>
      <c r="E874" s="62">
        <v>2000</v>
      </c>
      <c r="F874" s="62">
        <v>0</v>
      </c>
      <c r="G874" s="62">
        <v>20</v>
      </c>
      <c r="H874" s="62">
        <v>1</v>
      </c>
      <c r="I874" s="12"/>
    </row>
    <row r="875" spans="2:9">
      <c r="B875" s="11"/>
      <c r="C875" s="61" t="s">
        <v>1146</v>
      </c>
      <c r="D875" s="62">
        <v>1</v>
      </c>
      <c r="E875" s="62">
        <v>2000</v>
      </c>
      <c r="F875" s="62">
        <v>0</v>
      </c>
      <c r="G875" s="62">
        <v>20</v>
      </c>
      <c r="H875" s="62">
        <v>1</v>
      </c>
      <c r="I875" s="12"/>
    </row>
    <row r="876" spans="2:9">
      <c r="B876" s="11"/>
      <c r="C876" s="61" t="s">
        <v>1147</v>
      </c>
      <c r="D876" s="62">
        <v>2</v>
      </c>
      <c r="E876" s="62">
        <v>7500</v>
      </c>
      <c r="F876" s="62">
        <v>32</v>
      </c>
      <c r="G876" s="62">
        <v>100</v>
      </c>
      <c r="H876" s="62">
        <v>1</v>
      </c>
      <c r="I876" s="12"/>
    </row>
    <row r="877" spans="2:9">
      <c r="B877" s="11"/>
      <c r="C877" s="61" t="s">
        <v>1148</v>
      </c>
      <c r="D877" s="62">
        <v>1</v>
      </c>
      <c r="E877" s="62">
        <v>2000</v>
      </c>
      <c r="F877" s="62">
        <v>0</v>
      </c>
      <c r="G877" s="62">
        <v>20</v>
      </c>
      <c r="H877" s="62">
        <v>1</v>
      </c>
      <c r="I877" s="12"/>
    </row>
    <row r="878" spans="2:9">
      <c r="B878" s="11"/>
      <c r="C878" s="61" t="s">
        <v>1149</v>
      </c>
      <c r="D878" s="62">
        <v>1</v>
      </c>
      <c r="E878" s="62">
        <v>2000</v>
      </c>
      <c r="F878" s="62">
        <v>0</v>
      </c>
      <c r="G878" s="62">
        <v>20</v>
      </c>
      <c r="H878" s="62">
        <v>1</v>
      </c>
      <c r="I878" s="12"/>
    </row>
    <row r="879" spans="2:9">
      <c r="B879" s="11"/>
      <c r="C879" s="61" t="s">
        <v>1150</v>
      </c>
      <c r="D879" s="62">
        <v>2</v>
      </c>
      <c r="E879" s="62">
        <v>7500</v>
      </c>
      <c r="F879" s="62">
        <v>32</v>
      </c>
      <c r="G879" s="62">
        <v>420</v>
      </c>
      <c r="H879" s="62">
        <v>1</v>
      </c>
      <c r="I879" s="12"/>
    </row>
    <row r="880" spans="2:9">
      <c r="B880" s="11"/>
      <c r="C880" s="61" t="s">
        <v>1151</v>
      </c>
      <c r="D880" s="62">
        <v>2</v>
      </c>
      <c r="E880" s="62">
        <v>7500</v>
      </c>
      <c r="F880" s="62">
        <v>32</v>
      </c>
      <c r="G880" s="62">
        <v>820</v>
      </c>
      <c r="H880" s="62">
        <v>1</v>
      </c>
      <c r="I880" s="12"/>
    </row>
    <row r="881" spans="2:9">
      <c r="B881" s="11"/>
      <c r="C881" s="61" t="s">
        <v>1152</v>
      </c>
      <c r="D881" s="62">
        <v>2</v>
      </c>
      <c r="E881" s="62">
        <v>7500</v>
      </c>
      <c r="F881" s="62">
        <v>32</v>
      </c>
      <c r="G881" s="62">
        <v>420</v>
      </c>
      <c r="H881" s="62">
        <v>1</v>
      </c>
      <c r="I881" s="12"/>
    </row>
    <row r="882" spans="2:9">
      <c r="B882" s="11"/>
      <c r="C882" s="61" t="s">
        <v>1153</v>
      </c>
      <c r="D882" s="62">
        <v>2</v>
      </c>
      <c r="E882" s="62">
        <v>4000</v>
      </c>
      <c r="F882" s="62">
        <v>0</v>
      </c>
      <c r="G882" s="62">
        <v>20</v>
      </c>
      <c r="H882" s="62">
        <v>1</v>
      </c>
      <c r="I882" s="12"/>
    </row>
    <row r="883" spans="2:9">
      <c r="B883" s="11"/>
      <c r="C883" s="61" t="s">
        <v>1154</v>
      </c>
      <c r="D883" s="62">
        <v>2</v>
      </c>
      <c r="E883" s="62">
        <v>7500</v>
      </c>
      <c r="F883" s="62">
        <v>32</v>
      </c>
      <c r="G883" s="62">
        <v>420</v>
      </c>
      <c r="H883" s="62">
        <v>1</v>
      </c>
      <c r="I883" s="12"/>
    </row>
    <row r="884" spans="2:9">
      <c r="B884" s="11"/>
      <c r="C884" s="61" t="s">
        <v>1155</v>
      </c>
      <c r="D884" s="62">
        <v>1</v>
      </c>
      <c r="E884" s="62">
        <v>3750</v>
      </c>
      <c r="F884" s="62">
        <v>4</v>
      </c>
      <c r="G884" s="62">
        <v>1420</v>
      </c>
      <c r="H884" s="62">
        <v>1</v>
      </c>
      <c r="I884" s="12"/>
    </row>
    <row r="885" spans="2:9">
      <c r="B885" s="11"/>
      <c r="C885" s="61" t="s">
        <v>1156</v>
      </c>
      <c r="D885" s="62">
        <v>1</v>
      </c>
      <c r="E885" s="62">
        <v>3750</v>
      </c>
      <c r="F885" s="62">
        <v>4</v>
      </c>
      <c r="G885" s="62">
        <v>420</v>
      </c>
      <c r="H885" s="62">
        <v>1</v>
      </c>
      <c r="I885" s="12"/>
    </row>
    <row r="886" spans="2:9">
      <c r="B886" s="11"/>
      <c r="C886" s="61" t="s">
        <v>1157</v>
      </c>
      <c r="D886" s="62">
        <v>1</v>
      </c>
      <c r="E886" s="62">
        <v>3750</v>
      </c>
      <c r="F886" s="62">
        <v>4</v>
      </c>
      <c r="G886" s="62">
        <v>420</v>
      </c>
      <c r="H886" s="62">
        <v>1</v>
      </c>
      <c r="I886" s="12"/>
    </row>
    <row r="887" spans="2:9">
      <c r="B887" s="11"/>
      <c r="C887" s="61" t="s">
        <v>1158</v>
      </c>
      <c r="D887" s="62">
        <v>1</v>
      </c>
      <c r="E887" s="62">
        <v>3750</v>
      </c>
      <c r="F887" s="62">
        <v>4</v>
      </c>
      <c r="G887" s="62">
        <v>420</v>
      </c>
      <c r="H887" s="62">
        <v>1</v>
      </c>
      <c r="I887" s="12"/>
    </row>
    <row r="888" spans="2:9">
      <c r="B888" s="11"/>
      <c r="C888" s="61" t="s">
        <v>1159</v>
      </c>
      <c r="D888" s="62">
        <v>1</v>
      </c>
      <c r="E888" s="62">
        <v>2000</v>
      </c>
      <c r="F888" s="62">
        <v>0</v>
      </c>
      <c r="G888" s="62">
        <v>20</v>
      </c>
      <c r="H888" s="62">
        <v>1</v>
      </c>
      <c r="I888" s="12"/>
    </row>
    <row r="889" spans="2:9">
      <c r="B889" s="11"/>
      <c r="C889" s="61" t="s">
        <v>1160</v>
      </c>
      <c r="D889" s="62">
        <v>2</v>
      </c>
      <c r="E889" s="62">
        <v>4000</v>
      </c>
      <c r="F889" s="62">
        <v>0</v>
      </c>
      <c r="G889" s="62">
        <v>20</v>
      </c>
      <c r="H889" s="62">
        <v>1</v>
      </c>
      <c r="I889" s="12"/>
    </row>
    <row r="890" spans="2:9">
      <c r="B890" s="11"/>
      <c r="C890" s="61" t="s">
        <v>1161</v>
      </c>
      <c r="D890" s="62">
        <v>2</v>
      </c>
      <c r="E890" s="62">
        <v>4000</v>
      </c>
      <c r="F890" s="62">
        <v>0</v>
      </c>
      <c r="G890" s="62">
        <v>20</v>
      </c>
      <c r="H890" s="62">
        <v>1</v>
      </c>
      <c r="I890" s="12"/>
    </row>
    <row r="891" spans="2:9">
      <c r="B891" s="11"/>
      <c r="C891" s="61" t="s">
        <v>1162</v>
      </c>
      <c r="D891" s="62">
        <v>1</v>
      </c>
      <c r="E891" s="62">
        <v>2000</v>
      </c>
      <c r="F891" s="62">
        <v>0</v>
      </c>
      <c r="G891" s="62">
        <v>20</v>
      </c>
      <c r="H891" s="62">
        <v>1</v>
      </c>
      <c r="I891" s="12"/>
    </row>
    <row r="892" spans="2:9">
      <c r="B892" s="11"/>
      <c r="C892" s="61" t="s">
        <v>1163</v>
      </c>
      <c r="D892" s="62">
        <v>1</v>
      </c>
      <c r="E892" s="62">
        <v>2000</v>
      </c>
      <c r="F892" s="62">
        <v>0</v>
      </c>
      <c r="G892" s="62">
        <v>20</v>
      </c>
      <c r="H892" s="62">
        <v>1</v>
      </c>
      <c r="I892" s="12"/>
    </row>
    <row r="893" spans="2:9">
      <c r="B893" s="11"/>
      <c r="C893" s="61" t="s">
        <v>1164</v>
      </c>
      <c r="D893" s="62">
        <v>1</v>
      </c>
      <c r="E893" s="62">
        <v>2000</v>
      </c>
      <c r="F893" s="62">
        <v>0</v>
      </c>
      <c r="G893" s="62">
        <v>20</v>
      </c>
      <c r="H893" s="62">
        <v>1</v>
      </c>
      <c r="I893" s="12"/>
    </row>
    <row r="894" spans="2:9">
      <c r="B894" s="11"/>
      <c r="C894" s="61" t="s">
        <v>1165</v>
      </c>
      <c r="D894" s="62">
        <v>1</v>
      </c>
      <c r="E894" s="62">
        <v>2000</v>
      </c>
      <c r="F894" s="62">
        <v>0</v>
      </c>
      <c r="G894" s="62">
        <v>20</v>
      </c>
      <c r="H894" s="62">
        <v>1</v>
      </c>
      <c r="I894" s="12"/>
    </row>
    <row r="895" spans="2:9">
      <c r="B895" s="11"/>
      <c r="C895" s="61" t="s">
        <v>1166</v>
      </c>
      <c r="D895" s="62">
        <v>1</v>
      </c>
      <c r="E895" s="62">
        <v>2000</v>
      </c>
      <c r="F895" s="62">
        <v>0</v>
      </c>
      <c r="G895" s="62">
        <v>20</v>
      </c>
      <c r="H895" s="62">
        <v>1</v>
      </c>
      <c r="I895" s="12"/>
    </row>
    <row r="896" spans="2:9">
      <c r="B896" s="11"/>
      <c r="C896" s="61" t="s">
        <v>1167</v>
      </c>
      <c r="D896" s="62">
        <v>2</v>
      </c>
      <c r="E896" s="62">
        <v>3750</v>
      </c>
      <c r="F896" s="62">
        <v>32</v>
      </c>
      <c r="G896" s="62">
        <v>8</v>
      </c>
      <c r="H896" s="62">
        <v>1</v>
      </c>
      <c r="I896" s="12"/>
    </row>
    <row r="897" spans="2:9">
      <c r="B897" s="11"/>
      <c r="C897" s="61" t="s">
        <v>1168</v>
      </c>
      <c r="D897" s="62">
        <v>2</v>
      </c>
      <c r="E897" s="62">
        <v>3750</v>
      </c>
      <c r="F897" s="62">
        <v>32</v>
      </c>
      <c r="G897" s="62">
        <v>4020</v>
      </c>
      <c r="H897" s="62">
        <v>1</v>
      </c>
      <c r="I897" s="12"/>
    </row>
    <row r="898" spans="2:9">
      <c r="B898" s="11"/>
      <c r="C898" s="61" t="s">
        <v>1169</v>
      </c>
      <c r="D898" s="62">
        <v>1</v>
      </c>
      <c r="E898" s="62">
        <v>2000</v>
      </c>
      <c r="F898" s="62">
        <v>0</v>
      </c>
      <c r="G898" s="62">
        <v>20</v>
      </c>
      <c r="H898" s="62">
        <v>1</v>
      </c>
      <c r="I898" s="12"/>
    </row>
    <row r="899" spans="2:9">
      <c r="B899" s="11"/>
      <c r="C899" s="61" t="s">
        <v>1170</v>
      </c>
      <c r="D899" s="62">
        <v>1</v>
      </c>
      <c r="E899" s="62">
        <v>2000</v>
      </c>
      <c r="F899" s="62">
        <v>0</v>
      </c>
      <c r="G899" s="62">
        <v>20</v>
      </c>
      <c r="H899" s="62">
        <v>1</v>
      </c>
      <c r="I899" s="12"/>
    </row>
    <row r="900" spans="2:9">
      <c r="B900" s="11"/>
      <c r="C900" s="61" t="s">
        <v>1171</v>
      </c>
      <c r="D900" s="62">
        <v>1</v>
      </c>
      <c r="E900" s="62">
        <v>2000</v>
      </c>
      <c r="F900" s="62">
        <v>0</v>
      </c>
      <c r="G900" s="62">
        <v>20</v>
      </c>
      <c r="H900" s="62">
        <v>1</v>
      </c>
      <c r="I900" s="12"/>
    </row>
    <row r="901" spans="2:9">
      <c r="B901" s="11"/>
      <c r="C901" s="61" t="s">
        <v>1172</v>
      </c>
      <c r="D901" s="62">
        <v>1</v>
      </c>
      <c r="E901" s="62">
        <v>1700</v>
      </c>
      <c r="F901" s="62">
        <v>160</v>
      </c>
      <c r="G901" s="62">
        <v>420</v>
      </c>
      <c r="H901" s="62">
        <v>1</v>
      </c>
      <c r="I901" s="12"/>
    </row>
    <row r="902" spans="2:9">
      <c r="B902" s="11"/>
      <c r="C902" s="61" t="s">
        <v>1173</v>
      </c>
      <c r="D902" s="62">
        <v>1</v>
      </c>
      <c r="E902" s="62">
        <v>1700</v>
      </c>
      <c r="F902" s="62">
        <v>160</v>
      </c>
      <c r="G902" s="62">
        <v>420</v>
      </c>
      <c r="H902" s="62">
        <v>1</v>
      </c>
      <c r="I902" s="12"/>
    </row>
    <row r="903" spans="2:9">
      <c r="B903" s="11"/>
      <c r="C903" s="61" t="s">
        <v>1174</v>
      </c>
      <c r="D903" s="62">
        <v>1</v>
      </c>
      <c r="E903" s="62">
        <v>1700</v>
      </c>
      <c r="F903" s="62">
        <v>160</v>
      </c>
      <c r="G903" s="62">
        <v>820</v>
      </c>
      <c r="H903" s="62">
        <v>1</v>
      </c>
      <c r="I903" s="12"/>
    </row>
    <row r="904" spans="2:9">
      <c r="B904" s="11"/>
      <c r="C904" s="61" t="s">
        <v>1175</v>
      </c>
      <c r="D904" s="62">
        <v>8</v>
      </c>
      <c r="E904" s="62">
        <v>30000</v>
      </c>
      <c r="F904" s="62">
        <v>160</v>
      </c>
      <c r="G904" s="62">
        <v>200</v>
      </c>
      <c r="H904" s="62">
        <v>1</v>
      </c>
      <c r="I904" s="12"/>
    </row>
    <row r="905" spans="2:9">
      <c r="B905" s="11"/>
      <c r="C905" s="61" t="s">
        <v>1176</v>
      </c>
      <c r="D905" s="62">
        <v>1</v>
      </c>
      <c r="E905" s="62">
        <v>2000</v>
      </c>
      <c r="F905" s="62">
        <v>0</v>
      </c>
      <c r="G905" s="62">
        <v>20</v>
      </c>
      <c r="H905" s="62">
        <v>1</v>
      </c>
      <c r="I905" s="12"/>
    </row>
    <row r="906" spans="2:9">
      <c r="B906" s="11"/>
      <c r="C906" s="61" t="s">
        <v>1177</v>
      </c>
      <c r="D906" s="62">
        <v>1</v>
      </c>
      <c r="E906" s="62">
        <v>2000</v>
      </c>
      <c r="F906" s="62">
        <v>0</v>
      </c>
      <c r="G906" s="62">
        <v>20</v>
      </c>
      <c r="H906" s="62">
        <v>1</v>
      </c>
      <c r="I906" s="12"/>
    </row>
    <row r="907" spans="2:9">
      <c r="B907" s="11"/>
      <c r="C907" s="61" t="s">
        <v>1178</v>
      </c>
      <c r="D907" s="62">
        <v>1</v>
      </c>
      <c r="E907" s="62">
        <v>2000</v>
      </c>
      <c r="F907" s="62">
        <v>0</v>
      </c>
      <c r="G907" s="62">
        <v>20</v>
      </c>
      <c r="H907" s="62">
        <v>1</v>
      </c>
      <c r="I907" s="12"/>
    </row>
    <row r="908" spans="2:9">
      <c r="B908" s="11"/>
      <c r="C908" s="61" t="s">
        <v>1179</v>
      </c>
      <c r="D908" s="62">
        <v>16</v>
      </c>
      <c r="E908" s="62">
        <v>30000</v>
      </c>
      <c r="F908" s="62">
        <v>320</v>
      </c>
      <c r="G908" s="62">
        <v>20</v>
      </c>
      <c r="H908" s="62">
        <v>1</v>
      </c>
      <c r="I908" s="12"/>
    </row>
    <row r="909" spans="2:9">
      <c r="B909" s="11"/>
      <c r="C909" s="61" t="s">
        <v>1180</v>
      </c>
      <c r="D909" s="62">
        <v>1</v>
      </c>
      <c r="E909" s="62">
        <v>2000</v>
      </c>
      <c r="F909" s="62">
        <v>0</v>
      </c>
      <c r="G909" s="62">
        <v>20</v>
      </c>
      <c r="H909" s="62">
        <v>1</v>
      </c>
      <c r="I909" s="12"/>
    </row>
    <row r="910" spans="2:9">
      <c r="B910" s="11"/>
      <c r="C910" s="61" t="s">
        <v>1181</v>
      </c>
      <c r="D910" s="62">
        <v>1</v>
      </c>
      <c r="E910" s="62">
        <v>2000</v>
      </c>
      <c r="F910" s="62">
        <v>0</v>
      </c>
      <c r="G910" s="62">
        <v>20</v>
      </c>
      <c r="H910" s="62">
        <v>1</v>
      </c>
      <c r="I910" s="12"/>
    </row>
    <row r="911" spans="2:9">
      <c r="B911" s="11"/>
      <c r="C911" s="61" t="s">
        <v>1182</v>
      </c>
      <c r="D911" s="62">
        <v>1</v>
      </c>
      <c r="E911" s="62">
        <v>2000</v>
      </c>
      <c r="F911" s="62">
        <v>0</v>
      </c>
      <c r="G911" s="62">
        <v>20</v>
      </c>
      <c r="H911" s="62">
        <v>1</v>
      </c>
      <c r="I911" s="12"/>
    </row>
    <row r="912" spans="2:9">
      <c r="B912" s="11"/>
      <c r="C912" s="61" t="s">
        <v>1183</v>
      </c>
      <c r="D912" s="62">
        <v>1</v>
      </c>
      <c r="E912" s="62">
        <v>3750</v>
      </c>
      <c r="F912" s="62">
        <v>410</v>
      </c>
      <c r="G912" s="62">
        <v>20</v>
      </c>
      <c r="H912" s="62">
        <v>1</v>
      </c>
      <c r="I912" s="12"/>
    </row>
    <row r="913" spans="2:9">
      <c r="B913" s="11"/>
      <c r="C913" s="61" t="s">
        <v>1184</v>
      </c>
      <c r="D913" s="62">
        <v>1</v>
      </c>
      <c r="E913" s="62">
        <v>2000</v>
      </c>
      <c r="F913" s="62">
        <v>0</v>
      </c>
      <c r="G913" s="62">
        <v>20</v>
      </c>
      <c r="H913" s="62">
        <v>1</v>
      </c>
      <c r="I913" s="12"/>
    </row>
    <row r="914" spans="2:9">
      <c r="B914" s="11"/>
      <c r="C914" s="61" t="s">
        <v>1185</v>
      </c>
      <c r="D914" s="62">
        <v>1</v>
      </c>
      <c r="E914" s="62">
        <v>2000</v>
      </c>
      <c r="F914" s="62">
        <v>0</v>
      </c>
      <c r="G914" s="62">
        <v>20</v>
      </c>
      <c r="H914" s="62">
        <v>1</v>
      </c>
      <c r="I914" s="12"/>
    </row>
    <row r="915" spans="2:9">
      <c r="B915" s="11"/>
      <c r="C915" s="61" t="s">
        <v>1186</v>
      </c>
      <c r="D915" s="62">
        <v>1</v>
      </c>
      <c r="E915" s="62">
        <v>1700</v>
      </c>
      <c r="F915" s="62">
        <v>160</v>
      </c>
      <c r="G915" s="62">
        <v>20</v>
      </c>
      <c r="H915" s="62">
        <v>1</v>
      </c>
      <c r="I915" s="12"/>
    </row>
    <row r="916" spans="2:9">
      <c r="B916" s="11"/>
      <c r="C916" s="61" t="s">
        <v>1187</v>
      </c>
      <c r="D916" s="62">
        <v>1</v>
      </c>
      <c r="E916" s="62">
        <v>1700</v>
      </c>
      <c r="F916" s="62">
        <v>160</v>
      </c>
      <c r="G916" s="62">
        <v>20</v>
      </c>
      <c r="H916" s="62">
        <v>1</v>
      </c>
      <c r="I916" s="12"/>
    </row>
    <row r="917" spans="2:9">
      <c r="B917" s="11"/>
      <c r="C917" s="61" t="s">
        <v>1188</v>
      </c>
      <c r="D917" s="62">
        <v>1</v>
      </c>
      <c r="E917" s="62">
        <v>1700</v>
      </c>
      <c r="F917" s="62">
        <v>160</v>
      </c>
      <c r="G917" s="62">
        <v>20</v>
      </c>
      <c r="H917" s="62">
        <v>1</v>
      </c>
      <c r="I917" s="12"/>
    </row>
    <row r="918" spans="2:9">
      <c r="B918" s="11"/>
      <c r="C918" s="61" t="s">
        <v>1189</v>
      </c>
      <c r="D918" s="62">
        <v>1</v>
      </c>
      <c r="E918" s="62">
        <v>2000</v>
      </c>
      <c r="F918" s="62">
        <v>0</v>
      </c>
      <c r="G918" s="62">
        <v>20</v>
      </c>
      <c r="H918" s="62">
        <v>1</v>
      </c>
      <c r="I918" s="12"/>
    </row>
    <row r="919" spans="2:9">
      <c r="B919" s="11"/>
      <c r="C919" s="61" t="s">
        <v>1190</v>
      </c>
      <c r="D919" s="62">
        <v>1</v>
      </c>
      <c r="E919" s="62">
        <v>1700</v>
      </c>
      <c r="F919" s="62">
        <v>160</v>
      </c>
      <c r="G919" s="62">
        <v>20</v>
      </c>
      <c r="H919" s="62">
        <v>1</v>
      </c>
      <c r="I919" s="12"/>
    </row>
    <row r="920" spans="2:9">
      <c r="B920" s="11"/>
      <c r="C920" s="61" t="s">
        <v>1191</v>
      </c>
      <c r="D920" s="62">
        <v>1</v>
      </c>
      <c r="E920" s="62">
        <v>2000</v>
      </c>
      <c r="F920" s="62">
        <v>0</v>
      </c>
      <c r="G920" s="62">
        <v>20</v>
      </c>
      <c r="H920" s="62">
        <v>1</v>
      </c>
      <c r="I920" s="12"/>
    </row>
    <row r="921" spans="2:9">
      <c r="B921" s="11"/>
      <c r="C921" s="61" t="s">
        <v>1192</v>
      </c>
      <c r="D921" s="62">
        <v>1</v>
      </c>
      <c r="E921" s="62">
        <v>2000</v>
      </c>
      <c r="F921" s="62">
        <v>0</v>
      </c>
      <c r="G921" s="62">
        <v>20</v>
      </c>
      <c r="H921" s="62">
        <v>1</v>
      </c>
      <c r="I921" s="12"/>
    </row>
    <row r="922" spans="2:9">
      <c r="B922" s="11"/>
      <c r="C922" s="61" t="s">
        <v>1193</v>
      </c>
      <c r="D922" s="62">
        <v>1</v>
      </c>
      <c r="E922" s="62">
        <v>2000</v>
      </c>
      <c r="F922" s="62">
        <v>0</v>
      </c>
      <c r="G922" s="62">
        <v>20</v>
      </c>
      <c r="H922" s="62">
        <v>1</v>
      </c>
      <c r="I922" s="12"/>
    </row>
    <row r="923" spans="2:9">
      <c r="B923" s="11"/>
      <c r="C923" s="61" t="s">
        <v>1194</v>
      </c>
      <c r="D923" s="62">
        <v>1</v>
      </c>
      <c r="E923" s="62">
        <v>2000</v>
      </c>
      <c r="F923" s="62">
        <v>0</v>
      </c>
      <c r="G923" s="62">
        <v>20</v>
      </c>
      <c r="H923" s="62">
        <v>1</v>
      </c>
      <c r="I923" s="12"/>
    </row>
    <row r="924" spans="2:9">
      <c r="B924" s="11"/>
      <c r="C924" s="61" t="s">
        <v>1195</v>
      </c>
      <c r="D924" s="62">
        <v>1</v>
      </c>
      <c r="E924" s="62">
        <v>2000</v>
      </c>
      <c r="F924" s="62">
        <v>0</v>
      </c>
      <c r="G924" s="62">
        <v>20</v>
      </c>
      <c r="H924" s="62">
        <v>1</v>
      </c>
      <c r="I924" s="12"/>
    </row>
    <row r="925" spans="2:9">
      <c r="B925" s="11"/>
      <c r="C925" s="61" t="s">
        <v>1196</v>
      </c>
      <c r="D925" s="62">
        <v>1</v>
      </c>
      <c r="E925" s="62">
        <v>2000</v>
      </c>
      <c r="F925" s="62">
        <v>0</v>
      </c>
      <c r="G925" s="62">
        <v>20</v>
      </c>
      <c r="H925" s="62">
        <v>1</v>
      </c>
      <c r="I925" s="12"/>
    </row>
    <row r="926" spans="2:9">
      <c r="B926" s="11"/>
      <c r="C926" s="61" t="s">
        <v>1197</v>
      </c>
      <c r="D926" s="62">
        <v>1</v>
      </c>
      <c r="E926" s="62">
        <v>2000</v>
      </c>
      <c r="F926" s="62">
        <v>0</v>
      </c>
      <c r="G926" s="62">
        <v>20</v>
      </c>
      <c r="H926" s="62">
        <v>1</v>
      </c>
      <c r="I926" s="12"/>
    </row>
    <row r="927" spans="2:9">
      <c r="B927" s="11"/>
      <c r="C927" s="61" t="s">
        <v>1198</v>
      </c>
      <c r="D927" s="62">
        <v>1</v>
      </c>
      <c r="E927" s="62">
        <v>2000</v>
      </c>
      <c r="F927" s="62">
        <v>0</v>
      </c>
      <c r="G927" s="62">
        <v>20</v>
      </c>
      <c r="H927" s="62">
        <v>1</v>
      </c>
      <c r="I927" s="12"/>
    </row>
    <row r="928" spans="2:9">
      <c r="B928" s="11"/>
      <c r="C928" s="61" t="s">
        <v>1199</v>
      </c>
      <c r="D928" s="62">
        <v>1</v>
      </c>
      <c r="E928" s="62">
        <v>1700</v>
      </c>
      <c r="F928" s="62">
        <v>160</v>
      </c>
      <c r="G928" s="62">
        <v>20</v>
      </c>
      <c r="H928" s="62">
        <v>1</v>
      </c>
      <c r="I928" s="12"/>
    </row>
    <row r="929" spans="2:9">
      <c r="B929" s="11"/>
      <c r="C929" s="61" t="s">
        <v>1200</v>
      </c>
      <c r="D929" s="62">
        <v>1</v>
      </c>
      <c r="E929" s="62">
        <v>1700</v>
      </c>
      <c r="F929" s="62">
        <v>160</v>
      </c>
      <c r="G929" s="62">
        <v>20</v>
      </c>
      <c r="H929" s="62">
        <v>1</v>
      </c>
      <c r="I929" s="12"/>
    </row>
    <row r="930" spans="2:9">
      <c r="B930" s="11"/>
      <c r="C930" s="61" t="s">
        <v>1201</v>
      </c>
      <c r="D930" s="62">
        <v>1</v>
      </c>
      <c r="E930" s="62">
        <v>2000</v>
      </c>
      <c r="F930" s="62">
        <v>0</v>
      </c>
      <c r="G930" s="62">
        <v>20</v>
      </c>
      <c r="H930" s="62">
        <v>1</v>
      </c>
      <c r="I930" s="12"/>
    </row>
    <row r="931" spans="2:9">
      <c r="B931" s="11"/>
      <c r="C931" s="61" t="s">
        <v>1202</v>
      </c>
      <c r="D931" s="62">
        <v>1</v>
      </c>
      <c r="E931" s="62">
        <v>2000</v>
      </c>
      <c r="F931" s="62">
        <v>0</v>
      </c>
      <c r="G931" s="62">
        <v>20</v>
      </c>
      <c r="H931" s="62">
        <v>1</v>
      </c>
      <c r="I931" s="12"/>
    </row>
    <row r="932" spans="2:9">
      <c r="B932" s="11"/>
      <c r="C932" s="61" t="s">
        <v>1203</v>
      </c>
      <c r="D932" s="62">
        <v>1</v>
      </c>
      <c r="E932" s="62">
        <v>1700</v>
      </c>
      <c r="F932" s="62">
        <v>160</v>
      </c>
      <c r="G932" s="62">
        <v>20</v>
      </c>
      <c r="H932" s="62">
        <v>1</v>
      </c>
      <c r="I932" s="12"/>
    </row>
    <row r="933" spans="2:9">
      <c r="B933" s="11"/>
      <c r="C933" s="61" t="s">
        <v>1204</v>
      </c>
      <c r="D933" s="62">
        <v>1</v>
      </c>
      <c r="E933" s="62">
        <v>2000</v>
      </c>
      <c r="F933" s="62">
        <v>0</v>
      </c>
      <c r="G933" s="62">
        <v>20</v>
      </c>
      <c r="H933" s="62">
        <v>1</v>
      </c>
      <c r="I933" s="12"/>
    </row>
    <row r="934" spans="2:9">
      <c r="B934" s="11"/>
      <c r="C934" s="61" t="s">
        <v>1205</v>
      </c>
      <c r="D934" s="62">
        <v>1</v>
      </c>
      <c r="E934" s="62">
        <v>1700</v>
      </c>
      <c r="F934" s="62">
        <v>160</v>
      </c>
      <c r="G934" s="62">
        <v>20</v>
      </c>
      <c r="H934" s="62">
        <v>1</v>
      </c>
      <c r="I934" s="12"/>
    </row>
    <row r="935" spans="2:9">
      <c r="B935" s="11"/>
      <c r="C935" s="61" t="s">
        <v>1206</v>
      </c>
      <c r="D935" s="62">
        <v>1</v>
      </c>
      <c r="E935" s="62">
        <v>1700</v>
      </c>
      <c r="F935" s="62">
        <v>160</v>
      </c>
      <c r="G935" s="62">
        <v>20</v>
      </c>
      <c r="H935" s="62">
        <v>1</v>
      </c>
      <c r="I935" s="12"/>
    </row>
    <row r="936" spans="2:9">
      <c r="B936" s="11"/>
      <c r="C936" s="61" t="s">
        <v>1207</v>
      </c>
      <c r="D936" s="62">
        <v>1</v>
      </c>
      <c r="E936" s="62">
        <v>2000</v>
      </c>
      <c r="F936" s="62">
        <v>0</v>
      </c>
      <c r="G936" s="62">
        <v>20</v>
      </c>
      <c r="H936" s="62">
        <v>1</v>
      </c>
      <c r="I936" s="12"/>
    </row>
    <row r="937" spans="2:9">
      <c r="B937" s="11"/>
      <c r="C937" s="61" t="s">
        <v>1208</v>
      </c>
      <c r="D937" s="62">
        <v>1</v>
      </c>
      <c r="E937" s="62">
        <v>1700</v>
      </c>
      <c r="F937" s="62">
        <v>160</v>
      </c>
      <c r="G937" s="62">
        <v>20</v>
      </c>
      <c r="H937" s="62">
        <v>1</v>
      </c>
      <c r="I937" s="12"/>
    </row>
    <row r="938" spans="2:9">
      <c r="B938" s="11"/>
      <c r="C938" s="61" t="s">
        <v>1209</v>
      </c>
      <c r="D938" s="62">
        <v>1</v>
      </c>
      <c r="E938" s="62">
        <v>1700</v>
      </c>
      <c r="F938" s="62">
        <v>160</v>
      </c>
      <c r="G938" s="62">
        <v>20</v>
      </c>
      <c r="H938" s="62">
        <v>1</v>
      </c>
      <c r="I938" s="12"/>
    </row>
    <row r="939" spans="2:9">
      <c r="B939" s="11"/>
      <c r="C939" s="61" t="s">
        <v>1210</v>
      </c>
      <c r="D939" s="62">
        <v>1</v>
      </c>
      <c r="E939" s="62">
        <v>1700</v>
      </c>
      <c r="F939" s="62">
        <v>160</v>
      </c>
      <c r="G939" s="62">
        <v>20</v>
      </c>
      <c r="H939" s="62">
        <v>1</v>
      </c>
      <c r="I939" s="12"/>
    </row>
    <row r="940" spans="2:9">
      <c r="B940" s="11"/>
      <c r="C940" s="61" t="s">
        <v>1211</v>
      </c>
      <c r="D940" s="62">
        <v>1</v>
      </c>
      <c r="E940" s="62">
        <v>1700</v>
      </c>
      <c r="F940" s="62">
        <v>160</v>
      </c>
      <c r="G940" s="62">
        <v>20</v>
      </c>
      <c r="H940" s="62">
        <v>1</v>
      </c>
      <c r="I940" s="12"/>
    </row>
    <row r="941" spans="2:9">
      <c r="B941" s="11"/>
      <c r="C941" s="61" t="s">
        <v>1212</v>
      </c>
      <c r="D941" s="62">
        <v>1</v>
      </c>
      <c r="E941" s="62">
        <v>2000</v>
      </c>
      <c r="F941" s="62">
        <v>0</v>
      </c>
      <c r="G941" s="62">
        <v>20</v>
      </c>
      <c r="H941" s="62">
        <v>1</v>
      </c>
      <c r="I941" s="12"/>
    </row>
    <row r="942" spans="2:9">
      <c r="B942" s="11"/>
      <c r="C942" s="61" t="s">
        <v>1213</v>
      </c>
      <c r="D942" s="62">
        <v>1</v>
      </c>
      <c r="E942" s="62">
        <v>1700</v>
      </c>
      <c r="F942" s="62">
        <v>160</v>
      </c>
      <c r="G942" s="62">
        <v>20</v>
      </c>
      <c r="H942" s="62">
        <v>1</v>
      </c>
      <c r="I942" s="12"/>
    </row>
    <row r="943" spans="2:9">
      <c r="B943" s="11"/>
      <c r="C943" s="61" t="s">
        <v>1214</v>
      </c>
      <c r="D943" s="62">
        <v>1</v>
      </c>
      <c r="E943" s="62">
        <v>2000</v>
      </c>
      <c r="F943" s="62">
        <v>0</v>
      </c>
      <c r="G943" s="62">
        <v>20</v>
      </c>
      <c r="H943" s="62">
        <v>1</v>
      </c>
      <c r="I943" s="12"/>
    </row>
    <row r="944" spans="2:9">
      <c r="B944" s="11"/>
      <c r="C944" s="61" t="s">
        <v>1215</v>
      </c>
      <c r="D944" s="62">
        <v>1</v>
      </c>
      <c r="E944" s="62">
        <v>1700</v>
      </c>
      <c r="F944" s="62">
        <v>160</v>
      </c>
      <c r="G944" s="62">
        <v>20</v>
      </c>
      <c r="H944" s="62">
        <v>1</v>
      </c>
      <c r="I944" s="12"/>
    </row>
    <row r="945" spans="2:9">
      <c r="B945" s="11"/>
      <c r="C945" s="61" t="s">
        <v>1216</v>
      </c>
      <c r="D945" s="62">
        <v>1</v>
      </c>
      <c r="E945" s="62">
        <v>2000</v>
      </c>
      <c r="F945" s="62">
        <v>0</v>
      </c>
      <c r="G945" s="62">
        <v>20</v>
      </c>
      <c r="H945" s="62">
        <v>1</v>
      </c>
      <c r="I945" s="12"/>
    </row>
    <row r="946" spans="2:9">
      <c r="B946" s="11"/>
      <c r="C946" s="61" t="s">
        <v>1217</v>
      </c>
      <c r="D946" s="62">
        <v>1</v>
      </c>
      <c r="E946" s="62">
        <v>1700</v>
      </c>
      <c r="F946" s="62">
        <v>160</v>
      </c>
      <c r="G946" s="62">
        <v>20</v>
      </c>
      <c r="H946" s="62">
        <v>1</v>
      </c>
      <c r="I946" s="12"/>
    </row>
    <row r="947" spans="2:9">
      <c r="B947" s="11"/>
      <c r="C947" s="61" t="s">
        <v>1218</v>
      </c>
      <c r="D947" s="62">
        <v>1</v>
      </c>
      <c r="E947" s="62">
        <v>2000</v>
      </c>
      <c r="F947" s="62">
        <v>0</v>
      </c>
      <c r="G947" s="62">
        <v>20</v>
      </c>
      <c r="H947" s="62">
        <v>1</v>
      </c>
      <c r="I947" s="12"/>
    </row>
    <row r="948" spans="2:9">
      <c r="B948" s="11"/>
      <c r="C948" s="61" t="s">
        <v>1219</v>
      </c>
      <c r="D948" s="62">
        <v>1</v>
      </c>
      <c r="E948" s="62">
        <v>1700</v>
      </c>
      <c r="F948" s="62">
        <v>160</v>
      </c>
      <c r="G948" s="62">
        <v>20</v>
      </c>
      <c r="H948" s="62">
        <v>1</v>
      </c>
      <c r="I948" s="12"/>
    </row>
    <row r="949" spans="2:9">
      <c r="B949" s="11"/>
      <c r="C949" s="61" t="s">
        <v>1220</v>
      </c>
      <c r="D949" s="62">
        <v>1</v>
      </c>
      <c r="E949" s="62">
        <v>2000</v>
      </c>
      <c r="F949" s="62">
        <v>0</v>
      </c>
      <c r="G949" s="62">
        <v>20</v>
      </c>
      <c r="H949" s="62">
        <v>1</v>
      </c>
      <c r="I949" s="12"/>
    </row>
    <row r="950" spans="2:9">
      <c r="B950" s="11"/>
      <c r="C950" s="61" t="s">
        <v>1221</v>
      </c>
      <c r="D950" s="62">
        <v>1</v>
      </c>
      <c r="E950" s="62">
        <v>1700</v>
      </c>
      <c r="F950" s="62">
        <v>160</v>
      </c>
      <c r="G950" s="62">
        <v>20</v>
      </c>
      <c r="H950" s="62">
        <v>1</v>
      </c>
      <c r="I950" s="12"/>
    </row>
    <row r="951" spans="2:9">
      <c r="B951" s="11"/>
      <c r="C951" s="61" t="s">
        <v>1222</v>
      </c>
      <c r="D951" s="62">
        <v>1</v>
      </c>
      <c r="E951" s="62">
        <v>2000</v>
      </c>
      <c r="F951" s="62">
        <v>0</v>
      </c>
      <c r="G951" s="62">
        <v>20</v>
      </c>
      <c r="H951" s="62">
        <v>1</v>
      </c>
      <c r="I951" s="12"/>
    </row>
    <row r="952" spans="2:9">
      <c r="B952" s="11"/>
      <c r="C952" s="61" t="s">
        <v>1223</v>
      </c>
      <c r="D952" s="62">
        <v>1</v>
      </c>
      <c r="E952" s="62">
        <v>2000</v>
      </c>
      <c r="F952" s="62">
        <v>0</v>
      </c>
      <c r="G952" s="62">
        <v>20</v>
      </c>
      <c r="H952" s="62">
        <v>1</v>
      </c>
      <c r="I952" s="12"/>
    </row>
    <row r="953" spans="2:9">
      <c r="B953" s="11"/>
      <c r="C953" s="61" t="s">
        <v>1224</v>
      </c>
      <c r="D953" s="62">
        <v>1</v>
      </c>
      <c r="E953" s="62">
        <v>2000</v>
      </c>
      <c r="F953" s="62">
        <v>0</v>
      </c>
      <c r="G953" s="62">
        <v>20</v>
      </c>
      <c r="H953" s="62">
        <v>1</v>
      </c>
      <c r="I953" s="12"/>
    </row>
    <row r="954" spans="2:9">
      <c r="B954" s="11"/>
      <c r="C954" s="61" t="s">
        <v>1225</v>
      </c>
      <c r="D954" s="62">
        <v>1</v>
      </c>
      <c r="E954" s="62">
        <v>1700</v>
      </c>
      <c r="F954" s="62">
        <v>160</v>
      </c>
      <c r="G954" s="62">
        <v>20</v>
      </c>
      <c r="H954" s="62">
        <v>1</v>
      </c>
      <c r="I954" s="12"/>
    </row>
    <row r="955" spans="2:9">
      <c r="B955" s="11"/>
      <c r="C955" s="61" t="s">
        <v>1226</v>
      </c>
      <c r="D955" s="62">
        <v>1</v>
      </c>
      <c r="E955" s="62">
        <v>2000</v>
      </c>
      <c r="F955" s="62">
        <v>0</v>
      </c>
      <c r="G955" s="62">
        <v>20</v>
      </c>
      <c r="H955" s="62">
        <v>1</v>
      </c>
      <c r="I955" s="12"/>
    </row>
    <row r="956" spans="2:9">
      <c r="B956" s="11"/>
      <c r="C956" s="61" t="s">
        <v>1227</v>
      </c>
      <c r="D956" s="62">
        <v>1</v>
      </c>
      <c r="E956" s="62">
        <v>2000</v>
      </c>
      <c r="F956" s="62">
        <v>0</v>
      </c>
      <c r="G956" s="62">
        <v>20</v>
      </c>
      <c r="H956" s="62">
        <v>1</v>
      </c>
      <c r="I956" s="12"/>
    </row>
    <row r="957" spans="2:9">
      <c r="B957" s="11"/>
      <c r="C957" s="61" t="s">
        <v>1228</v>
      </c>
      <c r="D957" s="62">
        <v>1</v>
      </c>
      <c r="E957" s="62">
        <v>1700</v>
      </c>
      <c r="F957" s="62">
        <v>160</v>
      </c>
      <c r="G957" s="62">
        <v>20</v>
      </c>
      <c r="H957" s="62">
        <v>1</v>
      </c>
      <c r="I957" s="12"/>
    </row>
    <row r="958" spans="2:9">
      <c r="B958" s="11"/>
      <c r="C958" s="61" t="s">
        <v>1229</v>
      </c>
      <c r="D958" s="62">
        <v>1</v>
      </c>
      <c r="E958" s="62">
        <v>1700</v>
      </c>
      <c r="F958" s="62">
        <v>160</v>
      </c>
      <c r="G958" s="62">
        <v>20</v>
      </c>
      <c r="H958" s="62">
        <v>1</v>
      </c>
      <c r="I958" s="12"/>
    </row>
    <row r="959" spans="2:9">
      <c r="B959" s="11"/>
      <c r="C959" s="61" t="s">
        <v>1230</v>
      </c>
      <c r="D959" s="62">
        <v>1</v>
      </c>
      <c r="E959" s="62">
        <v>1700</v>
      </c>
      <c r="F959" s="62">
        <v>160</v>
      </c>
      <c r="G959" s="62">
        <v>20</v>
      </c>
      <c r="H959" s="62">
        <v>1</v>
      </c>
      <c r="I959" s="12"/>
    </row>
    <row r="960" spans="2:9">
      <c r="B960" s="11"/>
      <c r="C960" s="61" t="s">
        <v>1231</v>
      </c>
      <c r="D960" s="62">
        <v>1</v>
      </c>
      <c r="E960" s="62">
        <v>2000</v>
      </c>
      <c r="F960" s="62">
        <v>0</v>
      </c>
      <c r="G960" s="62">
        <v>20</v>
      </c>
      <c r="H960" s="62">
        <v>1</v>
      </c>
      <c r="I960" s="12"/>
    </row>
    <row r="961" spans="2:9">
      <c r="B961" s="11"/>
      <c r="C961" s="61" t="s">
        <v>1232</v>
      </c>
      <c r="D961" s="62">
        <v>1</v>
      </c>
      <c r="E961" s="62">
        <v>2000</v>
      </c>
      <c r="F961" s="62">
        <v>0</v>
      </c>
      <c r="G961" s="62">
        <v>20</v>
      </c>
      <c r="H961" s="62">
        <v>1</v>
      </c>
      <c r="I961" s="12"/>
    </row>
    <row r="962" spans="2:9">
      <c r="B962" s="11"/>
      <c r="C962" s="61" t="s">
        <v>1233</v>
      </c>
      <c r="D962" s="62">
        <v>1</v>
      </c>
      <c r="E962" s="62">
        <v>2000</v>
      </c>
      <c r="F962" s="62">
        <v>0</v>
      </c>
      <c r="G962" s="62">
        <v>20</v>
      </c>
      <c r="H962" s="62">
        <v>1</v>
      </c>
      <c r="I962" s="12"/>
    </row>
    <row r="963" spans="2:9">
      <c r="B963" s="11"/>
      <c r="C963" s="61" t="s">
        <v>1234</v>
      </c>
      <c r="D963" s="62">
        <v>1</v>
      </c>
      <c r="E963" s="62">
        <v>2000</v>
      </c>
      <c r="F963" s="62">
        <v>0</v>
      </c>
      <c r="G963" s="62">
        <v>20</v>
      </c>
      <c r="H963" s="62">
        <v>1</v>
      </c>
      <c r="I963" s="12"/>
    </row>
    <row r="964" spans="2:9">
      <c r="B964" s="11"/>
      <c r="C964" s="61" t="s">
        <v>1235</v>
      </c>
      <c r="D964" s="62">
        <v>1</v>
      </c>
      <c r="E964" s="62">
        <v>2000</v>
      </c>
      <c r="F964" s="62">
        <v>0</v>
      </c>
      <c r="G964" s="62">
        <v>20</v>
      </c>
      <c r="H964" s="62">
        <v>1</v>
      </c>
      <c r="I964" s="12"/>
    </row>
    <row r="965" spans="2:9">
      <c r="B965" s="11"/>
      <c r="C965" s="61" t="s">
        <v>1236</v>
      </c>
      <c r="D965" s="62">
        <v>1</v>
      </c>
      <c r="E965" s="62">
        <v>2000</v>
      </c>
      <c r="F965" s="62">
        <v>0</v>
      </c>
      <c r="G965" s="62">
        <v>20</v>
      </c>
      <c r="H965" s="62">
        <v>1</v>
      </c>
      <c r="I965" s="12"/>
    </row>
    <row r="966" spans="2:9">
      <c r="B966" s="11"/>
      <c r="C966" s="61" t="s">
        <v>1237</v>
      </c>
      <c r="D966" s="62">
        <v>1</v>
      </c>
      <c r="E966" s="62">
        <v>2000</v>
      </c>
      <c r="F966" s="62">
        <v>0</v>
      </c>
      <c r="G966" s="62">
        <v>20</v>
      </c>
      <c r="H966" s="62">
        <v>1</v>
      </c>
      <c r="I966" s="12"/>
    </row>
    <row r="967" spans="2:9">
      <c r="B967" s="11"/>
      <c r="C967" s="61" t="s">
        <v>1238</v>
      </c>
      <c r="D967" s="62">
        <v>2</v>
      </c>
      <c r="E967" s="62">
        <v>7500</v>
      </c>
      <c r="F967" s="62">
        <v>32</v>
      </c>
      <c r="G967" s="62">
        <v>420</v>
      </c>
      <c r="H967" s="62">
        <v>1</v>
      </c>
      <c r="I967" s="12"/>
    </row>
    <row r="968" spans="2:9">
      <c r="B968" s="11"/>
      <c r="C968" s="61" t="s">
        <v>1239</v>
      </c>
      <c r="D968" s="62">
        <v>2</v>
      </c>
      <c r="E968" s="62">
        <v>7500</v>
      </c>
      <c r="F968" s="62">
        <v>32</v>
      </c>
      <c r="G968" s="62">
        <v>420</v>
      </c>
      <c r="H968" s="62">
        <v>1</v>
      </c>
      <c r="I968" s="12"/>
    </row>
    <row r="969" spans="2:9">
      <c r="B969" s="11"/>
      <c r="C969" s="61" t="s">
        <v>1240</v>
      </c>
      <c r="D969" s="62">
        <v>2</v>
      </c>
      <c r="E969" s="62">
        <v>7500</v>
      </c>
      <c r="F969" s="62">
        <v>32</v>
      </c>
      <c r="G969" s="62">
        <v>820</v>
      </c>
      <c r="H969" s="62">
        <v>1</v>
      </c>
      <c r="I969" s="12"/>
    </row>
    <row r="970" spans="2:9">
      <c r="B970" s="11"/>
      <c r="C970" s="61" t="s">
        <v>1241</v>
      </c>
      <c r="D970" s="62">
        <v>2</v>
      </c>
      <c r="E970" s="62">
        <v>3750</v>
      </c>
      <c r="F970" s="62">
        <v>32</v>
      </c>
      <c r="G970" s="62">
        <v>20</v>
      </c>
      <c r="H970" s="62">
        <v>1</v>
      </c>
      <c r="I970" s="12"/>
    </row>
    <row r="971" spans="2:9">
      <c r="B971" s="11"/>
      <c r="C971" s="61" t="s">
        <v>1242</v>
      </c>
      <c r="D971" s="62">
        <v>2</v>
      </c>
      <c r="E971" s="62">
        <v>3750</v>
      </c>
      <c r="F971" s="62">
        <v>32</v>
      </c>
      <c r="G971" s="62">
        <v>20</v>
      </c>
      <c r="H971" s="62">
        <v>1</v>
      </c>
      <c r="I971" s="12"/>
    </row>
    <row r="972" spans="2:9">
      <c r="B972" s="11"/>
      <c r="C972" s="61" t="s">
        <v>1243</v>
      </c>
      <c r="D972" s="62">
        <v>2</v>
      </c>
      <c r="E972" s="62">
        <v>3750</v>
      </c>
      <c r="F972" s="62">
        <v>32</v>
      </c>
      <c r="G972" s="62">
        <v>20</v>
      </c>
      <c r="H972" s="62">
        <v>1</v>
      </c>
      <c r="I972" s="12"/>
    </row>
    <row r="973" spans="2:9">
      <c r="B973" s="11"/>
      <c r="C973" s="61" t="s">
        <v>1244</v>
      </c>
      <c r="D973" s="62">
        <v>2</v>
      </c>
      <c r="E973" s="62">
        <v>7500</v>
      </c>
      <c r="F973" s="62">
        <v>32</v>
      </c>
      <c r="G973" s="62">
        <v>420</v>
      </c>
      <c r="H973" s="62">
        <v>1</v>
      </c>
      <c r="I973" s="12"/>
    </row>
    <row r="974" spans="2:9">
      <c r="B974" s="11"/>
      <c r="C974" s="61" t="s">
        <v>1245</v>
      </c>
      <c r="D974" s="62">
        <v>1</v>
      </c>
      <c r="E974" s="62">
        <v>2000</v>
      </c>
      <c r="F974" s="62">
        <v>0</v>
      </c>
      <c r="G974" s="62">
        <v>20</v>
      </c>
      <c r="H974" s="62">
        <v>1</v>
      </c>
      <c r="I974" s="12"/>
    </row>
    <row r="975" spans="2:9">
      <c r="B975" s="11"/>
      <c r="C975" s="61" t="s">
        <v>1246</v>
      </c>
      <c r="D975" s="62">
        <v>2</v>
      </c>
      <c r="E975" s="62">
        <v>3750</v>
      </c>
      <c r="F975" s="62">
        <v>32</v>
      </c>
      <c r="G975" s="62">
        <v>20</v>
      </c>
      <c r="H975" s="62">
        <v>1</v>
      </c>
      <c r="I975" s="12"/>
    </row>
    <row r="976" spans="2:9">
      <c r="B976" s="11"/>
      <c r="C976" s="61" t="s">
        <v>1247</v>
      </c>
      <c r="D976" s="62">
        <v>1</v>
      </c>
      <c r="E976" s="62">
        <v>2000</v>
      </c>
      <c r="F976" s="62">
        <v>0</v>
      </c>
      <c r="G976" s="62">
        <v>20</v>
      </c>
      <c r="H976" s="62">
        <v>1</v>
      </c>
      <c r="I976" s="12"/>
    </row>
    <row r="977" spans="2:9">
      <c r="B977" s="11"/>
      <c r="C977" s="61" t="s">
        <v>1248</v>
      </c>
      <c r="D977" s="62">
        <v>1</v>
      </c>
      <c r="E977" s="62">
        <v>2000</v>
      </c>
      <c r="F977" s="62">
        <v>0</v>
      </c>
      <c r="G977" s="62">
        <v>20</v>
      </c>
      <c r="H977" s="62">
        <v>1</v>
      </c>
      <c r="I977" s="12"/>
    </row>
    <row r="978" spans="2:9">
      <c r="B978" s="11"/>
      <c r="C978" s="61" t="s">
        <v>1249</v>
      </c>
      <c r="D978" s="62">
        <v>1</v>
      </c>
      <c r="E978" s="62">
        <v>2000</v>
      </c>
      <c r="F978" s="62">
        <v>0</v>
      </c>
      <c r="G978" s="62">
        <v>20</v>
      </c>
      <c r="H978" s="62">
        <v>1</v>
      </c>
      <c r="I978" s="12"/>
    </row>
    <row r="979" spans="2:9">
      <c r="B979" s="11"/>
      <c r="C979" s="61" t="s">
        <v>1250</v>
      </c>
      <c r="D979" s="62">
        <v>2</v>
      </c>
      <c r="E979" s="62">
        <v>3750</v>
      </c>
      <c r="F979" s="62">
        <v>32</v>
      </c>
      <c r="G979" s="62">
        <v>20</v>
      </c>
      <c r="H979" s="62">
        <v>1</v>
      </c>
      <c r="I979" s="12"/>
    </row>
    <row r="980" spans="2:9">
      <c r="B980" s="11"/>
      <c r="C980" s="61" t="s">
        <v>1251</v>
      </c>
      <c r="D980" s="62">
        <v>2</v>
      </c>
      <c r="E980" s="62">
        <v>3750</v>
      </c>
      <c r="F980" s="62">
        <v>32</v>
      </c>
      <c r="G980" s="62">
        <v>20</v>
      </c>
      <c r="H980" s="62">
        <v>1</v>
      </c>
      <c r="I980" s="12"/>
    </row>
    <row r="981" spans="2:9">
      <c r="B981" s="11"/>
      <c r="C981" s="61" t="s">
        <v>1252</v>
      </c>
      <c r="D981" s="62">
        <v>2</v>
      </c>
      <c r="E981" s="62">
        <v>3750</v>
      </c>
      <c r="F981" s="62">
        <v>32</v>
      </c>
      <c r="G981" s="62">
        <v>20</v>
      </c>
      <c r="H981" s="62">
        <v>1</v>
      </c>
      <c r="I981" s="12"/>
    </row>
    <row r="982" spans="2:9">
      <c r="B982" s="11"/>
      <c r="C982" s="61" t="s">
        <v>1253</v>
      </c>
      <c r="D982" s="62">
        <v>2</v>
      </c>
      <c r="E982" s="62">
        <v>3750</v>
      </c>
      <c r="F982" s="62">
        <v>32</v>
      </c>
      <c r="G982" s="62">
        <v>20</v>
      </c>
      <c r="H982" s="62">
        <v>1</v>
      </c>
      <c r="I982" s="12"/>
    </row>
    <row r="983" spans="2:9">
      <c r="B983" s="11"/>
      <c r="C983" s="61" t="s">
        <v>1254</v>
      </c>
      <c r="D983" s="62">
        <v>2</v>
      </c>
      <c r="E983" s="62">
        <v>3750</v>
      </c>
      <c r="F983" s="62">
        <v>32</v>
      </c>
      <c r="G983" s="62">
        <v>20</v>
      </c>
      <c r="H983" s="62">
        <v>1</v>
      </c>
      <c r="I983" s="12"/>
    </row>
    <row r="984" spans="2:9">
      <c r="B984" s="11"/>
      <c r="C984" s="61" t="s">
        <v>1255</v>
      </c>
      <c r="D984" s="62">
        <v>2</v>
      </c>
      <c r="E984" s="62">
        <v>3750</v>
      </c>
      <c r="F984" s="62">
        <v>32</v>
      </c>
      <c r="G984" s="62">
        <v>20</v>
      </c>
      <c r="H984" s="62">
        <v>1</v>
      </c>
      <c r="I984" s="12"/>
    </row>
    <row r="985" spans="2:9">
      <c r="B985" s="11"/>
      <c r="C985" s="61" t="s">
        <v>1256</v>
      </c>
      <c r="D985" s="62">
        <v>2</v>
      </c>
      <c r="E985" s="62">
        <v>3750</v>
      </c>
      <c r="F985" s="62">
        <v>32</v>
      </c>
      <c r="G985" s="62">
        <v>20</v>
      </c>
      <c r="H985" s="62">
        <v>1</v>
      </c>
      <c r="I985" s="12"/>
    </row>
    <row r="986" spans="2:9">
      <c r="B986" s="11"/>
      <c r="C986" s="61" t="s">
        <v>1257</v>
      </c>
      <c r="D986" s="62">
        <v>4</v>
      </c>
      <c r="E986" s="62">
        <v>7500</v>
      </c>
      <c r="F986" s="62">
        <v>80</v>
      </c>
      <c r="G986" s="62">
        <v>20</v>
      </c>
      <c r="H986" s="62">
        <v>1</v>
      </c>
      <c r="I986" s="12"/>
    </row>
    <row r="987" spans="2:9">
      <c r="B987" s="11"/>
      <c r="C987" s="61" t="s">
        <v>1258</v>
      </c>
      <c r="D987" s="62">
        <v>8</v>
      </c>
      <c r="E987" s="62">
        <v>15000</v>
      </c>
      <c r="F987" s="62">
        <v>160</v>
      </c>
      <c r="G987" s="62">
        <v>20</v>
      </c>
      <c r="H987" s="62">
        <v>1</v>
      </c>
      <c r="I987" s="12"/>
    </row>
    <row r="988" spans="2:9">
      <c r="B988" s="11"/>
      <c r="C988" s="61" t="s">
        <v>1259</v>
      </c>
      <c r="D988" s="62">
        <v>16</v>
      </c>
      <c r="E988" s="62">
        <v>30000</v>
      </c>
      <c r="F988" s="62">
        <v>320</v>
      </c>
      <c r="G988" s="62">
        <v>20</v>
      </c>
      <c r="H988" s="62">
        <v>1</v>
      </c>
      <c r="I988" s="12"/>
    </row>
    <row r="989" spans="2:9">
      <c r="B989" s="11"/>
      <c r="C989" s="61" t="s">
        <v>1260</v>
      </c>
      <c r="D989" s="62">
        <v>8</v>
      </c>
      <c r="E989" s="62">
        <v>61000</v>
      </c>
      <c r="F989" s="62">
        <v>1440</v>
      </c>
      <c r="G989" s="62">
        <v>20</v>
      </c>
      <c r="H989" s="62">
        <v>1</v>
      </c>
      <c r="I989" s="12"/>
    </row>
    <row r="990" spans="2:9">
      <c r="B990" s="11"/>
      <c r="C990" s="61" t="s">
        <v>1261</v>
      </c>
      <c r="D990" s="62">
        <v>16</v>
      </c>
      <c r="E990" s="62">
        <v>30000</v>
      </c>
      <c r="F990" s="62">
        <v>320</v>
      </c>
      <c r="G990" s="62">
        <v>20</v>
      </c>
      <c r="H990" s="62">
        <v>1</v>
      </c>
      <c r="I990" s="12"/>
    </row>
    <row r="991" spans="2:9">
      <c r="B991" s="11"/>
      <c r="C991" s="61" t="s">
        <v>1262</v>
      </c>
      <c r="D991" s="62">
        <v>8</v>
      </c>
      <c r="E991" s="62">
        <v>30000</v>
      </c>
      <c r="F991" s="62">
        <v>160</v>
      </c>
      <c r="G991" s="62">
        <v>1820</v>
      </c>
      <c r="H991" s="62">
        <v>1</v>
      </c>
      <c r="I991" s="12"/>
    </row>
    <row r="992" spans="2:9">
      <c r="B992" s="11"/>
      <c r="C992" s="61" t="s">
        <v>1263</v>
      </c>
      <c r="D992" s="62">
        <v>8</v>
      </c>
      <c r="E992" s="62">
        <v>30000</v>
      </c>
      <c r="F992" s="62">
        <v>160</v>
      </c>
      <c r="G992" s="62">
        <v>820</v>
      </c>
      <c r="H992" s="62">
        <v>1</v>
      </c>
      <c r="I992" s="12"/>
    </row>
    <row r="993" spans="2:9">
      <c r="B993" s="11"/>
      <c r="C993" s="61" t="s">
        <v>1264</v>
      </c>
      <c r="D993" s="62">
        <v>32</v>
      </c>
      <c r="E993" s="62">
        <v>60000</v>
      </c>
      <c r="F993" s="62">
        <v>640</v>
      </c>
      <c r="G993" s="62">
        <v>20</v>
      </c>
      <c r="H993" s="62">
        <v>1</v>
      </c>
      <c r="I993" s="12"/>
    </row>
    <row r="994" spans="2:9">
      <c r="B994" s="11"/>
      <c r="C994" s="61" t="s">
        <v>1265</v>
      </c>
      <c r="D994" s="62">
        <v>1</v>
      </c>
      <c r="E994" s="62">
        <v>1700</v>
      </c>
      <c r="F994" s="62">
        <v>160</v>
      </c>
      <c r="G994" s="62">
        <v>20</v>
      </c>
      <c r="H994" s="62">
        <v>1</v>
      </c>
      <c r="I994" s="12"/>
    </row>
    <row r="995" spans="2:9">
      <c r="B995" s="11"/>
      <c r="C995" s="61" t="s">
        <v>1266</v>
      </c>
      <c r="D995" s="62">
        <v>32</v>
      </c>
      <c r="E995" s="62">
        <v>60000</v>
      </c>
      <c r="F995" s="62">
        <v>640</v>
      </c>
      <c r="G995" s="62">
        <v>20</v>
      </c>
      <c r="H995" s="62">
        <v>1</v>
      </c>
      <c r="I995" s="12"/>
    </row>
    <row r="996" spans="2:9">
      <c r="B996" s="11"/>
      <c r="C996" s="61" t="s">
        <v>1267</v>
      </c>
      <c r="D996" s="62">
        <v>8</v>
      </c>
      <c r="E996" s="62">
        <v>30000</v>
      </c>
      <c r="F996" s="62">
        <v>160</v>
      </c>
      <c r="G996" s="62">
        <v>820</v>
      </c>
      <c r="H996" s="62">
        <v>1</v>
      </c>
      <c r="I996" s="12"/>
    </row>
    <row r="997" spans="2:9">
      <c r="B997" s="11"/>
      <c r="C997" s="61" t="s">
        <v>1268</v>
      </c>
      <c r="D997" s="62">
        <v>2</v>
      </c>
      <c r="E997" s="62">
        <v>3750</v>
      </c>
      <c r="F997" s="62">
        <v>32</v>
      </c>
      <c r="G997" s="62">
        <v>20</v>
      </c>
      <c r="H997" s="62">
        <v>1</v>
      </c>
      <c r="I997" s="12"/>
    </row>
    <row r="998" spans="2:9">
      <c r="B998" s="11"/>
      <c r="C998" s="61" t="s">
        <v>1269</v>
      </c>
      <c r="D998" s="62">
        <v>1</v>
      </c>
      <c r="E998" s="62">
        <v>1700</v>
      </c>
      <c r="F998" s="62">
        <v>160</v>
      </c>
      <c r="G998" s="62">
        <v>20</v>
      </c>
      <c r="H998" s="62">
        <v>1</v>
      </c>
      <c r="I998" s="12"/>
    </row>
    <row r="999" spans="2:9">
      <c r="B999" s="11"/>
      <c r="C999" s="61" t="s">
        <v>1270</v>
      </c>
      <c r="D999" s="62">
        <v>1</v>
      </c>
      <c r="E999" s="62">
        <v>2000</v>
      </c>
      <c r="F999" s="62">
        <v>0</v>
      </c>
      <c r="G999" s="62">
        <v>20</v>
      </c>
      <c r="H999" s="62">
        <v>1</v>
      </c>
      <c r="I999" s="12"/>
    </row>
    <row r="1000" spans="2:9">
      <c r="B1000" s="11"/>
      <c r="C1000" s="61" t="s">
        <v>1271</v>
      </c>
      <c r="D1000" s="62">
        <v>1</v>
      </c>
      <c r="E1000" s="62">
        <v>2000</v>
      </c>
      <c r="F1000" s="62">
        <v>0</v>
      </c>
      <c r="G1000" s="62">
        <v>20</v>
      </c>
      <c r="H1000" s="62">
        <v>1</v>
      </c>
      <c r="I1000" s="12"/>
    </row>
    <row r="1001" spans="2:9">
      <c r="B1001" s="11"/>
      <c r="C1001" s="61" t="s">
        <v>1272</v>
      </c>
      <c r="D1001" s="62">
        <v>1</v>
      </c>
      <c r="E1001" s="62">
        <v>2000</v>
      </c>
      <c r="F1001" s="62">
        <v>0</v>
      </c>
      <c r="G1001" s="62">
        <v>20</v>
      </c>
      <c r="H1001" s="62">
        <v>1</v>
      </c>
      <c r="I1001" s="12"/>
    </row>
    <row r="1002" spans="2:9">
      <c r="B1002" s="11"/>
      <c r="C1002" s="61" t="s">
        <v>1273</v>
      </c>
      <c r="D1002" s="62">
        <v>1</v>
      </c>
      <c r="E1002" s="62">
        <v>2000</v>
      </c>
      <c r="F1002" s="62">
        <v>0</v>
      </c>
      <c r="G1002" s="62">
        <v>20</v>
      </c>
      <c r="H1002" s="62">
        <v>1</v>
      </c>
      <c r="I1002" s="12"/>
    </row>
    <row r="1003" spans="2:9">
      <c r="B1003" s="11"/>
      <c r="C1003" s="61" t="s">
        <v>1274</v>
      </c>
      <c r="D1003" s="62">
        <v>1</v>
      </c>
      <c r="E1003" s="62">
        <v>1700</v>
      </c>
      <c r="F1003" s="62">
        <v>160</v>
      </c>
      <c r="G1003" s="62">
        <v>20</v>
      </c>
      <c r="H1003" s="62">
        <v>1</v>
      </c>
      <c r="I1003" s="12"/>
    </row>
    <row r="1004" spans="2:9">
      <c r="B1004" s="11"/>
      <c r="C1004" s="61" t="s">
        <v>1275</v>
      </c>
      <c r="D1004" s="62">
        <v>1</v>
      </c>
      <c r="E1004" s="62">
        <v>2000</v>
      </c>
      <c r="F1004" s="62">
        <v>0</v>
      </c>
      <c r="G1004" s="62">
        <v>20</v>
      </c>
      <c r="H1004" s="62">
        <v>1</v>
      </c>
      <c r="I1004" s="12"/>
    </row>
    <row r="1005" spans="2:9">
      <c r="B1005" s="11"/>
      <c r="C1005" s="61" t="s">
        <v>1276</v>
      </c>
      <c r="D1005" s="62">
        <v>1</v>
      </c>
      <c r="E1005" s="62">
        <v>2000</v>
      </c>
      <c r="F1005" s="62">
        <v>0</v>
      </c>
      <c r="G1005" s="62">
        <v>20</v>
      </c>
      <c r="H1005" s="62">
        <v>1</v>
      </c>
      <c r="I1005" s="12"/>
    </row>
    <row r="1006" spans="2:9">
      <c r="B1006" s="11"/>
      <c r="C1006" s="61" t="s">
        <v>1277</v>
      </c>
      <c r="D1006" s="62">
        <v>1</v>
      </c>
      <c r="E1006" s="62">
        <v>2000</v>
      </c>
      <c r="F1006" s="62">
        <v>0</v>
      </c>
      <c r="G1006" s="62">
        <v>20</v>
      </c>
      <c r="H1006" s="62">
        <v>1</v>
      </c>
      <c r="I1006" s="12"/>
    </row>
    <row r="1007" spans="2:9">
      <c r="B1007" s="11"/>
      <c r="C1007" s="61" t="s">
        <v>1278</v>
      </c>
      <c r="D1007" s="62">
        <v>1</v>
      </c>
      <c r="E1007" s="62">
        <v>2000</v>
      </c>
      <c r="F1007" s="62">
        <v>0</v>
      </c>
      <c r="G1007" s="62">
        <v>20</v>
      </c>
      <c r="H1007" s="62">
        <v>1</v>
      </c>
      <c r="I1007" s="12"/>
    </row>
    <row r="1008" spans="2:9">
      <c r="B1008" s="11"/>
      <c r="C1008" s="61" t="s">
        <v>1279</v>
      </c>
      <c r="D1008" s="62">
        <v>2</v>
      </c>
      <c r="E1008" s="62">
        <v>3750</v>
      </c>
      <c r="F1008" s="62">
        <v>32</v>
      </c>
      <c r="G1008" s="62">
        <v>20</v>
      </c>
      <c r="H1008" s="62">
        <v>1</v>
      </c>
      <c r="I1008" s="12"/>
    </row>
    <row r="1009" spans="2:9">
      <c r="B1009" s="11"/>
      <c r="C1009" s="61" t="s">
        <v>1280</v>
      </c>
      <c r="D1009" s="62">
        <v>2</v>
      </c>
      <c r="E1009" s="62">
        <v>3750</v>
      </c>
      <c r="F1009" s="62">
        <v>32</v>
      </c>
      <c r="G1009" s="62">
        <v>20</v>
      </c>
      <c r="H1009" s="62">
        <v>1</v>
      </c>
      <c r="I1009" s="12"/>
    </row>
    <row r="1010" spans="2:9">
      <c r="B1010" s="11"/>
      <c r="C1010" s="61" t="s">
        <v>1281</v>
      </c>
      <c r="D1010" s="62">
        <v>2</v>
      </c>
      <c r="E1010" s="62">
        <v>3750</v>
      </c>
      <c r="F1010" s="62">
        <v>32</v>
      </c>
      <c r="G1010" s="62">
        <v>20</v>
      </c>
      <c r="H1010" s="62">
        <v>1</v>
      </c>
      <c r="I1010" s="12"/>
    </row>
    <row r="1011" spans="2:9">
      <c r="B1011" s="11"/>
      <c r="C1011" s="61" t="s">
        <v>1282</v>
      </c>
      <c r="D1011" s="62">
        <v>2</v>
      </c>
      <c r="E1011" s="62">
        <v>3750</v>
      </c>
      <c r="F1011" s="62">
        <v>32</v>
      </c>
      <c r="G1011" s="62">
        <v>20</v>
      </c>
      <c r="H1011" s="62">
        <v>1</v>
      </c>
      <c r="I1011" s="12"/>
    </row>
    <row r="1012" spans="2:9">
      <c r="B1012" s="11"/>
      <c r="C1012" s="61" t="s">
        <v>1283</v>
      </c>
      <c r="D1012" s="62">
        <v>1</v>
      </c>
      <c r="E1012" s="62">
        <v>1700</v>
      </c>
      <c r="F1012" s="62">
        <v>160</v>
      </c>
      <c r="G1012" s="62">
        <v>20</v>
      </c>
      <c r="H1012" s="62">
        <v>1</v>
      </c>
      <c r="I1012" s="12"/>
    </row>
    <row r="1013" spans="2:9">
      <c r="B1013" s="11"/>
      <c r="C1013" s="61" t="s">
        <v>1284</v>
      </c>
      <c r="D1013" s="62">
        <v>1</v>
      </c>
      <c r="E1013" s="62">
        <v>2000</v>
      </c>
      <c r="F1013" s="62">
        <v>0</v>
      </c>
      <c r="G1013" s="62">
        <v>20</v>
      </c>
      <c r="H1013" s="62">
        <v>1</v>
      </c>
      <c r="I1013" s="12"/>
    </row>
    <row r="1014" spans="2:9">
      <c r="B1014" s="11"/>
      <c r="C1014" s="61" t="s">
        <v>1285</v>
      </c>
      <c r="D1014" s="62">
        <v>1</v>
      </c>
      <c r="E1014" s="62">
        <v>1700</v>
      </c>
      <c r="F1014" s="62">
        <v>160</v>
      </c>
      <c r="G1014" s="62">
        <v>20</v>
      </c>
      <c r="H1014" s="62">
        <v>1</v>
      </c>
      <c r="I1014" s="12"/>
    </row>
    <row r="1015" spans="2:9">
      <c r="B1015" s="11"/>
      <c r="C1015" s="61" t="s">
        <v>1286</v>
      </c>
      <c r="D1015" s="62">
        <v>1</v>
      </c>
      <c r="E1015" s="62">
        <v>2000</v>
      </c>
      <c r="F1015" s="62">
        <v>0</v>
      </c>
      <c r="G1015" s="62">
        <v>20</v>
      </c>
      <c r="H1015" s="62">
        <v>1</v>
      </c>
      <c r="I1015" s="12"/>
    </row>
    <row r="1016" spans="2:9">
      <c r="B1016" s="11"/>
      <c r="C1016" s="61" t="s">
        <v>1287</v>
      </c>
      <c r="D1016" s="62">
        <v>1</v>
      </c>
      <c r="E1016" s="62">
        <v>2000</v>
      </c>
      <c r="F1016" s="62">
        <v>0</v>
      </c>
      <c r="G1016" s="62">
        <v>20</v>
      </c>
      <c r="H1016" s="62">
        <v>1</v>
      </c>
      <c r="I1016" s="12"/>
    </row>
    <row r="1017" spans="2:9">
      <c r="B1017" s="11"/>
      <c r="C1017" s="61" t="s">
        <v>1288</v>
      </c>
      <c r="D1017" s="62">
        <v>1</v>
      </c>
      <c r="E1017" s="62">
        <v>3750</v>
      </c>
      <c r="F1017" s="62">
        <v>4</v>
      </c>
      <c r="G1017" s="62">
        <v>20</v>
      </c>
      <c r="H1017" s="62">
        <v>1</v>
      </c>
      <c r="I1017" s="12"/>
    </row>
    <row r="1018" spans="2:9">
      <c r="B1018" s="11"/>
      <c r="C1018" s="61" t="s">
        <v>1289</v>
      </c>
      <c r="D1018" s="62">
        <v>1</v>
      </c>
      <c r="E1018" s="62">
        <v>1700</v>
      </c>
      <c r="F1018" s="62">
        <v>160</v>
      </c>
      <c r="G1018" s="62">
        <v>20</v>
      </c>
      <c r="H1018" s="62">
        <v>1</v>
      </c>
      <c r="I1018" s="12"/>
    </row>
    <row r="1019" spans="2:9">
      <c r="B1019" s="11"/>
      <c r="C1019" s="61" t="s">
        <v>1290</v>
      </c>
      <c r="D1019" s="62">
        <v>1</v>
      </c>
      <c r="E1019" s="62">
        <v>1700</v>
      </c>
      <c r="F1019" s="62">
        <v>160</v>
      </c>
      <c r="G1019" s="62">
        <v>20</v>
      </c>
      <c r="H1019" s="62">
        <v>1</v>
      </c>
      <c r="I1019" s="12"/>
    </row>
    <row r="1020" spans="2:9">
      <c r="B1020" s="11"/>
      <c r="C1020" s="61" t="s">
        <v>1291</v>
      </c>
      <c r="D1020" s="62">
        <v>1</v>
      </c>
      <c r="E1020" s="62">
        <v>1700</v>
      </c>
      <c r="F1020" s="62">
        <v>160</v>
      </c>
      <c r="G1020" s="62">
        <v>20</v>
      </c>
      <c r="H1020" s="62">
        <v>1</v>
      </c>
      <c r="I1020" s="12"/>
    </row>
    <row r="1021" spans="2:9">
      <c r="B1021" s="11"/>
      <c r="C1021" s="61" t="s">
        <v>1292</v>
      </c>
      <c r="D1021" s="62">
        <v>1</v>
      </c>
      <c r="E1021" s="62">
        <v>2000</v>
      </c>
      <c r="F1021" s="62">
        <v>0</v>
      </c>
      <c r="G1021" s="62">
        <v>20</v>
      </c>
      <c r="H1021" s="62">
        <v>1</v>
      </c>
      <c r="I1021" s="12"/>
    </row>
    <row r="1022" spans="2:9">
      <c r="B1022" s="11"/>
      <c r="C1022" s="61" t="s">
        <v>1293</v>
      </c>
      <c r="D1022" s="62">
        <v>1</v>
      </c>
      <c r="E1022" s="62">
        <v>2000</v>
      </c>
      <c r="F1022" s="62">
        <v>0</v>
      </c>
      <c r="G1022" s="62">
        <v>20</v>
      </c>
      <c r="H1022" s="62">
        <v>1</v>
      </c>
      <c r="I1022" s="12"/>
    </row>
    <row r="1023" spans="2:9">
      <c r="B1023" s="11"/>
      <c r="C1023" s="61" t="s">
        <v>1294</v>
      </c>
      <c r="D1023" s="62">
        <v>1</v>
      </c>
      <c r="E1023" s="62">
        <v>1700</v>
      </c>
      <c r="F1023" s="62">
        <v>160</v>
      </c>
      <c r="G1023" s="62">
        <v>20</v>
      </c>
      <c r="H1023" s="62">
        <v>1</v>
      </c>
      <c r="I1023" s="12"/>
    </row>
    <row r="1024" spans="2:9">
      <c r="B1024" s="11"/>
      <c r="C1024" s="61" t="s">
        <v>1295</v>
      </c>
      <c r="D1024" s="62">
        <v>2</v>
      </c>
      <c r="E1024" s="62">
        <v>7500</v>
      </c>
      <c r="F1024" s="62">
        <v>32</v>
      </c>
      <c r="G1024" s="62">
        <v>420</v>
      </c>
      <c r="H1024" s="62">
        <v>1</v>
      </c>
      <c r="I1024" s="12"/>
    </row>
    <row r="1025" spans="2:9">
      <c r="B1025" s="11"/>
      <c r="C1025" s="61" t="s">
        <v>1296</v>
      </c>
      <c r="D1025" s="62">
        <v>2</v>
      </c>
      <c r="E1025" s="62">
        <v>7500</v>
      </c>
      <c r="F1025" s="62">
        <v>32</v>
      </c>
      <c r="G1025" s="62">
        <v>420</v>
      </c>
      <c r="H1025" s="62">
        <v>1</v>
      </c>
      <c r="I1025" s="12"/>
    </row>
    <row r="1026" spans="2:9">
      <c r="B1026" s="11"/>
      <c r="C1026" s="61" t="s">
        <v>1297</v>
      </c>
      <c r="D1026" s="62">
        <v>2</v>
      </c>
      <c r="E1026" s="62">
        <v>7500</v>
      </c>
      <c r="F1026" s="62">
        <v>32</v>
      </c>
      <c r="G1026" s="62">
        <v>820</v>
      </c>
      <c r="H1026" s="62">
        <v>1</v>
      </c>
      <c r="I1026" s="12"/>
    </row>
    <row r="1027" spans="2:9">
      <c r="B1027" s="11"/>
      <c r="C1027" s="61" t="s">
        <v>1298</v>
      </c>
      <c r="D1027" s="62">
        <v>1</v>
      </c>
      <c r="E1027" s="62">
        <v>2000</v>
      </c>
      <c r="F1027" s="62">
        <v>0</v>
      </c>
      <c r="G1027" s="62">
        <v>20</v>
      </c>
      <c r="H1027" s="62">
        <v>1</v>
      </c>
      <c r="I1027" s="12"/>
    </row>
    <row r="1028" spans="2:9">
      <c r="B1028" s="11"/>
      <c r="C1028" s="61" t="s">
        <v>1299</v>
      </c>
      <c r="D1028" s="62">
        <v>1</v>
      </c>
      <c r="E1028" s="62">
        <v>2000</v>
      </c>
      <c r="F1028" s="62">
        <v>0</v>
      </c>
      <c r="G1028" s="62">
        <v>20</v>
      </c>
      <c r="H1028" s="62">
        <v>1</v>
      </c>
      <c r="I1028" s="12"/>
    </row>
    <row r="1029" spans="2:9">
      <c r="B1029" s="11"/>
      <c r="C1029" s="61" t="s">
        <v>1300</v>
      </c>
      <c r="D1029" s="62">
        <v>1</v>
      </c>
      <c r="E1029" s="62">
        <v>2000</v>
      </c>
      <c r="F1029" s="62">
        <v>0</v>
      </c>
      <c r="G1029" s="62">
        <v>20</v>
      </c>
      <c r="H1029" s="62">
        <v>1</v>
      </c>
      <c r="I1029" s="12"/>
    </row>
    <row r="1030" spans="2:9">
      <c r="B1030" s="11"/>
      <c r="C1030" s="61" t="s">
        <v>1301</v>
      </c>
      <c r="D1030" s="62">
        <v>1</v>
      </c>
      <c r="E1030" s="62">
        <v>2000</v>
      </c>
      <c r="F1030" s="62">
        <v>0</v>
      </c>
      <c r="G1030" s="62">
        <v>20</v>
      </c>
      <c r="H1030" s="62">
        <v>1</v>
      </c>
      <c r="I1030" s="12"/>
    </row>
    <row r="1031" spans="2:9">
      <c r="B1031" s="11"/>
      <c r="C1031" s="61" t="s">
        <v>1302</v>
      </c>
      <c r="D1031" s="62">
        <v>1</v>
      </c>
      <c r="E1031" s="62">
        <v>1700</v>
      </c>
      <c r="F1031" s="62">
        <v>160</v>
      </c>
      <c r="G1031" s="62">
        <v>20</v>
      </c>
      <c r="H1031" s="62">
        <v>1</v>
      </c>
      <c r="I1031" s="12"/>
    </row>
    <row r="1032" spans="2:9">
      <c r="B1032" s="11"/>
      <c r="C1032" s="61" t="s">
        <v>1303</v>
      </c>
      <c r="D1032" s="62">
        <v>1</v>
      </c>
      <c r="E1032" s="62">
        <v>1700</v>
      </c>
      <c r="F1032" s="62">
        <v>160</v>
      </c>
      <c r="G1032" s="62">
        <v>20</v>
      </c>
      <c r="H1032" s="62">
        <v>1</v>
      </c>
      <c r="I1032" s="12"/>
    </row>
    <row r="1033" spans="2:9">
      <c r="B1033" s="11"/>
      <c r="C1033" s="61" t="s">
        <v>1304</v>
      </c>
      <c r="D1033" s="62">
        <v>1</v>
      </c>
      <c r="E1033" s="62">
        <v>2000</v>
      </c>
      <c r="F1033" s="62">
        <v>0</v>
      </c>
      <c r="G1033" s="62">
        <v>20</v>
      </c>
      <c r="H1033" s="62">
        <v>1</v>
      </c>
      <c r="I1033" s="12"/>
    </row>
    <row r="1034" spans="2:9">
      <c r="B1034" s="11"/>
      <c r="C1034" s="61" t="s">
        <v>1305</v>
      </c>
      <c r="D1034" s="62">
        <v>1</v>
      </c>
      <c r="E1034" s="62">
        <v>2000</v>
      </c>
      <c r="F1034" s="62">
        <v>0</v>
      </c>
      <c r="G1034" s="62">
        <v>20</v>
      </c>
      <c r="H1034" s="62">
        <v>1</v>
      </c>
      <c r="I1034" s="12"/>
    </row>
    <row r="1035" spans="2:9">
      <c r="B1035" s="11"/>
      <c r="C1035" s="61" t="s">
        <v>1306</v>
      </c>
      <c r="D1035" s="62">
        <v>2</v>
      </c>
      <c r="E1035" s="62">
        <v>3750</v>
      </c>
      <c r="F1035" s="62">
        <v>32</v>
      </c>
      <c r="G1035" s="62">
        <v>20</v>
      </c>
      <c r="H1035" s="62">
        <v>1</v>
      </c>
      <c r="I1035" s="12"/>
    </row>
    <row r="1036" spans="2:9">
      <c r="B1036" s="11"/>
      <c r="C1036" s="61" t="s">
        <v>1307</v>
      </c>
      <c r="D1036" s="62">
        <v>1</v>
      </c>
      <c r="E1036" s="62">
        <v>2000</v>
      </c>
      <c r="F1036" s="62">
        <v>0</v>
      </c>
      <c r="G1036" s="62">
        <v>20</v>
      </c>
      <c r="H1036" s="62">
        <v>1</v>
      </c>
      <c r="I1036" s="12"/>
    </row>
    <row r="1037" spans="2:9">
      <c r="B1037" s="11"/>
      <c r="C1037" s="61" t="s">
        <v>1308</v>
      </c>
      <c r="D1037" s="62">
        <v>1</v>
      </c>
      <c r="E1037" s="62">
        <v>2000</v>
      </c>
      <c r="F1037" s="62">
        <v>0</v>
      </c>
      <c r="G1037" s="62">
        <v>20</v>
      </c>
      <c r="H1037" s="62">
        <v>1</v>
      </c>
      <c r="I1037" s="12"/>
    </row>
    <row r="1038" spans="2:9">
      <c r="B1038" s="11"/>
      <c r="C1038" s="61" t="s">
        <v>1309</v>
      </c>
      <c r="D1038" s="62">
        <v>1</v>
      </c>
      <c r="E1038" s="62">
        <v>2000</v>
      </c>
      <c r="F1038" s="62">
        <v>0</v>
      </c>
      <c r="G1038" s="62">
        <v>20</v>
      </c>
      <c r="H1038" s="62">
        <v>1</v>
      </c>
      <c r="I1038" s="12"/>
    </row>
    <row r="1039" spans="2:9">
      <c r="B1039" s="11"/>
      <c r="C1039" s="61" t="s">
        <v>1310</v>
      </c>
      <c r="D1039" s="62">
        <v>1</v>
      </c>
      <c r="E1039" s="62">
        <v>2000</v>
      </c>
      <c r="F1039" s="62">
        <v>0</v>
      </c>
      <c r="G1039" s="62">
        <v>20</v>
      </c>
      <c r="H1039" s="62">
        <v>1</v>
      </c>
      <c r="I1039" s="12"/>
    </row>
    <row r="1040" spans="2:9">
      <c r="B1040" s="11"/>
      <c r="C1040" s="61" t="s">
        <v>1311</v>
      </c>
      <c r="D1040" s="62">
        <v>1</v>
      </c>
      <c r="E1040" s="62">
        <v>2000</v>
      </c>
      <c r="F1040" s="62">
        <v>0</v>
      </c>
      <c r="G1040" s="62">
        <v>20</v>
      </c>
      <c r="H1040" s="62">
        <v>1</v>
      </c>
      <c r="I1040" s="12"/>
    </row>
    <row r="1041" spans="2:9">
      <c r="B1041" s="11"/>
      <c r="C1041" s="61" t="s">
        <v>1312</v>
      </c>
      <c r="D1041" s="62">
        <v>1</v>
      </c>
      <c r="E1041" s="62">
        <v>2000</v>
      </c>
      <c r="F1041" s="62">
        <v>0</v>
      </c>
      <c r="G1041" s="62">
        <v>20</v>
      </c>
      <c r="H1041" s="62">
        <v>1</v>
      </c>
      <c r="I1041" s="12"/>
    </row>
    <row r="1042" spans="2:9">
      <c r="B1042" s="11"/>
      <c r="C1042" s="61" t="s">
        <v>1313</v>
      </c>
      <c r="D1042" s="62">
        <v>1</v>
      </c>
      <c r="E1042" s="62">
        <v>2000</v>
      </c>
      <c r="F1042" s="62">
        <v>0</v>
      </c>
      <c r="G1042" s="62">
        <v>20</v>
      </c>
      <c r="H1042" s="62">
        <v>1</v>
      </c>
      <c r="I1042" s="12"/>
    </row>
    <row r="1043" spans="2:9">
      <c r="B1043" s="11"/>
      <c r="C1043" s="61" t="s">
        <v>1314</v>
      </c>
      <c r="D1043" s="62">
        <v>1</v>
      </c>
      <c r="E1043" s="62">
        <v>2000</v>
      </c>
      <c r="F1043" s="62">
        <v>0</v>
      </c>
      <c r="G1043" s="62">
        <v>20</v>
      </c>
      <c r="H1043" s="62">
        <v>1</v>
      </c>
      <c r="I1043" s="12"/>
    </row>
    <row r="1044" spans="2:9">
      <c r="B1044" s="11"/>
      <c r="C1044" s="61" t="s">
        <v>1315</v>
      </c>
      <c r="D1044" s="62">
        <v>2</v>
      </c>
      <c r="E1044" s="62">
        <v>7500</v>
      </c>
      <c r="F1044" s="62">
        <v>32</v>
      </c>
      <c r="G1044" s="62">
        <v>420</v>
      </c>
      <c r="H1044" s="62">
        <v>1</v>
      </c>
      <c r="I1044" s="12"/>
    </row>
    <row r="1045" spans="2:9">
      <c r="B1045" s="11"/>
      <c r="C1045" s="61" t="s">
        <v>1316</v>
      </c>
      <c r="D1045" s="62">
        <v>1</v>
      </c>
      <c r="E1045" s="62">
        <v>2000</v>
      </c>
      <c r="F1045" s="62">
        <v>0</v>
      </c>
      <c r="G1045" s="62">
        <v>20</v>
      </c>
      <c r="H1045" s="62">
        <v>1</v>
      </c>
      <c r="I1045" s="12"/>
    </row>
    <row r="1046" spans="2:9">
      <c r="B1046" s="11"/>
      <c r="C1046" s="61" t="s">
        <v>1317</v>
      </c>
      <c r="D1046" s="62">
        <v>8</v>
      </c>
      <c r="E1046" s="62">
        <v>15000</v>
      </c>
      <c r="F1046" s="62">
        <v>160</v>
      </c>
      <c r="G1046" s="62">
        <v>20</v>
      </c>
      <c r="H1046" s="62">
        <v>1</v>
      </c>
      <c r="I1046" s="12"/>
    </row>
    <row r="1047" spans="2:9">
      <c r="B1047" s="11"/>
      <c r="C1047" s="61" t="s">
        <v>1318</v>
      </c>
      <c r="D1047" s="62">
        <v>8</v>
      </c>
      <c r="E1047" s="62">
        <v>15000</v>
      </c>
      <c r="F1047" s="62">
        <v>160</v>
      </c>
      <c r="G1047" s="62">
        <v>20</v>
      </c>
      <c r="H1047" s="62">
        <v>1</v>
      </c>
      <c r="I1047" s="12"/>
    </row>
    <row r="1048" spans="2:9">
      <c r="B1048" s="11"/>
      <c r="C1048" s="61" t="s">
        <v>1319</v>
      </c>
      <c r="D1048" s="62">
        <v>8</v>
      </c>
      <c r="E1048" s="62">
        <v>15000</v>
      </c>
      <c r="F1048" s="62">
        <v>160</v>
      </c>
      <c r="G1048" s="62">
        <v>20</v>
      </c>
      <c r="H1048" s="62">
        <v>1</v>
      </c>
      <c r="I1048" s="12"/>
    </row>
    <row r="1049" spans="2:9">
      <c r="B1049" s="11"/>
      <c r="C1049" s="61" t="s">
        <v>1320</v>
      </c>
      <c r="D1049" s="62">
        <v>2</v>
      </c>
      <c r="E1049" s="62">
        <v>7500</v>
      </c>
      <c r="F1049" s="62">
        <v>32</v>
      </c>
      <c r="G1049" s="62">
        <v>420</v>
      </c>
      <c r="H1049" s="62">
        <v>1</v>
      </c>
      <c r="I1049" s="12"/>
    </row>
    <row r="1050" spans="2:9">
      <c r="B1050" s="11"/>
      <c r="C1050" s="61" t="s">
        <v>1321</v>
      </c>
      <c r="D1050" s="62">
        <v>2</v>
      </c>
      <c r="E1050" s="62">
        <v>7500</v>
      </c>
      <c r="F1050" s="62">
        <v>32</v>
      </c>
      <c r="G1050" s="62">
        <v>420</v>
      </c>
      <c r="H1050" s="62">
        <v>1</v>
      </c>
      <c r="I1050" s="12"/>
    </row>
    <row r="1051" spans="2:9">
      <c r="B1051" s="11"/>
      <c r="C1051" s="61" t="s">
        <v>1322</v>
      </c>
      <c r="D1051" s="62">
        <v>2</v>
      </c>
      <c r="E1051" s="62">
        <v>7500</v>
      </c>
      <c r="F1051" s="62">
        <v>32</v>
      </c>
      <c r="G1051" s="62">
        <v>820</v>
      </c>
      <c r="H1051" s="62">
        <v>1</v>
      </c>
      <c r="I1051" s="12"/>
    </row>
    <row r="1052" spans="2:9">
      <c r="B1052" s="11"/>
      <c r="C1052" s="61" t="s">
        <v>1323</v>
      </c>
      <c r="D1052" s="62">
        <v>8</v>
      </c>
      <c r="E1052" s="62">
        <v>15000</v>
      </c>
      <c r="F1052" s="62">
        <v>160</v>
      </c>
      <c r="G1052" s="62">
        <v>20</v>
      </c>
      <c r="H1052" s="62">
        <v>1</v>
      </c>
      <c r="I1052" s="12"/>
    </row>
    <row r="1053" spans="2:9">
      <c r="B1053" s="11"/>
      <c r="C1053" s="61" t="s">
        <v>1324</v>
      </c>
      <c r="D1053" s="62">
        <v>2</v>
      </c>
      <c r="E1053" s="62">
        <v>3750</v>
      </c>
      <c r="F1053" s="62">
        <v>32</v>
      </c>
      <c r="G1053" s="62">
        <v>20</v>
      </c>
      <c r="H1053" s="62">
        <v>1</v>
      </c>
      <c r="I1053" s="12"/>
    </row>
    <row r="1054" spans="2:9">
      <c r="B1054" s="11"/>
      <c r="C1054" s="61" t="s">
        <v>1325</v>
      </c>
      <c r="D1054" s="62">
        <v>2</v>
      </c>
      <c r="E1054" s="62">
        <v>4000</v>
      </c>
      <c r="F1054" s="62">
        <v>0</v>
      </c>
      <c r="G1054" s="62">
        <v>20</v>
      </c>
      <c r="H1054" s="62">
        <v>1</v>
      </c>
      <c r="I1054" s="12"/>
    </row>
    <row r="1055" spans="2:9">
      <c r="B1055" s="11"/>
      <c r="C1055" s="61" t="s">
        <v>1326</v>
      </c>
      <c r="D1055" s="62">
        <v>1</v>
      </c>
      <c r="E1055" s="62">
        <v>1700</v>
      </c>
      <c r="F1055" s="62">
        <v>160</v>
      </c>
      <c r="G1055" s="62">
        <v>20</v>
      </c>
      <c r="H1055" s="62">
        <v>1</v>
      </c>
      <c r="I1055" s="12"/>
    </row>
    <row r="1056" spans="2:9">
      <c r="B1056" s="11"/>
      <c r="C1056" s="61" t="s">
        <v>1327</v>
      </c>
      <c r="D1056" s="62">
        <v>1</v>
      </c>
      <c r="E1056" s="62">
        <v>2000</v>
      </c>
      <c r="F1056" s="62">
        <v>0</v>
      </c>
      <c r="G1056" s="62">
        <v>20</v>
      </c>
      <c r="H1056" s="62">
        <v>1</v>
      </c>
      <c r="I1056" s="12"/>
    </row>
    <row r="1057" spans="2:9">
      <c r="B1057" s="11"/>
      <c r="C1057" s="61" t="s">
        <v>1328</v>
      </c>
      <c r="D1057" s="62">
        <v>1</v>
      </c>
      <c r="E1057" s="62">
        <v>2000</v>
      </c>
      <c r="F1057" s="62">
        <v>0</v>
      </c>
      <c r="G1057" s="62">
        <v>20</v>
      </c>
      <c r="H1057" s="62">
        <v>1</v>
      </c>
      <c r="I1057" s="12"/>
    </row>
    <row r="1058" spans="2:9">
      <c r="B1058" s="11"/>
      <c r="C1058" s="61" t="s">
        <v>1329</v>
      </c>
      <c r="D1058" s="62">
        <v>2</v>
      </c>
      <c r="E1058" s="62">
        <v>4000</v>
      </c>
      <c r="F1058" s="62">
        <v>0</v>
      </c>
      <c r="G1058" s="62">
        <v>20</v>
      </c>
      <c r="H1058" s="62">
        <v>1</v>
      </c>
      <c r="I1058" s="12"/>
    </row>
    <row r="1059" spans="2:9">
      <c r="B1059" s="11"/>
      <c r="C1059" s="61" t="s">
        <v>1330</v>
      </c>
      <c r="D1059" s="62">
        <v>2</v>
      </c>
      <c r="E1059" s="62">
        <v>7500</v>
      </c>
      <c r="F1059" s="62">
        <v>32</v>
      </c>
      <c r="G1059" s="62">
        <v>420</v>
      </c>
      <c r="H1059" s="62">
        <v>1</v>
      </c>
      <c r="I1059" s="12"/>
    </row>
    <row r="1060" spans="2:9">
      <c r="B1060" s="11"/>
      <c r="C1060" s="61" t="s">
        <v>1331</v>
      </c>
      <c r="D1060" s="62">
        <v>2</v>
      </c>
      <c r="E1060" s="62">
        <v>7500</v>
      </c>
      <c r="F1060" s="62">
        <v>32</v>
      </c>
      <c r="G1060" s="62">
        <v>420</v>
      </c>
      <c r="H1060" s="62">
        <v>1</v>
      </c>
      <c r="I1060" s="12"/>
    </row>
    <row r="1061" spans="2:9">
      <c r="B1061" s="11"/>
      <c r="C1061" s="61" t="s">
        <v>1332</v>
      </c>
      <c r="D1061" s="62">
        <v>2</v>
      </c>
      <c r="E1061" s="62">
        <v>7500</v>
      </c>
      <c r="F1061" s="62">
        <v>32</v>
      </c>
      <c r="G1061" s="62">
        <v>420</v>
      </c>
      <c r="H1061" s="62">
        <v>1</v>
      </c>
      <c r="I1061" s="12"/>
    </row>
    <row r="1062" spans="2:9">
      <c r="B1062" s="11"/>
      <c r="C1062" s="61" t="s">
        <v>1333</v>
      </c>
      <c r="D1062" s="62">
        <v>2</v>
      </c>
      <c r="E1062" s="62">
        <v>7500</v>
      </c>
      <c r="F1062" s="62">
        <v>32</v>
      </c>
      <c r="G1062" s="62">
        <v>1420</v>
      </c>
      <c r="H1062" s="62">
        <v>1</v>
      </c>
      <c r="I1062" s="12"/>
    </row>
    <row r="1063" spans="2:9">
      <c r="B1063" s="11"/>
      <c r="C1063" s="61" t="s">
        <v>1334</v>
      </c>
      <c r="D1063" s="62">
        <v>2</v>
      </c>
      <c r="E1063" s="62">
        <v>7500</v>
      </c>
      <c r="F1063" s="62">
        <v>32</v>
      </c>
      <c r="G1063" s="62">
        <v>20</v>
      </c>
      <c r="H1063" s="62">
        <v>1</v>
      </c>
      <c r="I1063" s="12"/>
    </row>
    <row r="1064" spans="2:9">
      <c r="B1064" s="11"/>
      <c r="C1064" s="61" t="s">
        <v>1335</v>
      </c>
      <c r="D1064" s="62">
        <v>2</v>
      </c>
      <c r="E1064" s="62">
        <v>7500</v>
      </c>
      <c r="F1064" s="62">
        <v>32</v>
      </c>
      <c r="G1064" s="62">
        <v>20</v>
      </c>
      <c r="H1064" s="62">
        <v>1</v>
      </c>
      <c r="I1064" s="12"/>
    </row>
    <row r="1065" spans="2:9">
      <c r="B1065" s="11"/>
      <c r="C1065" s="61" t="s">
        <v>1336</v>
      </c>
      <c r="D1065" s="62">
        <v>2</v>
      </c>
      <c r="E1065" s="62">
        <v>7500</v>
      </c>
      <c r="F1065" s="62">
        <v>32</v>
      </c>
      <c r="G1065" s="62">
        <v>20</v>
      </c>
      <c r="H1065" s="62">
        <v>1</v>
      </c>
      <c r="I1065" s="12"/>
    </row>
    <row r="1066" spans="2:9">
      <c r="B1066" s="11"/>
      <c r="C1066" s="61" t="s">
        <v>1337</v>
      </c>
      <c r="D1066" s="62">
        <v>2</v>
      </c>
      <c r="E1066" s="62">
        <v>7500</v>
      </c>
      <c r="F1066" s="62">
        <v>32</v>
      </c>
      <c r="G1066" s="62">
        <v>20</v>
      </c>
      <c r="H1066" s="62">
        <v>1</v>
      </c>
      <c r="I1066" s="12"/>
    </row>
    <row r="1067" spans="2:9">
      <c r="B1067" s="11"/>
      <c r="C1067" s="61" t="s">
        <v>1338</v>
      </c>
      <c r="D1067" s="62">
        <v>2</v>
      </c>
      <c r="E1067" s="62">
        <v>7500</v>
      </c>
      <c r="F1067" s="62">
        <v>32</v>
      </c>
      <c r="G1067" s="62">
        <v>20</v>
      </c>
      <c r="H1067" s="62">
        <v>1</v>
      </c>
      <c r="I1067" s="12"/>
    </row>
    <row r="1068" spans="2:9">
      <c r="B1068" s="11"/>
      <c r="C1068" s="61" t="s">
        <v>1339</v>
      </c>
      <c r="D1068" s="62">
        <v>1</v>
      </c>
      <c r="E1068" s="62">
        <v>2000</v>
      </c>
      <c r="F1068" s="62">
        <v>0</v>
      </c>
      <c r="G1068" s="62">
        <v>20</v>
      </c>
      <c r="H1068" s="62">
        <v>1</v>
      </c>
      <c r="I1068" s="12"/>
    </row>
    <row r="1069" spans="2:9">
      <c r="B1069" s="11"/>
      <c r="C1069" s="61" t="s">
        <v>1340</v>
      </c>
      <c r="D1069" s="62">
        <v>1</v>
      </c>
      <c r="E1069" s="62">
        <v>2000</v>
      </c>
      <c r="F1069" s="62">
        <v>0</v>
      </c>
      <c r="G1069" s="62">
        <v>20</v>
      </c>
      <c r="H1069" s="62">
        <v>1</v>
      </c>
      <c r="I1069" s="12"/>
    </row>
    <row r="1070" spans="2:9">
      <c r="B1070" s="11"/>
      <c r="C1070" s="61" t="s">
        <v>1341</v>
      </c>
      <c r="D1070" s="62">
        <v>1</v>
      </c>
      <c r="E1070" s="62">
        <v>2000</v>
      </c>
      <c r="F1070" s="62">
        <v>0</v>
      </c>
      <c r="G1070" s="62">
        <v>20</v>
      </c>
      <c r="H1070" s="62">
        <v>1</v>
      </c>
      <c r="I1070" s="12"/>
    </row>
    <row r="1071" spans="2:9">
      <c r="B1071" s="11"/>
      <c r="C1071" s="61" t="s">
        <v>1342</v>
      </c>
      <c r="D1071" s="62">
        <v>1</v>
      </c>
      <c r="E1071" s="62">
        <v>2000</v>
      </c>
      <c r="F1071" s="62">
        <v>0</v>
      </c>
      <c r="G1071" s="62">
        <v>20</v>
      </c>
      <c r="H1071" s="62">
        <v>1</v>
      </c>
      <c r="I1071" s="12"/>
    </row>
    <row r="1072" spans="2:9">
      <c r="B1072" s="11"/>
      <c r="C1072" s="61" t="s">
        <v>1343</v>
      </c>
      <c r="D1072" s="62">
        <v>1</v>
      </c>
      <c r="E1072" s="62">
        <v>1700</v>
      </c>
      <c r="F1072" s="62">
        <v>160</v>
      </c>
      <c r="G1072" s="62">
        <v>20</v>
      </c>
      <c r="H1072" s="62">
        <v>1</v>
      </c>
      <c r="I1072" s="12"/>
    </row>
    <row r="1073" spans="2:9">
      <c r="B1073" s="11"/>
      <c r="C1073" s="61" t="s">
        <v>1344</v>
      </c>
      <c r="D1073" s="62">
        <v>2</v>
      </c>
      <c r="E1073" s="62">
        <v>3750</v>
      </c>
      <c r="F1073" s="62">
        <v>32</v>
      </c>
      <c r="G1073" s="62">
        <v>20</v>
      </c>
      <c r="H1073" s="62">
        <v>1</v>
      </c>
      <c r="I1073" s="12"/>
    </row>
    <row r="1074" spans="2:9">
      <c r="B1074" s="11"/>
      <c r="C1074" s="61" t="s">
        <v>1345</v>
      </c>
      <c r="D1074" s="62">
        <v>2</v>
      </c>
      <c r="E1074" s="62">
        <v>7500</v>
      </c>
      <c r="F1074" s="62">
        <v>32</v>
      </c>
      <c r="G1074" s="62">
        <v>420</v>
      </c>
      <c r="H1074" s="62">
        <v>1</v>
      </c>
      <c r="I1074" s="12"/>
    </row>
    <row r="1075" spans="2:9">
      <c r="B1075" s="11"/>
      <c r="C1075" s="61" t="s">
        <v>1346</v>
      </c>
      <c r="D1075" s="62">
        <v>2</v>
      </c>
      <c r="E1075" s="62">
        <v>3750</v>
      </c>
      <c r="F1075" s="62">
        <v>32</v>
      </c>
      <c r="G1075" s="62">
        <v>20</v>
      </c>
      <c r="H1075" s="62">
        <v>1</v>
      </c>
      <c r="I1075" s="12"/>
    </row>
    <row r="1076" spans="2:9">
      <c r="B1076" s="11"/>
      <c r="C1076" s="61" t="s">
        <v>1347</v>
      </c>
      <c r="D1076" s="62">
        <v>2</v>
      </c>
      <c r="E1076" s="62">
        <v>3750</v>
      </c>
      <c r="F1076" s="62">
        <v>32</v>
      </c>
      <c r="G1076" s="62">
        <v>20</v>
      </c>
      <c r="H1076" s="62">
        <v>1</v>
      </c>
      <c r="I1076" s="12"/>
    </row>
    <row r="1077" spans="2:9">
      <c r="B1077" s="11"/>
      <c r="C1077" s="61" t="s">
        <v>1348</v>
      </c>
      <c r="D1077" s="62">
        <v>2</v>
      </c>
      <c r="E1077" s="62">
        <v>7500</v>
      </c>
      <c r="F1077" s="62">
        <v>32</v>
      </c>
      <c r="G1077" s="62">
        <v>820</v>
      </c>
      <c r="H1077" s="62">
        <v>1</v>
      </c>
      <c r="I1077" s="12"/>
    </row>
    <row r="1078" spans="2:9">
      <c r="B1078" s="11"/>
      <c r="C1078" s="61" t="s">
        <v>1349</v>
      </c>
      <c r="D1078" s="62">
        <v>2</v>
      </c>
      <c r="E1078" s="62">
        <v>7500</v>
      </c>
      <c r="F1078" s="62">
        <v>32</v>
      </c>
      <c r="G1078" s="62">
        <v>420</v>
      </c>
      <c r="H1078" s="62">
        <v>1</v>
      </c>
      <c r="I1078" s="12"/>
    </row>
    <row r="1079" spans="2:9">
      <c r="B1079" s="11"/>
      <c r="C1079" s="61" t="s">
        <v>1350</v>
      </c>
      <c r="D1079" s="62">
        <v>2</v>
      </c>
      <c r="E1079" s="62">
        <v>4000</v>
      </c>
      <c r="F1079" s="62">
        <v>0</v>
      </c>
      <c r="G1079" s="62">
        <v>20</v>
      </c>
      <c r="H1079" s="62">
        <v>1</v>
      </c>
      <c r="I1079" s="12"/>
    </row>
    <row r="1080" spans="2:9">
      <c r="B1080" s="11"/>
      <c r="C1080" s="61" t="s">
        <v>1351</v>
      </c>
      <c r="D1080" s="62">
        <v>2</v>
      </c>
      <c r="E1080" s="62">
        <v>7500</v>
      </c>
      <c r="F1080" s="62">
        <v>32</v>
      </c>
      <c r="G1080" s="62">
        <v>420</v>
      </c>
      <c r="H1080" s="62">
        <v>1</v>
      </c>
      <c r="I1080" s="12"/>
    </row>
    <row r="1081" spans="2:9">
      <c r="B1081" s="11"/>
      <c r="C1081" s="61" t="s">
        <v>1352</v>
      </c>
      <c r="D1081" s="62">
        <v>2</v>
      </c>
      <c r="E1081" s="62">
        <v>3750</v>
      </c>
      <c r="F1081" s="62">
        <v>32</v>
      </c>
      <c r="G1081" s="62">
        <v>20</v>
      </c>
      <c r="H1081" s="62">
        <v>1</v>
      </c>
      <c r="I1081" s="12"/>
    </row>
    <row r="1082" spans="2:9">
      <c r="B1082" s="11"/>
      <c r="C1082" s="61" t="s">
        <v>1353</v>
      </c>
      <c r="D1082" s="62">
        <v>2</v>
      </c>
      <c r="E1082" s="62">
        <v>3750</v>
      </c>
      <c r="F1082" s="62">
        <v>32</v>
      </c>
      <c r="G1082" s="62">
        <v>20</v>
      </c>
      <c r="H1082" s="62">
        <v>1</v>
      </c>
      <c r="I1082" s="12"/>
    </row>
    <row r="1083" spans="2:9">
      <c r="B1083" s="11"/>
      <c r="C1083" s="61" t="s">
        <v>1354</v>
      </c>
      <c r="D1083" s="62">
        <v>2</v>
      </c>
      <c r="E1083" s="62">
        <v>3750</v>
      </c>
      <c r="F1083" s="62">
        <v>32</v>
      </c>
      <c r="G1083" s="62">
        <v>20</v>
      </c>
      <c r="H1083" s="62">
        <v>1</v>
      </c>
      <c r="I1083" s="12"/>
    </row>
    <row r="1084" spans="2:9">
      <c r="B1084" s="11"/>
      <c r="C1084" s="61" t="s">
        <v>1355</v>
      </c>
      <c r="D1084" s="62">
        <v>1</v>
      </c>
      <c r="E1084" s="62">
        <v>2000</v>
      </c>
      <c r="F1084" s="62">
        <v>0</v>
      </c>
      <c r="G1084" s="62">
        <v>20</v>
      </c>
      <c r="H1084" s="62">
        <v>1</v>
      </c>
      <c r="I1084" s="12"/>
    </row>
    <row r="1085" spans="2:9">
      <c r="B1085" s="11"/>
      <c r="C1085" s="61" t="s">
        <v>1356</v>
      </c>
      <c r="D1085" s="62">
        <v>1</v>
      </c>
      <c r="E1085" s="62">
        <v>2000</v>
      </c>
      <c r="F1085" s="62">
        <v>0</v>
      </c>
      <c r="G1085" s="62">
        <v>20</v>
      </c>
      <c r="H1085" s="62">
        <v>1</v>
      </c>
      <c r="I1085" s="12"/>
    </row>
    <row r="1086" spans="2:9">
      <c r="B1086" s="11"/>
      <c r="C1086" s="61" t="s">
        <v>1357</v>
      </c>
      <c r="D1086" s="62">
        <v>1</v>
      </c>
      <c r="E1086" s="62">
        <v>2000</v>
      </c>
      <c r="F1086" s="62">
        <v>0</v>
      </c>
      <c r="G1086" s="62">
        <v>20</v>
      </c>
      <c r="H1086" s="62">
        <v>1</v>
      </c>
      <c r="I1086" s="12"/>
    </row>
    <row r="1087" spans="2:9">
      <c r="B1087" s="11"/>
      <c r="C1087" s="61" t="s">
        <v>1358</v>
      </c>
      <c r="D1087" s="62">
        <v>1</v>
      </c>
      <c r="E1087" s="62">
        <v>3750</v>
      </c>
      <c r="F1087" s="62">
        <v>410</v>
      </c>
      <c r="G1087" s="62">
        <v>20</v>
      </c>
      <c r="H1087" s="62">
        <v>1</v>
      </c>
      <c r="I1087" s="12"/>
    </row>
    <row r="1088" spans="2:9">
      <c r="B1088" s="11"/>
      <c r="C1088" s="61" t="s">
        <v>1359</v>
      </c>
      <c r="D1088" s="62">
        <v>2</v>
      </c>
      <c r="E1088" s="62">
        <v>3750</v>
      </c>
      <c r="F1088" s="62">
        <v>32</v>
      </c>
      <c r="G1088" s="62">
        <v>20</v>
      </c>
      <c r="H1088" s="62">
        <v>1</v>
      </c>
      <c r="I1088" s="12"/>
    </row>
    <row r="1089" spans="2:9">
      <c r="B1089" s="11"/>
      <c r="C1089" s="61" t="s">
        <v>1360</v>
      </c>
      <c r="D1089" s="62">
        <v>2</v>
      </c>
      <c r="E1089" s="62">
        <v>3750</v>
      </c>
      <c r="F1089" s="62">
        <v>32</v>
      </c>
      <c r="G1089" s="62">
        <v>20</v>
      </c>
      <c r="H1089" s="62">
        <v>1</v>
      </c>
      <c r="I1089" s="12"/>
    </row>
    <row r="1090" spans="2:9">
      <c r="B1090" s="11"/>
      <c r="C1090" s="61" t="s">
        <v>1361</v>
      </c>
      <c r="D1090" s="62">
        <v>2</v>
      </c>
      <c r="E1090" s="62">
        <v>3750</v>
      </c>
      <c r="F1090" s="62">
        <v>32</v>
      </c>
      <c r="G1090" s="62">
        <v>20</v>
      </c>
      <c r="H1090" s="62">
        <v>1</v>
      </c>
      <c r="I1090" s="12"/>
    </row>
    <row r="1091" spans="2:9">
      <c r="B1091" s="11"/>
      <c r="C1091" s="61" t="s">
        <v>1362</v>
      </c>
      <c r="D1091" s="62">
        <v>2</v>
      </c>
      <c r="E1091" s="62">
        <v>3750</v>
      </c>
      <c r="F1091" s="62">
        <v>32</v>
      </c>
      <c r="G1091" s="62">
        <v>20</v>
      </c>
      <c r="H1091" s="62">
        <v>1</v>
      </c>
      <c r="I1091" s="12"/>
    </row>
    <row r="1092" spans="2:9">
      <c r="B1092" s="11"/>
      <c r="C1092" s="61" t="s">
        <v>1363</v>
      </c>
      <c r="D1092" s="62">
        <v>8</v>
      </c>
      <c r="E1092" s="62">
        <v>61000</v>
      </c>
      <c r="F1092" s="62">
        <v>1440</v>
      </c>
      <c r="G1092" s="62">
        <v>20</v>
      </c>
      <c r="H1092" s="62">
        <v>1</v>
      </c>
      <c r="I1092" s="12"/>
    </row>
    <row r="1093" spans="2:9">
      <c r="B1093" s="11"/>
      <c r="C1093" s="61" t="s">
        <v>1364</v>
      </c>
      <c r="D1093" s="62">
        <v>8</v>
      </c>
      <c r="E1093" s="62">
        <v>61000</v>
      </c>
      <c r="F1093" s="62">
        <v>1440</v>
      </c>
      <c r="G1093" s="62">
        <v>20</v>
      </c>
      <c r="H1093" s="62">
        <v>1</v>
      </c>
      <c r="I1093" s="12"/>
    </row>
    <row r="1094" spans="2:9">
      <c r="B1094" s="11"/>
      <c r="C1094" s="61" t="s">
        <v>1365</v>
      </c>
      <c r="D1094" s="62">
        <v>2</v>
      </c>
      <c r="E1094" s="62">
        <v>3750</v>
      </c>
      <c r="F1094" s="62">
        <v>32</v>
      </c>
      <c r="G1094" s="62">
        <v>20</v>
      </c>
      <c r="H1094" s="62">
        <v>1</v>
      </c>
      <c r="I1094" s="12"/>
    </row>
    <row r="1095" spans="2:9">
      <c r="B1095" s="11"/>
      <c r="C1095" s="61" t="s">
        <v>1367</v>
      </c>
      <c r="D1095" s="62">
        <v>2</v>
      </c>
      <c r="E1095" s="62">
        <v>3750</v>
      </c>
      <c r="F1095" s="62">
        <v>32</v>
      </c>
      <c r="G1095" s="62">
        <v>20</v>
      </c>
      <c r="H1095" s="62">
        <v>1</v>
      </c>
      <c r="I1095" s="12"/>
    </row>
    <row r="1096" spans="2:9">
      <c r="B1096" s="11"/>
      <c r="C1096" s="61" t="s">
        <v>1368</v>
      </c>
      <c r="D1096" s="62">
        <v>2</v>
      </c>
      <c r="E1096" s="62">
        <v>3750</v>
      </c>
      <c r="F1096" s="62">
        <v>32</v>
      </c>
      <c r="G1096" s="62">
        <v>20</v>
      </c>
      <c r="H1096" s="62">
        <v>1</v>
      </c>
      <c r="I1096" s="12"/>
    </row>
    <row r="1097" spans="2:9">
      <c r="B1097" s="11"/>
      <c r="C1097" s="61" t="s">
        <v>1369</v>
      </c>
      <c r="D1097" s="62">
        <v>2</v>
      </c>
      <c r="E1097" s="62">
        <v>3750</v>
      </c>
      <c r="F1097" s="62">
        <v>32</v>
      </c>
      <c r="G1097" s="62">
        <v>20</v>
      </c>
      <c r="H1097" s="62">
        <v>1</v>
      </c>
      <c r="I1097" s="12"/>
    </row>
    <row r="1098" spans="2:9">
      <c r="B1098" s="11"/>
      <c r="C1098" s="61" t="s">
        <v>1370</v>
      </c>
      <c r="D1098" s="62">
        <v>2</v>
      </c>
      <c r="E1098" s="62">
        <v>3750</v>
      </c>
      <c r="F1098" s="62">
        <v>32</v>
      </c>
      <c r="G1098" s="62">
        <v>20</v>
      </c>
      <c r="H1098" s="62">
        <v>1</v>
      </c>
      <c r="I1098" s="12"/>
    </row>
    <row r="1099" spans="2:9">
      <c r="B1099" s="11"/>
      <c r="C1099" s="61" t="s">
        <v>1371</v>
      </c>
      <c r="D1099" s="62">
        <v>2</v>
      </c>
      <c r="E1099" s="62">
        <v>3750</v>
      </c>
      <c r="F1099" s="62">
        <v>32</v>
      </c>
      <c r="G1099" s="62">
        <v>20</v>
      </c>
      <c r="H1099" s="62">
        <v>1</v>
      </c>
      <c r="I1099" s="12"/>
    </row>
    <row r="1100" spans="2:9">
      <c r="B1100" s="11"/>
      <c r="C1100" s="61" t="s">
        <v>1372</v>
      </c>
      <c r="D1100" s="62">
        <v>2</v>
      </c>
      <c r="E1100" s="62">
        <v>3750</v>
      </c>
      <c r="F1100" s="62">
        <v>32</v>
      </c>
      <c r="G1100" s="62">
        <v>20</v>
      </c>
      <c r="H1100" s="62">
        <v>1</v>
      </c>
      <c r="I1100" s="12"/>
    </row>
    <row r="1101" spans="2:9">
      <c r="B1101" s="11"/>
      <c r="C1101" s="61" t="s">
        <v>1373</v>
      </c>
      <c r="D1101" s="62">
        <v>2</v>
      </c>
      <c r="E1101" s="62">
        <v>3750</v>
      </c>
      <c r="F1101" s="62">
        <v>32</v>
      </c>
      <c r="G1101" s="62">
        <v>20</v>
      </c>
      <c r="H1101" s="62">
        <v>1</v>
      </c>
      <c r="I1101" s="12"/>
    </row>
    <row r="1102" spans="2:9">
      <c r="B1102" s="11"/>
      <c r="C1102" s="61" t="s">
        <v>1374</v>
      </c>
      <c r="D1102" s="62">
        <v>2</v>
      </c>
      <c r="E1102" s="62">
        <v>3750</v>
      </c>
      <c r="F1102" s="62">
        <v>32</v>
      </c>
      <c r="G1102" s="62">
        <v>20</v>
      </c>
      <c r="H1102" s="62">
        <v>1</v>
      </c>
      <c r="I1102" s="12"/>
    </row>
    <row r="1103" spans="2:9">
      <c r="B1103" s="11"/>
      <c r="C1103" s="61" t="s">
        <v>1375</v>
      </c>
      <c r="D1103" s="62">
        <v>1</v>
      </c>
      <c r="E1103" s="62">
        <v>1700</v>
      </c>
      <c r="F1103" s="62">
        <v>160</v>
      </c>
      <c r="G1103" s="62">
        <v>20</v>
      </c>
      <c r="H1103" s="62">
        <v>1</v>
      </c>
      <c r="I1103" s="12"/>
    </row>
    <row r="1104" spans="2:9">
      <c r="B1104" s="11"/>
      <c r="C1104" s="61" t="s">
        <v>1376</v>
      </c>
      <c r="D1104" s="62">
        <v>16</v>
      </c>
      <c r="E1104" s="62">
        <v>30000</v>
      </c>
      <c r="F1104" s="62">
        <v>320</v>
      </c>
      <c r="G1104" s="62">
        <v>20</v>
      </c>
      <c r="H1104" s="62">
        <v>1</v>
      </c>
      <c r="I1104" s="12"/>
    </row>
    <row r="1105" spans="2:9">
      <c r="B1105" s="11"/>
      <c r="C1105" s="61" t="s">
        <v>1377</v>
      </c>
      <c r="D1105" s="62">
        <v>16</v>
      </c>
      <c r="E1105" s="62">
        <v>30000</v>
      </c>
      <c r="F1105" s="62">
        <v>320</v>
      </c>
      <c r="G1105" s="62">
        <v>20</v>
      </c>
      <c r="H1105" s="62">
        <v>1</v>
      </c>
      <c r="I1105" s="12"/>
    </row>
    <row r="1106" spans="2:9">
      <c r="B1106" s="11"/>
      <c r="C1106" s="61" t="s">
        <v>1378</v>
      </c>
      <c r="D1106" s="62">
        <v>1</v>
      </c>
      <c r="E1106" s="62">
        <v>1700</v>
      </c>
      <c r="F1106" s="62">
        <v>160</v>
      </c>
      <c r="G1106" s="62">
        <v>20</v>
      </c>
      <c r="H1106" s="62">
        <v>1</v>
      </c>
      <c r="I1106" s="12"/>
    </row>
    <row r="1107" spans="2:9">
      <c r="B1107" s="11"/>
      <c r="C1107" s="61" t="s">
        <v>1379</v>
      </c>
      <c r="D1107" s="62">
        <v>2</v>
      </c>
      <c r="E1107" s="62">
        <v>4000</v>
      </c>
      <c r="F1107" s="62">
        <v>0</v>
      </c>
      <c r="G1107" s="62">
        <v>20</v>
      </c>
      <c r="H1107" s="62">
        <v>1</v>
      </c>
      <c r="I1107" s="12"/>
    </row>
    <row r="1108" spans="2:9">
      <c r="B1108" s="11"/>
      <c r="C1108" s="61" t="s">
        <v>1380</v>
      </c>
      <c r="D1108" s="62">
        <v>2</v>
      </c>
      <c r="E1108" s="62">
        <v>4000</v>
      </c>
      <c r="F1108" s="62">
        <v>0</v>
      </c>
      <c r="G1108" s="62">
        <v>20</v>
      </c>
      <c r="H1108" s="62">
        <v>1</v>
      </c>
      <c r="I1108" s="12"/>
    </row>
    <row r="1109" spans="2:9">
      <c r="B1109" s="11"/>
      <c r="C1109" s="61" t="s">
        <v>1381</v>
      </c>
      <c r="D1109" s="62">
        <v>1</v>
      </c>
      <c r="E1109" s="62">
        <v>1700</v>
      </c>
      <c r="F1109" s="62">
        <v>160</v>
      </c>
      <c r="G1109" s="62">
        <v>20</v>
      </c>
      <c r="H1109" s="62">
        <v>1</v>
      </c>
      <c r="I1109" s="12"/>
    </row>
    <row r="1110" spans="2:9">
      <c r="B1110" s="11"/>
      <c r="C1110" s="61" t="s">
        <v>1382</v>
      </c>
      <c r="D1110" s="62">
        <v>1</v>
      </c>
      <c r="E1110" s="62">
        <v>2000</v>
      </c>
      <c r="F1110" s="62">
        <v>0</v>
      </c>
      <c r="G1110" s="62">
        <v>20</v>
      </c>
      <c r="H1110" s="62">
        <v>1</v>
      </c>
      <c r="I1110" s="12"/>
    </row>
    <row r="1111" spans="2:9">
      <c r="B1111" s="11"/>
      <c r="C1111" s="61" t="s">
        <v>1383</v>
      </c>
      <c r="D1111" s="62">
        <v>1</v>
      </c>
      <c r="E1111" s="62">
        <v>2000</v>
      </c>
      <c r="F1111" s="62">
        <v>0</v>
      </c>
      <c r="G1111" s="62">
        <v>20</v>
      </c>
      <c r="H1111" s="62">
        <v>1</v>
      </c>
      <c r="I1111" s="12"/>
    </row>
    <row r="1112" spans="2:9">
      <c r="B1112" s="11"/>
      <c r="C1112" s="61" t="s">
        <v>1384</v>
      </c>
      <c r="D1112" s="62">
        <v>1</v>
      </c>
      <c r="E1112" s="62">
        <v>2000</v>
      </c>
      <c r="F1112" s="62">
        <v>0</v>
      </c>
      <c r="G1112" s="62">
        <v>20</v>
      </c>
      <c r="H1112" s="62">
        <v>1</v>
      </c>
      <c r="I1112" s="12"/>
    </row>
    <row r="1113" spans="2:9">
      <c r="B1113" s="11"/>
      <c r="C1113" s="61" t="s">
        <v>1385</v>
      </c>
      <c r="D1113" s="62">
        <v>16</v>
      </c>
      <c r="E1113" s="62">
        <v>30000</v>
      </c>
      <c r="F1113" s="62">
        <v>320</v>
      </c>
      <c r="G1113" s="62">
        <v>20</v>
      </c>
      <c r="H1113" s="62">
        <v>1</v>
      </c>
      <c r="I1113" s="12"/>
    </row>
    <row r="1114" spans="2:9">
      <c r="B1114" s="11"/>
      <c r="C1114" s="61" t="s">
        <v>1386</v>
      </c>
      <c r="D1114" s="62">
        <v>2</v>
      </c>
      <c r="E1114" s="62">
        <v>4000</v>
      </c>
      <c r="F1114" s="62">
        <v>0</v>
      </c>
      <c r="G1114" s="62">
        <v>20</v>
      </c>
      <c r="H1114" s="62">
        <v>1</v>
      </c>
      <c r="I1114" s="12"/>
    </row>
    <row r="1115" spans="2:9">
      <c r="B1115" s="11"/>
      <c r="C1115" s="61" t="s">
        <v>1387</v>
      </c>
      <c r="D1115" s="62">
        <v>1</v>
      </c>
      <c r="E1115" s="62">
        <v>2000</v>
      </c>
      <c r="F1115" s="62">
        <v>0</v>
      </c>
      <c r="G1115" s="62">
        <v>20</v>
      </c>
      <c r="H1115" s="62">
        <v>1</v>
      </c>
      <c r="I1115" s="12"/>
    </row>
    <row r="1116" spans="2:9">
      <c r="B1116" s="11"/>
      <c r="C1116" s="61" t="s">
        <v>1388</v>
      </c>
      <c r="D1116" s="62">
        <v>1</v>
      </c>
      <c r="E1116" s="62">
        <v>1700</v>
      </c>
      <c r="F1116" s="62">
        <v>160</v>
      </c>
      <c r="G1116" s="62">
        <v>20</v>
      </c>
      <c r="H1116" s="62">
        <v>1</v>
      </c>
      <c r="I1116" s="12"/>
    </row>
    <row r="1117" spans="2:9">
      <c r="B1117" s="11"/>
      <c r="C1117" s="61" t="s">
        <v>1389</v>
      </c>
      <c r="D1117" s="62">
        <v>1</v>
      </c>
      <c r="E1117" s="62">
        <v>2000</v>
      </c>
      <c r="F1117" s="62">
        <v>0</v>
      </c>
      <c r="G1117" s="62">
        <v>20</v>
      </c>
      <c r="H1117" s="62">
        <v>1</v>
      </c>
      <c r="I1117" s="12"/>
    </row>
    <row r="1118" spans="2:9">
      <c r="B1118" s="11"/>
      <c r="C1118" s="61" t="s">
        <v>1390</v>
      </c>
      <c r="D1118" s="62">
        <v>2</v>
      </c>
      <c r="E1118" s="62">
        <v>3750</v>
      </c>
      <c r="F1118" s="62">
        <v>32</v>
      </c>
      <c r="G1118" s="62">
        <v>8</v>
      </c>
      <c r="H1118" s="62">
        <v>1</v>
      </c>
      <c r="I1118" s="12"/>
    </row>
    <row r="1119" spans="2:9">
      <c r="B1119" s="11"/>
      <c r="C1119" s="61" t="s">
        <v>1391</v>
      </c>
      <c r="D1119" s="62">
        <v>1</v>
      </c>
      <c r="E1119" s="62">
        <v>2000</v>
      </c>
      <c r="F1119" s="62">
        <v>0</v>
      </c>
      <c r="G1119" s="62">
        <v>20</v>
      </c>
      <c r="H1119" s="62">
        <v>1</v>
      </c>
      <c r="I1119" s="12"/>
    </row>
    <row r="1120" spans="2:9">
      <c r="B1120" s="11"/>
      <c r="C1120" s="61" t="s">
        <v>1392</v>
      </c>
      <c r="D1120" s="62">
        <v>1</v>
      </c>
      <c r="E1120" s="62">
        <v>2000</v>
      </c>
      <c r="F1120" s="62">
        <v>0</v>
      </c>
      <c r="G1120" s="62">
        <v>20</v>
      </c>
      <c r="H1120" s="62">
        <v>1</v>
      </c>
      <c r="I1120" s="12"/>
    </row>
    <row r="1121" spans="2:9">
      <c r="B1121" s="11"/>
      <c r="C1121" s="61" t="s">
        <v>1393</v>
      </c>
      <c r="D1121" s="62">
        <v>1</v>
      </c>
      <c r="E1121" s="62">
        <v>2000</v>
      </c>
      <c r="F1121" s="62">
        <v>0</v>
      </c>
      <c r="G1121" s="62">
        <v>20</v>
      </c>
      <c r="H1121" s="62">
        <v>1</v>
      </c>
      <c r="I1121" s="12"/>
    </row>
    <row r="1122" spans="2:9">
      <c r="B1122" s="11"/>
      <c r="C1122" s="61" t="s">
        <v>1394</v>
      </c>
      <c r="D1122" s="62">
        <v>1</v>
      </c>
      <c r="E1122" s="62">
        <v>2000</v>
      </c>
      <c r="F1122" s="62">
        <v>0</v>
      </c>
      <c r="G1122" s="62">
        <v>20</v>
      </c>
      <c r="H1122" s="62">
        <v>1</v>
      </c>
      <c r="I1122" s="12"/>
    </row>
    <row r="1123" spans="2:9">
      <c r="B1123" s="11"/>
      <c r="C1123" s="61" t="s">
        <v>1395</v>
      </c>
      <c r="D1123" s="62">
        <v>1</v>
      </c>
      <c r="E1123" s="62">
        <v>2000</v>
      </c>
      <c r="F1123" s="62">
        <v>0</v>
      </c>
      <c r="G1123" s="62">
        <v>20</v>
      </c>
      <c r="H1123" s="62">
        <v>1</v>
      </c>
      <c r="I1123" s="12"/>
    </row>
    <row r="1124" spans="2:9">
      <c r="B1124" s="11"/>
      <c r="C1124" s="61" t="s">
        <v>1396</v>
      </c>
      <c r="D1124" s="62">
        <v>1</v>
      </c>
      <c r="E1124" s="62">
        <v>2000</v>
      </c>
      <c r="F1124" s="62">
        <v>0</v>
      </c>
      <c r="G1124" s="62">
        <v>20</v>
      </c>
      <c r="H1124" s="62">
        <v>1</v>
      </c>
      <c r="I1124" s="12"/>
    </row>
    <row r="1125" spans="2:9">
      <c r="B1125" s="11"/>
      <c r="C1125" s="61" t="s">
        <v>1397</v>
      </c>
      <c r="D1125" s="62">
        <v>1</v>
      </c>
      <c r="E1125" s="62">
        <v>2000</v>
      </c>
      <c r="F1125" s="62">
        <v>0</v>
      </c>
      <c r="G1125" s="62">
        <v>20</v>
      </c>
      <c r="H1125" s="62">
        <v>1</v>
      </c>
      <c r="I1125" s="12"/>
    </row>
    <row r="1126" spans="2:9">
      <c r="B1126" s="11"/>
      <c r="C1126" s="61" t="s">
        <v>1390</v>
      </c>
      <c r="D1126" s="62">
        <v>2</v>
      </c>
      <c r="E1126" s="62">
        <v>3750</v>
      </c>
      <c r="F1126" s="62">
        <v>32</v>
      </c>
      <c r="G1126" s="62">
        <v>8</v>
      </c>
      <c r="H1126" s="62">
        <v>1</v>
      </c>
      <c r="I1126" s="12"/>
    </row>
    <row r="1127" spans="2:9">
      <c r="B1127" s="11"/>
      <c r="C1127" s="61" t="s">
        <v>1390</v>
      </c>
      <c r="D1127" s="62">
        <v>2</v>
      </c>
      <c r="E1127" s="62">
        <v>3750</v>
      </c>
      <c r="F1127" s="62">
        <v>32</v>
      </c>
      <c r="G1127" s="62">
        <v>8</v>
      </c>
      <c r="H1127" s="62">
        <v>1</v>
      </c>
      <c r="I1127" s="12"/>
    </row>
    <row r="1128" spans="2:9">
      <c r="B1128" s="11"/>
      <c r="C1128" s="61" t="s">
        <v>1390</v>
      </c>
      <c r="D1128" s="62">
        <v>2</v>
      </c>
      <c r="E1128" s="62">
        <v>3750</v>
      </c>
      <c r="F1128" s="62">
        <v>32</v>
      </c>
      <c r="G1128" s="62">
        <v>8</v>
      </c>
      <c r="H1128" s="62">
        <v>1</v>
      </c>
      <c r="I1128" s="12"/>
    </row>
    <row r="1129" spans="2:9">
      <c r="B1129" s="11"/>
      <c r="C1129" s="61" t="s">
        <v>1398</v>
      </c>
      <c r="D1129" s="62">
        <v>2</v>
      </c>
      <c r="E1129" s="62">
        <v>7500</v>
      </c>
      <c r="F1129" s="62">
        <v>32</v>
      </c>
      <c r="G1129" s="62">
        <v>420</v>
      </c>
      <c r="H1129" s="62">
        <v>1</v>
      </c>
      <c r="I1129" s="12"/>
    </row>
    <row r="1130" spans="2:9">
      <c r="B1130" s="11"/>
      <c r="C1130" s="61" t="s">
        <v>1399</v>
      </c>
      <c r="D1130" s="62">
        <v>2</v>
      </c>
      <c r="E1130" s="62">
        <v>7500</v>
      </c>
      <c r="F1130" s="62">
        <v>32</v>
      </c>
      <c r="G1130" s="62">
        <v>420</v>
      </c>
      <c r="H1130" s="62">
        <v>1</v>
      </c>
      <c r="I1130" s="12"/>
    </row>
    <row r="1131" spans="2:9">
      <c r="B1131" s="11"/>
      <c r="C1131" s="61" t="s">
        <v>1400</v>
      </c>
      <c r="D1131" s="62">
        <v>2</v>
      </c>
      <c r="E1131" s="62">
        <v>4000</v>
      </c>
      <c r="F1131" s="62">
        <v>0</v>
      </c>
      <c r="G1131" s="62">
        <v>20</v>
      </c>
      <c r="H1131" s="62">
        <v>1</v>
      </c>
      <c r="I1131" s="12"/>
    </row>
    <row r="1132" spans="2:9">
      <c r="B1132" s="11"/>
      <c r="C1132" s="61" t="s">
        <v>1401</v>
      </c>
      <c r="D1132" s="62">
        <v>2</v>
      </c>
      <c r="E1132" s="62">
        <v>7500</v>
      </c>
      <c r="F1132" s="62">
        <v>32</v>
      </c>
      <c r="G1132" s="62">
        <v>420</v>
      </c>
      <c r="H1132" s="62">
        <v>1</v>
      </c>
      <c r="I1132" s="12"/>
    </row>
    <row r="1133" spans="2:9">
      <c r="B1133" s="11"/>
      <c r="C1133" s="61" t="s">
        <v>1402</v>
      </c>
      <c r="D1133" s="62">
        <v>2</v>
      </c>
      <c r="E1133" s="62">
        <v>7500</v>
      </c>
      <c r="F1133" s="62">
        <v>32</v>
      </c>
      <c r="G1133" s="62">
        <v>820</v>
      </c>
      <c r="H1133" s="62">
        <v>1</v>
      </c>
      <c r="I1133" s="12"/>
    </row>
    <row r="1134" spans="2:9">
      <c r="B1134" s="11"/>
      <c r="C1134" s="61" t="s">
        <v>1403</v>
      </c>
      <c r="D1134" s="62">
        <v>2</v>
      </c>
      <c r="E1134" s="62">
        <v>3750</v>
      </c>
      <c r="F1134" s="62">
        <v>32</v>
      </c>
      <c r="G1134" s="62">
        <v>20</v>
      </c>
      <c r="H1134" s="62">
        <v>1</v>
      </c>
      <c r="I1134" s="12"/>
    </row>
    <row r="1135" spans="2:9">
      <c r="B1135" s="11"/>
      <c r="C1135" s="61" t="s">
        <v>1404</v>
      </c>
      <c r="D1135" s="62">
        <v>2</v>
      </c>
      <c r="E1135" s="62">
        <v>3750</v>
      </c>
      <c r="F1135" s="62">
        <v>32</v>
      </c>
      <c r="G1135" s="62">
        <v>20</v>
      </c>
      <c r="H1135" s="62">
        <v>1</v>
      </c>
      <c r="I1135" s="12"/>
    </row>
    <row r="1136" spans="2:9">
      <c r="B1136" s="11"/>
      <c r="C1136" s="61" t="s">
        <v>1405</v>
      </c>
      <c r="D1136" s="62">
        <v>2</v>
      </c>
      <c r="E1136" s="62">
        <v>3750</v>
      </c>
      <c r="F1136" s="62">
        <v>32</v>
      </c>
      <c r="G1136" s="62">
        <v>20</v>
      </c>
      <c r="H1136" s="62">
        <v>1</v>
      </c>
      <c r="I1136" s="12"/>
    </row>
    <row r="1137" spans="2:9">
      <c r="B1137" s="11"/>
      <c r="C1137" s="61" t="s">
        <v>1406</v>
      </c>
      <c r="D1137" s="62">
        <v>2</v>
      </c>
      <c r="E1137" s="62">
        <v>3750</v>
      </c>
      <c r="F1137" s="62">
        <v>32</v>
      </c>
      <c r="G1137" s="62">
        <v>20</v>
      </c>
      <c r="H1137" s="62">
        <v>1</v>
      </c>
      <c r="I1137" s="12"/>
    </row>
    <row r="1138" spans="2:9">
      <c r="B1138" s="11"/>
      <c r="C1138" s="61" t="s">
        <v>1407</v>
      </c>
      <c r="D1138" s="62">
        <v>2</v>
      </c>
      <c r="E1138" s="62">
        <v>3750</v>
      </c>
      <c r="F1138" s="62">
        <v>32</v>
      </c>
      <c r="G1138" s="62">
        <v>20</v>
      </c>
      <c r="H1138" s="62">
        <v>1</v>
      </c>
      <c r="I1138" s="12"/>
    </row>
    <row r="1139" spans="2:9">
      <c r="B1139" s="11"/>
      <c r="C1139" s="61" t="s">
        <v>1408</v>
      </c>
      <c r="D1139" s="62">
        <v>2</v>
      </c>
      <c r="E1139" s="62">
        <v>3750</v>
      </c>
      <c r="F1139" s="62">
        <v>32</v>
      </c>
      <c r="G1139" s="62">
        <v>20</v>
      </c>
      <c r="H1139" s="62">
        <v>1</v>
      </c>
      <c r="I1139" s="12"/>
    </row>
    <row r="1140" spans="2:9">
      <c r="B1140" s="11"/>
      <c r="C1140" s="61" t="s">
        <v>1409</v>
      </c>
      <c r="D1140" s="62">
        <v>2</v>
      </c>
      <c r="E1140" s="62">
        <v>3750</v>
      </c>
      <c r="F1140" s="62">
        <v>32</v>
      </c>
      <c r="G1140" s="62">
        <v>20</v>
      </c>
      <c r="H1140" s="62">
        <v>1</v>
      </c>
      <c r="I1140" s="12"/>
    </row>
    <row r="1141" spans="2:9">
      <c r="B1141" s="11"/>
      <c r="C1141" s="61" t="s">
        <v>1410</v>
      </c>
      <c r="D1141" s="62">
        <v>2</v>
      </c>
      <c r="E1141" s="62">
        <v>3750</v>
      </c>
      <c r="F1141" s="62">
        <v>32</v>
      </c>
      <c r="G1141" s="62">
        <v>20</v>
      </c>
      <c r="H1141" s="62">
        <v>1</v>
      </c>
      <c r="I1141" s="12"/>
    </row>
    <row r="1142" spans="2:9">
      <c r="B1142" s="11"/>
      <c r="C1142" s="61" t="s">
        <v>1411</v>
      </c>
      <c r="D1142" s="62">
        <v>2</v>
      </c>
      <c r="E1142" s="62">
        <v>3750</v>
      </c>
      <c r="F1142" s="62">
        <v>32</v>
      </c>
      <c r="G1142" s="62">
        <v>20</v>
      </c>
      <c r="H1142" s="62">
        <v>1</v>
      </c>
      <c r="I1142" s="12"/>
    </row>
    <row r="1143" spans="2:9">
      <c r="B1143" s="11"/>
      <c r="C1143" s="61" t="s">
        <v>1412</v>
      </c>
      <c r="D1143" s="62">
        <v>2</v>
      </c>
      <c r="E1143" s="62">
        <v>3750</v>
      </c>
      <c r="F1143" s="62">
        <v>32</v>
      </c>
      <c r="G1143" s="62">
        <v>20</v>
      </c>
      <c r="H1143" s="62">
        <v>1</v>
      </c>
      <c r="I1143" s="12"/>
    </row>
    <row r="1144" spans="2:9">
      <c r="B1144" s="11"/>
      <c r="C1144" s="61" t="s">
        <v>1413</v>
      </c>
      <c r="D1144" s="62">
        <v>2</v>
      </c>
      <c r="E1144" s="62">
        <v>3750</v>
      </c>
      <c r="F1144" s="62">
        <v>32</v>
      </c>
      <c r="G1144" s="62">
        <v>20</v>
      </c>
      <c r="H1144" s="62">
        <v>1</v>
      </c>
      <c r="I1144" s="12"/>
    </row>
    <row r="1145" spans="2:9">
      <c r="B1145" s="11"/>
      <c r="C1145" s="61" t="s">
        <v>1414</v>
      </c>
      <c r="D1145" s="62">
        <v>2</v>
      </c>
      <c r="E1145" s="62">
        <v>3750</v>
      </c>
      <c r="F1145" s="62">
        <v>32</v>
      </c>
      <c r="G1145" s="62">
        <v>20</v>
      </c>
      <c r="H1145" s="62">
        <v>1</v>
      </c>
      <c r="I1145" s="12"/>
    </row>
    <row r="1146" spans="2:9">
      <c r="B1146" s="11"/>
      <c r="C1146" s="61" t="s">
        <v>1415</v>
      </c>
      <c r="D1146" s="62">
        <v>2</v>
      </c>
      <c r="E1146" s="62">
        <v>3750</v>
      </c>
      <c r="F1146" s="62">
        <v>32</v>
      </c>
      <c r="G1146" s="62">
        <v>20</v>
      </c>
      <c r="H1146" s="62">
        <v>1</v>
      </c>
      <c r="I1146" s="12"/>
    </row>
    <row r="1147" spans="2:9">
      <c r="B1147" s="11"/>
      <c r="C1147" s="61" t="s">
        <v>1416</v>
      </c>
      <c r="D1147" s="62">
        <v>2</v>
      </c>
      <c r="E1147" s="62">
        <v>3750</v>
      </c>
      <c r="F1147" s="62">
        <v>32</v>
      </c>
      <c r="G1147" s="62">
        <v>20</v>
      </c>
      <c r="H1147" s="62">
        <v>1</v>
      </c>
      <c r="I1147" s="12"/>
    </row>
    <row r="1148" spans="2:9">
      <c r="B1148" s="11"/>
      <c r="C1148" s="61" t="s">
        <v>1417</v>
      </c>
      <c r="D1148" s="62">
        <v>2</v>
      </c>
      <c r="E1148" s="62">
        <v>3750</v>
      </c>
      <c r="F1148" s="62">
        <v>32</v>
      </c>
      <c r="G1148" s="62">
        <v>20</v>
      </c>
      <c r="H1148" s="62">
        <v>1</v>
      </c>
      <c r="I1148" s="12"/>
    </row>
    <row r="1149" spans="2:9">
      <c r="B1149" s="11"/>
      <c r="C1149" s="61" t="s">
        <v>1418</v>
      </c>
      <c r="D1149" s="62">
        <v>2</v>
      </c>
      <c r="E1149" s="62">
        <v>4000</v>
      </c>
      <c r="F1149" s="62">
        <v>0</v>
      </c>
      <c r="G1149" s="62">
        <v>20</v>
      </c>
      <c r="H1149" s="62">
        <v>1</v>
      </c>
      <c r="I1149" s="12"/>
    </row>
    <row r="1150" spans="2:9">
      <c r="B1150" s="11"/>
      <c r="C1150" s="61" t="s">
        <v>1420</v>
      </c>
      <c r="D1150" s="62">
        <v>4</v>
      </c>
      <c r="E1150" s="62">
        <v>15000</v>
      </c>
      <c r="F1150" s="62">
        <v>80</v>
      </c>
      <c r="G1150" s="62">
        <v>1420</v>
      </c>
      <c r="H1150" s="62">
        <v>1</v>
      </c>
      <c r="I1150" s="12"/>
    </row>
    <row r="1151" spans="2:9">
      <c r="B1151" s="11"/>
      <c r="C1151" s="61" t="s">
        <v>1421</v>
      </c>
      <c r="D1151" s="62">
        <v>4</v>
      </c>
      <c r="E1151" s="62">
        <v>15000</v>
      </c>
      <c r="F1151" s="62">
        <v>80</v>
      </c>
      <c r="G1151" s="62">
        <v>420</v>
      </c>
      <c r="H1151" s="62">
        <v>1</v>
      </c>
      <c r="I1151" s="12"/>
    </row>
    <row r="1152" spans="2:9">
      <c r="B1152" s="11"/>
      <c r="C1152" s="61" t="s">
        <v>1422</v>
      </c>
      <c r="D1152" s="62">
        <v>4</v>
      </c>
      <c r="E1152" s="62">
        <v>15000</v>
      </c>
      <c r="F1152" s="62">
        <v>80</v>
      </c>
      <c r="G1152" s="62">
        <v>420</v>
      </c>
      <c r="H1152" s="62">
        <v>1</v>
      </c>
      <c r="I1152" s="12"/>
    </row>
    <row r="1153" spans="2:9">
      <c r="B1153" s="11"/>
      <c r="C1153" s="61" t="s">
        <v>1423</v>
      </c>
      <c r="D1153" s="62">
        <v>4</v>
      </c>
      <c r="E1153" s="62">
        <v>15000</v>
      </c>
      <c r="F1153" s="62">
        <v>80</v>
      </c>
      <c r="G1153" s="62">
        <v>420</v>
      </c>
      <c r="H1153" s="62">
        <v>1</v>
      </c>
      <c r="I1153" s="12"/>
    </row>
    <row r="1154" spans="2:9">
      <c r="B1154" s="11"/>
      <c r="C1154" s="61" t="s">
        <v>1424</v>
      </c>
      <c r="D1154" s="62">
        <v>2</v>
      </c>
      <c r="E1154" s="62">
        <v>3750</v>
      </c>
      <c r="F1154" s="62">
        <v>32</v>
      </c>
      <c r="G1154" s="62">
        <v>20</v>
      </c>
      <c r="H1154" s="62">
        <v>1</v>
      </c>
      <c r="I1154" s="12"/>
    </row>
    <row r="1155" spans="2:9">
      <c r="B1155" s="11"/>
      <c r="C1155" s="61" t="s">
        <v>1425</v>
      </c>
      <c r="D1155" s="62">
        <v>2</v>
      </c>
      <c r="E1155" s="62">
        <v>3750</v>
      </c>
      <c r="F1155" s="62">
        <v>32</v>
      </c>
      <c r="G1155" s="62">
        <v>20</v>
      </c>
      <c r="H1155" s="62">
        <v>1</v>
      </c>
      <c r="I1155" s="12"/>
    </row>
    <row r="1156" spans="2:9">
      <c r="B1156" s="11"/>
      <c r="C1156" s="61" t="s">
        <v>1426</v>
      </c>
      <c r="D1156" s="62">
        <v>2</v>
      </c>
      <c r="E1156" s="62">
        <v>3750</v>
      </c>
      <c r="F1156" s="62">
        <v>32</v>
      </c>
      <c r="G1156" s="62">
        <v>20</v>
      </c>
      <c r="H1156" s="62">
        <v>1</v>
      </c>
      <c r="I1156" s="12"/>
    </row>
    <row r="1157" spans="2:9">
      <c r="B1157" s="11"/>
      <c r="C1157" s="61" t="s">
        <v>1427</v>
      </c>
      <c r="D1157" s="62">
        <v>2</v>
      </c>
      <c r="E1157" s="62">
        <v>7500</v>
      </c>
      <c r="F1157" s="62">
        <v>32</v>
      </c>
      <c r="G1157" s="62">
        <v>420</v>
      </c>
      <c r="H1157" s="62">
        <v>1</v>
      </c>
      <c r="I1157" s="12"/>
    </row>
    <row r="1158" spans="2:9">
      <c r="B1158" s="11"/>
      <c r="C1158" s="61" t="s">
        <v>1428</v>
      </c>
      <c r="D1158" s="62">
        <v>2</v>
      </c>
      <c r="E1158" s="62">
        <v>7500</v>
      </c>
      <c r="F1158" s="62">
        <v>32</v>
      </c>
      <c r="G1158" s="62">
        <v>820</v>
      </c>
      <c r="H1158" s="62">
        <v>1</v>
      </c>
      <c r="I1158" s="12"/>
    </row>
    <row r="1159" spans="2:9">
      <c r="B1159" s="11"/>
      <c r="C1159" s="61" t="s">
        <v>1429</v>
      </c>
      <c r="D1159" s="62">
        <v>2</v>
      </c>
      <c r="E1159" s="62">
        <v>3750</v>
      </c>
      <c r="F1159" s="62">
        <v>32</v>
      </c>
      <c r="G1159" s="62">
        <v>20</v>
      </c>
      <c r="H1159" s="62">
        <v>1</v>
      </c>
      <c r="I1159" s="12"/>
    </row>
    <row r="1160" spans="2:9">
      <c r="B1160" s="11"/>
      <c r="C1160" s="61" t="s">
        <v>1430</v>
      </c>
      <c r="D1160" s="62">
        <v>4</v>
      </c>
      <c r="E1160" s="62">
        <v>15000</v>
      </c>
      <c r="F1160" s="62">
        <v>80</v>
      </c>
      <c r="G1160" s="62">
        <v>420</v>
      </c>
      <c r="H1160" s="62">
        <v>1</v>
      </c>
      <c r="I1160" s="12"/>
    </row>
    <row r="1161" spans="2:9">
      <c r="B1161" s="11"/>
      <c r="C1161" s="61" t="s">
        <v>1431</v>
      </c>
      <c r="D1161" s="62">
        <v>2</v>
      </c>
      <c r="E1161" s="62">
        <v>4000</v>
      </c>
      <c r="F1161" s="62">
        <v>0</v>
      </c>
      <c r="G1161" s="62">
        <v>20</v>
      </c>
      <c r="H1161" s="62">
        <v>1</v>
      </c>
      <c r="I1161" s="12"/>
    </row>
    <row r="1162" spans="2:9">
      <c r="B1162" s="11"/>
      <c r="C1162" s="61" t="s">
        <v>1432</v>
      </c>
      <c r="D1162" s="62">
        <v>4</v>
      </c>
      <c r="E1162" s="62">
        <v>15000</v>
      </c>
      <c r="F1162" s="62">
        <v>80</v>
      </c>
      <c r="G1162" s="62">
        <v>420</v>
      </c>
      <c r="H1162" s="62">
        <v>1</v>
      </c>
      <c r="I1162" s="12"/>
    </row>
    <row r="1163" spans="2:9">
      <c r="B1163" s="11"/>
      <c r="C1163" s="61" t="s">
        <v>1433</v>
      </c>
      <c r="D1163" s="62">
        <v>4</v>
      </c>
      <c r="E1163" s="62">
        <v>15000</v>
      </c>
      <c r="F1163" s="62">
        <v>80</v>
      </c>
      <c r="G1163" s="62">
        <v>820</v>
      </c>
      <c r="H1163" s="62">
        <v>1</v>
      </c>
      <c r="I1163" s="12"/>
    </row>
    <row r="1164" spans="2:9">
      <c r="B1164" s="11"/>
      <c r="C1164" s="61" t="s">
        <v>1434</v>
      </c>
      <c r="D1164" s="62">
        <v>2</v>
      </c>
      <c r="E1164" s="62">
        <v>4000</v>
      </c>
      <c r="F1164" s="62">
        <v>0</v>
      </c>
      <c r="G1164" s="62">
        <v>20</v>
      </c>
      <c r="H1164" s="62">
        <v>1</v>
      </c>
      <c r="I1164" s="12"/>
    </row>
    <row r="1165" spans="2:9">
      <c r="B1165" s="11"/>
      <c r="C1165" s="61" t="s">
        <v>1435</v>
      </c>
      <c r="D1165" s="62">
        <v>2</v>
      </c>
      <c r="E1165" s="62">
        <v>7500</v>
      </c>
      <c r="F1165" s="62">
        <v>32</v>
      </c>
      <c r="G1165" s="62">
        <v>420</v>
      </c>
      <c r="H1165" s="62">
        <v>1</v>
      </c>
      <c r="I1165" s="12"/>
    </row>
    <row r="1166" spans="2:9">
      <c r="B1166" s="11"/>
      <c r="C1166" s="61" t="s">
        <v>1436</v>
      </c>
      <c r="D1166" s="62">
        <v>4</v>
      </c>
      <c r="E1166" s="62">
        <v>15000</v>
      </c>
      <c r="F1166" s="62">
        <v>80</v>
      </c>
      <c r="G1166" s="62">
        <v>420</v>
      </c>
      <c r="H1166" s="62">
        <v>1</v>
      </c>
      <c r="I1166" s="12"/>
    </row>
    <row r="1167" spans="2:9">
      <c r="B1167" s="11"/>
      <c r="C1167" s="61" t="s">
        <v>1437</v>
      </c>
      <c r="D1167" s="62">
        <v>2</v>
      </c>
      <c r="E1167" s="62">
        <v>7500</v>
      </c>
      <c r="F1167" s="62">
        <v>32</v>
      </c>
      <c r="G1167" s="62">
        <v>420</v>
      </c>
      <c r="H1167" s="62">
        <v>1</v>
      </c>
      <c r="I1167" s="12"/>
    </row>
    <row r="1168" spans="2:9">
      <c r="B1168" s="11"/>
      <c r="C1168" s="61" t="s">
        <v>1438</v>
      </c>
      <c r="D1168" s="62">
        <v>2</v>
      </c>
      <c r="E1168" s="62">
        <v>3750</v>
      </c>
      <c r="F1168" s="62">
        <v>32</v>
      </c>
      <c r="G1168" s="62">
        <v>20</v>
      </c>
      <c r="H1168" s="62">
        <v>1</v>
      </c>
      <c r="I1168" s="12"/>
    </row>
    <row r="1169" spans="2:9">
      <c r="B1169" s="11"/>
      <c r="C1169" s="61" t="s">
        <v>1439</v>
      </c>
      <c r="D1169" s="62">
        <v>2</v>
      </c>
      <c r="E1169" s="62">
        <v>7500</v>
      </c>
      <c r="F1169" s="62">
        <v>32</v>
      </c>
      <c r="G1169" s="62">
        <v>20</v>
      </c>
      <c r="H1169" s="62">
        <v>1</v>
      </c>
      <c r="I1169" s="12"/>
    </row>
    <row r="1170" spans="2:9">
      <c r="B1170" s="11"/>
      <c r="C1170" s="61" t="s">
        <v>1440</v>
      </c>
      <c r="D1170" s="62">
        <v>2</v>
      </c>
      <c r="E1170" s="62">
        <v>3750</v>
      </c>
      <c r="F1170" s="62">
        <v>32</v>
      </c>
      <c r="G1170" s="62">
        <v>20</v>
      </c>
      <c r="H1170" s="62">
        <v>1</v>
      </c>
      <c r="I1170" s="12"/>
    </row>
    <row r="1171" spans="2:9">
      <c r="B1171" s="11"/>
      <c r="C1171" s="61" t="s">
        <v>1441</v>
      </c>
      <c r="D1171" s="62">
        <v>2</v>
      </c>
      <c r="E1171" s="62">
        <v>3750</v>
      </c>
      <c r="F1171" s="62">
        <v>32</v>
      </c>
      <c r="G1171" s="62">
        <v>20</v>
      </c>
      <c r="H1171" s="62">
        <v>1</v>
      </c>
      <c r="I1171" s="12"/>
    </row>
    <row r="1172" spans="2:9">
      <c r="B1172" s="11"/>
      <c r="C1172" s="61" t="s">
        <v>1442</v>
      </c>
      <c r="D1172" s="62">
        <v>2</v>
      </c>
      <c r="E1172" s="62">
        <v>3750</v>
      </c>
      <c r="F1172" s="62">
        <v>32</v>
      </c>
      <c r="G1172" s="62">
        <v>20</v>
      </c>
      <c r="H1172" s="62">
        <v>1</v>
      </c>
      <c r="I1172" s="12"/>
    </row>
    <row r="1173" spans="2:9">
      <c r="B1173" s="11"/>
      <c r="C1173" s="61" t="s">
        <v>1443</v>
      </c>
      <c r="D1173" s="62">
        <v>2</v>
      </c>
      <c r="E1173" s="62">
        <v>3750</v>
      </c>
      <c r="F1173" s="62">
        <v>32</v>
      </c>
      <c r="G1173" s="62">
        <v>20</v>
      </c>
      <c r="H1173" s="62">
        <v>1</v>
      </c>
      <c r="I1173" s="12"/>
    </row>
    <row r="1174" spans="2:9">
      <c r="B1174" s="11"/>
      <c r="C1174" s="61" t="s">
        <v>1444</v>
      </c>
      <c r="D1174" s="62">
        <v>2</v>
      </c>
      <c r="E1174" s="62">
        <v>7500</v>
      </c>
      <c r="F1174" s="62">
        <v>32</v>
      </c>
      <c r="G1174" s="62">
        <v>20</v>
      </c>
      <c r="H1174" s="62">
        <v>1</v>
      </c>
      <c r="I1174" s="12"/>
    </row>
    <row r="1175" spans="2:9">
      <c r="B1175" s="11"/>
      <c r="C1175" s="61" t="s">
        <v>1445</v>
      </c>
      <c r="D1175" s="62">
        <v>2</v>
      </c>
      <c r="E1175" s="62">
        <v>7500</v>
      </c>
      <c r="F1175" s="62">
        <v>32</v>
      </c>
      <c r="G1175" s="62">
        <v>420</v>
      </c>
      <c r="H1175" s="62">
        <v>1</v>
      </c>
      <c r="I1175" s="12"/>
    </row>
    <row r="1176" spans="2:9">
      <c r="B1176" s="11"/>
      <c r="C1176" s="61" t="s">
        <v>1446</v>
      </c>
      <c r="D1176" s="62">
        <v>2</v>
      </c>
      <c r="E1176" s="62">
        <v>4000</v>
      </c>
      <c r="F1176" s="62">
        <v>0</v>
      </c>
      <c r="G1176" s="62">
        <v>20</v>
      </c>
      <c r="H1176" s="62">
        <v>1</v>
      </c>
      <c r="I1176" s="12"/>
    </row>
    <row r="1177" spans="2:9">
      <c r="B1177" s="11"/>
      <c r="C1177" s="61" t="s">
        <v>1447</v>
      </c>
      <c r="D1177" s="62">
        <v>2</v>
      </c>
      <c r="E1177" s="62">
        <v>7500</v>
      </c>
      <c r="F1177" s="62">
        <v>32</v>
      </c>
      <c r="G1177" s="62">
        <v>820</v>
      </c>
      <c r="H1177" s="62">
        <v>1</v>
      </c>
      <c r="I1177" s="12"/>
    </row>
    <row r="1178" spans="2:9">
      <c r="B1178" s="11"/>
      <c r="C1178" s="61" t="s">
        <v>1448</v>
      </c>
      <c r="D1178" s="62">
        <v>16</v>
      </c>
      <c r="E1178" s="62">
        <v>30000</v>
      </c>
      <c r="F1178" s="62">
        <v>320</v>
      </c>
      <c r="G1178" s="62">
        <v>20</v>
      </c>
      <c r="H1178" s="62">
        <v>1</v>
      </c>
      <c r="I1178" s="12"/>
    </row>
    <row r="1179" spans="2:9">
      <c r="B1179" s="11"/>
      <c r="C1179" s="61" t="s">
        <v>1450</v>
      </c>
      <c r="D1179" s="62">
        <v>16</v>
      </c>
      <c r="E1179" s="62">
        <v>30000</v>
      </c>
      <c r="F1179" s="62">
        <v>320</v>
      </c>
      <c r="G1179" s="62">
        <v>20</v>
      </c>
      <c r="H1179" s="62">
        <v>1</v>
      </c>
      <c r="I1179" s="12"/>
    </row>
    <row r="1180" spans="2:9">
      <c r="B1180" s="11"/>
      <c r="C1180" s="61" t="s">
        <v>1451</v>
      </c>
      <c r="D1180" s="62">
        <v>16</v>
      </c>
      <c r="E1180" s="62">
        <v>30000</v>
      </c>
      <c r="F1180" s="62">
        <v>320</v>
      </c>
      <c r="G1180" s="62">
        <v>20</v>
      </c>
      <c r="H1180" s="62">
        <v>1</v>
      </c>
      <c r="I1180" s="12"/>
    </row>
    <row r="1181" spans="2:9">
      <c r="B1181" s="11"/>
      <c r="C1181" s="61" t="s">
        <v>1452</v>
      </c>
      <c r="D1181" s="62">
        <v>16</v>
      </c>
      <c r="E1181" s="62">
        <v>30000</v>
      </c>
      <c r="F1181" s="62">
        <v>320</v>
      </c>
      <c r="G1181" s="62">
        <v>20</v>
      </c>
      <c r="H1181" s="62">
        <v>1</v>
      </c>
      <c r="I1181" s="12"/>
    </row>
    <row r="1182" spans="2:9">
      <c r="B1182" s="11"/>
      <c r="C1182" s="61" t="s">
        <v>1453</v>
      </c>
      <c r="D1182" s="62">
        <v>2</v>
      </c>
      <c r="E1182" s="62">
        <v>7500</v>
      </c>
      <c r="F1182" s="62">
        <v>32</v>
      </c>
      <c r="G1182" s="62">
        <v>420</v>
      </c>
      <c r="H1182" s="62">
        <v>1</v>
      </c>
      <c r="I1182" s="12"/>
    </row>
    <row r="1183" spans="2:9">
      <c r="B1183" s="11"/>
      <c r="C1183" s="61" t="s">
        <v>1454</v>
      </c>
      <c r="D1183" s="62">
        <v>2</v>
      </c>
      <c r="E1183" s="62">
        <v>7500</v>
      </c>
      <c r="F1183" s="62">
        <v>32</v>
      </c>
      <c r="G1183" s="62">
        <v>420</v>
      </c>
      <c r="H1183" s="62">
        <v>1</v>
      </c>
      <c r="I1183" s="12"/>
    </row>
    <row r="1184" spans="2:9">
      <c r="B1184" s="11"/>
      <c r="C1184" s="61" t="s">
        <v>1455</v>
      </c>
      <c r="D1184" s="62">
        <v>2</v>
      </c>
      <c r="E1184" s="62">
        <v>3750</v>
      </c>
      <c r="F1184" s="62">
        <v>32</v>
      </c>
      <c r="G1184" s="62">
        <v>20</v>
      </c>
      <c r="H1184" s="62">
        <v>1</v>
      </c>
      <c r="I1184" s="12"/>
    </row>
    <row r="1185" spans="2:9">
      <c r="B1185" s="11"/>
      <c r="C1185" s="61" t="s">
        <v>1456</v>
      </c>
      <c r="D1185" s="62">
        <v>2</v>
      </c>
      <c r="E1185" s="62">
        <v>3750</v>
      </c>
      <c r="F1185" s="62">
        <v>32</v>
      </c>
      <c r="G1185" s="62">
        <v>20</v>
      </c>
      <c r="H1185" s="62">
        <v>1</v>
      </c>
      <c r="I1185" s="12"/>
    </row>
    <row r="1186" spans="2:9">
      <c r="B1186" s="11"/>
      <c r="C1186" s="61" t="s">
        <v>1457</v>
      </c>
      <c r="D1186" s="62">
        <v>2</v>
      </c>
      <c r="E1186" s="62">
        <v>3750</v>
      </c>
      <c r="F1186" s="62">
        <v>32</v>
      </c>
      <c r="G1186" s="62">
        <v>20</v>
      </c>
      <c r="H1186" s="62">
        <v>1</v>
      </c>
      <c r="I1186" s="12"/>
    </row>
    <row r="1187" spans="2:9">
      <c r="B1187" s="11"/>
      <c r="C1187" s="61" t="s">
        <v>1458</v>
      </c>
      <c r="D1187" s="62">
        <v>2</v>
      </c>
      <c r="E1187" s="62">
        <v>3750</v>
      </c>
      <c r="F1187" s="62">
        <v>32</v>
      </c>
      <c r="G1187" s="62">
        <v>20</v>
      </c>
      <c r="H1187" s="62">
        <v>1</v>
      </c>
      <c r="I1187" s="12"/>
    </row>
    <row r="1188" spans="2:9">
      <c r="B1188" s="11"/>
      <c r="C1188" s="61" t="s">
        <v>1459</v>
      </c>
      <c r="D1188" s="62">
        <v>2</v>
      </c>
      <c r="E1188" s="62">
        <v>3750</v>
      </c>
      <c r="F1188" s="62">
        <v>32</v>
      </c>
      <c r="G1188" s="62">
        <v>20</v>
      </c>
      <c r="H1188" s="62">
        <v>1</v>
      </c>
      <c r="I1188" s="12"/>
    </row>
    <row r="1189" spans="2:9">
      <c r="B1189" s="11"/>
      <c r="C1189" s="61" t="s">
        <v>1460</v>
      </c>
      <c r="D1189" s="62">
        <v>2</v>
      </c>
      <c r="E1189" s="62">
        <v>3750</v>
      </c>
      <c r="F1189" s="62">
        <v>32</v>
      </c>
      <c r="G1189" s="62">
        <v>20</v>
      </c>
      <c r="H1189" s="62">
        <v>1</v>
      </c>
      <c r="I1189" s="12"/>
    </row>
    <row r="1190" spans="2:9">
      <c r="B1190" s="11"/>
      <c r="C1190" s="61" t="s">
        <v>1461</v>
      </c>
      <c r="D1190" s="62">
        <v>2</v>
      </c>
      <c r="E1190" s="62">
        <v>7500</v>
      </c>
      <c r="F1190" s="62">
        <v>32</v>
      </c>
      <c r="G1190" s="62">
        <v>420</v>
      </c>
      <c r="H1190" s="62">
        <v>1</v>
      </c>
      <c r="I1190" s="12"/>
    </row>
    <row r="1191" spans="2:9">
      <c r="B1191" s="11"/>
      <c r="C1191" s="61" t="s">
        <v>1462</v>
      </c>
      <c r="D1191" s="62">
        <v>2</v>
      </c>
      <c r="E1191" s="62">
        <v>7500</v>
      </c>
      <c r="F1191" s="62">
        <v>32</v>
      </c>
      <c r="G1191" s="62">
        <v>820</v>
      </c>
      <c r="H1191" s="62">
        <v>1</v>
      </c>
      <c r="I1191" s="12"/>
    </row>
    <row r="1192" spans="2:9">
      <c r="B1192" s="11"/>
      <c r="C1192" s="61" t="s">
        <v>1463</v>
      </c>
      <c r="D1192" s="62">
        <v>2</v>
      </c>
      <c r="E1192" s="62">
        <v>3750</v>
      </c>
      <c r="F1192" s="62">
        <v>32</v>
      </c>
      <c r="G1192" s="62">
        <v>20</v>
      </c>
      <c r="H1192" s="62">
        <v>1</v>
      </c>
      <c r="I1192" s="12"/>
    </row>
    <row r="1193" spans="2:9">
      <c r="B1193" s="11"/>
      <c r="C1193" s="61" t="s">
        <v>1464</v>
      </c>
      <c r="D1193" s="62">
        <v>2</v>
      </c>
      <c r="E1193" s="62">
        <v>3750</v>
      </c>
      <c r="F1193" s="62">
        <v>32</v>
      </c>
      <c r="G1193" s="62">
        <v>20</v>
      </c>
      <c r="H1193" s="62">
        <v>1</v>
      </c>
      <c r="I1193" s="12"/>
    </row>
    <row r="1194" spans="2:9">
      <c r="B1194" s="11"/>
      <c r="C1194" s="61" t="s">
        <v>1465</v>
      </c>
      <c r="D1194" s="62">
        <v>2</v>
      </c>
      <c r="E1194" s="62">
        <v>7500</v>
      </c>
      <c r="F1194" s="62">
        <v>32</v>
      </c>
      <c r="G1194" s="62">
        <v>420</v>
      </c>
      <c r="H1194" s="62">
        <v>1</v>
      </c>
      <c r="I1194" s="12"/>
    </row>
    <row r="1195" spans="2:9">
      <c r="B1195" s="11"/>
      <c r="C1195" s="61" t="s">
        <v>1466</v>
      </c>
      <c r="D1195" s="62">
        <v>1</v>
      </c>
      <c r="E1195" s="62">
        <v>2000</v>
      </c>
      <c r="F1195" s="62">
        <v>0</v>
      </c>
      <c r="G1195" s="62">
        <v>20</v>
      </c>
      <c r="H1195" s="62">
        <v>1</v>
      </c>
      <c r="I1195" s="12"/>
    </row>
    <row r="1196" spans="2:9">
      <c r="B1196" s="11"/>
      <c r="C1196" s="61" t="s">
        <v>1467</v>
      </c>
      <c r="D1196" s="62">
        <v>2</v>
      </c>
      <c r="E1196" s="62">
        <v>7500</v>
      </c>
      <c r="F1196" s="62">
        <v>32</v>
      </c>
      <c r="G1196" s="62">
        <v>420</v>
      </c>
      <c r="H1196" s="62">
        <v>1</v>
      </c>
      <c r="I1196" s="12"/>
    </row>
    <row r="1197" spans="2:9">
      <c r="B1197" s="11"/>
      <c r="C1197" s="61" t="s">
        <v>1468</v>
      </c>
      <c r="D1197" s="62">
        <v>2</v>
      </c>
      <c r="E1197" s="62">
        <v>3750</v>
      </c>
      <c r="F1197" s="62">
        <v>32</v>
      </c>
      <c r="G1197" s="62">
        <v>20</v>
      </c>
      <c r="H1197" s="62">
        <v>1</v>
      </c>
      <c r="I1197" s="12"/>
    </row>
    <row r="1198" spans="2:9">
      <c r="B1198" s="11"/>
      <c r="C1198" s="61" t="s">
        <v>1469</v>
      </c>
      <c r="D1198" s="62">
        <v>2</v>
      </c>
      <c r="E1198" s="62">
        <v>3750</v>
      </c>
      <c r="F1198" s="62">
        <v>32</v>
      </c>
      <c r="G1198" s="62">
        <v>20</v>
      </c>
      <c r="H1198" s="62">
        <v>1</v>
      </c>
      <c r="I1198" s="12"/>
    </row>
    <row r="1199" spans="2:9">
      <c r="B1199" s="11"/>
      <c r="C1199" s="61" t="s">
        <v>1470</v>
      </c>
      <c r="D1199" s="62">
        <v>2</v>
      </c>
      <c r="E1199" s="62">
        <v>4000</v>
      </c>
      <c r="F1199" s="62">
        <v>0</v>
      </c>
      <c r="G1199" s="62">
        <v>20</v>
      </c>
      <c r="H1199" s="62">
        <v>1</v>
      </c>
      <c r="I1199" s="12"/>
    </row>
    <row r="1200" spans="2:9">
      <c r="B1200" s="11"/>
      <c r="C1200" s="61" t="s">
        <v>1471</v>
      </c>
      <c r="D1200" s="62">
        <v>2</v>
      </c>
      <c r="E1200" s="62">
        <v>4000</v>
      </c>
      <c r="F1200" s="62">
        <v>0</v>
      </c>
      <c r="G1200" s="62">
        <v>20</v>
      </c>
      <c r="H1200" s="62">
        <v>1</v>
      </c>
      <c r="I1200" s="12"/>
    </row>
    <row r="1201" spans="2:9">
      <c r="B1201" s="11"/>
      <c r="C1201" s="61" t="s">
        <v>1472</v>
      </c>
      <c r="D1201" s="62">
        <v>8</v>
      </c>
      <c r="E1201" s="62">
        <v>15000</v>
      </c>
      <c r="F1201" s="62">
        <v>160</v>
      </c>
      <c r="G1201" s="62">
        <v>20</v>
      </c>
      <c r="H1201" s="62">
        <v>1</v>
      </c>
      <c r="I1201" s="12"/>
    </row>
    <row r="1202" spans="2:9">
      <c r="B1202" s="11"/>
      <c r="C1202" s="61" t="s">
        <v>1473</v>
      </c>
      <c r="D1202" s="62">
        <v>8</v>
      </c>
      <c r="E1202" s="62">
        <v>15000</v>
      </c>
      <c r="F1202" s="62">
        <v>160</v>
      </c>
      <c r="G1202" s="62">
        <v>20</v>
      </c>
      <c r="H1202" s="62">
        <v>1</v>
      </c>
      <c r="I1202" s="12"/>
    </row>
    <row r="1203" spans="2:9">
      <c r="B1203" s="11"/>
      <c r="C1203" s="61" t="s">
        <v>1474</v>
      </c>
      <c r="D1203" s="62">
        <v>4</v>
      </c>
      <c r="E1203" s="62">
        <v>7500</v>
      </c>
      <c r="F1203" s="62">
        <v>80</v>
      </c>
      <c r="G1203" s="62">
        <v>0</v>
      </c>
      <c r="H1203" s="62">
        <v>1</v>
      </c>
      <c r="I1203" s="12"/>
    </row>
    <row r="1204" spans="2:9">
      <c r="B1204" s="11"/>
      <c r="C1204" s="61" t="s">
        <v>1475</v>
      </c>
      <c r="D1204" s="62">
        <v>4</v>
      </c>
      <c r="E1204" s="62">
        <v>7500</v>
      </c>
      <c r="F1204" s="62">
        <v>80</v>
      </c>
      <c r="G1204" s="62">
        <v>0</v>
      </c>
      <c r="H1204" s="62">
        <v>1</v>
      </c>
      <c r="I1204" s="12"/>
    </row>
    <row r="1205" spans="2:9">
      <c r="B1205" s="11"/>
      <c r="C1205" s="61" t="s">
        <v>1476</v>
      </c>
      <c r="D1205" s="62">
        <v>4</v>
      </c>
      <c r="E1205" s="62">
        <v>7500</v>
      </c>
      <c r="F1205" s="62">
        <v>80</v>
      </c>
      <c r="G1205" s="62">
        <v>0</v>
      </c>
      <c r="H1205" s="62">
        <v>1</v>
      </c>
      <c r="I1205" s="12"/>
    </row>
    <row r="1206" spans="2:9">
      <c r="B1206" s="11"/>
      <c r="C1206" s="61"/>
      <c r="D1206" s="62"/>
      <c r="E1206" s="62"/>
      <c r="F1206" s="62"/>
      <c r="G1206" s="62"/>
      <c r="H1206" s="62"/>
      <c r="I1206" s="12"/>
    </row>
    <row r="1207" spans="2:9">
      <c r="B1207" s="11"/>
      <c r="C1207" s="61"/>
      <c r="D1207" s="62"/>
      <c r="E1207" s="62"/>
      <c r="F1207" s="62"/>
      <c r="G1207" s="62"/>
      <c r="H1207" s="62"/>
      <c r="I1207" s="12"/>
    </row>
    <row r="1208" spans="2:9">
      <c r="B1208" s="11"/>
      <c r="C1208" s="61"/>
      <c r="D1208" s="62"/>
      <c r="E1208" s="62"/>
      <c r="F1208" s="62"/>
      <c r="G1208" s="62"/>
      <c r="H1208" s="62"/>
      <c r="I1208" s="12"/>
    </row>
    <row r="1209" spans="2:9">
      <c r="B1209" s="11"/>
      <c r="C1209" s="61"/>
      <c r="D1209" s="62"/>
      <c r="E1209" s="62"/>
      <c r="F1209" s="62"/>
      <c r="G1209" s="62"/>
      <c r="H1209" s="62"/>
      <c r="I1209" s="12"/>
    </row>
    <row r="1210" spans="2:9">
      <c r="B1210" s="11"/>
      <c r="C1210" s="61"/>
      <c r="D1210" s="62"/>
      <c r="E1210" s="62"/>
      <c r="F1210" s="62"/>
      <c r="G1210" s="62"/>
      <c r="H1210" s="62"/>
      <c r="I1210" s="12"/>
    </row>
    <row r="1211" spans="2:9">
      <c r="B1211" s="11"/>
      <c r="C1211" s="61"/>
      <c r="D1211" s="62"/>
      <c r="E1211" s="62"/>
      <c r="F1211" s="62"/>
      <c r="G1211" s="62"/>
      <c r="H1211" s="62"/>
      <c r="I1211" s="12"/>
    </row>
    <row r="1212" spans="2:9">
      <c r="B1212" s="11"/>
      <c r="C1212" s="61"/>
      <c r="D1212" s="62"/>
      <c r="E1212" s="62"/>
      <c r="F1212" s="62"/>
      <c r="G1212" s="62"/>
      <c r="H1212" s="62"/>
      <c r="I1212" s="12"/>
    </row>
    <row r="1213" spans="2:9">
      <c r="B1213" s="11"/>
      <c r="C1213" s="61"/>
      <c r="D1213" s="62"/>
      <c r="E1213" s="62"/>
      <c r="F1213" s="62"/>
      <c r="G1213" s="62"/>
      <c r="H1213" s="62"/>
      <c r="I1213" s="12"/>
    </row>
    <row r="1214" spans="2:9">
      <c r="B1214" s="11"/>
      <c r="C1214" s="61"/>
      <c r="D1214" s="62"/>
      <c r="E1214" s="62"/>
      <c r="F1214" s="62"/>
      <c r="G1214" s="62"/>
      <c r="H1214" s="62"/>
      <c r="I1214" s="12"/>
    </row>
    <row r="1215" spans="2:9">
      <c r="B1215" s="11"/>
      <c r="C1215" s="61"/>
      <c r="D1215" s="62"/>
      <c r="E1215" s="62"/>
      <c r="F1215" s="62"/>
      <c r="G1215" s="62"/>
      <c r="H1215" s="62"/>
      <c r="I1215" s="12"/>
    </row>
    <row r="1216" spans="2:9">
      <c r="B1216" s="11"/>
      <c r="C1216" s="61"/>
      <c r="D1216" s="62"/>
      <c r="E1216" s="62"/>
      <c r="F1216" s="62"/>
      <c r="G1216" s="62"/>
      <c r="H1216" s="62"/>
      <c r="I1216" s="12"/>
    </row>
    <row r="1217" spans="2:9">
      <c r="B1217" s="11"/>
      <c r="C1217" s="61"/>
      <c r="D1217" s="62"/>
      <c r="E1217" s="62"/>
      <c r="F1217" s="62"/>
      <c r="G1217" s="62"/>
      <c r="H1217" s="62"/>
      <c r="I1217" s="12"/>
    </row>
    <row r="1218" spans="2:9">
      <c r="B1218" s="11"/>
      <c r="C1218" s="61"/>
      <c r="D1218" s="62"/>
      <c r="E1218" s="62"/>
      <c r="F1218" s="62"/>
      <c r="G1218" s="62"/>
      <c r="H1218" s="62"/>
      <c r="I1218" s="12"/>
    </row>
    <row r="1219" spans="2:9">
      <c r="B1219" s="11"/>
      <c r="C1219" s="61"/>
      <c r="D1219" s="62"/>
      <c r="E1219" s="62"/>
      <c r="F1219" s="62"/>
      <c r="G1219" s="62"/>
      <c r="H1219" s="62"/>
      <c r="I1219" s="12"/>
    </row>
    <row r="1220" spans="2:9">
      <c r="B1220" s="11"/>
      <c r="C1220" s="61"/>
      <c r="D1220" s="62"/>
      <c r="E1220" s="62"/>
      <c r="F1220" s="62"/>
      <c r="G1220" s="62"/>
      <c r="H1220" s="62"/>
      <c r="I1220" s="12"/>
    </row>
    <row r="1221" spans="2:9">
      <c r="B1221" s="11"/>
      <c r="C1221" s="61"/>
      <c r="D1221" s="62"/>
      <c r="E1221" s="62"/>
      <c r="F1221" s="62"/>
      <c r="G1221" s="62"/>
      <c r="H1221" s="62"/>
      <c r="I1221" s="12"/>
    </row>
    <row r="1222" spans="2:9">
      <c r="B1222" s="11"/>
      <c r="C1222" s="61"/>
      <c r="D1222" s="62"/>
      <c r="E1222" s="62"/>
      <c r="F1222" s="62"/>
      <c r="G1222" s="62"/>
      <c r="H1222" s="62"/>
      <c r="I1222" s="12"/>
    </row>
    <row r="1223" spans="2:9">
      <c r="B1223" s="11"/>
      <c r="C1223" s="61"/>
      <c r="D1223" s="62"/>
      <c r="E1223" s="62"/>
      <c r="F1223" s="62"/>
      <c r="G1223" s="62"/>
      <c r="H1223" s="62"/>
      <c r="I1223" s="12"/>
    </row>
    <row r="1224" spans="2:9">
      <c r="B1224" s="11"/>
      <c r="C1224" s="61"/>
      <c r="D1224" s="62"/>
      <c r="E1224" s="62"/>
      <c r="F1224" s="62"/>
      <c r="G1224" s="62"/>
      <c r="H1224" s="62"/>
      <c r="I1224" s="12"/>
    </row>
    <row r="1225" spans="2:9">
      <c r="B1225" s="11"/>
      <c r="C1225" s="61"/>
      <c r="D1225" s="62"/>
      <c r="E1225" s="62"/>
      <c r="F1225" s="62"/>
      <c r="G1225" s="62"/>
      <c r="H1225" s="62"/>
      <c r="I1225" s="12"/>
    </row>
    <row r="1226" spans="2:9">
      <c r="B1226" s="11"/>
      <c r="C1226" s="61"/>
      <c r="D1226" s="62"/>
      <c r="E1226" s="62"/>
      <c r="F1226" s="62"/>
      <c r="G1226" s="62"/>
      <c r="H1226" s="62"/>
      <c r="I1226" s="12"/>
    </row>
    <row r="1227" spans="2:9">
      <c r="B1227" s="11"/>
      <c r="C1227" s="61"/>
      <c r="D1227" s="62"/>
      <c r="E1227" s="62"/>
      <c r="F1227" s="62"/>
      <c r="G1227" s="62"/>
      <c r="H1227" s="62"/>
      <c r="I1227" s="12"/>
    </row>
    <row r="1228" spans="2:9">
      <c r="B1228" s="11"/>
      <c r="C1228" s="61"/>
      <c r="D1228" s="62"/>
      <c r="E1228" s="62"/>
      <c r="F1228" s="62"/>
      <c r="G1228" s="62"/>
      <c r="H1228" s="62"/>
      <c r="I1228" s="12"/>
    </row>
    <row r="1229" spans="2:9">
      <c r="B1229" s="11"/>
      <c r="C1229" s="61"/>
      <c r="D1229" s="62"/>
      <c r="E1229" s="62"/>
      <c r="F1229" s="62"/>
      <c r="G1229" s="62"/>
      <c r="H1229" s="62"/>
      <c r="I1229" s="12"/>
    </row>
    <row r="1230" spans="2:9">
      <c r="B1230" s="11"/>
      <c r="C1230" s="61"/>
      <c r="D1230" s="62"/>
      <c r="E1230" s="62"/>
      <c r="F1230" s="62"/>
      <c r="G1230" s="62"/>
      <c r="H1230" s="62"/>
      <c r="I1230" s="12"/>
    </row>
    <row r="1231" spans="2:9">
      <c r="B1231" s="11"/>
      <c r="C1231" s="61"/>
      <c r="D1231" s="62"/>
      <c r="E1231" s="62"/>
      <c r="F1231" s="62"/>
      <c r="G1231" s="62"/>
      <c r="H1231" s="62"/>
      <c r="I1231" s="12"/>
    </row>
    <row r="1232" spans="2:9">
      <c r="B1232" s="11"/>
      <c r="C1232" s="61"/>
      <c r="D1232" s="62"/>
      <c r="E1232" s="62"/>
      <c r="F1232" s="62"/>
      <c r="G1232" s="62"/>
      <c r="H1232" s="62"/>
      <c r="I1232" s="12"/>
    </row>
    <row r="1233" spans="2:9">
      <c r="B1233" s="11"/>
      <c r="C1233" s="61"/>
      <c r="D1233" s="62"/>
      <c r="E1233" s="62"/>
      <c r="F1233" s="62"/>
      <c r="G1233" s="62"/>
      <c r="H1233" s="62"/>
      <c r="I1233" s="12"/>
    </row>
    <row r="1234" spans="2:9">
      <c r="B1234" s="11"/>
      <c r="C1234" s="61"/>
      <c r="D1234" s="62"/>
      <c r="E1234" s="62"/>
      <c r="F1234" s="62"/>
      <c r="G1234" s="62"/>
      <c r="H1234" s="62"/>
      <c r="I1234" s="12"/>
    </row>
    <row r="1235" spans="2:9">
      <c r="B1235" s="11"/>
      <c r="C1235" s="61"/>
      <c r="D1235" s="62"/>
      <c r="E1235" s="62"/>
      <c r="F1235" s="62"/>
      <c r="G1235" s="62"/>
      <c r="H1235" s="62"/>
      <c r="I1235" s="12"/>
    </row>
    <row r="1236" spans="2:9">
      <c r="B1236" s="11"/>
      <c r="C1236" s="61"/>
      <c r="D1236" s="62"/>
      <c r="E1236" s="62"/>
      <c r="F1236" s="62"/>
      <c r="G1236" s="62"/>
      <c r="H1236" s="62"/>
      <c r="I1236" s="12"/>
    </row>
    <row r="1237" spans="2:9">
      <c r="B1237" s="11"/>
      <c r="C1237" s="61"/>
      <c r="D1237" s="62"/>
      <c r="E1237" s="62"/>
      <c r="F1237" s="62"/>
      <c r="G1237" s="62"/>
      <c r="H1237" s="62"/>
      <c r="I1237" s="12"/>
    </row>
    <row r="1238" spans="2:9">
      <c r="B1238" s="11"/>
      <c r="C1238" s="61"/>
      <c r="D1238" s="62"/>
      <c r="E1238" s="62"/>
      <c r="F1238" s="62"/>
      <c r="G1238" s="62"/>
      <c r="H1238" s="62"/>
      <c r="I1238" s="12"/>
    </row>
    <row r="1239" spans="2:9">
      <c r="B1239" s="11"/>
      <c r="C1239" s="61"/>
      <c r="D1239" s="62"/>
      <c r="E1239" s="62"/>
      <c r="F1239" s="62"/>
      <c r="G1239" s="62"/>
      <c r="H1239" s="62"/>
      <c r="I1239" s="12"/>
    </row>
    <row r="1240" spans="2:9">
      <c r="B1240" s="11"/>
      <c r="C1240" s="61"/>
      <c r="D1240" s="62"/>
      <c r="E1240" s="62"/>
      <c r="F1240" s="62"/>
      <c r="G1240" s="62"/>
      <c r="H1240" s="62"/>
      <c r="I1240" s="12"/>
    </row>
    <row r="1241" spans="2:9">
      <c r="B1241" s="11"/>
      <c r="C1241" s="61"/>
      <c r="D1241" s="62"/>
      <c r="E1241" s="62"/>
      <c r="F1241" s="62"/>
      <c r="G1241" s="62"/>
      <c r="H1241" s="62"/>
      <c r="I1241" s="12"/>
    </row>
    <row r="1242" spans="2:9">
      <c r="B1242" s="11"/>
      <c r="C1242" s="61"/>
      <c r="D1242" s="62"/>
      <c r="E1242" s="62"/>
      <c r="F1242" s="62"/>
      <c r="G1242" s="62"/>
      <c r="H1242" s="62"/>
      <c r="I1242" s="12"/>
    </row>
    <row r="1243" spans="2:9">
      <c r="B1243" s="11"/>
      <c r="C1243" s="61"/>
      <c r="D1243" s="62"/>
      <c r="E1243" s="62"/>
      <c r="F1243" s="62"/>
      <c r="G1243" s="62"/>
      <c r="H1243" s="62"/>
      <c r="I1243" s="12"/>
    </row>
    <row r="1244" spans="2:9">
      <c r="B1244" s="11"/>
      <c r="C1244" s="61"/>
      <c r="D1244" s="62"/>
      <c r="E1244" s="62"/>
      <c r="F1244" s="62"/>
      <c r="G1244" s="62"/>
      <c r="H1244" s="62"/>
      <c r="I1244" s="12"/>
    </row>
    <row r="1245" spans="2:9">
      <c r="B1245" s="11"/>
      <c r="C1245" s="61"/>
      <c r="D1245" s="62"/>
      <c r="E1245" s="62"/>
      <c r="F1245" s="62"/>
      <c r="G1245" s="62"/>
      <c r="H1245" s="62"/>
      <c r="I1245" s="12"/>
    </row>
    <row r="1246" spans="2:9">
      <c r="B1246" s="11"/>
      <c r="C1246" s="61"/>
      <c r="D1246" s="62"/>
      <c r="E1246" s="62"/>
      <c r="F1246" s="62"/>
      <c r="G1246" s="62"/>
      <c r="H1246" s="62"/>
      <c r="I1246" s="12"/>
    </row>
    <row r="1247" spans="2:9">
      <c r="B1247" s="11"/>
      <c r="C1247" s="61"/>
      <c r="D1247" s="62"/>
      <c r="E1247" s="62"/>
      <c r="F1247" s="62"/>
      <c r="G1247" s="62"/>
      <c r="H1247" s="62"/>
      <c r="I1247" s="12"/>
    </row>
    <row r="1248" spans="2:9">
      <c r="B1248" s="11"/>
      <c r="C1248" s="61"/>
      <c r="D1248" s="62"/>
      <c r="E1248" s="62"/>
      <c r="F1248" s="62"/>
      <c r="G1248" s="62"/>
      <c r="H1248" s="62"/>
      <c r="I1248" s="12"/>
    </row>
    <row r="1249" spans="2:9">
      <c r="B1249" s="11"/>
      <c r="C1249" s="61"/>
      <c r="D1249" s="62"/>
      <c r="E1249" s="62"/>
      <c r="F1249" s="62"/>
      <c r="G1249" s="62"/>
      <c r="H1249" s="62"/>
      <c r="I1249" s="12"/>
    </row>
    <row r="1250" spans="2:9">
      <c r="B1250" s="11"/>
      <c r="C1250" s="61"/>
      <c r="D1250" s="62"/>
      <c r="E1250" s="62"/>
      <c r="F1250" s="62"/>
      <c r="G1250" s="62"/>
      <c r="H1250" s="62"/>
      <c r="I1250" s="12"/>
    </row>
    <row r="1251" spans="2:9">
      <c r="B1251" s="11"/>
      <c r="C1251" s="61"/>
      <c r="D1251" s="62"/>
      <c r="E1251" s="62"/>
      <c r="F1251" s="62"/>
      <c r="G1251" s="62"/>
      <c r="H1251" s="62"/>
      <c r="I1251" s="12"/>
    </row>
    <row r="1252" spans="2:9">
      <c r="B1252" s="11"/>
      <c r="C1252" s="61"/>
      <c r="D1252" s="62"/>
      <c r="E1252" s="62"/>
      <c r="F1252" s="62"/>
      <c r="G1252" s="62"/>
      <c r="H1252" s="62"/>
      <c r="I1252" s="12"/>
    </row>
    <row r="1253" spans="2:9">
      <c r="B1253" s="11"/>
      <c r="C1253" s="61"/>
      <c r="D1253" s="62"/>
      <c r="E1253" s="62"/>
      <c r="F1253" s="62"/>
      <c r="G1253" s="62"/>
      <c r="H1253" s="62"/>
      <c r="I1253" s="12"/>
    </row>
    <row r="1254" spans="2:9">
      <c r="B1254" s="11"/>
      <c r="C1254" s="61"/>
      <c r="D1254" s="62"/>
      <c r="E1254" s="62"/>
      <c r="F1254" s="62"/>
      <c r="G1254" s="62"/>
      <c r="H1254" s="62"/>
      <c r="I1254" s="12"/>
    </row>
    <row r="1255" spans="2:9">
      <c r="B1255" s="11"/>
      <c r="C1255" s="61"/>
      <c r="D1255" s="62"/>
      <c r="E1255" s="62"/>
      <c r="F1255" s="62"/>
      <c r="G1255" s="62"/>
      <c r="H1255" s="62"/>
      <c r="I1255" s="12"/>
    </row>
    <row r="1256" spans="2:9">
      <c r="B1256" s="11"/>
      <c r="C1256" s="61"/>
      <c r="D1256" s="62"/>
      <c r="E1256" s="62"/>
      <c r="F1256" s="62"/>
      <c r="G1256" s="62"/>
      <c r="H1256" s="62"/>
      <c r="I1256" s="12"/>
    </row>
    <row r="1257" spans="2:9">
      <c r="B1257" s="11"/>
      <c r="C1257" s="61"/>
      <c r="D1257" s="62"/>
      <c r="E1257" s="62"/>
      <c r="F1257" s="62"/>
      <c r="G1257" s="62"/>
      <c r="H1257" s="62"/>
      <c r="I1257" s="12"/>
    </row>
    <row r="1258" spans="2:9">
      <c r="B1258" s="11"/>
      <c r="C1258" s="61"/>
      <c r="D1258" s="62"/>
      <c r="E1258" s="62"/>
      <c r="F1258" s="62"/>
      <c r="G1258" s="62"/>
      <c r="H1258" s="62"/>
      <c r="I1258" s="12"/>
    </row>
    <row r="1259" spans="2:9">
      <c r="B1259" s="11"/>
      <c r="C1259" s="61"/>
      <c r="D1259" s="62"/>
      <c r="E1259" s="62"/>
      <c r="F1259" s="62"/>
      <c r="G1259" s="62"/>
      <c r="H1259" s="62"/>
      <c r="I1259" s="12"/>
    </row>
    <row r="1260" spans="2:9">
      <c r="B1260" s="11"/>
      <c r="C1260" s="61"/>
      <c r="D1260" s="62"/>
      <c r="E1260" s="62"/>
      <c r="F1260" s="62"/>
      <c r="G1260" s="62"/>
      <c r="H1260" s="62"/>
      <c r="I1260" s="12"/>
    </row>
    <row r="1261" spans="2:9">
      <c r="B1261" s="11"/>
      <c r="C1261" s="61"/>
      <c r="D1261" s="62"/>
      <c r="E1261" s="62"/>
      <c r="F1261" s="62"/>
      <c r="G1261" s="62"/>
      <c r="H1261" s="62"/>
      <c r="I1261" s="12"/>
    </row>
    <row r="1262" spans="2:9">
      <c r="B1262" s="11"/>
      <c r="C1262" s="61"/>
      <c r="D1262" s="62"/>
      <c r="E1262" s="62"/>
      <c r="F1262" s="62"/>
      <c r="G1262" s="62"/>
      <c r="H1262" s="62"/>
      <c r="I1262" s="12"/>
    </row>
    <row r="1263" spans="2:9">
      <c r="B1263" s="11"/>
      <c r="C1263" s="61"/>
      <c r="D1263" s="62"/>
      <c r="E1263" s="62"/>
      <c r="F1263" s="62"/>
      <c r="G1263" s="62"/>
      <c r="H1263" s="62"/>
      <c r="I1263" s="12"/>
    </row>
    <row r="1264" spans="2:9">
      <c r="B1264" s="11"/>
      <c r="C1264" s="61"/>
      <c r="D1264" s="62"/>
      <c r="E1264" s="62"/>
      <c r="F1264" s="62"/>
      <c r="G1264" s="62"/>
      <c r="H1264" s="62"/>
      <c r="I1264" s="12"/>
    </row>
    <row r="1265" spans="2:9">
      <c r="B1265" s="11"/>
      <c r="C1265" s="61"/>
      <c r="D1265" s="62"/>
      <c r="E1265" s="62"/>
      <c r="F1265" s="62"/>
      <c r="G1265" s="62"/>
      <c r="H1265" s="62"/>
      <c r="I1265" s="12"/>
    </row>
    <row r="1266" spans="2:9">
      <c r="B1266" s="11"/>
      <c r="C1266" s="61"/>
      <c r="D1266" s="62"/>
      <c r="E1266" s="62"/>
      <c r="F1266" s="62"/>
      <c r="G1266" s="62"/>
      <c r="H1266" s="62"/>
      <c r="I1266" s="12"/>
    </row>
    <row r="1267" spans="2:9">
      <c r="B1267" s="11"/>
      <c r="C1267" s="61"/>
      <c r="D1267" s="62"/>
      <c r="E1267" s="62"/>
      <c r="F1267" s="62"/>
      <c r="G1267" s="62"/>
      <c r="H1267" s="62"/>
      <c r="I1267" s="12"/>
    </row>
    <row r="1268" spans="2:9">
      <c r="B1268" s="11"/>
      <c r="C1268" s="61"/>
      <c r="D1268" s="62"/>
      <c r="E1268" s="62"/>
      <c r="F1268" s="62"/>
      <c r="G1268" s="62"/>
      <c r="H1268" s="62"/>
      <c r="I1268" s="12"/>
    </row>
    <row r="1269" spans="2:9">
      <c r="B1269" s="11"/>
      <c r="C1269" s="61"/>
      <c r="D1269" s="62"/>
      <c r="E1269" s="62"/>
      <c r="F1269" s="62"/>
      <c r="G1269" s="62"/>
      <c r="H1269" s="62"/>
      <c r="I1269" s="12"/>
    </row>
    <row r="1270" spans="2:9">
      <c r="B1270" s="11"/>
      <c r="C1270" s="61"/>
      <c r="D1270" s="62"/>
      <c r="E1270" s="62"/>
      <c r="F1270" s="62"/>
      <c r="G1270" s="62"/>
      <c r="H1270" s="62"/>
      <c r="I1270" s="12"/>
    </row>
    <row r="1271" spans="2:9">
      <c r="B1271" s="11"/>
      <c r="C1271" s="61"/>
      <c r="D1271" s="62"/>
      <c r="E1271" s="62"/>
      <c r="F1271" s="62"/>
      <c r="G1271" s="62"/>
      <c r="H1271" s="62"/>
      <c r="I1271" s="12"/>
    </row>
    <row r="1272" spans="2:9">
      <c r="B1272" s="11"/>
      <c r="C1272" s="61"/>
      <c r="D1272" s="62"/>
      <c r="E1272" s="62"/>
      <c r="F1272" s="62"/>
      <c r="G1272" s="62"/>
      <c r="H1272" s="62"/>
      <c r="I1272" s="12"/>
    </row>
    <row r="1273" spans="2:9">
      <c r="B1273" s="11"/>
      <c r="C1273" s="61"/>
      <c r="D1273" s="62"/>
      <c r="E1273" s="62"/>
      <c r="F1273" s="62"/>
      <c r="G1273" s="62"/>
      <c r="H1273" s="62"/>
      <c r="I1273" s="12"/>
    </row>
    <row r="1274" spans="2:9">
      <c r="B1274" s="11"/>
      <c r="C1274" s="61"/>
      <c r="D1274" s="62"/>
      <c r="E1274" s="62"/>
      <c r="F1274" s="62"/>
      <c r="G1274" s="62"/>
      <c r="H1274" s="62"/>
      <c r="I1274" s="12"/>
    </row>
    <row r="1275" spans="2:9">
      <c r="B1275" s="11"/>
      <c r="C1275" s="61"/>
      <c r="D1275" s="62"/>
      <c r="E1275" s="62"/>
      <c r="F1275" s="62"/>
      <c r="G1275" s="62"/>
      <c r="H1275" s="62"/>
      <c r="I1275" s="12"/>
    </row>
    <row r="1276" spans="2:9">
      <c r="B1276" s="11"/>
      <c r="C1276" s="61"/>
      <c r="D1276" s="62"/>
      <c r="E1276" s="62"/>
      <c r="F1276" s="62"/>
      <c r="G1276" s="62"/>
      <c r="H1276" s="62"/>
      <c r="I1276" s="12"/>
    </row>
    <row r="1277" spans="2:9">
      <c r="B1277" s="11"/>
      <c r="C1277" s="61"/>
      <c r="D1277" s="62"/>
      <c r="E1277" s="62"/>
      <c r="F1277" s="62"/>
      <c r="G1277" s="62"/>
      <c r="H1277" s="62"/>
      <c r="I1277" s="12"/>
    </row>
    <row r="1278" spans="2:9">
      <c r="B1278" s="11"/>
      <c r="C1278" s="61"/>
      <c r="D1278" s="62"/>
      <c r="E1278" s="62"/>
      <c r="F1278" s="62"/>
      <c r="G1278" s="62"/>
      <c r="H1278" s="62"/>
      <c r="I1278" s="12"/>
    </row>
    <row r="1279" spans="2:9">
      <c r="B1279" s="11"/>
      <c r="C1279" s="61"/>
      <c r="D1279" s="62"/>
      <c r="E1279" s="62"/>
      <c r="F1279" s="62"/>
      <c r="G1279" s="62"/>
      <c r="H1279" s="62"/>
      <c r="I1279" s="12"/>
    </row>
    <row r="1280" spans="2:9">
      <c r="B1280" s="11"/>
      <c r="C1280" s="61"/>
      <c r="D1280" s="62"/>
      <c r="E1280" s="62"/>
      <c r="F1280" s="62"/>
      <c r="G1280" s="62"/>
      <c r="H1280" s="62"/>
      <c r="I1280" s="12"/>
    </row>
    <row r="1281" spans="2:9">
      <c r="B1281" s="11"/>
      <c r="C1281" s="61"/>
      <c r="D1281" s="62"/>
      <c r="E1281" s="62"/>
      <c r="F1281" s="62"/>
      <c r="G1281" s="62"/>
      <c r="H1281" s="62"/>
      <c r="I1281" s="12"/>
    </row>
    <row r="1282" spans="2:9">
      <c r="B1282" s="11"/>
      <c r="C1282" s="61"/>
      <c r="D1282" s="62"/>
      <c r="E1282" s="62"/>
      <c r="F1282" s="62"/>
      <c r="G1282" s="62"/>
      <c r="H1282" s="62"/>
      <c r="I1282" s="12"/>
    </row>
    <row r="1283" spans="2:9">
      <c r="B1283" s="11"/>
      <c r="C1283" s="61"/>
      <c r="D1283" s="62"/>
      <c r="E1283" s="62"/>
      <c r="F1283" s="62"/>
      <c r="G1283" s="62"/>
      <c r="H1283" s="62"/>
      <c r="I1283" s="12"/>
    </row>
    <row r="1284" spans="2:9">
      <c r="B1284" s="11"/>
      <c r="C1284" s="61"/>
      <c r="D1284" s="62"/>
      <c r="E1284" s="62"/>
      <c r="F1284" s="62"/>
      <c r="G1284" s="62"/>
      <c r="H1284" s="62"/>
      <c r="I1284" s="12"/>
    </row>
    <row r="1285" spans="2:9">
      <c r="B1285" s="11"/>
      <c r="C1285" s="61"/>
      <c r="D1285" s="62"/>
      <c r="E1285" s="62"/>
      <c r="F1285" s="62"/>
      <c r="G1285" s="62"/>
      <c r="H1285" s="62"/>
      <c r="I1285" s="12"/>
    </row>
    <row r="1286" spans="2:9">
      <c r="B1286" s="11"/>
      <c r="C1286" s="61"/>
      <c r="D1286" s="62"/>
      <c r="E1286" s="62"/>
      <c r="F1286" s="62"/>
      <c r="G1286" s="62"/>
      <c r="H1286" s="62"/>
      <c r="I1286" s="12"/>
    </row>
    <row r="1287" spans="2:9">
      <c r="B1287" s="11"/>
      <c r="C1287" s="61"/>
      <c r="D1287" s="62"/>
      <c r="E1287" s="62"/>
      <c r="F1287" s="62"/>
      <c r="G1287" s="62"/>
      <c r="H1287" s="62"/>
      <c r="I1287" s="12"/>
    </row>
    <row r="1288" spans="2:9">
      <c r="B1288" s="11"/>
      <c r="C1288" s="61"/>
      <c r="D1288" s="62"/>
      <c r="E1288" s="62"/>
      <c r="F1288" s="62"/>
      <c r="G1288" s="62"/>
      <c r="H1288" s="62"/>
      <c r="I1288" s="12"/>
    </row>
    <row r="1289" spans="2:9">
      <c r="B1289" s="11"/>
      <c r="C1289" s="61"/>
      <c r="D1289" s="62"/>
      <c r="E1289" s="62"/>
      <c r="F1289" s="62"/>
      <c r="G1289" s="62"/>
      <c r="H1289" s="62"/>
      <c r="I1289" s="12"/>
    </row>
    <row r="1290" spans="2:9">
      <c r="B1290" s="11"/>
      <c r="C1290" s="61"/>
      <c r="D1290" s="62"/>
      <c r="E1290" s="62"/>
      <c r="F1290" s="62"/>
      <c r="G1290" s="62"/>
      <c r="H1290" s="62"/>
      <c r="I1290" s="12"/>
    </row>
    <row r="1291" spans="2:9">
      <c r="B1291" s="11"/>
      <c r="C1291" s="61"/>
      <c r="D1291" s="62"/>
      <c r="E1291" s="62"/>
      <c r="F1291" s="62"/>
      <c r="G1291" s="62"/>
      <c r="H1291" s="62"/>
      <c r="I1291" s="12"/>
    </row>
    <row r="1292" spans="2:9">
      <c r="B1292" s="11"/>
      <c r="C1292" s="61"/>
      <c r="D1292" s="62"/>
      <c r="E1292" s="62"/>
      <c r="F1292" s="62"/>
      <c r="G1292" s="62"/>
      <c r="H1292" s="62"/>
      <c r="I1292" s="12"/>
    </row>
    <row r="1293" spans="2:9">
      <c r="B1293" s="11"/>
      <c r="C1293" s="61"/>
      <c r="D1293" s="62"/>
      <c r="E1293" s="62"/>
      <c r="F1293" s="62"/>
      <c r="G1293" s="62"/>
      <c r="H1293" s="62"/>
      <c r="I1293" s="12"/>
    </row>
    <row r="1294" spans="2:9">
      <c r="B1294" s="11"/>
      <c r="C1294" s="61"/>
      <c r="D1294" s="62"/>
      <c r="E1294" s="62"/>
      <c r="F1294" s="62"/>
      <c r="G1294" s="62"/>
      <c r="H1294" s="62"/>
      <c r="I1294" s="12"/>
    </row>
    <row r="1295" spans="2:9">
      <c r="B1295" s="11"/>
      <c r="C1295" s="61"/>
      <c r="D1295" s="62"/>
      <c r="E1295" s="62"/>
      <c r="F1295" s="62"/>
      <c r="G1295" s="62"/>
      <c r="H1295" s="62"/>
      <c r="I1295" s="12"/>
    </row>
    <row r="1296" spans="2:9">
      <c r="B1296" s="11"/>
      <c r="C1296" s="61"/>
      <c r="D1296" s="62"/>
      <c r="E1296" s="62"/>
      <c r="F1296" s="62"/>
      <c r="G1296" s="62"/>
      <c r="H1296" s="62"/>
      <c r="I1296" s="12"/>
    </row>
    <row r="1297" spans="2:9">
      <c r="B1297" s="11"/>
      <c r="C1297" s="61"/>
      <c r="D1297" s="62"/>
      <c r="E1297" s="62"/>
      <c r="F1297" s="62"/>
      <c r="G1297" s="62"/>
      <c r="H1297" s="62"/>
      <c r="I1297" s="12"/>
    </row>
    <row r="1298" spans="2:9">
      <c r="B1298" s="11"/>
      <c r="C1298" s="61"/>
      <c r="D1298" s="62"/>
      <c r="E1298" s="62"/>
      <c r="F1298" s="62"/>
      <c r="G1298" s="62"/>
      <c r="H1298" s="62"/>
      <c r="I1298" s="12"/>
    </row>
    <row r="1299" spans="2:9">
      <c r="B1299" s="11"/>
      <c r="C1299" s="61"/>
      <c r="D1299" s="62"/>
      <c r="E1299" s="62"/>
      <c r="F1299" s="62"/>
      <c r="G1299" s="62"/>
      <c r="H1299" s="62"/>
      <c r="I1299" s="12"/>
    </row>
    <row r="1300" spans="2:9">
      <c r="B1300" s="11"/>
      <c r="C1300" s="61"/>
      <c r="D1300" s="62"/>
      <c r="E1300" s="62"/>
      <c r="F1300" s="62"/>
      <c r="G1300" s="62"/>
      <c r="H1300" s="62"/>
      <c r="I1300" s="12"/>
    </row>
    <row r="1301" spans="2:9">
      <c r="B1301" s="11"/>
      <c r="C1301" s="61"/>
      <c r="D1301" s="62"/>
      <c r="E1301" s="62"/>
      <c r="F1301" s="62"/>
      <c r="G1301" s="62"/>
      <c r="H1301" s="62"/>
      <c r="I1301" s="12"/>
    </row>
    <row r="1302" spans="2:9">
      <c r="B1302" s="11"/>
      <c r="C1302" s="61"/>
      <c r="D1302" s="62"/>
      <c r="E1302" s="62"/>
      <c r="F1302" s="62"/>
      <c r="G1302" s="62"/>
      <c r="H1302" s="62"/>
      <c r="I1302" s="12"/>
    </row>
    <row r="1303" spans="2:9">
      <c r="B1303" s="11"/>
      <c r="C1303" s="61"/>
      <c r="D1303" s="62"/>
      <c r="E1303" s="62"/>
      <c r="F1303" s="62"/>
      <c r="G1303" s="62"/>
      <c r="H1303" s="62"/>
      <c r="I1303" s="12"/>
    </row>
    <row r="1304" spans="2:9">
      <c r="B1304" s="11"/>
      <c r="C1304" s="61"/>
      <c r="D1304" s="62"/>
      <c r="E1304" s="62"/>
      <c r="F1304" s="62"/>
      <c r="G1304" s="62"/>
      <c r="H1304" s="62"/>
      <c r="I1304" s="12"/>
    </row>
    <row r="1305" spans="2:9">
      <c r="B1305" s="11"/>
      <c r="C1305" s="61"/>
      <c r="D1305" s="62"/>
      <c r="E1305" s="62"/>
      <c r="F1305" s="62"/>
      <c r="G1305" s="62"/>
      <c r="H1305" s="62"/>
      <c r="I1305" s="12"/>
    </row>
    <row r="1306" spans="2:9">
      <c r="B1306" s="11"/>
      <c r="C1306" s="61"/>
      <c r="D1306" s="62"/>
      <c r="E1306" s="62"/>
      <c r="F1306" s="62"/>
      <c r="G1306" s="62"/>
      <c r="H1306" s="62"/>
      <c r="I1306" s="12"/>
    </row>
    <row r="1307" spans="2:9">
      <c r="B1307" s="11"/>
      <c r="C1307" s="61"/>
      <c r="D1307" s="62"/>
      <c r="E1307" s="62"/>
      <c r="F1307" s="62"/>
      <c r="G1307" s="62"/>
      <c r="H1307" s="62"/>
      <c r="I1307" s="12"/>
    </row>
    <row r="1308" spans="2:9">
      <c r="B1308" s="11"/>
      <c r="C1308" s="61"/>
      <c r="D1308" s="62"/>
      <c r="E1308" s="62"/>
      <c r="F1308" s="62"/>
      <c r="G1308" s="62"/>
      <c r="H1308" s="62"/>
      <c r="I1308" s="12"/>
    </row>
    <row r="1309" spans="2:9">
      <c r="B1309" s="11"/>
      <c r="C1309" s="61"/>
      <c r="D1309" s="62"/>
      <c r="E1309" s="62"/>
      <c r="F1309" s="62"/>
      <c r="G1309" s="62"/>
      <c r="H1309" s="62"/>
      <c r="I1309" s="12"/>
    </row>
    <row r="1310" spans="2:9">
      <c r="B1310" s="11"/>
      <c r="C1310" s="61"/>
      <c r="D1310" s="62"/>
      <c r="E1310" s="62"/>
      <c r="F1310" s="62"/>
      <c r="G1310" s="62"/>
      <c r="H1310" s="62"/>
      <c r="I1310" s="12"/>
    </row>
    <row r="1311" spans="2:9">
      <c r="B1311" s="11"/>
      <c r="C1311" s="61"/>
      <c r="D1311" s="62"/>
      <c r="E1311" s="62"/>
      <c r="F1311" s="62"/>
      <c r="G1311" s="62"/>
      <c r="H1311" s="62"/>
      <c r="I1311" s="12"/>
    </row>
    <row r="1312" spans="2:9">
      <c r="B1312" s="11"/>
      <c r="C1312" s="61"/>
      <c r="D1312" s="62"/>
      <c r="E1312" s="62"/>
      <c r="F1312" s="62"/>
      <c r="G1312" s="62"/>
      <c r="H1312" s="62"/>
      <c r="I1312" s="12"/>
    </row>
    <row r="1313" spans="2:9">
      <c r="B1313" s="11"/>
      <c r="C1313" s="61"/>
      <c r="D1313" s="62"/>
      <c r="E1313" s="62"/>
      <c r="F1313" s="62"/>
      <c r="G1313" s="62"/>
      <c r="H1313" s="62"/>
      <c r="I1313" s="12"/>
    </row>
    <row r="1314" spans="2:9">
      <c r="B1314" s="11"/>
      <c r="C1314" s="61"/>
      <c r="D1314" s="62"/>
      <c r="E1314" s="62"/>
      <c r="F1314" s="62"/>
      <c r="G1314" s="62"/>
      <c r="H1314" s="62"/>
      <c r="I1314" s="12"/>
    </row>
    <row r="1315" spans="2:9">
      <c r="B1315" s="11"/>
      <c r="C1315" s="61"/>
      <c r="D1315" s="62"/>
      <c r="E1315" s="62"/>
      <c r="F1315" s="62"/>
      <c r="G1315" s="62"/>
      <c r="H1315" s="62"/>
      <c r="I1315" s="12"/>
    </row>
    <row r="1316" spans="2:9">
      <c r="B1316" s="11"/>
      <c r="C1316" s="61"/>
      <c r="D1316" s="62"/>
      <c r="E1316" s="62"/>
      <c r="F1316" s="62"/>
      <c r="G1316" s="62"/>
      <c r="H1316" s="62"/>
      <c r="I1316" s="12"/>
    </row>
    <row r="1317" spans="2:9">
      <c r="B1317" s="11"/>
      <c r="C1317" s="61"/>
      <c r="D1317" s="62"/>
      <c r="E1317" s="62"/>
      <c r="F1317" s="62"/>
      <c r="G1317" s="62"/>
      <c r="H1317" s="62"/>
      <c r="I1317" s="12"/>
    </row>
    <row r="1318" spans="2:9">
      <c r="B1318" s="11"/>
      <c r="C1318" s="61"/>
      <c r="D1318" s="62"/>
      <c r="E1318" s="62"/>
      <c r="F1318" s="62"/>
      <c r="G1318" s="62"/>
      <c r="H1318" s="62"/>
      <c r="I1318" s="12"/>
    </row>
    <row r="1319" spans="2:9">
      <c r="B1319" s="11"/>
      <c r="C1319" s="61"/>
      <c r="D1319" s="62"/>
      <c r="E1319" s="62"/>
      <c r="F1319" s="62"/>
      <c r="G1319" s="62"/>
      <c r="H1319" s="62"/>
      <c r="I1319" s="12"/>
    </row>
    <row r="1320" spans="2:9">
      <c r="B1320" s="11"/>
      <c r="C1320" s="61"/>
      <c r="D1320" s="62"/>
      <c r="E1320" s="62"/>
      <c r="F1320" s="62"/>
      <c r="G1320" s="62"/>
      <c r="H1320" s="62"/>
      <c r="I1320" s="12"/>
    </row>
    <row r="1321" spans="2:9">
      <c r="B1321" s="11"/>
      <c r="C1321" s="61"/>
      <c r="D1321" s="62"/>
      <c r="E1321" s="62"/>
      <c r="F1321" s="62"/>
      <c r="G1321" s="62"/>
      <c r="H1321" s="62"/>
      <c r="I1321" s="12"/>
    </row>
    <row r="1322" spans="2:9">
      <c r="B1322" s="11"/>
      <c r="C1322" s="61"/>
      <c r="D1322" s="62"/>
      <c r="E1322" s="62"/>
      <c r="F1322" s="62"/>
      <c r="G1322" s="62"/>
      <c r="H1322" s="62"/>
      <c r="I1322" s="12"/>
    </row>
    <row r="1323" spans="2:9">
      <c r="B1323" s="11"/>
      <c r="C1323" s="61"/>
      <c r="D1323" s="62"/>
      <c r="E1323" s="62"/>
      <c r="F1323" s="62"/>
      <c r="G1323" s="62"/>
      <c r="H1323" s="62"/>
      <c r="I1323" s="12"/>
    </row>
    <row r="1324" spans="2:9">
      <c r="B1324" s="11"/>
      <c r="C1324" s="61"/>
      <c r="D1324" s="62"/>
      <c r="E1324" s="62"/>
      <c r="F1324" s="62"/>
      <c r="G1324" s="62"/>
      <c r="H1324" s="62"/>
      <c r="I1324" s="12"/>
    </row>
    <row r="1325" spans="2:9">
      <c r="B1325" s="11"/>
      <c r="C1325" s="61"/>
      <c r="D1325" s="62"/>
      <c r="E1325" s="62"/>
      <c r="F1325" s="62"/>
      <c r="G1325" s="62"/>
      <c r="H1325" s="62"/>
      <c r="I1325" s="12"/>
    </row>
    <row r="1326" spans="2:9">
      <c r="B1326" s="11"/>
      <c r="C1326" s="61"/>
      <c r="D1326" s="62"/>
      <c r="E1326" s="62"/>
      <c r="F1326" s="62"/>
      <c r="G1326" s="62"/>
      <c r="H1326" s="62"/>
      <c r="I1326" s="12"/>
    </row>
    <row r="1327" spans="2:9">
      <c r="B1327" s="11"/>
      <c r="C1327" s="61"/>
      <c r="D1327" s="62"/>
      <c r="E1327" s="62"/>
      <c r="F1327" s="62"/>
      <c r="G1327" s="62"/>
      <c r="H1327" s="62"/>
      <c r="I1327" s="12"/>
    </row>
    <row r="1328" spans="2:9">
      <c r="B1328" s="11"/>
      <c r="C1328" s="61"/>
      <c r="D1328" s="62"/>
      <c r="E1328" s="62"/>
      <c r="F1328" s="62"/>
      <c r="G1328" s="62"/>
      <c r="H1328" s="62"/>
      <c r="I1328" s="12"/>
    </row>
    <row r="1329" spans="2:9">
      <c r="B1329" s="11"/>
      <c r="C1329" s="61"/>
      <c r="D1329" s="62"/>
      <c r="E1329" s="62"/>
      <c r="F1329" s="62"/>
      <c r="G1329" s="62"/>
      <c r="H1329" s="62"/>
      <c r="I1329" s="12"/>
    </row>
    <row r="1330" spans="2:9">
      <c r="B1330" s="11"/>
      <c r="C1330" s="61"/>
      <c r="D1330" s="62"/>
      <c r="E1330" s="62"/>
      <c r="F1330" s="62"/>
      <c r="G1330" s="62"/>
      <c r="H1330" s="62"/>
      <c r="I1330" s="12"/>
    </row>
    <row r="1331" spans="2:9">
      <c r="B1331" s="11"/>
      <c r="C1331" s="61"/>
      <c r="D1331" s="62"/>
      <c r="E1331" s="62"/>
      <c r="F1331" s="62"/>
      <c r="G1331" s="62"/>
      <c r="H1331" s="62"/>
      <c r="I1331" s="12"/>
    </row>
    <row r="1332" spans="2:9">
      <c r="B1332" s="11"/>
      <c r="C1332" s="61"/>
      <c r="D1332" s="62"/>
      <c r="E1332" s="62"/>
      <c r="F1332" s="62"/>
      <c r="G1332" s="62"/>
      <c r="H1332" s="62"/>
      <c r="I1332" s="12"/>
    </row>
    <row r="1333" spans="2:9">
      <c r="B1333" s="11"/>
      <c r="C1333" s="61"/>
      <c r="D1333" s="62"/>
      <c r="E1333" s="62"/>
      <c r="F1333" s="62"/>
      <c r="G1333" s="62"/>
      <c r="H1333" s="62"/>
      <c r="I1333" s="12"/>
    </row>
    <row r="1334" spans="2:9">
      <c r="B1334" s="11"/>
      <c r="C1334" s="61"/>
      <c r="D1334" s="62"/>
      <c r="E1334" s="62"/>
      <c r="F1334" s="62"/>
      <c r="G1334" s="62"/>
      <c r="H1334" s="62"/>
      <c r="I1334" s="12"/>
    </row>
    <row r="1335" spans="2:9">
      <c r="B1335" s="11"/>
      <c r="C1335" s="61"/>
      <c r="D1335" s="62"/>
      <c r="E1335" s="62"/>
      <c r="F1335" s="62"/>
      <c r="G1335" s="62"/>
      <c r="H1335" s="62"/>
      <c r="I1335" s="12"/>
    </row>
    <row r="1336" spans="2:9">
      <c r="B1336" s="11"/>
      <c r="C1336" s="61"/>
      <c r="D1336" s="62"/>
      <c r="E1336" s="62"/>
      <c r="F1336" s="62"/>
      <c r="G1336" s="62"/>
      <c r="H1336" s="62"/>
      <c r="I1336" s="12"/>
    </row>
    <row r="1337" spans="2:9">
      <c r="B1337" s="11"/>
      <c r="C1337" s="61"/>
      <c r="D1337" s="62"/>
      <c r="E1337" s="62"/>
      <c r="F1337" s="62"/>
      <c r="G1337" s="62"/>
      <c r="H1337" s="62"/>
      <c r="I1337" s="12"/>
    </row>
    <row r="1338" spans="2:9">
      <c r="B1338" s="11"/>
      <c r="C1338" s="61"/>
      <c r="D1338" s="62"/>
      <c r="E1338" s="62"/>
      <c r="F1338" s="62"/>
      <c r="G1338" s="62"/>
      <c r="H1338" s="62"/>
      <c r="I1338" s="12"/>
    </row>
    <row r="1339" spans="2:9">
      <c r="B1339" s="11"/>
      <c r="C1339" s="61"/>
      <c r="D1339" s="62"/>
      <c r="E1339" s="62"/>
      <c r="F1339" s="62"/>
      <c r="G1339" s="62"/>
      <c r="H1339" s="62"/>
      <c r="I1339" s="12"/>
    </row>
    <row r="1340" spans="2:9">
      <c r="B1340" s="11"/>
      <c r="C1340" s="61"/>
      <c r="D1340" s="62"/>
      <c r="E1340" s="62"/>
      <c r="F1340" s="62"/>
      <c r="G1340" s="62"/>
      <c r="H1340" s="62"/>
      <c r="I1340" s="12"/>
    </row>
    <row r="1341" spans="2:9">
      <c r="B1341" s="11"/>
      <c r="C1341" s="61"/>
      <c r="D1341" s="62"/>
      <c r="E1341" s="62"/>
      <c r="F1341" s="62"/>
      <c r="G1341" s="62"/>
      <c r="H1341" s="62"/>
      <c r="I1341" s="12"/>
    </row>
    <row r="1342" spans="2:9">
      <c r="B1342" s="11"/>
      <c r="C1342" s="61"/>
      <c r="D1342" s="62"/>
      <c r="E1342" s="62"/>
      <c r="F1342" s="62"/>
      <c r="G1342" s="62"/>
      <c r="H1342" s="62"/>
      <c r="I1342" s="12"/>
    </row>
    <row r="1343" spans="2:9">
      <c r="B1343" s="11"/>
      <c r="C1343" s="61"/>
      <c r="D1343" s="62"/>
      <c r="E1343" s="62"/>
      <c r="F1343" s="62"/>
      <c r="G1343" s="62"/>
      <c r="H1343" s="62"/>
      <c r="I1343" s="12"/>
    </row>
    <row r="1344" spans="2:9">
      <c r="B1344" s="11"/>
      <c r="C1344" s="61"/>
      <c r="D1344" s="62"/>
      <c r="E1344" s="62"/>
      <c r="F1344" s="62"/>
      <c r="G1344" s="62"/>
      <c r="H1344" s="62"/>
      <c r="I1344" s="12"/>
    </row>
    <row r="1345" spans="2:9">
      <c r="B1345" s="11"/>
      <c r="C1345" s="61"/>
      <c r="D1345" s="62"/>
      <c r="E1345" s="62"/>
      <c r="F1345" s="62"/>
      <c r="G1345" s="62"/>
      <c r="H1345" s="62"/>
      <c r="I1345" s="12"/>
    </row>
    <row r="1346" spans="2:9">
      <c r="B1346" s="11"/>
      <c r="C1346" s="61"/>
      <c r="D1346" s="62"/>
      <c r="E1346" s="62"/>
      <c r="F1346" s="62"/>
      <c r="G1346" s="62"/>
      <c r="H1346" s="62"/>
      <c r="I1346" s="12"/>
    </row>
    <row r="1347" spans="2:9">
      <c r="B1347" s="11"/>
      <c r="C1347" s="61"/>
      <c r="D1347" s="62"/>
      <c r="E1347" s="62"/>
      <c r="F1347" s="62"/>
      <c r="G1347" s="62"/>
      <c r="H1347" s="62"/>
      <c r="I1347" s="12"/>
    </row>
    <row r="1348" spans="2:9">
      <c r="B1348" s="11"/>
      <c r="C1348" s="61"/>
      <c r="D1348" s="62"/>
      <c r="E1348" s="62"/>
      <c r="F1348" s="62"/>
      <c r="G1348" s="62"/>
      <c r="H1348" s="62"/>
      <c r="I1348" s="12"/>
    </row>
    <row r="1349" spans="2:9">
      <c r="B1349" s="11"/>
      <c r="C1349" s="61"/>
      <c r="D1349" s="62"/>
      <c r="E1349" s="62"/>
      <c r="F1349" s="62"/>
      <c r="G1349" s="62"/>
      <c r="H1349" s="62"/>
      <c r="I1349" s="12"/>
    </row>
    <row r="1350" spans="2:9">
      <c r="B1350" s="11"/>
      <c r="C1350" s="61"/>
      <c r="D1350" s="62"/>
      <c r="E1350" s="62"/>
      <c r="F1350" s="62"/>
      <c r="G1350" s="62"/>
      <c r="H1350" s="62"/>
      <c r="I1350" s="12"/>
    </row>
    <row r="1351" spans="2:9">
      <c r="B1351" s="11"/>
      <c r="C1351" s="34"/>
      <c r="D1351" s="35"/>
      <c r="E1351" s="35"/>
      <c r="F1351" s="35"/>
      <c r="G1351" s="35"/>
      <c r="H1351" s="39"/>
      <c r="I1351" s="12"/>
    </row>
    <row r="1352" spans="2:9">
      <c r="B1352" s="11"/>
      <c r="C1352" s="34"/>
      <c r="D1352" s="35"/>
      <c r="E1352" s="35"/>
      <c r="F1352" s="35"/>
      <c r="G1352" s="35"/>
      <c r="H1352" s="39"/>
      <c r="I1352" s="12"/>
    </row>
    <row r="1353" spans="2:9">
      <c r="B1353" s="11"/>
      <c r="C1353" s="34"/>
      <c r="D1353" s="35"/>
      <c r="E1353" s="35"/>
      <c r="F1353" s="35"/>
      <c r="G1353" s="35"/>
      <c r="H1353" s="39"/>
      <c r="I1353" s="12"/>
    </row>
    <row r="1354" spans="2:9">
      <c r="B1354" s="11"/>
      <c r="C1354" s="34"/>
      <c r="D1354" s="35"/>
      <c r="E1354" s="35"/>
      <c r="F1354" s="35"/>
      <c r="G1354" s="35"/>
      <c r="H1354" s="39"/>
      <c r="I1354" s="12"/>
    </row>
    <row r="1355" spans="2:9">
      <c r="B1355" s="11"/>
      <c r="C1355" s="34"/>
      <c r="D1355" s="35"/>
      <c r="E1355" s="35"/>
      <c r="F1355" s="35"/>
      <c r="G1355" s="35"/>
      <c r="H1355" s="39"/>
      <c r="I1355" s="12"/>
    </row>
    <row r="1356" spans="2:9">
      <c r="B1356" s="11"/>
      <c r="C1356" s="34"/>
      <c r="D1356" s="35"/>
      <c r="E1356" s="35"/>
      <c r="F1356" s="35"/>
      <c r="G1356" s="35"/>
      <c r="H1356" s="39"/>
      <c r="I1356" s="12"/>
    </row>
    <row r="1357" spans="2:9">
      <c r="B1357" s="11"/>
      <c r="C1357" s="34"/>
      <c r="D1357" s="35"/>
      <c r="E1357" s="35"/>
      <c r="F1357" s="35"/>
      <c r="G1357" s="35"/>
      <c r="H1357" s="39"/>
      <c r="I1357" s="12"/>
    </row>
    <row r="1358" spans="2:9">
      <c r="B1358" s="11"/>
      <c r="C1358" s="34"/>
      <c r="D1358" s="35"/>
      <c r="E1358" s="35"/>
      <c r="F1358" s="35"/>
      <c r="G1358" s="35"/>
      <c r="H1358" s="39"/>
      <c r="I1358" s="12"/>
    </row>
    <row r="1359" spans="2:9">
      <c r="B1359" s="11"/>
      <c r="C1359" s="34"/>
      <c r="D1359" s="35"/>
      <c r="E1359" s="35"/>
      <c r="F1359" s="35"/>
      <c r="G1359" s="35"/>
      <c r="H1359" s="39"/>
      <c r="I1359" s="12"/>
    </row>
    <row r="1360" spans="2:9">
      <c r="B1360" s="11"/>
      <c r="C1360" s="34"/>
      <c r="D1360" s="35"/>
      <c r="E1360" s="35"/>
      <c r="F1360" s="35"/>
      <c r="G1360" s="35"/>
      <c r="H1360" s="39"/>
      <c r="I1360" s="12"/>
    </row>
    <row r="1361" spans="2:9">
      <c r="B1361" s="11"/>
      <c r="C1361" s="34"/>
      <c r="D1361" s="35"/>
      <c r="E1361" s="35"/>
      <c r="F1361" s="35"/>
      <c r="G1361" s="35"/>
      <c r="H1361" s="39"/>
      <c r="I1361" s="12"/>
    </row>
    <row r="1362" spans="2:9">
      <c r="B1362" s="11"/>
      <c r="C1362" s="34"/>
      <c r="D1362" s="35"/>
      <c r="E1362" s="35"/>
      <c r="F1362" s="35"/>
      <c r="G1362" s="35"/>
      <c r="H1362" s="39"/>
      <c r="I1362" s="12"/>
    </row>
    <row r="1363" spans="2:9">
      <c r="B1363" s="11"/>
      <c r="C1363" s="34"/>
      <c r="D1363" s="35"/>
      <c r="E1363" s="35"/>
      <c r="F1363" s="35"/>
      <c r="G1363" s="35"/>
      <c r="H1363" s="39"/>
      <c r="I1363" s="12"/>
    </row>
    <row r="1364" spans="2:9">
      <c r="B1364" s="11"/>
      <c r="C1364" s="34"/>
      <c r="D1364" s="35"/>
      <c r="E1364" s="35"/>
      <c r="F1364" s="35"/>
      <c r="G1364" s="35"/>
      <c r="H1364" s="39"/>
      <c r="I1364" s="12"/>
    </row>
    <row r="1365" spans="2:9">
      <c r="B1365" s="11"/>
      <c r="C1365" s="34"/>
      <c r="D1365" s="35"/>
      <c r="E1365" s="35"/>
      <c r="F1365" s="35"/>
      <c r="G1365" s="35"/>
      <c r="H1365" s="39"/>
      <c r="I1365" s="12"/>
    </row>
    <row r="1366" spans="2:9">
      <c r="B1366" s="11"/>
      <c r="C1366" s="34"/>
      <c r="D1366" s="35"/>
      <c r="E1366" s="35"/>
      <c r="F1366" s="35"/>
      <c r="G1366" s="35"/>
      <c r="H1366" s="39"/>
      <c r="I1366" s="12"/>
    </row>
    <row r="1367" spans="2:9">
      <c r="B1367" s="11"/>
      <c r="C1367" s="34"/>
      <c r="D1367" s="35"/>
      <c r="E1367" s="35"/>
      <c r="F1367" s="35"/>
      <c r="G1367" s="35"/>
      <c r="H1367" s="39"/>
      <c r="I1367" s="12"/>
    </row>
    <row r="1368" spans="2:9">
      <c r="B1368" s="11"/>
      <c r="C1368" s="34"/>
      <c r="D1368" s="35"/>
      <c r="E1368" s="35"/>
      <c r="F1368" s="35"/>
      <c r="G1368" s="35"/>
      <c r="H1368" s="39"/>
      <c r="I1368" s="12"/>
    </row>
    <row r="1369" spans="2:9">
      <c r="B1369" s="11"/>
      <c r="C1369" s="34"/>
      <c r="D1369" s="35"/>
      <c r="E1369" s="35"/>
      <c r="F1369" s="35"/>
      <c r="G1369" s="35"/>
      <c r="H1369" s="39"/>
      <c r="I1369" s="12"/>
    </row>
    <row r="1370" spans="2:9">
      <c r="B1370" s="11"/>
      <c r="C1370" s="34"/>
      <c r="D1370" s="35"/>
      <c r="E1370" s="35"/>
      <c r="F1370" s="35"/>
      <c r="G1370" s="35"/>
      <c r="H1370" s="39"/>
      <c r="I1370" s="12"/>
    </row>
    <row r="1371" spans="2:9">
      <c r="B1371" s="11"/>
      <c r="C1371" s="34"/>
      <c r="D1371" s="35"/>
      <c r="E1371" s="35"/>
      <c r="F1371" s="35"/>
      <c r="G1371" s="35"/>
      <c r="H1371" s="39"/>
      <c r="I1371" s="12"/>
    </row>
    <row r="1372" spans="2:9">
      <c r="B1372" s="11"/>
      <c r="C1372" s="34"/>
      <c r="D1372" s="35"/>
      <c r="E1372" s="35"/>
      <c r="F1372" s="35"/>
      <c r="G1372" s="35"/>
      <c r="H1372" s="39"/>
      <c r="I1372" s="12"/>
    </row>
    <row r="1373" spans="2:9">
      <c r="B1373" s="11"/>
      <c r="C1373" s="34"/>
      <c r="D1373" s="35"/>
      <c r="E1373" s="35"/>
      <c r="F1373" s="35"/>
      <c r="G1373" s="35"/>
      <c r="H1373" s="39"/>
      <c r="I1373" s="12"/>
    </row>
    <row r="1374" spans="2:9">
      <c r="B1374" s="11"/>
      <c r="C1374" s="34"/>
      <c r="D1374" s="35"/>
      <c r="E1374" s="35"/>
      <c r="F1374" s="35"/>
      <c r="G1374" s="35"/>
      <c r="H1374" s="39"/>
      <c r="I1374" s="12"/>
    </row>
    <row r="1375" spans="2:9">
      <c r="B1375" s="11"/>
      <c r="C1375" s="34"/>
      <c r="D1375" s="35"/>
      <c r="E1375" s="35"/>
      <c r="F1375" s="35"/>
      <c r="G1375" s="35"/>
      <c r="H1375" s="39"/>
      <c r="I1375" s="12"/>
    </row>
    <row r="1376" spans="2:9">
      <c r="B1376" s="11"/>
      <c r="C1376" s="34"/>
      <c r="D1376" s="35"/>
      <c r="E1376" s="35"/>
      <c r="F1376" s="35"/>
      <c r="G1376" s="35"/>
      <c r="H1376" s="39"/>
      <c r="I1376" s="12"/>
    </row>
    <row r="1377" spans="2:9">
      <c r="B1377" s="11"/>
      <c r="C1377" s="34"/>
      <c r="D1377" s="35"/>
      <c r="E1377" s="35"/>
      <c r="F1377" s="35"/>
      <c r="G1377" s="35"/>
      <c r="H1377" s="39"/>
      <c r="I1377" s="12"/>
    </row>
    <row r="1378" spans="2:9">
      <c r="B1378" s="11"/>
      <c r="C1378" s="34"/>
      <c r="D1378" s="35"/>
      <c r="E1378" s="35"/>
      <c r="F1378" s="35"/>
      <c r="G1378" s="35"/>
      <c r="H1378" s="39"/>
      <c r="I1378" s="12"/>
    </row>
    <row r="1379" spans="2:9">
      <c r="B1379" s="11"/>
      <c r="C1379" s="34"/>
      <c r="D1379" s="35"/>
      <c r="E1379" s="35"/>
      <c r="F1379" s="35"/>
      <c r="G1379" s="35"/>
      <c r="H1379" s="39"/>
      <c r="I1379" s="12"/>
    </row>
    <row r="1380" spans="2:9">
      <c r="B1380" s="11"/>
      <c r="C1380" s="34"/>
      <c r="D1380" s="35"/>
      <c r="E1380" s="35"/>
      <c r="F1380" s="35"/>
      <c r="G1380" s="35"/>
      <c r="H1380" s="39"/>
      <c r="I1380" s="12"/>
    </row>
    <row r="1381" spans="2:9">
      <c r="B1381" s="11"/>
      <c r="C1381" s="34"/>
      <c r="D1381" s="35"/>
      <c r="E1381" s="35"/>
      <c r="F1381" s="35"/>
      <c r="G1381" s="35"/>
      <c r="H1381" s="39"/>
      <c r="I1381" s="12"/>
    </row>
    <row r="1382" spans="2:9">
      <c r="B1382" s="11"/>
      <c r="C1382" s="34"/>
      <c r="D1382" s="35"/>
      <c r="E1382" s="35"/>
      <c r="F1382" s="35"/>
      <c r="G1382" s="35"/>
      <c r="H1382" s="39"/>
      <c r="I1382" s="12"/>
    </row>
    <row r="1383" spans="2:9">
      <c r="B1383" s="11"/>
      <c r="C1383" s="34"/>
      <c r="D1383" s="35"/>
      <c r="E1383" s="35"/>
      <c r="F1383" s="35"/>
      <c r="G1383" s="35"/>
      <c r="H1383" s="39"/>
      <c r="I1383" s="12"/>
    </row>
    <row r="1384" spans="2:9">
      <c r="B1384" s="11"/>
      <c r="C1384" s="34"/>
      <c r="D1384" s="35"/>
      <c r="E1384" s="35"/>
      <c r="F1384" s="35"/>
      <c r="G1384" s="35"/>
      <c r="H1384" s="39"/>
      <c r="I1384" s="12"/>
    </row>
    <row r="1385" spans="2:9">
      <c r="B1385" s="11"/>
      <c r="C1385" s="34"/>
      <c r="D1385" s="35"/>
      <c r="E1385" s="35"/>
      <c r="F1385" s="35"/>
      <c r="G1385" s="35"/>
      <c r="H1385" s="39"/>
      <c r="I1385" s="12"/>
    </row>
    <row r="1386" spans="2:9">
      <c r="B1386" s="11"/>
      <c r="C1386" s="34"/>
      <c r="D1386" s="35"/>
      <c r="E1386" s="35"/>
      <c r="F1386" s="35"/>
      <c r="G1386" s="35"/>
      <c r="H1386" s="39"/>
      <c r="I1386" s="12"/>
    </row>
    <row r="1387" spans="2:9">
      <c r="B1387" s="11"/>
      <c r="C1387" s="34"/>
      <c r="D1387" s="35"/>
      <c r="E1387" s="35"/>
      <c r="F1387" s="35"/>
      <c r="G1387" s="35"/>
      <c r="H1387" s="39"/>
      <c r="I1387" s="12"/>
    </row>
    <row r="1388" spans="2:9">
      <c r="B1388" s="11"/>
      <c r="C1388" s="34"/>
      <c r="D1388" s="35"/>
      <c r="E1388" s="35"/>
      <c r="F1388" s="35"/>
      <c r="G1388" s="35"/>
      <c r="H1388" s="39"/>
      <c r="I1388" s="12"/>
    </row>
    <row r="1389" spans="2:9">
      <c r="B1389" s="11"/>
      <c r="C1389" s="34"/>
      <c r="D1389" s="35"/>
      <c r="E1389" s="35"/>
      <c r="F1389" s="35"/>
      <c r="G1389" s="35"/>
      <c r="H1389" s="39"/>
      <c r="I1389" s="12"/>
    </row>
    <row r="1390" spans="2:9">
      <c r="B1390" s="11"/>
      <c r="C1390" s="34"/>
      <c r="D1390" s="35"/>
      <c r="E1390" s="35"/>
      <c r="F1390" s="35"/>
      <c r="G1390" s="35"/>
      <c r="H1390" s="39"/>
      <c r="I1390" s="12"/>
    </row>
    <row r="1391" spans="2:9">
      <c r="B1391" s="11"/>
      <c r="C1391" s="34"/>
      <c r="D1391" s="35"/>
      <c r="E1391" s="35"/>
      <c r="F1391" s="35"/>
      <c r="G1391" s="35"/>
      <c r="H1391" s="39"/>
      <c r="I1391" s="12"/>
    </row>
    <row r="1392" spans="2:9">
      <c r="B1392" s="11"/>
      <c r="C1392" s="34"/>
      <c r="D1392" s="35"/>
      <c r="E1392" s="35"/>
      <c r="F1392" s="35"/>
      <c r="G1392" s="35"/>
      <c r="H1392" s="39"/>
      <c r="I1392" s="12"/>
    </row>
    <row r="1393" spans="2:9">
      <c r="B1393" s="11"/>
      <c r="C1393" s="34"/>
      <c r="D1393" s="35"/>
      <c r="E1393" s="35"/>
      <c r="F1393" s="35"/>
      <c r="G1393" s="35"/>
      <c r="H1393" s="39"/>
      <c r="I1393" s="12"/>
    </row>
    <row r="1394" spans="2:9">
      <c r="B1394" s="11"/>
      <c r="C1394" s="34"/>
      <c r="D1394" s="35"/>
      <c r="E1394" s="35"/>
      <c r="F1394" s="35"/>
      <c r="G1394" s="35"/>
      <c r="H1394" s="39"/>
      <c r="I1394" s="12"/>
    </row>
    <row r="1395" spans="2:9">
      <c r="B1395" s="11"/>
      <c r="C1395" s="34"/>
      <c r="D1395" s="35"/>
      <c r="E1395" s="35"/>
      <c r="F1395" s="35"/>
      <c r="G1395" s="35"/>
      <c r="H1395" s="39"/>
      <c r="I1395" s="12"/>
    </row>
    <row r="1396" spans="2:9">
      <c r="B1396" s="11"/>
      <c r="C1396" s="34"/>
      <c r="D1396" s="35"/>
      <c r="E1396" s="35"/>
      <c r="F1396" s="35"/>
      <c r="G1396" s="35"/>
      <c r="H1396" s="39"/>
      <c r="I1396" s="12"/>
    </row>
    <row r="1397" spans="2:9">
      <c r="B1397" s="11"/>
      <c r="C1397" s="34"/>
      <c r="D1397" s="35"/>
      <c r="E1397" s="35"/>
      <c r="F1397" s="35"/>
      <c r="G1397" s="35"/>
      <c r="H1397" s="39"/>
      <c r="I1397" s="12"/>
    </row>
    <row r="1398" spans="2:9">
      <c r="B1398" s="11"/>
      <c r="C1398" s="34"/>
      <c r="D1398" s="35"/>
      <c r="E1398" s="35"/>
      <c r="F1398" s="35"/>
      <c r="G1398" s="35"/>
      <c r="H1398" s="39"/>
      <c r="I1398" s="12"/>
    </row>
    <row r="1399" spans="2:9">
      <c r="B1399" s="11"/>
      <c r="C1399" s="34"/>
      <c r="D1399" s="35"/>
      <c r="E1399" s="35"/>
      <c r="F1399" s="35"/>
      <c r="G1399" s="35"/>
      <c r="H1399" s="39"/>
      <c r="I1399" s="12"/>
    </row>
    <row r="1400" spans="2:9">
      <c r="B1400" s="11"/>
      <c r="C1400" s="34"/>
      <c r="D1400" s="35"/>
      <c r="E1400" s="35"/>
      <c r="F1400" s="35"/>
      <c r="G1400" s="35"/>
      <c r="H1400" s="39"/>
      <c r="I1400" s="12"/>
    </row>
    <row r="1401" spans="2:9">
      <c r="B1401" s="11"/>
      <c r="C1401" s="34"/>
      <c r="D1401" s="35"/>
      <c r="E1401" s="35"/>
      <c r="F1401" s="35"/>
      <c r="G1401" s="35"/>
      <c r="H1401" s="39"/>
      <c r="I1401" s="12"/>
    </row>
    <row r="1402" spans="2:9">
      <c r="B1402" s="11"/>
      <c r="C1402" s="34"/>
      <c r="D1402" s="35"/>
      <c r="E1402" s="35"/>
      <c r="F1402" s="35"/>
      <c r="G1402" s="35"/>
      <c r="H1402" s="39"/>
      <c r="I1402" s="12"/>
    </row>
    <row r="1403" spans="2:9">
      <c r="B1403" s="11"/>
      <c r="C1403" s="34"/>
      <c r="D1403" s="35"/>
      <c r="E1403" s="35"/>
      <c r="F1403" s="35"/>
      <c r="G1403" s="35"/>
      <c r="H1403" s="39"/>
      <c r="I1403" s="12"/>
    </row>
    <row r="1404" spans="2:9">
      <c r="B1404" s="11"/>
      <c r="C1404" s="34"/>
      <c r="D1404" s="35"/>
      <c r="E1404" s="35"/>
      <c r="F1404" s="35"/>
      <c r="G1404" s="35"/>
      <c r="H1404" s="39"/>
      <c r="I1404" s="12"/>
    </row>
    <row r="1405" spans="2:9">
      <c r="B1405" s="11"/>
      <c r="C1405" s="34"/>
      <c r="D1405" s="35"/>
      <c r="E1405" s="35"/>
      <c r="F1405" s="35"/>
      <c r="G1405" s="35"/>
      <c r="H1405" s="39"/>
      <c r="I1405" s="12"/>
    </row>
    <row r="1406" spans="2:9">
      <c r="B1406" s="11"/>
      <c r="C1406" s="34"/>
      <c r="D1406" s="35"/>
      <c r="E1406" s="35"/>
      <c r="F1406" s="35"/>
      <c r="G1406" s="35"/>
      <c r="H1406" s="39"/>
      <c r="I1406" s="12"/>
    </row>
    <row r="1407" spans="2:9">
      <c r="B1407" s="11"/>
      <c r="C1407" s="34"/>
      <c r="D1407" s="35"/>
      <c r="E1407" s="35"/>
      <c r="F1407" s="35"/>
      <c r="G1407" s="35"/>
      <c r="H1407" s="39"/>
      <c r="I1407" s="12"/>
    </row>
    <row r="1408" spans="2:9">
      <c r="B1408" s="11"/>
      <c r="C1408" s="34"/>
      <c r="D1408" s="35"/>
      <c r="E1408" s="35"/>
      <c r="F1408" s="35"/>
      <c r="G1408" s="35"/>
      <c r="H1408" s="39"/>
      <c r="I1408" s="12"/>
    </row>
    <row r="1409" spans="2:9">
      <c r="B1409" s="11"/>
      <c r="C1409" s="34"/>
      <c r="D1409" s="35"/>
      <c r="E1409" s="35"/>
      <c r="F1409" s="35"/>
      <c r="G1409" s="35"/>
      <c r="H1409" s="39"/>
      <c r="I1409" s="12"/>
    </row>
    <row r="1410" spans="2:9">
      <c r="B1410" s="11"/>
      <c r="C1410" s="34"/>
      <c r="D1410" s="35"/>
      <c r="E1410" s="35"/>
      <c r="F1410" s="35"/>
      <c r="G1410" s="35"/>
      <c r="H1410" s="39"/>
      <c r="I1410" s="12"/>
    </row>
    <row r="1411" spans="2:9">
      <c r="B1411" s="11"/>
      <c r="C1411" s="34"/>
      <c r="D1411" s="35"/>
      <c r="E1411" s="35"/>
      <c r="F1411" s="35"/>
      <c r="G1411" s="35"/>
      <c r="H1411" s="39"/>
      <c r="I1411" s="12"/>
    </row>
    <row r="1412" spans="2:9">
      <c r="B1412" s="11"/>
      <c r="C1412" s="34"/>
      <c r="D1412" s="35"/>
      <c r="E1412" s="35"/>
      <c r="F1412" s="35"/>
      <c r="G1412" s="35"/>
      <c r="H1412" s="39"/>
      <c r="I1412" s="12"/>
    </row>
    <row r="1413" spans="2:9">
      <c r="B1413" s="11"/>
      <c r="C1413" s="34"/>
      <c r="D1413" s="35"/>
      <c r="E1413" s="35"/>
      <c r="F1413" s="35"/>
      <c r="G1413" s="35"/>
      <c r="H1413" s="39"/>
      <c r="I1413" s="12"/>
    </row>
    <row r="1414" spans="2:9">
      <c r="B1414" s="11"/>
      <c r="C1414" s="34"/>
      <c r="D1414" s="35"/>
      <c r="E1414" s="35"/>
      <c r="F1414" s="35"/>
      <c r="G1414" s="35"/>
      <c r="H1414" s="39"/>
      <c r="I1414" s="12"/>
    </row>
    <row r="1415" spans="2:9">
      <c r="B1415" s="11"/>
      <c r="C1415" s="34"/>
      <c r="D1415" s="35"/>
      <c r="E1415" s="35"/>
      <c r="F1415" s="35"/>
      <c r="G1415" s="35"/>
      <c r="H1415" s="39"/>
      <c r="I1415" s="12"/>
    </row>
    <row r="1416" spans="2:9">
      <c r="B1416" s="11"/>
      <c r="C1416" s="34"/>
      <c r="D1416" s="35"/>
      <c r="E1416" s="35"/>
      <c r="F1416" s="35"/>
      <c r="G1416" s="35"/>
      <c r="H1416" s="39"/>
      <c r="I1416" s="12"/>
    </row>
    <row r="1417" spans="2:9">
      <c r="B1417" s="11"/>
      <c r="C1417" s="34"/>
      <c r="D1417" s="35"/>
      <c r="E1417" s="35"/>
      <c r="F1417" s="35"/>
      <c r="G1417" s="35"/>
      <c r="H1417" s="39"/>
      <c r="I1417" s="12"/>
    </row>
    <row r="1418" spans="2:9">
      <c r="B1418" s="11"/>
      <c r="C1418" s="34"/>
      <c r="D1418" s="35"/>
      <c r="E1418" s="35"/>
      <c r="F1418" s="35"/>
      <c r="G1418" s="35"/>
      <c r="H1418" s="39"/>
      <c r="I1418" s="12"/>
    </row>
    <row r="1419" spans="2:9">
      <c r="B1419" s="11"/>
      <c r="C1419" s="34"/>
      <c r="D1419" s="35"/>
      <c r="E1419" s="35"/>
      <c r="F1419" s="35"/>
      <c r="G1419" s="35"/>
      <c r="H1419" s="39"/>
      <c r="I1419" s="12"/>
    </row>
    <row r="1420" spans="2:9">
      <c r="B1420" s="11"/>
      <c r="C1420" s="34"/>
      <c r="D1420" s="35"/>
      <c r="E1420" s="35"/>
      <c r="F1420" s="35"/>
      <c r="G1420" s="35"/>
      <c r="H1420" s="39"/>
      <c r="I1420" s="12"/>
    </row>
    <row r="1421" spans="2:9">
      <c r="B1421" s="11"/>
      <c r="C1421" s="34"/>
      <c r="D1421" s="35"/>
      <c r="E1421" s="35"/>
      <c r="F1421" s="35"/>
      <c r="G1421" s="35"/>
      <c r="H1421" s="39"/>
      <c r="I1421" s="12"/>
    </row>
    <row r="1422" spans="2:9">
      <c r="B1422" s="11"/>
      <c r="C1422" s="34"/>
      <c r="D1422" s="35"/>
      <c r="E1422" s="35"/>
      <c r="F1422" s="35"/>
      <c r="G1422" s="35"/>
      <c r="H1422" s="39"/>
      <c r="I1422" s="12"/>
    </row>
    <row r="1423" spans="2:9">
      <c r="B1423" s="11"/>
      <c r="C1423" s="34"/>
      <c r="D1423" s="35"/>
      <c r="E1423" s="35"/>
      <c r="F1423" s="35"/>
      <c r="G1423" s="35"/>
      <c r="H1423" s="39"/>
      <c r="I1423" s="12"/>
    </row>
    <row r="1424" spans="2:9">
      <c r="B1424" s="11"/>
      <c r="C1424" s="34"/>
      <c r="D1424" s="35"/>
      <c r="E1424" s="35"/>
      <c r="F1424" s="35"/>
      <c r="G1424" s="35"/>
      <c r="H1424" s="39"/>
      <c r="I1424" s="12"/>
    </row>
    <row r="1425" spans="2:9">
      <c r="B1425" s="11"/>
      <c r="C1425" s="34"/>
      <c r="D1425" s="35"/>
      <c r="E1425" s="35"/>
      <c r="F1425" s="35"/>
      <c r="G1425" s="35"/>
      <c r="H1425" s="39"/>
      <c r="I1425" s="12"/>
    </row>
    <row r="1426" spans="2:9">
      <c r="B1426" s="11"/>
      <c r="C1426" s="34"/>
      <c r="D1426" s="35"/>
      <c r="E1426" s="35"/>
      <c r="F1426" s="35"/>
      <c r="G1426" s="35"/>
      <c r="H1426" s="39"/>
      <c r="I1426" s="12"/>
    </row>
    <row r="1427" spans="2:9">
      <c r="B1427" s="11"/>
      <c r="C1427" s="34"/>
      <c r="D1427" s="35"/>
      <c r="E1427" s="35"/>
      <c r="F1427" s="35"/>
      <c r="G1427" s="35"/>
      <c r="H1427" s="39"/>
      <c r="I1427" s="12"/>
    </row>
    <row r="1428" spans="2:9">
      <c r="B1428" s="11"/>
      <c r="C1428" s="34"/>
      <c r="D1428" s="35"/>
      <c r="E1428" s="35"/>
      <c r="F1428" s="35"/>
      <c r="G1428" s="35"/>
      <c r="H1428" s="39"/>
      <c r="I1428" s="12"/>
    </row>
    <row r="1429" spans="2:9">
      <c r="B1429" s="11"/>
      <c r="C1429" s="34"/>
      <c r="D1429" s="35"/>
      <c r="E1429" s="35"/>
      <c r="F1429" s="35"/>
      <c r="G1429" s="35"/>
      <c r="H1429" s="39"/>
      <c r="I1429" s="12"/>
    </row>
    <row r="1430" spans="2:9">
      <c r="B1430" s="11"/>
      <c r="C1430" s="34"/>
      <c r="D1430" s="35"/>
      <c r="E1430" s="35"/>
      <c r="F1430" s="35"/>
      <c r="G1430" s="35"/>
      <c r="H1430" s="39"/>
      <c r="I1430" s="12"/>
    </row>
    <row r="1431" spans="2:9">
      <c r="B1431" s="11"/>
      <c r="C1431" s="34"/>
      <c r="D1431" s="35"/>
      <c r="E1431" s="35"/>
      <c r="F1431" s="35"/>
      <c r="G1431" s="35"/>
      <c r="H1431" s="39"/>
      <c r="I1431" s="12"/>
    </row>
    <row r="1432" spans="2:9">
      <c r="B1432" s="11"/>
      <c r="C1432" s="34"/>
      <c r="D1432" s="35"/>
      <c r="E1432" s="35"/>
      <c r="F1432" s="35"/>
      <c r="G1432" s="35"/>
      <c r="H1432" s="39"/>
      <c r="I1432" s="12"/>
    </row>
    <row r="1433" spans="2:9">
      <c r="B1433" s="11"/>
      <c r="C1433" s="34"/>
      <c r="D1433" s="35"/>
      <c r="E1433" s="35"/>
      <c r="F1433" s="35"/>
      <c r="G1433" s="35"/>
      <c r="H1433" s="39"/>
      <c r="I1433" s="12"/>
    </row>
    <row r="1434" spans="2:9">
      <c r="B1434" s="11"/>
      <c r="C1434" s="34"/>
      <c r="D1434" s="35"/>
      <c r="E1434" s="35"/>
      <c r="F1434" s="35"/>
      <c r="G1434" s="35"/>
      <c r="H1434" s="39"/>
      <c r="I1434" s="12"/>
    </row>
    <row r="1435" spans="2:9">
      <c r="B1435" s="11"/>
      <c r="C1435" s="34"/>
      <c r="D1435" s="35"/>
      <c r="E1435" s="35"/>
      <c r="F1435" s="35"/>
      <c r="G1435" s="35"/>
      <c r="H1435" s="39"/>
      <c r="I1435" s="12"/>
    </row>
    <row r="1436" spans="2:9">
      <c r="B1436" s="11"/>
      <c r="C1436" s="34"/>
      <c r="D1436" s="35"/>
      <c r="E1436" s="35"/>
      <c r="F1436" s="35"/>
      <c r="G1436" s="35"/>
      <c r="H1436" s="39"/>
      <c r="I1436" s="12"/>
    </row>
    <row r="1437" spans="2:9">
      <c r="B1437" s="11"/>
      <c r="C1437" s="34"/>
      <c r="D1437" s="35"/>
      <c r="E1437" s="35"/>
      <c r="F1437" s="35"/>
      <c r="G1437" s="35"/>
      <c r="H1437" s="39"/>
      <c r="I1437" s="12"/>
    </row>
    <row r="1438" spans="2:9">
      <c r="B1438" s="11"/>
      <c r="C1438" s="34"/>
      <c r="D1438" s="35"/>
      <c r="E1438" s="35"/>
      <c r="F1438" s="35"/>
      <c r="G1438" s="35"/>
      <c r="H1438" s="39"/>
      <c r="I1438" s="12"/>
    </row>
    <row r="1439" spans="2:9">
      <c r="B1439" s="11"/>
      <c r="C1439" s="34"/>
      <c r="D1439" s="35"/>
      <c r="E1439" s="35"/>
      <c r="F1439" s="35"/>
      <c r="G1439" s="35"/>
      <c r="H1439" s="39"/>
      <c r="I1439" s="12"/>
    </row>
    <row r="1440" spans="2:9">
      <c r="B1440" s="11"/>
      <c r="C1440" s="34"/>
      <c r="D1440" s="35"/>
      <c r="E1440" s="35"/>
      <c r="F1440" s="35"/>
      <c r="G1440" s="35"/>
      <c r="H1440" s="39"/>
      <c r="I1440" s="12"/>
    </row>
    <row r="1441" spans="2:9">
      <c r="B1441" s="11"/>
      <c r="C1441" s="34"/>
      <c r="D1441" s="35"/>
      <c r="E1441" s="35"/>
      <c r="F1441" s="35"/>
      <c r="G1441" s="35"/>
      <c r="H1441" s="39"/>
      <c r="I1441" s="12"/>
    </row>
    <row r="1442" spans="2:9">
      <c r="B1442" s="11"/>
      <c r="C1442" s="34"/>
      <c r="D1442" s="35"/>
      <c r="E1442" s="35"/>
      <c r="F1442" s="35"/>
      <c r="G1442" s="35"/>
      <c r="H1442" s="39"/>
      <c r="I1442" s="12"/>
    </row>
    <row r="1443" spans="2:9">
      <c r="B1443" s="11"/>
      <c r="C1443" s="34"/>
      <c r="D1443" s="35"/>
      <c r="E1443" s="35"/>
      <c r="F1443" s="35"/>
      <c r="G1443" s="35"/>
      <c r="H1443" s="39"/>
      <c r="I1443" s="12"/>
    </row>
    <row r="1444" spans="2:9">
      <c r="B1444" s="11"/>
      <c r="C1444" s="34"/>
      <c r="D1444" s="35"/>
      <c r="E1444" s="35"/>
      <c r="F1444" s="35"/>
      <c r="G1444" s="35"/>
      <c r="H1444" s="39"/>
      <c r="I1444" s="12"/>
    </row>
    <row r="1445" spans="2:9">
      <c r="B1445" s="11"/>
      <c r="C1445" s="34"/>
      <c r="D1445" s="35"/>
      <c r="E1445" s="35"/>
      <c r="F1445" s="35"/>
      <c r="G1445" s="35"/>
      <c r="H1445" s="39"/>
      <c r="I1445" s="12"/>
    </row>
    <row r="1446" spans="2:9">
      <c r="B1446" s="11"/>
      <c r="C1446" s="34"/>
      <c r="D1446" s="35"/>
      <c r="E1446" s="35"/>
      <c r="F1446" s="35"/>
      <c r="G1446" s="35"/>
      <c r="H1446" s="39"/>
      <c r="I1446" s="12"/>
    </row>
    <row r="1447" spans="2:9">
      <c r="B1447" s="11"/>
      <c r="C1447" s="34"/>
      <c r="D1447" s="35"/>
      <c r="E1447" s="35"/>
      <c r="F1447" s="35"/>
      <c r="G1447" s="35"/>
      <c r="H1447" s="39"/>
      <c r="I1447" s="12"/>
    </row>
    <row r="1448" spans="2:9">
      <c r="B1448" s="11"/>
      <c r="C1448" s="34"/>
      <c r="D1448" s="35"/>
      <c r="E1448" s="35"/>
      <c r="F1448" s="35"/>
      <c r="G1448" s="35"/>
      <c r="H1448" s="39"/>
      <c r="I1448" s="12"/>
    </row>
    <row r="1449" spans="2:9">
      <c r="B1449" s="11"/>
      <c r="C1449" s="34"/>
      <c r="D1449" s="35"/>
      <c r="E1449" s="35"/>
      <c r="F1449" s="35"/>
      <c r="G1449" s="35"/>
      <c r="H1449" s="39"/>
      <c r="I1449" s="12"/>
    </row>
    <row r="1450" spans="2:9">
      <c r="B1450" s="11"/>
      <c r="C1450" s="34"/>
      <c r="D1450" s="35"/>
      <c r="E1450" s="35"/>
      <c r="F1450" s="35"/>
      <c r="G1450" s="35"/>
      <c r="H1450" s="39"/>
      <c r="I1450" s="12"/>
    </row>
    <row r="1451" spans="2:9">
      <c r="B1451" s="11"/>
      <c r="C1451" s="34"/>
      <c r="D1451" s="35"/>
      <c r="E1451" s="35"/>
      <c r="F1451" s="35"/>
      <c r="G1451" s="35"/>
      <c r="H1451" s="39"/>
      <c r="I1451" s="12"/>
    </row>
    <row r="1452" spans="2:9">
      <c r="B1452" s="11"/>
      <c r="C1452" s="34"/>
      <c r="D1452" s="35"/>
      <c r="E1452" s="35"/>
      <c r="F1452" s="35"/>
      <c r="G1452" s="35"/>
      <c r="H1452" s="39"/>
      <c r="I1452" s="12"/>
    </row>
    <row r="1453" spans="2:9">
      <c r="B1453" s="11"/>
      <c r="C1453" s="34"/>
      <c r="D1453" s="35"/>
      <c r="E1453" s="35"/>
      <c r="F1453" s="35"/>
      <c r="G1453" s="35"/>
      <c r="H1453" s="39"/>
      <c r="I1453" s="12"/>
    </row>
    <row r="1454" spans="2:9">
      <c r="B1454" s="11"/>
      <c r="C1454" s="34"/>
      <c r="D1454" s="35"/>
      <c r="E1454" s="35"/>
      <c r="F1454" s="35"/>
      <c r="G1454" s="35"/>
      <c r="H1454" s="39"/>
      <c r="I1454" s="12"/>
    </row>
    <row r="1455" spans="2:9">
      <c r="B1455" s="11"/>
      <c r="C1455" s="34"/>
      <c r="D1455" s="35"/>
      <c r="E1455" s="35"/>
      <c r="F1455" s="35"/>
      <c r="G1455" s="35"/>
      <c r="H1455" s="39"/>
      <c r="I1455" s="12"/>
    </row>
    <row r="1456" spans="2:9">
      <c r="B1456" s="11"/>
      <c r="C1456" s="34"/>
      <c r="D1456" s="35"/>
      <c r="E1456" s="35"/>
      <c r="F1456" s="35"/>
      <c r="G1456" s="35"/>
      <c r="H1456" s="39"/>
      <c r="I1456" s="12"/>
    </row>
    <row r="1457" spans="2:9">
      <c r="B1457" s="11"/>
      <c r="C1457" s="34"/>
      <c r="D1457" s="35"/>
      <c r="E1457" s="35"/>
      <c r="F1457" s="35"/>
      <c r="G1457" s="35"/>
      <c r="H1457" s="39"/>
      <c r="I1457" s="12"/>
    </row>
    <row r="1458" spans="2:9">
      <c r="B1458" s="11"/>
      <c r="C1458" s="34"/>
      <c r="D1458" s="35"/>
      <c r="E1458" s="35"/>
      <c r="F1458" s="35"/>
      <c r="G1458" s="35"/>
      <c r="H1458" s="39"/>
      <c r="I1458" s="12"/>
    </row>
    <row r="1459" spans="2:9">
      <c r="B1459" s="11"/>
      <c r="C1459" s="34"/>
      <c r="D1459" s="35"/>
      <c r="E1459" s="35"/>
      <c r="F1459" s="35"/>
      <c r="G1459" s="35"/>
      <c r="H1459" s="39"/>
      <c r="I1459" s="12"/>
    </row>
    <row r="1460" spans="2:9">
      <c r="B1460" s="11"/>
      <c r="C1460" s="34"/>
      <c r="D1460" s="35"/>
      <c r="E1460" s="35"/>
      <c r="F1460" s="35"/>
      <c r="G1460" s="35"/>
      <c r="H1460" s="39"/>
      <c r="I1460" s="12"/>
    </row>
    <row r="1461" spans="2:9">
      <c r="B1461" s="11"/>
      <c r="C1461" s="34"/>
      <c r="D1461" s="35"/>
      <c r="E1461" s="35"/>
      <c r="F1461" s="35"/>
      <c r="G1461" s="35"/>
      <c r="H1461" s="39"/>
      <c r="I1461" s="12"/>
    </row>
    <row r="1462" spans="2:9">
      <c r="B1462" s="11"/>
      <c r="C1462" s="34"/>
      <c r="D1462" s="35"/>
      <c r="E1462" s="35"/>
      <c r="F1462" s="35"/>
      <c r="G1462" s="35"/>
      <c r="H1462" s="39"/>
      <c r="I1462" s="12"/>
    </row>
    <row r="1463" spans="2:9">
      <c r="B1463" s="11"/>
      <c r="C1463" s="34"/>
      <c r="D1463" s="35"/>
      <c r="E1463" s="35"/>
      <c r="F1463" s="35"/>
      <c r="G1463" s="35"/>
      <c r="H1463" s="39"/>
      <c r="I1463" s="12"/>
    </row>
    <row r="1464" spans="2:9">
      <c r="B1464" s="11"/>
      <c r="C1464" s="34"/>
      <c r="D1464" s="35"/>
      <c r="E1464" s="35"/>
      <c r="F1464" s="35"/>
      <c r="G1464" s="35"/>
      <c r="H1464" s="35"/>
      <c r="I1464" s="12"/>
    </row>
    <row r="1465" spans="2:9">
      <c r="B1465" s="11"/>
      <c r="C1465" s="34"/>
      <c r="D1465" s="35"/>
      <c r="E1465" s="35"/>
      <c r="F1465" s="35"/>
      <c r="G1465" s="35"/>
      <c r="H1465" s="35"/>
      <c r="I1465" s="12"/>
    </row>
    <row r="1466" spans="2:9">
      <c r="B1466" s="11"/>
      <c r="C1466" s="34"/>
      <c r="D1466" s="35"/>
      <c r="E1466" s="35"/>
      <c r="F1466" s="35"/>
      <c r="G1466" s="35"/>
      <c r="H1466" s="35"/>
      <c r="I1466" s="12"/>
    </row>
    <row r="1467" spans="2:9">
      <c r="B1467" s="11"/>
      <c r="C1467" s="34"/>
      <c r="D1467" s="35"/>
      <c r="E1467" s="35"/>
      <c r="F1467" s="35"/>
      <c r="G1467" s="35"/>
      <c r="H1467" s="35"/>
      <c r="I1467" s="12"/>
    </row>
    <row r="1468" spans="2:9">
      <c r="B1468" s="11"/>
      <c r="C1468" s="34"/>
      <c r="D1468" s="35"/>
      <c r="E1468" s="35"/>
      <c r="F1468" s="35"/>
      <c r="G1468" s="35"/>
      <c r="H1468" s="35"/>
      <c r="I1468" s="12"/>
    </row>
    <row r="1469" spans="2:9">
      <c r="B1469" s="11"/>
      <c r="C1469" s="34"/>
      <c r="D1469" s="35"/>
      <c r="E1469" s="35"/>
      <c r="F1469" s="35"/>
      <c r="G1469" s="35"/>
      <c r="H1469" s="35"/>
      <c r="I1469" s="12"/>
    </row>
    <row r="1470" spans="2:9">
      <c r="B1470" s="11"/>
      <c r="C1470" s="34"/>
      <c r="D1470" s="35"/>
      <c r="E1470" s="35"/>
      <c r="F1470" s="35"/>
      <c r="G1470" s="35"/>
      <c r="H1470" s="35"/>
      <c r="I1470" s="12"/>
    </row>
    <row r="1471" spans="2:9">
      <c r="B1471" s="11"/>
      <c r="C1471" s="34"/>
      <c r="D1471" s="35"/>
      <c r="E1471" s="35"/>
      <c r="F1471" s="35"/>
      <c r="G1471" s="35"/>
      <c r="H1471" s="35"/>
      <c r="I1471" s="12"/>
    </row>
    <row r="1472" spans="2:9">
      <c r="B1472" s="11"/>
      <c r="C1472" s="34"/>
      <c r="D1472" s="35"/>
      <c r="E1472" s="35"/>
      <c r="F1472" s="35"/>
      <c r="G1472" s="35"/>
      <c r="H1472" s="35"/>
      <c r="I1472" s="12"/>
    </row>
    <row r="1473" spans="2:9">
      <c r="B1473" s="11"/>
      <c r="C1473" s="34"/>
      <c r="D1473" s="35"/>
      <c r="E1473" s="35"/>
      <c r="F1473" s="35"/>
      <c r="G1473" s="35"/>
      <c r="H1473" s="35"/>
      <c r="I1473" s="12"/>
    </row>
    <row r="1474" spans="2:9">
      <c r="B1474" s="11"/>
      <c r="C1474" s="34"/>
      <c r="D1474" s="35"/>
      <c r="E1474" s="35"/>
      <c r="F1474" s="35"/>
      <c r="G1474" s="35"/>
      <c r="H1474" s="35"/>
      <c r="I1474" s="12"/>
    </row>
    <row r="1475" spans="2:9">
      <c r="B1475" s="11"/>
      <c r="C1475" s="34"/>
      <c r="D1475" s="35"/>
      <c r="E1475" s="35"/>
      <c r="F1475" s="35"/>
      <c r="G1475" s="35"/>
      <c r="H1475" s="35"/>
      <c r="I1475" s="12"/>
    </row>
    <row r="1476" spans="2:9">
      <c r="B1476" s="11"/>
      <c r="C1476" s="34"/>
      <c r="D1476" s="35"/>
      <c r="E1476" s="35"/>
      <c r="F1476" s="35"/>
      <c r="G1476" s="35"/>
      <c r="H1476" s="35"/>
      <c r="I1476" s="12"/>
    </row>
    <row r="1477" spans="2:9">
      <c r="B1477" s="11"/>
      <c r="C1477" s="34"/>
      <c r="D1477" s="35"/>
      <c r="E1477" s="35"/>
      <c r="F1477" s="35"/>
      <c r="G1477" s="35"/>
      <c r="H1477" s="35"/>
      <c r="I1477" s="12"/>
    </row>
    <row r="1478" spans="2:9">
      <c r="B1478" s="11"/>
      <c r="C1478" s="34"/>
      <c r="D1478" s="35"/>
      <c r="E1478" s="35"/>
      <c r="F1478" s="35"/>
      <c r="G1478" s="35"/>
      <c r="H1478" s="35"/>
      <c r="I1478" s="12"/>
    </row>
    <row r="1479" spans="2:9">
      <c r="B1479" s="11"/>
      <c r="C1479" s="34"/>
      <c r="D1479" s="35"/>
      <c r="E1479" s="35"/>
      <c r="F1479" s="35"/>
      <c r="G1479" s="35"/>
      <c r="H1479" s="35"/>
      <c r="I1479" s="12"/>
    </row>
    <row r="1480" spans="2:9">
      <c r="B1480" s="11"/>
      <c r="C1480" s="34"/>
      <c r="D1480" s="35"/>
      <c r="E1480" s="35"/>
      <c r="F1480" s="35"/>
      <c r="G1480" s="35"/>
      <c r="H1480" s="35"/>
      <c r="I1480" s="12"/>
    </row>
    <row r="1481" spans="2:9">
      <c r="B1481" s="11"/>
      <c r="C1481" s="34"/>
      <c r="D1481" s="35"/>
      <c r="E1481" s="35"/>
      <c r="F1481" s="35"/>
      <c r="G1481" s="35"/>
      <c r="H1481" s="35"/>
      <c r="I1481" s="12"/>
    </row>
    <row r="1482" spans="2:9">
      <c r="B1482" s="11"/>
      <c r="C1482" s="34"/>
      <c r="D1482" s="35"/>
      <c r="E1482" s="35"/>
      <c r="F1482" s="35"/>
      <c r="G1482" s="35"/>
      <c r="H1482" s="35"/>
      <c r="I1482" s="12"/>
    </row>
    <row r="1483" spans="2:9">
      <c r="B1483" s="11"/>
      <c r="C1483" s="34"/>
      <c r="D1483" s="35"/>
      <c r="E1483" s="35"/>
      <c r="F1483" s="35"/>
      <c r="G1483" s="35"/>
      <c r="H1483" s="35"/>
      <c r="I1483" s="12"/>
    </row>
    <row r="1484" spans="2:9">
      <c r="B1484" s="11"/>
      <c r="C1484" s="34"/>
      <c r="D1484" s="35"/>
      <c r="E1484" s="35"/>
      <c r="F1484" s="35"/>
      <c r="G1484" s="35"/>
      <c r="H1484" s="35"/>
      <c r="I1484" s="12"/>
    </row>
    <row r="1485" spans="2:9">
      <c r="B1485" s="11"/>
      <c r="C1485" s="34"/>
      <c r="D1485" s="35"/>
      <c r="E1485" s="35"/>
      <c r="F1485" s="35"/>
      <c r="G1485" s="35"/>
      <c r="H1485" s="35"/>
      <c r="I1485" s="12"/>
    </row>
    <row r="1486" spans="2:9">
      <c r="B1486" s="11"/>
      <c r="C1486" s="34"/>
      <c r="D1486" s="35"/>
      <c r="E1486" s="35"/>
      <c r="F1486" s="35"/>
      <c r="G1486" s="35"/>
      <c r="H1486" s="35"/>
      <c r="I1486" s="12"/>
    </row>
    <row r="1487" spans="2:9">
      <c r="B1487" s="11"/>
      <c r="C1487" s="34"/>
      <c r="D1487" s="35"/>
      <c r="E1487" s="35"/>
      <c r="F1487" s="35"/>
      <c r="G1487" s="35"/>
      <c r="H1487" s="35"/>
      <c r="I1487" s="12"/>
    </row>
    <row r="1488" spans="2:9">
      <c r="B1488" s="11"/>
      <c r="C1488" s="34"/>
      <c r="D1488" s="35"/>
      <c r="E1488" s="35"/>
      <c r="F1488" s="35"/>
      <c r="G1488" s="35"/>
      <c r="H1488" s="35"/>
      <c r="I1488" s="12"/>
    </row>
    <row r="1489" spans="2:9">
      <c r="B1489" s="11"/>
      <c r="C1489" s="34"/>
      <c r="D1489" s="35"/>
      <c r="E1489" s="35"/>
      <c r="F1489" s="35"/>
      <c r="G1489" s="35"/>
      <c r="H1489" s="35"/>
      <c r="I1489" s="12"/>
    </row>
    <row r="1490" spans="2:9">
      <c r="B1490" s="11"/>
      <c r="C1490" s="34"/>
      <c r="D1490" s="35"/>
      <c r="E1490" s="35"/>
      <c r="F1490" s="35"/>
      <c r="G1490" s="35"/>
      <c r="H1490" s="35"/>
      <c r="I1490" s="12"/>
    </row>
    <row r="1491" spans="2:9">
      <c r="B1491" s="11"/>
      <c r="C1491" s="34"/>
      <c r="D1491" s="35"/>
      <c r="E1491" s="35"/>
      <c r="F1491" s="35"/>
      <c r="G1491" s="35"/>
      <c r="H1491" s="35"/>
      <c r="I1491" s="12"/>
    </row>
    <row r="1492" spans="2:9">
      <c r="B1492" s="11"/>
      <c r="C1492" s="34"/>
      <c r="D1492" s="35"/>
      <c r="E1492" s="35"/>
      <c r="F1492" s="35"/>
      <c r="G1492" s="35"/>
      <c r="H1492" s="35"/>
      <c r="I1492" s="12"/>
    </row>
    <row r="1493" spans="2:9">
      <c r="B1493" s="11"/>
      <c r="C1493" s="34"/>
      <c r="D1493" s="35"/>
      <c r="E1493" s="35"/>
      <c r="F1493" s="35"/>
      <c r="G1493" s="35"/>
      <c r="H1493" s="35"/>
      <c r="I1493" s="12"/>
    </row>
    <row r="1494" spans="2:9">
      <c r="B1494" s="11"/>
      <c r="C1494" s="34"/>
      <c r="D1494" s="35"/>
      <c r="E1494" s="35"/>
      <c r="F1494" s="35"/>
      <c r="G1494" s="35"/>
      <c r="H1494" s="35"/>
      <c r="I1494" s="12"/>
    </row>
    <row r="1495" spans="2:9">
      <c r="B1495" s="11"/>
      <c r="C1495" s="34"/>
      <c r="D1495" s="35"/>
      <c r="E1495" s="35"/>
      <c r="F1495" s="35"/>
      <c r="G1495" s="35"/>
      <c r="H1495" s="35"/>
      <c r="I1495" s="12"/>
    </row>
    <row r="1496" spans="2:9">
      <c r="B1496" s="11"/>
      <c r="C1496" s="34"/>
      <c r="D1496" s="35"/>
      <c r="E1496" s="35"/>
      <c r="F1496" s="35"/>
      <c r="G1496" s="35"/>
      <c r="H1496" s="35"/>
      <c r="I1496" s="12"/>
    </row>
    <row r="1497" spans="2:9">
      <c r="B1497" s="11"/>
      <c r="C1497" s="34"/>
      <c r="D1497" s="35"/>
      <c r="E1497" s="35"/>
      <c r="F1497" s="35"/>
      <c r="G1497" s="35"/>
      <c r="H1497" s="35"/>
      <c r="I1497" s="12"/>
    </row>
    <row r="1498" spans="2:9">
      <c r="B1498" s="11"/>
      <c r="C1498" s="34"/>
      <c r="D1498" s="35"/>
      <c r="E1498" s="35"/>
      <c r="F1498" s="35"/>
      <c r="G1498" s="35"/>
      <c r="H1498" s="35"/>
      <c r="I1498" s="12"/>
    </row>
    <row r="1499" spans="2:9">
      <c r="B1499" s="11"/>
      <c r="C1499" s="34"/>
      <c r="D1499" s="35"/>
      <c r="E1499" s="35"/>
      <c r="F1499" s="35"/>
      <c r="G1499" s="35"/>
      <c r="H1499" s="35"/>
      <c r="I1499" s="12"/>
    </row>
    <row r="1500" spans="2:9">
      <c r="B1500" s="11"/>
      <c r="C1500" s="34"/>
      <c r="D1500" s="35"/>
      <c r="E1500" s="35"/>
      <c r="F1500" s="35"/>
      <c r="G1500" s="35"/>
      <c r="H1500" s="35"/>
      <c r="I1500" s="12"/>
    </row>
    <row r="1501" spans="2:9">
      <c r="B1501" s="11"/>
      <c r="C1501" s="34"/>
      <c r="D1501" s="35"/>
      <c r="E1501" s="35"/>
      <c r="F1501" s="35"/>
      <c r="G1501" s="35"/>
      <c r="H1501" s="35"/>
      <c r="I1501" s="12"/>
    </row>
    <row r="1502" spans="2:9">
      <c r="B1502" s="11"/>
      <c r="C1502" s="34"/>
      <c r="D1502" s="35"/>
      <c r="E1502" s="35"/>
      <c r="F1502" s="35"/>
      <c r="G1502" s="35"/>
      <c r="H1502" s="35"/>
      <c r="I1502" s="12"/>
    </row>
    <row r="1503" spans="2:9">
      <c r="B1503" s="11"/>
      <c r="C1503" s="34"/>
      <c r="D1503" s="35"/>
      <c r="E1503" s="35"/>
      <c r="F1503" s="35"/>
      <c r="G1503" s="35"/>
      <c r="H1503" s="35"/>
      <c r="I1503" s="12"/>
    </row>
    <row r="1504" spans="2:9">
      <c r="B1504" s="11"/>
      <c r="C1504" s="34"/>
      <c r="D1504" s="35"/>
      <c r="E1504" s="35"/>
      <c r="F1504" s="35"/>
      <c r="G1504" s="35"/>
      <c r="H1504" s="35"/>
      <c r="I1504" s="12"/>
    </row>
    <row r="1505" spans="2:9">
      <c r="B1505" s="11"/>
      <c r="C1505" s="34"/>
      <c r="D1505" s="35"/>
      <c r="E1505" s="35"/>
      <c r="F1505" s="35"/>
      <c r="G1505" s="35"/>
      <c r="H1505" s="35"/>
      <c r="I1505" s="12"/>
    </row>
    <row r="1506" spans="2:9">
      <c r="B1506" s="11"/>
      <c r="C1506" s="34"/>
      <c r="D1506" s="35"/>
      <c r="E1506" s="35"/>
      <c r="F1506" s="35"/>
      <c r="G1506" s="35"/>
      <c r="H1506" s="35"/>
      <c r="I1506" s="12"/>
    </row>
    <row r="1507" spans="2:9">
      <c r="B1507" s="11"/>
      <c r="C1507" s="34"/>
      <c r="D1507" s="35"/>
      <c r="E1507" s="35"/>
      <c r="F1507" s="35"/>
      <c r="G1507" s="35"/>
      <c r="H1507" s="35"/>
      <c r="I1507" s="12"/>
    </row>
    <row r="1508" spans="2:9">
      <c r="B1508" s="11"/>
      <c r="C1508" s="34"/>
      <c r="D1508" s="35"/>
      <c r="E1508" s="35"/>
      <c r="F1508" s="35"/>
      <c r="G1508" s="35"/>
      <c r="H1508" s="35"/>
      <c r="I1508" s="12"/>
    </row>
    <row r="1509" spans="2:9">
      <c r="B1509" s="11"/>
      <c r="C1509" s="34"/>
      <c r="D1509" s="35"/>
      <c r="E1509" s="35"/>
      <c r="F1509" s="35"/>
      <c r="G1509" s="35"/>
      <c r="H1509" s="35"/>
      <c r="I1509" s="12"/>
    </row>
    <row r="1510" spans="2:9">
      <c r="B1510" s="11"/>
      <c r="C1510" s="34"/>
      <c r="D1510" s="35"/>
      <c r="E1510" s="35"/>
      <c r="F1510" s="35"/>
      <c r="G1510" s="35"/>
      <c r="H1510" s="35"/>
      <c r="I1510" s="12"/>
    </row>
    <row r="1511" spans="2:9">
      <c r="B1511" s="11"/>
      <c r="C1511" s="34"/>
      <c r="D1511" s="35"/>
      <c r="E1511" s="35"/>
      <c r="F1511" s="35"/>
      <c r="G1511" s="35"/>
      <c r="H1511" s="35"/>
      <c r="I1511" s="12"/>
    </row>
    <row r="1512" spans="2:9">
      <c r="B1512" s="11"/>
      <c r="C1512" s="34"/>
      <c r="D1512" s="35"/>
      <c r="E1512" s="35"/>
      <c r="F1512" s="35"/>
      <c r="G1512" s="35"/>
      <c r="H1512" s="35"/>
      <c r="I1512" s="12"/>
    </row>
    <row r="1513" spans="2:9">
      <c r="B1513" s="13"/>
      <c r="C1513" s="20"/>
      <c r="D1513" s="21"/>
      <c r="E1513" s="21"/>
      <c r="F1513" s="21"/>
      <c r="G1513" s="21"/>
      <c r="H1513" s="21"/>
      <c r="I1513" s="15"/>
    </row>
  </sheetData>
  <mergeCells count="10">
    <mergeCell ref="C3:H3"/>
    <mergeCell ref="C4:H4"/>
    <mergeCell ref="C5:H5"/>
    <mergeCell ref="C6:H6"/>
    <mergeCell ref="K21:N21"/>
    <mergeCell ref="K164:N164"/>
    <mergeCell ref="K111:N111"/>
    <mergeCell ref="K58:N58"/>
    <mergeCell ref="B10:I10"/>
    <mergeCell ref="K10:N10"/>
  </mergeCells>
  <phoneticPr fontId="33" type="noConversion"/>
  <conditionalFormatting sqref="M138:M161">
    <cfRule type="colorScale" priority="18">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ignoredErrors>
    <ignoredError sqref="M18 M89:M90 M92 M94:M96 M44:M45" emptyCellReference="1"/>
    <ignoredError sqref="M70" formula="1"/>
    <ignoredError sqref="M93 M91" formula="1" emptyCellReference="1"/>
  </ignoredErrors>
  <drawing r:id="rId1"/>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Inputs!$C$2:$C$5</xm:f>
          </x14:formula1>
          <xm:sqref>M97 M43</xm:sqref>
        </x14:dataValidation>
        <x14:dataValidation type="list" allowBlank="1" showInputMessage="1" showErrorMessage="1">
          <x14:formula1>
            <xm:f>Inputs!$F$2:$F$3</xm:f>
          </x14:formula1>
          <xm:sqref>M75</xm:sqref>
        </x14:dataValidation>
        <x14:dataValidation type="list" allowBlank="1" showInputMessage="1" showErrorMessage="1">
          <x14:formula1>
            <xm:f>Inputs!$G$2:$G$5</xm:f>
          </x14:formula1>
          <xm:sqref>M64</xm:sqref>
        </x14:dataValidation>
        <x14:dataValidation type="list" allowBlank="1" showInputMessage="1" showErrorMessage="1">
          <x14:formula1>
            <xm:f>CPULookup!$A$2:$A$22</xm:f>
          </x14:formula1>
          <xm:sqref>M65 M27</xm:sqref>
        </x14:dataValidation>
        <x14:dataValidation type="list" allowBlank="1" showInputMessage="1" showErrorMessage="1">
          <x14:formula1>
            <xm:f>Inputs!$D$2:$D$25</xm:f>
          </x14:formula1>
          <xm:sqref>M86 M40</xm:sqref>
        </x14:dataValidation>
        <x14:dataValidation type="list" allowBlank="1" showInputMessage="1" showErrorMessage="1">
          <x14:formula1>
            <xm:f>Inputs!$B$2:$B$3</xm:f>
          </x14:formula1>
          <xm:sqref>M87 M41</xm:sqref>
        </x14:dataValidation>
        <x14:dataValidation type="list" allowBlank="1" showInputMessage="1" showErrorMessage="1">
          <x14:formula1>
            <xm:f>RAMLookup!$A$2:$A$10</xm:f>
          </x14:formula1>
          <xm:sqref>M80 M34</xm:sqref>
        </x14:dataValidation>
        <x14:dataValidation type="list" allowBlank="1" showInputMessage="1" showErrorMessage="1">
          <x14:formula1>
            <xm:f>DiskLookup!$A$2:$A$26</xm:f>
          </x14:formula1>
          <xm:sqref>M88 M42</xm:sqref>
        </x14:dataValidation>
        <x14:dataValidation type="list" allowBlank="1" showInputMessage="1" showErrorMessage="1">
          <x14:formula1>
            <xm:f>Inputs!$A$2:$A$5</xm:f>
          </x14:formula1>
          <xm:sqref>M23 M25 M60</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theme="6" tint="0.59999389629810485"/>
  </sheetPr>
  <dimension ref="B1:R1514"/>
  <sheetViews>
    <sheetView topLeftCell="A293" workbookViewId="0">
      <selection activeCell="F186" sqref="F186"/>
    </sheetView>
  </sheetViews>
  <sheetFormatPr baseColWidth="10" defaultColWidth="8.83203125" defaultRowHeight="14" x14ac:dyDescent="0"/>
  <cols>
    <col min="1" max="2" width="1.33203125" style="65" customWidth="1"/>
    <col min="3" max="3" width="5.1640625" style="65" bestFit="1" customWidth="1"/>
    <col min="4" max="4" width="9" style="65" bestFit="1" customWidth="1"/>
    <col min="5" max="5" width="11" style="65" bestFit="1" customWidth="1"/>
    <col min="6" max="6" width="9.1640625" style="65" bestFit="1" customWidth="1"/>
    <col min="7" max="7" width="6.1640625" style="65" bestFit="1" customWidth="1"/>
    <col min="8" max="8" width="1.6640625" style="65" customWidth="1"/>
    <col min="9" max="9" width="46.1640625" style="65" bestFit="1" customWidth="1"/>
    <col min="10" max="10" width="7.1640625" style="65" bestFit="1" customWidth="1"/>
    <col min="11" max="11" width="7" style="65" bestFit="1" customWidth="1"/>
    <col min="12" max="12" width="7.1640625" style="65" customWidth="1"/>
    <col min="13" max="13" width="1.6640625" style="65" customWidth="1"/>
    <col min="14" max="14" width="46.1640625" style="65" bestFit="1" customWidth="1"/>
    <col min="15" max="15" width="7.1640625" style="65" bestFit="1" customWidth="1"/>
    <col min="16" max="16" width="7" style="65" bestFit="1" customWidth="1"/>
    <col min="17" max="17" width="7.1640625" style="65" customWidth="1"/>
    <col min="18" max="18" width="1.33203125" style="65" customWidth="1"/>
    <col min="19" max="16384" width="8.83203125" style="65"/>
  </cols>
  <sheetData>
    <row r="1" spans="2:18" ht="9" customHeight="1"/>
    <row r="2" spans="2:18" ht="7.5" customHeight="1">
      <c r="B2" s="66"/>
      <c r="C2" s="7"/>
      <c r="D2" s="7"/>
      <c r="E2" s="7"/>
      <c r="F2" s="7"/>
      <c r="G2" s="7"/>
      <c r="H2" s="7"/>
      <c r="I2" s="7"/>
      <c r="J2" s="7"/>
      <c r="K2" s="7"/>
      <c r="L2" s="7"/>
      <c r="M2" s="7"/>
      <c r="N2" s="7"/>
      <c r="O2" s="7"/>
      <c r="P2" s="7"/>
      <c r="Q2" s="7"/>
      <c r="R2" s="67"/>
    </row>
    <row r="3" spans="2:18" s="74" customFormat="1">
      <c r="B3" s="72"/>
      <c r="C3" s="79" t="s">
        <v>70</v>
      </c>
      <c r="D3" s="78"/>
      <c r="E3" s="78"/>
      <c r="F3" s="89" t="s">
        <v>81</v>
      </c>
      <c r="G3" s="32"/>
      <c r="H3" s="79" t="s">
        <v>71</v>
      </c>
      <c r="I3" s="78"/>
      <c r="J3" s="80"/>
      <c r="K3" s="32"/>
      <c r="L3" s="79" t="s">
        <v>74</v>
      </c>
      <c r="M3" s="78"/>
      <c r="N3" s="80"/>
      <c r="O3" s="92">
        <f>'All-Servers'!M18</f>
        <v>1433</v>
      </c>
      <c r="P3" s="79" t="s">
        <v>76</v>
      </c>
      <c r="Q3" s="80"/>
      <c r="R3" s="73"/>
    </row>
    <row r="4" spans="2:18" s="74" customFormat="1">
      <c r="B4" s="72"/>
      <c r="C4" s="84" t="str">
        <f>"Each: " &amp; 'All-Servers'!$M$77&amp;" vCPU, "&amp;'All-Servers'!$M$80&amp;" GB RAM, "&amp;'All-Servers'!$M$108&amp;" TB Disk"</f>
        <v>Each: 140 vCPU, 510 GB RAM, 19.17 TB Disk</v>
      </c>
      <c r="D4" s="81"/>
      <c r="E4" s="82"/>
      <c r="F4" s="83"/>
      <c r="G4" s="32"/>
      <c r="H4" s="84" t="s">
        <v>72</v>
      </c>
      <c r="I4" s="81"/>
      <c r="J4" s="88"/>
      <c r="K4" s="32"/>
      <c r="L4" s="84" t="s">
        <v>75</v>
      </c>
      <c r="M4" s="81"/>
      <c r="N4" s="88"/>
      <c r="O4" s="92">
        <f>'All-Servers'!M18/'All-Servers'!M6</f>
        <v>1194.1666666666667</v>
      </c>
      <c r="P4" s="91" t="s">
        <v>77</v>
      </c>
      <c r="Q4" s="90"/>
      <c r="R4" s="73"/>
    </row>
    <row r="5" spans="2:18" s="74" customFormat="1" ht="6" customHeight="1">
      <c r="B5" s="85"/>
      <c r="C5" s="98"/>
      <c r="D5" s="99">
        <f>'All-Servers'!$M$77</f>
        <v>140</v>
      </c>
      <c r="E5" s="99">
        <f>'All-Servers'!$M$80*1024</f>
        <v>522240</v>
      </c>
      <c r="F5" s="99">
        <f>'All-Servers'!M108*1024</f>
        <v>19630.080000000002</v>
      </c>
      <c r="G5" s="86"/>
      <c r="H5" s="86"/>
      <c r="I5" s="86"/>
      <c r="J5" s="86"/>
      <c r="K5" s="86"/>
      <c r="L5" s="86"/>
      <c r="M5" s="86"/>
      <c r="N5" s="86"/>
      <c r="O5" s="86"/>
      <c r="P5" s="86"/>
      <c r="Q5" s="86"/>
      <c r="R5" s="87"/>
    </row>
    <row r="6" spans="2:18" s="74" customFormat="1" ht="6.75" customHeight="1"/>
    <row r="7" spans="2:18" s="74" customFormat="1" ht="6" customHeight="1">
      <c r="B7" s="75"/>
      <c r="C7" s="7"/>
      <c r="D7" s="7"/>
      <c r="E7" s="7"/>
      <c r="F7" s="7"/>
      <c r="G7" s="7"/>
      <c r="H7" s="7"/>
      <c r="I7" s="7"/>
      <c r="J7" s="7"/>
      <c r="K7" s="7"/>
      <c r="L7" s="7"/>
      <c r="M7" s="76"/>
      <c r="N7" s="76"/>
      <c r="O7" s="76"/>
      <c r="P7" s="76"/>
      <c r="Q7" s="76"/>
      <c r="R7" s="77"/>
    </row>
    <row r="8" spans="2:18">
      <c r="B8" s="68"/>
      <c r="C8" s="194" t="str">
        <f>"Hypervisors Count:  Estimate ("&amp;IF(F3="U240",'All-Servers'!M117)&amp;") Actual = (" &amp; MAX($C$10:$C301)&amp;")"</f>
        <v>Hypervisors Count:  Estimate (36) Actual = (5)</v>
      </c>
      <c r="D8" s="194"/>
      <c r="E8" s="194"/>
      <c r="F8" s="194"/>
      <c r="G8" s="194"/>
      <c r="H8" s="17"/>
      <c r="I8" s="194" t="s">
        <v>73</v>
      </c>
      <c r="J8" s="194"/>
      <c r="K8" s="194"/>
      <c r="L8" s="194"/>
      <c r="M8" s="17"/>
      <c r="N8" s="194" t="str">
        <f>"Instance Total: "&amp;O4</f>
        <v>Instance Total: 1194.16666666667</v>
      </c>
      <c r="O8" s="194"/>
      <c r="P8" s="194"/>
      <c r="Q8" s="194"/>
      <c r="R8" s="69"/>
    </row>
    <row r="9" spans="2:18">
      <c r="B9" s="68"/>
      <c r="C9" s="95" t="s">
        <v>52</v>
      </c>
      <c r="D9" s="95" t="s">
        <v>47</v>
      </c>
      <c r="E9" s="95" t="s">
        <v>49</v>
      </c>
      <c r="F9" s="95" t="s">
        <v>50</v>
      </c>
      <c r="G9" s="95" t="s">
        <v>51</v>
      </c>
      <c r="H9" s="17"/>
      <c r="I9" s="96" t="s">
        <v>48</v>
      </c>
      <c r="J9" s="96" t="s">
        <v>53</v>
      </c>
      <c r="K9" s="96" t="s">
        <v>54</v>
      </c>
      <c r="L9" s="96" t="s">
        <v>55</v>
      </c>
      <c r="M9" s="17"/>
      <c r="N9" s="96" t="s">
        <v>48</v>
      </c>
      <c r="O9" s="96" t="s">
        <v>53</v>
      </c>
      <c r="P9" s="96" t="s">
        <v>54</v>
      </c>
      <c r="Q9" s="96" t="s">
        <v>55</v>
      </c>
      <c r="R9" s="69"/>
    </row>
    <row r="10" spans="2:18">
      <c r="B10" s="68"/>
      <c r="C10" s="93">
        <v>1</v>
      </c>
      <c r="D10" s="93" t="s">
        <v>1779</v>
      </c>
      <c r="E10" s="93">
        <v>139</v>
      </c>
      <c r="F10" s="93">
        <v>520540</v>
      </c>
      <c r="G10" s="93">
        <v>19470</v>
      </c>
      <c r="H10" s="94"/>
      <c r="I10" s="93" t="s">
        <v>105</v>
      </c>
      <c r="J10" s="93">
        <v>1</v>
      </c>
      <c r="K10" s="93">
        <v>1700</v>
      </c>
      <c r="L10" s="93">
        <v>160</v>
      </c>
      <c r="M10" s="17"/>
      <c r="N10" s="93" t="s">
        <v>105</v>
      </c>
      <c r="O10" s="93">
        <v>1</v>
      </c>
      <c r="P10" s="93">
        <v>1700</v>
      </c>
      <c r="Q10" s="93">
        <v>160</v>
      </c>
      <c r="R10" s="69"/>
    </row>
    <row r="11" spans="2:18">
      <c r="B11" s="68"/>
      <c r="C11" s="93">
        <v>1</v>
      </c>
      <c r="D11" s="93" t="s">
        <v>1779</v>
      </c>
      <c r="E11" s="93">
        <v>138</v>
      </c>
      <c r="F11" s="93">
        <v>518840</v>
      </c>
      <c r="G11" s="93">
        <v>19310</v>
      </c>
      <c r="H11" s="94"/>
      <c r="I11" s="93" t="s">
        <v>111</v>
      </c>
      <c r="J11" s="93">
        <v>1</v>
      </c>
      <c r="K11" s="93">
        <v>1700</v>
      </c>
      <c r="L11" s="93">
        <v>160</v>
      </c>
      <c r="M11" s="17"/>
      <c r="N11" s="93" t="s">
        <v>111</v>
      </c>
      <c r="O11" s="93">
        <v>1</v>
      </c>
      <c r="P11" s="93">
        <v>1700</v>
      </c>
      <c r="Q11" s="93">
        <v>160</v>
      </c>
      <c r="R11" s="69"/>
    </row>
    <row r="12" spans="2:18">
      <c r="B12" s="68"/>
      <c r="C12" s="93">
        <v>1</v>
      </c>
      <c r="D12" s="93" t="s">
        <v>1779</v>
      </c>
      <c r="E12" s="93">
        <v>136</v>
      </c>
      <c r="F12" s="93">
        <v>511340</v>
      </c>
      <c r="G12" s="93">
        <v>19278</v>
      </c>
      <c r="H12" s="94"/>
      <c r="I12" s="93" t="s">
        <v>115</v>
      </c>
      <c r="J12" s="93">
        <v>2</v>
      </c>
      <c r="K12" s="93">
        <v>7500</v>
      </c>
      <c r="L12" s="93">
        <v>32</v>
      </c>
      <c r="M12" s="17"/>
      <c r="N12" s="93" t="s">
        <v>115</v>
      </c>
      <c r="O12" s="93">
        <v>2</v>
      </c>
      <c r="P12" s="93">
        <v>7500</v>
      </c>
      <c r="Q12" s="93">
        <v>32</v>
      </c>
      <c r="R12" s="69"/>
    </row>
    <row r="13" spans="2:18">
      <c r="B13" s="68"/>
      <c r="C13" s="93">
        <v>1</v>
      </c>
      <c r="D13" s="93" t="s">
        <v>1779</v>
      </c>
      <c r="E13" s="93">
        <v>135</v>
      </c>
      <c r="F13" s="93">
        <v>509640</v>
      </c>
      <c r="G13" s="93">
        <v>19118</v>
      </c>
      <c r="H13" s="94"/>
      <c r="I13" s="93" t="s">
        <v>119</v>
      </c>
      <c r="J13" s="93">
        <v>1</v>
      </c>
      <c r="K13" s="93">
        <v>1700</v>
      </c>
      <c r="L13" s="93">
        <v>160</v>
      </c>
      <c r="M13" s="17"/>
      <c r="N13" s="93" t="s">
        <v>119</v>
      </c>
      <c r="O13" s="93">
        <v>1</v>
      </c>
      <c r="P13" s="93">
        <v>1700</v>
      </c>
      <c r="Q13" s="93">
        <v>160</v>
      </c>
      <c r="R13" s="69"/>
    </row>
    <row r="14" spans="2:18">
      <c r="B14" s="68"/>
      <c r="C14" s="93">
        <v>1</v>
      </c>
      <c r="D14" s="93" t="s">
        <v>1779</v>
      </c>
      <c r="E14" s="93">
        <v>134</v>
      </c>
      <c r="F14" s="93">
        <v>507940</v>
      </c>
      <c r="G14" s="93">
        <v>18958</v>
      </c>
      <c r="H14" s="94"/>
      <c r="I14" s="93" t="s">
        <v>122</v>
      </c>
      <c r="J14" s="93">
        <v>1</v>
      </c>
      <c r="K14" s="93">
        <v>1700</v>
      </c>
      <c r="L14" s="93">
        <v>160</v>
      </c>
      <c r="M14" s="17"/>
      <c r="N14" s="93" t="s">
        <v>122</v>
      </c>
      <c r="O14" s="93">
        <v>1</v>
      </c>
      <c r="P14" s="93">
        <v>1700</v>
      </c>
      <c r="Q14" s="93">
        <v>160</v>
      </c>
      <c r="R14" s="69"/>
    </row>
    <row r="15" spans="2:18">
      <c r="B15" s="68"/>
      <c r="C15" s="93">
        <v>1</v>
      </c>
      <c r="D15" s="93" t="s">
        <v>1779</v>
      </c>
      <c r="E15" s="93">
        <v>133</v>
      </c>
      <c r="F15" s="93">
        <v>506240</v>
      </c>
      <c r="G15" s="93">
        <v>18798</v>
      </c>
      <c r="H15" s="94"/>
      <c r="I15" s="93" t="s">
        <v>126</v>
      </c>
      <c r="J15" s="93">
        <v>1</v>
      </c>
      <c r="K15" s="93">
        <v>1700</v>
      </c>
      <c r="L15" s="93">
        <v>160</v>
      </c>
      <c r="M15" s="17"/>
      <c r="N15" s="93" t="s">
        <v>126</v>
      </c>
      <c r="O15" s="93">
        <v>1</v>
      </c>
      <c r="P15" s="93">
        <v>1700</v>
      </c>
      <c r="Q15" s="93">
        <v>160</v>
      </c>
      <c r="R15" s="69"/>
    </row>
    <row r="16" spans="2:18">
      <c r="B16" s="68"/>
      <c r="C16" s="93">
        <v>1</v>
      </c>
      <c r="D16" s="93" t="s">
        <v>1779</v>
      </c>
      <c r="E16" s="93">
        <v>132</v>
      </c>
      <c r="F16" s="93">
        <v>504540</v>
      </c>
      <c r="G16" s="93">
        <v>18638</v>
      </c>
      <c r="H16" s="94"/>
      <c r="I16" s="93" t="s">
        <v>129</v>
      </c>
      <c r="J16" s="93">
        <v>1</v>
      </c>
      <c r="K16" s="93">
        <v>1700</v>
      </c>
      <c r="L16" s="93">
        <v>160</v>
      </c>
      <c r="M16" s="17"/>
      <c r="N16" s="93" t="s">
        <v>129</v>
      </c>
      <c r="O16" s="93">
        <v>1</v>
      </c>
      <c r="P16" s="93">
        <v>1700</v>
      </c>
      <c r="Q16" s="93">
        <v>160</v>
      </c>
      <c r="R16" s="69"/>
    </row>
    <row r="17" spans="2:18">
      <c r="B17" s="68"/>
      <c r="C17" s="93">
        <v>1</v>
      </c>
      <c r="D17" s="93" t="s">
        <v>1779</v>
      </c>
      <c r="E17" s="93">
        <v>130</v>
      </c>
      <c r="F17" s="93">
        <v>497040</v>
      </c>
      <c r="G17" s="93">
        <v>17788</v>
      </c>
      <c r="H17" s="94"/>
      <c r="I17" s="93" t="s">
        <v>133</v>
      </c>
      <c r="J17" s="93">
        <v>2</v>
      </c>
      <c r="K17" s="93">
        <v>7500</v>
      </c>
      <c r="L17" s="93">
        <v>850</v>
      </c>
      <c r="M17" s="17"/>
      <c r="N17" s="93" t="s">
        <v>133</v>
      </c>
      <c r="O17" s="93">
        <v>2</v>
      </c>
      <c r="P17" s="93">
        <v>7500</v>
      </c>
      <c r="Q17" s="93">
        <v>850</v>
      </c>
      <c r="R17" s="69"/>
    </row>
    <row r="18" spans="2:18">
      <c r="B18" s="68"/>
      <c r="C18" s="93">
        <v>1</v>
      </c>
      <c r="D18" s="93" t="s">
        <v>1779</v>
      </c>
      <c r="E18" s="93">
        <v>129</v>
      </c>
      <c r="F18" s="93">
        <v>493290</v>
      </c>
      <c r="G18" s="93">
        <v>17784</v>
      </c>
      <c r="H18" s="94"/>
      <c r="I18" s="93" t="s">
        <v>136</v>
      </c>
      <c r="J18" s="93">
        <v>1</v>
      </c>
      <c r="K18" s="93">
        <v>3750</v>
      </c>
      <c r="L18" s="93">
        <v>4</v>
      </c>
      <c r="M18" s="17"/>
      <c r="N18" s="93" t="s">
        <v>136</v>
      </c>
      <c r="O18" s="93">
        <v>1</v>
      </c>
      <c r="P18" s="93">
        <v>3750</v>
      </c>
      <c r="Q18" s="93">
        <v>4</v>
      </c>
      <c r="R18" s="69"/>
    </row>
    <row r="19" spans="2:18">
      <c r="B19" s="68"/>
      <c r="C19" s="93">
        <v>1</v>
      </c>
      <c r="D19" s="93" t="s">
        <v>1779</v>
      </c>
      <c r="E19" s="93">
        <v>128</v>
      </c>
      <c r="F19" s="93">
        <v>489540</v>
      </c>
      <c r="G19" s="93">
        <v>17780</v>
      </c>
      <c r="H19" s="94"/>
      <c r="I19" s="93" t="s">
        <v>139</v>
      </c>
      <c r="J19" s="93">
        <v>1</v>
      </c>
      <c r="K19" s="93">
        <v>3750</v>
      </c>
      <c r="L19" s="93">
        <v>4</v>
      </c>
      <c r="M19" s="17"/>
      <c r="N19" s="93" t="s">
        <v>139</v>
      </c>
      <c r="O19" s="93">
        <v>1</v>
      </c>
      <c r="P19" s="93">
        <v>3750</v>
      </c>
      <c r="Q19" s="93">
        <v>4</v>
      </c>
      <c r="R19" s="69"/>
    </row>
    <row r="20" spans="2:18">
      <c r="B20" s="68"/>
      <c r="C20" s="93">
        <v>1</v>
      </c>
      <c r="D20" s="93" t="s">
        <v>1779</v>
      </c>
      <c r="E20" s="93">
        <v>124</v>
      </c>
      <c r="F20" s="93">
        <v>474540</v>
      </c>
      <c r="G20" s="93">
        <v>17700</v>
      </c>
      <c r="H20" s="94"/>
      <c r="I20" s="93" t="s">
        <v>142</v>
      </c>
      <c r="J20" s="93">
        <v>4</v>
      </c>
      <c r="K20" s="93">
        <v>15000</v>
      </c>
      <c r="L20" s="93">
        <v>80</v>
      </c>
      <c r="M20" s="17"/>
      <c r="N20" s="93" t="s">
        <v>142</v>
      </c>
      <c r="O20" s="93">
        <v>4</v>
      </c>
      <c r="P20" s="93">
        <v>15000</v>
      </c>
      <c r="Q20" s="93">
        <v>80</v>
      </c>
      <c r="R20" s="69"/>
    </row>
    <row r="21" spans="2:18">
      <c r="B21" s="68"/>
      <c r="C21" s="93">
        <v>1</v>
      </c>
      <c r="D21" s="93" t="s">
        <v>1779</v>
      </c>
      <c r="E21" s="93">
        <v>122</v>
      </c>
      <c r="F21" s="93">
        <v>470790</v>
      </c>
      <c r="G21" s="93">
        <v>17668</v>
      </c>
      <c r="H21" s="94"/>
      <c r="I21" s="93" t="s">
        <v>145</v>
      </c>
      <c r="J21" s="93">
        <v>2</v>
      </c>
      <c r="K21" s="93">
        <v>3750</v>
      </c>
      <c r="L21" s="93">
        <v>32</v>
      </c>
      <c r="M21" s="17"/>
      <c r="N21" s="93" t="s">
        <v>145</v>
      </c>
      <c r="O21" s="93">
        <v>2</v>
      </c>
      <c r="P21" s="93">
        <v>3750</v>
      </c>
      <c r="Q21" s="93">
        <v>32</v>
      </c>
      <c r="R21" s="69"/>
    </row>
    <row r="22" spans="2:18">
      <c r="B22" s="68"/>
      <c r="C22" s="93">
        <v>1</v>
      </c>
      <c r="D22" s="93" t="s">
        <v>1779</v>
      </c>
      <c r="E22" s="93">
        <v>120</v>
      </c>
      <c r="F22" s="93">
        <v>466790</v>
      </c>
      <c r="G22" s="93">
        <v>17668</v>
      </c>
      <c r="H22" s="94"/>
      <c r="I22" s="93" t="s">
        <v>149</v>
      </c>
      <c r="J22" s="93">
        <v>2</v>
      </c>
      <c r="K22" s="93">
        <v>4000</v>
      </c>
      <c r="L22" s="93">
        <v>0</v>
      </c>
      <c r="M22" s="17"/>
      <c r="N22" s="93" t="s">
        <v>149</v>
      </c>
      <c r="O22" s="93">
        <v>2</v>
      </c>
      <c r="P22" s="93">
        <v>4000</v>
      </c>
      <c r="Q22" s="93">
        <v>0</v>
      </c>
      <c r="R22" s="69"/>
    </row>
    <row r="23" spans="2:18">
      <c r="B23" s="68"/>
      <c r="C23" s="93">
        <v>1</v>
      </c>
      <c r="D23" s="93" t="s">
        <v>1779</v>
      </c>
      <c r="E23" s="93">
        <v>119</v>
      </c>
      <c r="F23" s="93">
        <v>465090</v>
      </c>
      <c r="G23" s="93">
        <v>17508</v>
      </c>
      <c r="H23" s="94"/>
      <c r="I23" s="93" t="s">
        <v>152</v>
      </c>
      <c r="J23" s="93">
        <v>1</v>
      </c>
      <c r="K23" s="93">
        <v>1700</v>
      </c>
      <c r="L23" s="93">
        <v>160</v>
      </c>
      <c r="M23" s="17"/>
      <c r="N23" s="93" t="s">
        <v>152</v>
      </c>
      <c r="O23" s="93">
        <v>1</v>
      </c>
      <c r="P23" s="93">
        <v>1700</v>
      </c>
      <c r="Q23" s="93">
        <v>160</v>
      </c>
      <c r="R23" s="69"/>
    </row>
    <row r="24" spans="2:18">
      <c r="B24" s="68"/>
      <c r="C24" s="93">
        <v>1</v>
      </c>
      <c r="D24" s="93" t="s">
        <v>1779</v>
      </c>
      <c r="E24" s="93">
        <v>115</v>
      </c>
      <c r="F24" s="93">
        <v>450090</v>
      </c>
      <c r="G24" s="93">
        <v>17428</v>
      </c>
      <c r="H24" s="94"/>
      <c r="I24" s="93" t="s">
        <v>155</v>
      </c>
      <c r="J24" s="93">
        <v>4</v>
      </c>
      <c r="K24" s="93">
        <v>15000</v>
      </c>
      <c r="L24" s="93">
        <v>80</v>
      </c>
      <c r="M24" s="17"/>
      <c r="N24" s="93" t="s">
        <v>155</v>
      </c>
      <c r="O24" s="93">
        <v>4</v>
      </c>
      <c r="P24" s="93">
        <v>15000</v>
      </c>
      <c r="Q24" s="93">
        <v>80</v>
      </c>
      <c r="R24" s="69"/>
    </row>
    <row r="25" spans="2:18">
      <c r="B25" s="68"/>
      <c r="C25" s="93">
        <v>1</v>
      </c>
      <c r="D25" s="93" t="s">
        <v>1779</v>
      </c>
      <c r="E25" s="93">
        <v>114</v>
      </c>
      <c r="F25" s="93">
        <v>446340</v>
      </c>
      <c r="G25" s="93">
        <v>17018</v>
      </c>
      <c r="H25" s="94"/>
      <c r="I25" s="93" t="s">
        <v>158</v>
      </c>
      <c r="J25" s="93">
        <v>1</v>
      </c>
      <c r="K25" s="93">
        <v>3750</v>
      </c>
      <c r="L25" s="93">
        <v>410</v>
      </c>
      <c r="M25" s="17"/>
      <c r="N25" s="93" t="s">
        <v>158</v>
      </c>
      <c r="O25" s="93">
        <v>1</v>
      </c>
      <c r="P25" s="93">
        <v>3750</v>
      </c>
      <c r="Q25" s="93">
        <v>410</v>
      </c>
      <c r="R25" s="69"/>
    </row>
    <row r="26" spans="2:18">
      <c r="B26" s="68"/>
      <c r="C26" s="93">
        <v>1</v>
      </c>
      <c r="D26" s="93" t="s">
        <v>1779</v>
      </c>
      <c r="E26" s="93">
        <v>113</v>
      </c>
      <c r="F26" s="93">
        <v>444640</v>
      </c>
      <c r="G26" s="93">
        <v>16858</v>
      </c>
      <c r="H26" s="94"/>
      <c r="I26" s="93" t="s">
        <v>161</v>
      </c>
      <c r="J26" s="93">
        <v>1</v>
      </c>
      <c r="K26" s="93">
        <v>1700</v>
      </c>
      <c r="L26" s="93">
        <v>160</v>
      </c>
      <c r="M26" s="17"/>
      <c r="N26" s="93" t="s">
        <v>161</v>
      </c>
      <c r="O26" s="93">
        <v>1</v>
      </c>
      <c r="P26" s="93">
        <v>1700</v>
      </c>
      <c r="Q26" s="93">
        <v>160</v>
      </c>
      <c r="R26" s="69"/>
    </row>
    <row r="27" spans="2:18">
      <c r="B27" s="68"/>
      <c r="C27" s="93">
        <v>1</v>
      </c>
      <c r="D27" s="93" t="s">
        <v>1779</v>
      </c>
      <c r="E27" s="93">
        <v>105</v>
      </c>
      <c r="F27" s="93">
        <v>414640</v>
      </c>
      <c r="G27" s="93">
        <v>16698</v>
      </c>
      <c r="H27" s="94"/>
      <c r="I27" s="93" t="s">
        <v>165</v>
      </c>
      <c r="J27" s="93">
        <v>8</v>
      </c>
      <c r="K27" s="93">
        <v>30000</v>
      </c>
      <c r="L27" s="93">
        <v>160</v>
      </c>
      <c r="M27" s="17"/>
      <c r="N27" s="93" t="s">
        <v>165</v>
      </c>
      <c r="O27" s="93">
        <v>8</v>
      </c>
      <c r="P27" s="93">
        <v>30000</v>
      </c>
      <c r="Q27" s="93">
        <v>160</v>
      </c>
      <c r="R27" s="69"/>
    </row>
    <row r="28" spans="2:18">
      <c r="B28" s="68"/>
      <c r="C28" s="93">
        <v>1</v>
      </c>
      <c r="D28" s="93" t="s">
        <v>1779</v>
      </c>
      <c r="E28" s="93">
        <v>101</v>
      </c>
      <c r="F28" s="93">
        <v>399640</v>
      </c>
      <c r="G28" s="93">
        <v>16618</v>
      </c>
      <c r="H28" s="94"/>
      <c r="I28" s="93" t="s">
        <v>168</v>
      </c>
      <c r="J28" s="93">
        <v>4</v>
      </c>
      <c r="K28" s="93">
        <v>15000</v>
      </c>
      <c r="L28" s="93">
        <v>80</v>
      </c>
      <c r="M28" s="17"/>
      <c r="N28" s="93" t="s">
        <v>168</v>
      </c>
      <c r="O28" s="93">
        <v>4</v>
      </c>
      <c r="P28" s="93">
        <v>15000</v>
      </c>
      <c r="Q28" s="93">
        <v>80</v>
      </c>
      <c r="R28" s="69"/>
    </row>
    <row r="29" spans="2:18">
      <c r="B29" s="68"/>
      <c r="C29" s="93">
        <v>1</v>
      </c>
      <c r="D29" s="93" t="s">
        <v>1779</v>
      </c>
      <c r="E29" s="93">
        <v>100</v>
      </c>
      <c r="F29" s="93">
        <v>397940</v>
      </c>
      <c r="G29" s="93">
        <v>16458</v>
      </c>
      <c r="H29" s="94"/>
      <c r="I29" s="93" t="s">
        <v>170</v>
      </c>
      <c r="J29" s="93">
        <v>1</v>
      </c>
      <c r="K29" s="93">
        <v>1700</v>
      </c>
      <c r="L29" s="93">
        <v>160</v>
      </c>
      <c r="M29" s="17"/>
      <c r="N29" s="93" t="s">
        <v>170</v>
      </c>
      <c r="O29" s="93">
        <v>1</v>
      </c>
      <c r="P29" s="93">
        <v>1700</v>
      </c>
      <c r="Q29" s="93">
        <v>160</v>
      </c>
      <c r="R29" s="69"/>
    </row>
    <row r="30" spans="2:18">
      <c r="B30" s="68"/>
      <c r="C30" s="93">
        <v>1</v>
      </c>
      <c r="D30" s="93" t="s">
        <v>1779</v>
      </c>
      <c r="E30" s="93">
        <v>99</v>
      </c>
      <c r="F30" s="93">
        <v>395940</v>
      </c>
      <c r="G30" s="93">
        <v>16458</v>
      </c>
      <c r="H30" s="94"/>
      <c r="I30" s="93" t="s">
        <v>173</v>
      </c>
      <c r="J30" s="93">
        <v>1</v>
      </c>
      <c r="K30" s="93">
        <v>2000</v>
      </c>
      <c r="L30" s="93">
        <v>0</v>
      </c>
      <c r="M30" s="17"/>
      <c r="N30" s="93" t="s">
        <v>173</v>
      </c>
      <c r="O30" s="93">
        <v>1</v>
      </c>
      <c r="P30" s="93">
        <v>2000</v>
      </c>
      <c r="Q30" s="93">
        <v>0</v>
      </c>
      <c r="R30" s="69"/>
    </row>
    <row r="31" spans="2:18">
      <c r="B31" s="68"/>
      <c r="C31" s="93">
        <v>1</v>
      </c>
      <c r="D31" s="93" t="s">
        <v>1779</v>
      </c>
      <c r="E31" s="93">
        <v>98</v>
      </c>
      <c r="F31" s="93">
        <v>395325</v>
      </c>
      <c r="G31" s="93">
        <v>16298</v>
      </c>
      <c r="H31" s="94"/>
      <c r="I31" s="93" t="s">
        <v>177</v>
      </c>
      <c r="J31" s="93">
        <v>1</v>
      </c>
      <c r="K31" s="93">
        <v>615</v>
      </c>
      <c r="L31" s="93">
        <v>160</v>
      </c>
      <c r="M31" s="17"/>
      <c r="N31" s="93" t="s">
        <v>177</v>
      </c>
      <c r="O31" s="93">
        <v>1</v>
      </c>
      <c r="P31" s="93">
        <v>615</v>
      </c>
      <c r="Q31" s="93">
        <v>160</v>
      </c>
      <c r="R31" s="69"/>
    </row>
    <row r="32" spans="2:18">
      <c r="B32" s="68"/>
      <c r="C32" s="93">
        <v>1</v>
      </c>
      <c r="D32" s="93" t="s">
        <v>1779</v>
      </c>
      <c r="E32" s="93">
        <v>94</v>
      </c>
      <c r="F32" s="93">
        <v>380325</v>
      </c>
      <c r="G32" s="93">
        <v>16218</v>
      </c>
      <c r="H32" s="94"/>
      <c r="I32" s="93" t="s">
        <v>178</v>
      </c>
      <c r="J32" s="93">
        <v>4</v>
      </c>
      <c r="K32" s="93">
        <v>15000</v>
      </c>
      <c r="L32" s="93">
        <v>80</v>
      </c>
      <c r="M32" s="17"/>
      <c r="N32" s="93" t="s">
        <v>178</v>
      </c>
      <c r="O32" s="93">
        <v>4</v>
      </c>
      <c r="P32" s="93">
        <v>15000</v>
      </c>
      <c r="Q32" s="93">
        <v>80</v>
      </c>
      <c r="R32" s="69"/>
    </row>
    <row r="33" spans="2:18">
      <c r="B33" s="68"/>
      <c r="C33" s="93">
        <v>1</v>
      </c>
      <c r="D33" s="93" t="s">
        <v>1779</v>
      </c>
      <c r="E33" s="93">
        <v>93</v>
      </c>
      <c r="F33" s="93">
        <v>378625</v>
      </c>
      <c r="G33" s="93">
        <v>16058</v>
      </c>
      <c r="H33" s="94"/>
      <c r="I33" s="93" t="s">
        <v>179</v>
      </c>
      <c r="J33" s="93">
        <v>1</v>
      </c>
      <c r="K33" s="93">
        <v>1700</v>
      </c>
      <c r="L33" s="93">
        <v>160</v>
      </c>
      <c r="M33" s="17"/>
      <c r="N33" s="93" t="s">
        <v>179</v>
      </c>
      <c r="O33" s="93">
        <v>1</v>
      </c>
      <c r="P33" s="93">
        <v>1700</v>
      </c>
      <c r="Q33" s="93">
        <v>160</v>
      </c>
      <c r="R33" s="69"/>
    </row>
    <row r="34" spans="2:18">
      <c r="B34" s="68"/>
      <c r="C34" s="93">
        <v>1</v>
      </c>
      <c r="D34" s="93" t="s">
        <v>1779</v>
      </c>
      <c r="E34" s="93">
        <v>92</v>
      </c>
      <c r="F34" s="93">
        <v>376925</v>
      </c>
      <c r="G34" s="93">
        <v>15898</v>
      </c>
      <c r="H34" s="94"/>
      <c r="I34" s="93" t="s">
        <v>181</v>
      </c>
      <c r="J34" s="93">
        <v>1</v>
      </c>
      <c r="K34" s="93">
        <v>1700</v>
      </c>
      <c r="L34" s="93">
        <v>160</v>
      </c>
      <c r="M34" s="17"/>
      <c r="N34" s="93" t="s">
        <v>181</v>
      </c>
      <c r="O34" s="93">
        <v>1</v>
      </c>
      <c r="P34" s="93">
        <v>1700</v>
      </c>
      <c r="Q34" s="93">
        <v>160</v>
      </c>
      <c r="R34" s="69"/>
    </row>
    <row r="35" spans="2:18">
      <c r="B35" s="68"/>
      <c r="C35" s="93">
        <v>1</v>
      </c>
      <c r="D35" s="93" t="s">
        <v>1779</v>
      </c>
      <c r="E35" s="93">
        <v>91</v>
      </c>
      <c r="F35" s="93">
        <v>375225</v>
      </c>
      <c r="G35" s="93">
        <v>15738</v>
      </c>
      <c r="H35" s="94"/>
      <c r="I35" s="93" t="s">
        <v>183</v>
      </c>
      <c r="J35" s="93">
        <v>1</v>
      </c>
      <c r="K35" s="93">
        <v>1700</v>
      </c>
      <c r="L35" s="93">
        <v>160</v>
      </c>
      <c r="M35" s="17"/>
      <c r="N35" s="93" t="s">
        <v>183</v>
      </c>
      <c r="O35" s="93">
        <v>1</v>
      </c>
      <c r="P35" s="93">
        <v>1700</v>
      </c>
      <c r="Q35" s="93">
        <v>160</v>
      </c>
      <c r="R35" s="69"/>
    </row>
    <row r="36" spans="2:18">
      <c r="B36" s="68"/>
      <c r="C36" s="93">
        <v>1</v>
      </c>
      <c r="D36" s="93" t="s">
        <v>1779</v>
      </c>
      <c r="E36" s="93">
        <v>89</v>
      </c>
      <c r="F36" s="93">
        <v>371475</v>
      </c>
      <c r="G36" s="93">
        <v>15706</v>
      </c>
      <c r="H36" s="94"/>
      <c r="I36" s="93" t="s">
        <v>185</v>
      </c>
      <c r="J36" s="93">
        <v>2</v>
      </c>
      <c r="K36" s="93">
        <v>3750</v>
      </c>
      <c r="L36" s="93">
        <v>32</v>
      </c>
      <c r="M36" s="17"/>
      <c r="N36" s="93" t="s">
        <v>185</v>
      </c>
      <c r="O36" s="93">
        <v>2</v>
      </c>
      <c r="P36" s="93">
        <v>3750</v>
      </c>
      <c r="Q36" s="93">
        <v>32</v>
      </c>
      <c r="R36" s="69"/>
    </row>
    <row r="37" spans="2:18">
      <c r="B37" s="68"/>
      <c r="C37" s="93">
        <v>1</v>
      </c>
      <c r="D37" s="93" t="s">
        <v>1779</v>
      </c>
      <c r="E37" s="93">
        <v>88</v>
      </c>
      <c r="F37" s="93">
        <v>369775</v>
      </c>
      <c r="G37" s="93">
        <v>15546</v>
      </c>
      <c r="H37" s="94"/>
      <c r="I37" s="93" t="s">
        <v>186</v>
      </c>
      <c r="J37" s="93">
        <v>1</v>
      </c>
      <c r="K37" s="93">
        <v>1700</v>
      </c>
      <c r="L37" s="93">
        <v>160</v>
      </c>
      <c r="M37" s="17"/>
      <c r="N37" s="93" t="s">
        <v>186</v>
      </c>
      <c r="O37" s="93">
        <v>1</v>
      </c>
      <c r="P37" s="93">
        <v>1700</v>
      </c>
      <c r="Q37" s="93">
        <v>160</v>
      </c>
      <c r="R37" s="69"/>
    </row>
    <row r="38" spans="2:18">
      <c r="B38" s="68"/>
      <c r="C38" s="93">
        <v>1</v>
      </c>
      <c r="D38" s="93" t="s">
        <v>1779</v>
      </c>
      <c r="E38" s="93">
        <v>87</v>
      </c>
      <c r="F38" s="93">
        <v>367775</v>
      </c>
      <c r="G38" s="93">
        <v>15546</v>
      </c>
      <c r="H38" s="94"/>
      <c r="I38" s="93" t="s">
        <v>187</v>
      </c>
      <c r="J38" s="93">
        <v>1</v>
      </c>
      <c r="K38" s="93">
        <v>2000</v>
      </c>
      <c r="L38" s="93">
        <v>0</v>
      </c>
      <c r="M38" s="17"/>
      <c r="N38" s="93" t="s">
        <v>187</v>
      </c>
      <c r="O38" s="93">
        <v>1</v>
      </c>
      <c r="P38" s="93">
        <v>2000</v>
      </c>
      <c r="Q38" s="93">
        <v>0</v>
      </c>
      <c r="R38" s="69"/>
    </row>
    <row r="39" spans="2:18">
      <c r="B39" s="68"/>
      <c r="C39" s="93">
        <v>1</v>
      </c>
      <c r="D39" s="93" t="s">
        <v>1779</v>
      </c>
      <c r="E39" s="93">
        <v>86</v>
      </c>
      <c r="F39" s="93">
        <v>365775</v>
      </c>
      <c r="G39" s="93">
        <v>15546</v>
      </c>
      <c r="H39" s="94"/>
      <c r="I39" s="93" t="s">
        <v>188</v>
      </c>
      <c r="J39" s="93">
        <v>1</v>
      </c>
      <c r="K39" s="93">
        <v>2000</v>
      </c>
      <c r="L39" s="93">
        <v>0</v>
      </c>
      <c r="M39" s="17"/>
      <c r="N39" s="93" t="s">
        <v>188</v>
      </c>
      <c r="O39" s="93">
        <v>1</v>
      </c>
      <c r="P39" s="93">
        <v>2000</v>
      </c>
      <c r="Q39" s="93">
        <v>0</v>
      </c>
      <c r="R39" s="69"/>
    </row>
    <row r="40" spans="2:18">
      <c r="B40" s="68"/>
      <c r="C40" s="93">
        <v>1</v>
      </c>
      <c r="D40" s="93" t="s">
        <v>1779</v>
      </c>
      <c r="E40" s="93">
        <v>85</v>
      </c>
      <c r="F40" s="93">
        <v>364075</v>
      </c>
      <c r="G40" s="93">
        <v>15386</v>
      </c>
      <c r="H40" s="94"/>
      <c r="I40" s="93" t="s">
        <v>190</v>
      </c>
      <c r="J40" s="93">
        <v>1</v>
      </c>
      <c r="K40" s="93">
        <v>1700</v>
      </c>
      <c r="L40" s="93">
        <v>160</v>
      </c>
      <c r="M40" s="17"/>
      <c r="N40" s="93" t="s">
        <v>190</v>
      </c>
      <c r="O40" s="93">
        <v>1</v>
      </c>
      <c r="P40" s="93">
        <v>1700</v>
      </c>
      <c r="Q40" s="93">
        <v>160</v>
      </c>
      <c r="R40" s="69"/>
    </row>
    <row r="41" spans="2:18">
      <c r="B41" s="68"/>
      <c r="C41" s="93">
        <v>1</v>
      </c>
      <c r="D41" s="93" t="s">
        <v>1779</v>
      </c>
      <c r="E41" s="93">
        <v>83</v>
      </c>
      <c r="F41" s="93">
        <v>349075</v>
      </c>
      <c r="G41" s="93">
        <v>15354</v>
      </c>
      <c r="H41" s="94"/>
      <c r="I41" s="93" t="s">
        <v>194</v>
      </c>
      <c r="J41" s="93">
        <v>2</v>
      </c>
      <c r="K41" s="93">
        <v>15000</v>
      </c>
      <c r="L41" s="93">
        <v>32</v>
      </c>
      <c r="M41" s="17"/>
      <c r="N41" s="93" t="s">
        <v>194</v>
      </c>
      <c r="O41" s="93">
        <v>2</v>
      </c>
      <c r="P41" s="93">
        <v>15000</v>
      </c>
      <c r="Q41" s="93">
        <v>32</v>
      </c>
      <c r="R41" s="69"/>
    </row>
    <row r="42" spans="2:18">
      <c r="B42" s="68"/>
      <c r="C42" s="93">
        <v>1</v>
      </c>
      <c r="D42" s="93" t="s">
        <v>1779</v>
      </c>
      <c r="E42" s="93">
        <v>81</v>
      </c>
      <c r="F42" s="93">
        <v>341575</v>
      </c>
      <c r="G42" s="93">
        <v>14504</v>
      </c>
      <c r="H42" s="94"/>
      <c r="I42" s="93" t="s">
        <v>196</v>
      </c>
      <c r="J42" s="93">
        <v>2</v>
      </c>
      <c r="K42" s="93">
        <v>7500</v>
      </c>
      <c r="L42" s="93">
        <v>850</v>
      </c>
      <c r="M42" s="17"/>
      <c r="N42" s="93" t="s">
        <v>196</v>
      </c>
      <c r="O42" s="93">
        <v>2</v>
      </c>
      <c r="P42" s="93">
        <v>7500</v>
      </c>
      <c r="Q42" s="93">
        <v>850</v>
      </c>
      <c r="R42" s="69"/>
    </row>
    <row r="43" spans="2:18">
      <c r="B43" s="68"/>
      <c r="C43" s="93">
        <v>1</v>
      </c>
      <c r="D43" s="93" t="s">
        <v>1779</v>
      </c>
      <c r="E43" s="93">
        <v>49</v>
      </c>
      <c r="F43" s="93">
        <v>281575</v>
      </c>
      <c r="G43" s="93">
        <v>13864</v>
      </c>
      <c r="H43" s="94"/>
      <c r="I43" s="93" t="s">
        <v>198</v>
      </c>
      <c r="J43" s="93">
        <v>32</v>
      </c>
      <c r="K43" s="93">
        <v>60000</v>
      </c>
      <c r="L43" s="93">
        <v>640</v>
      </c>
      <c r="M43" s="17"/>
      <c r="N43" s="93" t="s">
        <v>198</v>
      </c>
      <c r="O43" s="93">
        <v>32</v>
      </c>
      <c r="P43" s="93">
        <v>60000</v>
      </c>
      <c r="Q43" s="93">
        <v>640</v>
      </c>
      <c r="R43" s="69"/>
    </row>
    <row r="44" spans="2:18">
      <c r="B44" s="68"/>
      <c r="C44" s="93">
        <v>1</v>
      </c>
      <c r="D44" s="93" t="s">
        <v>1779</v>
      </c>
      <c r="E44" s="93">
        <v>48</v>
      </c>
      <c r="F44" s="93">
        <v>279875</v>
      </c>
      <c r="G44" s="93">
        <v>13704</v>
      </c>
      <c r="H44" s="94"/>
      <c r="I44" s="93" t="s">
        <v>200</v>
      </c>
      <c r="J44" s="93">
        <v>1</v>
      </c>
      <c r="K44" s="93">
        <v>1700</v>
      </c>
      <c r="L44" s="93">
        <v>160</v>
      </c>
      <c r="M44" s="17"/>
      <c r="N44" s="93" t="s">
        <v>200</v>
      </c>
      <c r="O44" s="93">
        <v>1</v>
      </c>
      <c r="P44" s="93">
        <v>1700</v>
      </c>
      <c r="Q44" s="93">
        <v>160</v>
      </c>
      <c r="R44" s="69"/>
    </row>
    <row r="45" spans="2:18">
      <c r="B45" s="68"/>
      <c r="C45" s="93">
        <v>1</v>
      </c>
      <c r="D45" s="93" t="s">
        <v>1779</v>
      </c>
      <c r="E45" s="93">
        <v>47</v>
      </c>
      <c r="F45" s="93">
        <v>278175</v>
      </c>
      <c r="G45" s="93">
        <v>13544</v>
      </c>
      <c r="H45" s="94"/>
      <c r="I45" s="93" t="s">
        <v>201</v>
      </c>
      <c r="J45" s="93">
        <v>1</v>
      </c>
      <c r="K45" s="93">
        <v>1700</v>
      </c>
      <c r="L45" s="93">
        <v>160</v>
      </c>
      <c r="M45" s="17"/>
      <c r="N45" s="93" t="s">
        <v>201</v>
      </c>
      <c r="O45" s="93">
        <v>1</v>
      </c>
      <c r="P45" s="93">
        <v>1700</v>
      </c>
      <c r="Q45" s="93">
        <v>160</v>
      </c>
      <c r="R45" s="69"/>
    </row>
    <row r="46" spans="2:18">
      <c r="B46" s="68"/>
      <c r="C46" s="93">
        <v>1</v>
      </c>
      <c r="D46" s="93" t="s">
        <v>1779</v>
      </c>
      <c r="E46" s="93">
        <v>46</v>
      </c>
      <c r="F46" s="93">
        <v>274425</v>
      </c>
      <c r="G46" s="93">
        <v>13540</v>
      </c>
      <c r="H46" s="94"/>
      <c r="I46" s="93" t="s">
        <v>204</v>
      </c>
      <c r="J46" s="93">
        <v>1</v>
      </c>
      <c r="K46" s="93">
        <v>3750</v>
      </c>
      <c r="L46" s="93">
        <v>4</v>
      </c>
      <c r="M46" s="17"/>
      <c r="N46" s="93" t="s">
        <v>204</v>
      </c>
      <c r="O46" s="93">
        <v>1</v>
      </c>
      <c r="P46" s="93">
        <v>3750</v>
      </c>
      <c r="Q46" s="93">
        <v>4</v>
      </c>
      <c r="R46" s="69"/>
    </row>
    <row r="47" spans="2:18">
      <c r="B47" s="68"/>
      <c r="C47" s="93">
        <v>1</v>
      </c>
      <c r="D47" s="93" t="s">
        <v>1779</v>
      </c>
      <c r="E47" s="93">
        <v>44</v>
      </c>
      <c r="F47" s="93">
        <v>266925</v>
      </c>
      <c r="G47" s="93">
        <v>12690</v>
      </c>
      <c r="H47" s="94"/>
      <c r="I47" s="93" t="s">
        <v>206</v>
      </c>
      <c r="J47" s="93">
        <v>2</v>
      </c>
      <c r="K47" s="93">
        <v>7500</v>
      </c>
      <c r="L47" s="93">
        <v>850</v>
      </c>
      <c r="M47" s="17"/>
      <c r="N47" s="93" t="s">
        <v>206</v>
      </c>
      <c r="O47" s="93">
        <v>2</v>
      </c>
      <c r="P47" s="93">
        <v>7500</v>
      </c>
      <c r="Q47" s="93">
        <v>850</v>
      </c>
      <c r="R47" s="69"/>
    </row>
    <row r="48" spans="2:18">
      <c r="B48" s="68"/>
      <c r="C48" s="93">
        <v>1</v>
      </c>
      <c r="D48" s="93" t="s">
        <v>1779</v>
      </c>
      <c r="E48" s="93">
        <v>43</v>
      </c>
      <c r="F48" s="93">
        <v>265225</v>
      </c>
      <c r="G48" s="93">
        <v>12530</v>
      </c>
      <c r="H48" s="94"/>
      <c r="I48" s="93" t="s">
        <v>208</v>
      </c>
      <c r="J48" s="93">
        <v>1</v>
      </c>
      <c r="K48" s="93">
        <v>1700</v>
      </c>
      <c r="L48" s="93">
        <v>160</v>
      </c>
      <c r="M48" s="17"/>
      <c r="N48" s="93" t="s">
        <v>208</v>
      </c>
      <c r="O48" s="93">
        <v>1</v>
      </c>
      <c r="P48" s="93">
        <v>1700</v>
      </c>
      <c r="Q48" s="93">
        <v>160</v>
      </c>
      <c r="R48" s="69"/>
    </row>
    <row r="49" spans="2:18">
      <c r="B49" s="68"/>
      <c r="C49" s="93">
        <v>1</v>
      </c>
      <c r="D49" s="93" t="s">
        <v>1779</v>
      </c>
      <c r="E49" s="93">
        <v>41</v>
      </c>
      <c r="F49" s="93">
        <v>261475</v>
      </c>
      <c r="G49" s="93">
        <v>12498</v>
      </c>
      <c r="H49" s="94"/>
      <c r="I49" s="93" t="s">
        <v>211</v>
      </c>
      <c r="J49" s="93">
        <v>2</v>
      </c>
      <c r="K49" s="93">
        <v>3750</v>
      </c>
      <c r="L49" s="93">
        <v>32</v>
      </c>
      <c r="M49" s="17"/>
      <c r="N49" s="93" t="s">
        <v>211</v>
      </c>
      <c r="O49" s="93">
        <v>2</v>
      </c>
      <c r="P49" s="93">
        <v>3750</v>
      </c>
      <c r="Q49" s="93">
        <v>32</v>
      </c>
      <c r="R49" s="69"/>
    </row>
    <row r="50" spans="2:18">
      <c r="B50" s="68"/>
      <c r="C50" s="93">
        <v>1</v>
      </c>
      <c r="D50" s="93" t="s">
        <v>1779</v>
      </c>
      <c r="E50" s="93">
        <v>40</v>
      </c>
      <c r="F50" s="93">
        <v>260475</v>
      </c>
      <c r="G50" s="93">
        <v>12498</v>
      </c>
      <c r="H50" s="94"/>
      <c r="I50" s="93" t="s">
        <v>213</v>
      </c>
      <c r="J50" s="93">
        <v>1</v>
      </c>
      <c r="K50" s="93">
        <v>1000</v>
      </c>
      <c r="L50" s="93">
        <v>0</v>
      </c>
      <c r="M50" s="17"/>
      <c r="N50" s="93" t="s">
        <v>213</v>
      </c>
      <c r="O50" s="93">
        <v>1</v>
      </c>
      <c r="P50" s="93">
        <v>1000</v>
      </c>
      <c r="Q50" s="93">
        <v>0</v>
      </c>
      <c r="R50" s="69"/>
    </row>
    <row r="51" spans="2:18">
      <c r="B51" s="68"/>
      <c r="C51" s="93">
        <v>1</v>
      </c>
      <c r="D51" s="93" t="s">
        <v>1779</v>
      </c>
      <c r="E51" s="93">
        <v>39</v>
      </c>
      <c r="F51" s="93">
        <v>256725</v>
      </c>
      <c r="G51" s="93">
        <v>12494</v>
      </c>
      <c r="H51" s="94"/>
      <c r="I51" s="93" t="s">
        <v>215</v>
      </c>
      <c r="J51" s="93">
        <v>1</v>
      </c>
      <c r="K51" s="93">
        <v>3750</v>
      </c>
      <c r="L51" s="93">
        <v>4</v>
      </c>
      <c r="M51" s="17"/>
      <c r="N51" s="93" t="s">
        <v>215</v>
      </c>
      <c r="O51" s="93">
        <v>1</v>
      </c>
      <c r="P51" s="93">
        <v>3750</v>
      </c>
      <c r="Q51" s="93">
        <v>4</v>
      </c>
      <c r="R51" s="69"/>
    </row>
    <row r="52" spans="2:18">
      <c r="B52" s="68"/>
      <c r="C52" s="93">
        <v>1</v>
      </c>
      <c r="D52" s="93" t="s">
        <v>1779</v>
      </c>
      <c r="E52" s="93">
        <v>35</v>
      </c>
      <c r="F52" s="93">
        <v>241725</v>
      </c>
      <c r="G52" s="93">
        <v>12414</v>
      </c>
      <c r="H52" s="94"/>
      <c r="I52" s="93" t="s">
        <v>216</v>
      </c>
      <c r="J52" s="93">
        <v>4</v>
      </c>
      <c r="K52" s="93">
        <v>15000</v>
      </c>
      <c r="L52" s="93">
        <v>80</v>
      </c>
      <c r="M52" s="17"/>
      <c r="N52" s="93" t="s">
        <v>216</v>
      </c>
      <c r="O52" s="93">
        <v>4</v>
      </c>
      <c r="P52" s="93">
        <v>15000</v>
      </c>
      <c r="Q52" s="93">
        <v>80</v>
      </c>
      <c r="R52" s="69"/>
    </row>
    <row r="53" spans="2:18">
      <c r="B53" s="68"/>
      <c r="C53" s="93">
        <v>1</v>
      </c>
      <c r="D53" s="93" t="s">
        <v>1779</v>
      </c>
      <c r="E53" s="93">
        <v>34</v>
      </c>
      <c r="F53" s="93">
        <v>240025</v>
      </c>
      <c r="G53" s="93">
        <v>12254</v>
      </c>
      <c r="H53" s="94"/>
      <c r="I53" s="93" t="s">
        <v>218</v>
      </c>
      <c r="J53" s="93">
        <v>1</v>
      </c>
      <c r="K53" s="93">
        <v>1700</v>
      </c>
      <c r="L53" s="93">
        <v>160</v>
      </c>
      <c r="M53" s="17"/>
      <c r="N53" s="93" t="s">
        <v>218</v>
      </c>
      <c r="O53" s="93">
        <v>1</v>
      </c>
      <c r="P53" s="93">
        <v>1700</v>
      </c>
      <c r="Q53" s="93">
        <v>160</v>
      </c>
      <c r="R53" s="69"/>
    </row>
    <row r="54" spans="2:18">
      <c r="B54" s="68"/>
      <c r="C54" s="93">
        <v>1</v>
      </c>
      <c r="D54" s="93" t="s">
        <v>1779</v>
      </c>
      <c r="E54" s="93">
        <v>33</v>
      </c>
      <c r="F54" s="93">
        <v>238325</v>
      </c>
      <c r="G54" s="93">
        <v>12094</v>
      </c>
      <c r="H54" s="94"/>
      <c r="I54" s="93" t="s">
        <v>219</v>
      </c>
      <c r="J54" s="93">
        <v>1</v>
      </c>
      <c r="K54" s="93">
        <v>1700</v>
      </c>
      <c r="L54" s="93">
        <v>160</v>
      </c>
      <c r="M54" s="17"/>
      <c r="N54" s="93" t="s">
        <v>219</v>
      </c>
      <c r="O54" s="93">
        <v>1</v>
      </c>
      <c r="P54" s="93">
        <v>1700</v>
      </c>
      <c r="Q54" s="93">
        <v>160</v>
      </c>
      <c r="R54" s="69"/>
    </row>
    <row r="55" spans="2:18">
      <c r="B55" s="68"/>
      <c r="C55" s="93">
        <v>1</v>
      </c>
      <c r="D55" s="93" t="s">
        <v>1779</v>
      </c>
      <c r="E55" s="93">
        <v>32</v>
      </c>
      <c r="F55" s="93">
        <v>236625</v>
      </c>
      <c r="G55" s="93">
        <v>11934</v>
      </c>
      <c r="H55" s="94"/>
      <c r="I55" s="93" t="s">
        <v>221</v>
      </c>
      <c r="J55" s="93">
        <v>1</v>
      </c>
      <c r="K55" s="93">
        <v>1700</v>
      </c>
      <c r="L55" s="93">
        <v>160</v>
      </c>
      <c r="M55" s="17"/>
      <c r="N55" s="93" t="s">
        <v>221</v>
      </c>
      <c r="O55" s="93">
        <v>1</v>
      </c>
      <c r="P55" s="93">
        <v>1700</v>
      </c>
      <c r="Q55" s="93">
        <v>160</v>
      </c>
      <c r="R55" s="69"/>
    </row>
    <row r="56" spans="2:18">
      <c r="B56" s="68"/>
      <c r="C56" s="93">
        <v>1</v>
      </c>
      <c r="D56" s="93" t="s">
        <v>1779</v>
      </c>
      <c r="E56" s="93">
        <v>31</v>
      </c>
      <c r="F56" s="93">
        <v>234625</v>
      </c>
      <c r="G56" s="93">
        <v>11934</v>
      </c>
      <c r="H56" s="94"/>
      <c r="I56" s="93" t="s">
        <v>223</v>
      </c>
      <c r="J56" s="93">
        <v>1</v>
      </c>
      <c r="K56" s="93">
        <v>2000</v>
      </c>
      <c r="L56" s="93">
        <v>0</v>
      </c>
      <c r="M56" s="17"/>
      <c r="N56" s="93" t="s">
        <v>223</v>
      </c>
      <c r="O56" s="93">
        <v>1</v>
      </c>
      <c r="P56" s="93">
        <v>2000</v>
      </c>
      <c r="Q56" s="93">
        <v>0</v>
      </c>
      <c r="R56" s="69"/>
    </row>
    <row r="57" spans="2:18">
      <c r="B57" s="68"/>
      <c r="C57" s="93">
        <v>1</v>
      </c>
      <c r="D57" s="93" t="s">
        <v>1779</v>
      </c>
      <c r="E57" s="93">
        <v>30</v>
      </c>
      <c r="F57" s="93">
        <v>232625</v>
      </c>
      <c r="G57" s="93">
        <v>11934</v>
      </c>
      <c r="H57" s="94"/>
      <c r="I57" s="93" t="s">
        <v>224</v>
      </c>
      <c r="J57" s="93">
        <v>1</v>
      </c>
      <c r="K57" s="93">
        <v>2000</v>
      </c>
      <c r="L57" s="93">
        <v>0</v>
      </c>
      <c r="M57" s="17"/>
      <c r="N57" s="93" t="s">
        <v>224</v>
      </c>
      <c r="O57" s="93">
        <v>1</v>
      </c>
      <c r="P57" s="93">
        <v>2000</v>
      </c>
      <c r="Q57" s="93">
        <v>0</v>
      </c>
      <c r="R57" s="69"/>
    </row>
    <row r="58" spans="2:18">
      <c r="B58" s="68"/>
      <c r="C58" s="93">
        <v>1</v>
      </c>
      <c r="D58" s="93" t="s">
        <v>1779</v>
      </c>
      <c r="E58" s="93">
        <v>26</v>
      </c>
      <c r="F58" s="93">
        <v>217625</v>
      </c>
      <c r="G58" s="93">
        <v>11854</v>
      </c>
      <c r="H58" s="94"/>
      <c r="I58" s="93" t="s">
        <v>225</v>
      </c>
      <c r="J58" s="93">
        <v>4</v>
      </c>
      <c r="K58" s="93">
        <v>15000</v>
      </c>
      <c r="L58" s="93">
        <v>80</v>
      </c>
      <c r="M58" s="17"/>
      <c r="N58" s="93" t="s">
        <v>225</v>
      </c>
      <c r="O58" s="93">
        <v>4</v>
      </c>
      <c r="P58" s="93">
        <v>15000</v>
      </c>
      <c r="Q58" s="93">
        <v>80</v>
      </c>
      <c r="R58" s="69"/>
    </row>
    <row r="59" spans="2:18">
      <c r="B59" s="68"/>
      <c r="C59" s="93">
        <v>1</v>
      </c>
      <c r="D59" s="93" t="s">
        <v>1779</v>
      </c>
      <c r="E59" s="93">
        <v>24</v>
      </c>
      <c r="F59" s="93">
        <v>213875</v>
      </c>
      <c r="G59" s="93">
        <v>11822</v>
      </c>
      <c r="H59" s="94"/>
      <c r="I59" s="93" t="s">
        <v>226</v>
      </c>
      <c r="J59" s="93">
        <v>2</v>
      </c>
      <c r="K59" s="93">
        <v>3750</v>
      </c>
      <c r="L59" s="93">
        <v>32</v>
      </c>
      <c r="M59" s="17"/>
      <c r="N59" s="93" t="s">
        <v>226</v>
      </c>
      <c r="O59" s="93">
        <v>2</v>
      </c>
      <c r="P59" s="93">
        <v>3750</v>
      </c>
      <c r="Q59" s="93">
        <v>32</v>
      </c>
      <c r="R59" s="69"/>
    </row>
    <row r="60" spans="2:18">
      <c r="B60" s="68"/>
      <c r="C60" s="93">
        <v>1</v>
      </c>
      <c r="D60" s="93" t="s">
        <v>1779</v>
      </c>
      <c r="E60" s="93">
        <v>23</v>
      </c>
      <c r="F60" s="93">
        <v>212175</v>
      </c>
      <c r="G60" s="93">
        <v>11662</v>
      </c>
      <c r="H60" s="94"/>
      <c r="I60" s="93" t="s">
        <v>229</v>
      </c>
      <c r="J60" s="93">
        <v>1</v>
      </c>
      <c r="K60" s="93">
        <v>1700</v>
      </c>
      <c r="L60" s="93">
        <v>160</v>
      </c>
      <c r="M60" s="17"/>
      <c r="N60" s="93" t="s">
        <v>229</v>
      </c>
      <c r="O60" s="93">
        <v>1</v>
      </c>
      <c r="P60" s="93">
        <v>1700</v>
      </c>
      <c r="Q60" s="93">
        <v>160</v>
      </c>
      <c r="R60" s="69"/>
    </row>
    <row r="61" spans="2:18">
      <c r="B61" s="68"/>
      <c r="C61" s="93">
        <v>1</v>
      </c>
      <c r="D61" s="93" t="s">
        <v>1779</v>
      </c>
      <c r="E61" s="93">
        <v>22</v>
      </c>
      <c r="F61" s="93">
        <v>210175</v>
      </c>
      <c r="G61" s="93">
        <v>11662</v>
      </c>
      <c r="H61" s="94"/>
      <c r="I61" s="93" t="s">
        <v>232</v>
      </c>
      <c r="J61" s="93">
        <v>1</v>
      </c>
      <c r="K61" s="93">
        <v>2000</v>
      </c>
      <c r="L61" s="93">
        <v>0</v>
      </c>
      <c r="M61" s="17"/>
      <c r="N61" s="93" t="s">
        <v>232</v>
      </c>
      <c r="O61" s="93">
        <v>1</v>
      </c>
      <c r="P61" s="93">
        <v>2000</v>
      </c>
      <c r="Q61" s="93">
        <v>0</v>
      </c>
      <c r="R61" s="69"/>
    </row>
    <row r="62" spans="2:18">
      <c r="B62" s="68"/>
      <c r="C62" s="93">
        <v>1</v>
      </c>
      <c r="D62" s="93" t="s">
        <v>1779</v>
      </c>
      <c r="E62" s="93">
        <v>21</v>
      </c>
      <c r="F62" s="93">
        <v>208475</v>
      </c>
      <c r="G62" s="93">
        <v>11502</v>
      </c>
      <c r="H62" s="94"/>
      <c r="I62" s="93" t="s">
        <v>234</v>
      </c>
      <c r="J62" s="93">
        <v>1</v>
      </c>
      <c r="K62" s="93">
        <v>1700</v>
      </c>
      <c r="L62" s="93">
        <v>160</v>
      </c>
      <c r="M62" s="17"/>
      <c r="N62" s="93" t="s">
        <v>234</v>
      </c>
      <c r="O62" s="93">
        <v>1</v>
      </c>
      <c r="P62" s="93">
        <v>1700</v>
      </c>
      <c r="Q62" s="93">
        <v>160</v>
      </c>
      <c r="R62" s="69"/>
    </row>
    <row r="63" spans="2:18">
      <c r="B63" s="68"/>
      <c r="C63" s="93">
        <v>1</v>
      </c>
      <c r="D63" s="93" t="s">
        <v>1779</v>
      </c>
      <c r="E63" s="93">
        <v>20</v>
      </c>
      <c r="F63" s="93">
        <v>206775</v>
      </c>
      <c r="G63" s="93">
        <v>11342</v>
      </c>
      <c r="H63" s="94"/>
      <c r="I63" s="93" t="s">
        <v>235</v>
      </c>
      <c r="J63" s="93">
        <v>1</v>
      </c>
      <c r="K63" s="93">
        <v>1700</v>
      </c>
      <c r="L63" s="93">
        <v>160</v>
      </c>
      <c r="M63" s="17"/>
      <c r="N63" s="93" t="s">
        <v>235</v>
      </c>
      <c r="O63" s="93">
        <v>1</v>
      </c>
      <c r="P63" s="93">
        <v>1700</v>
      </c>
      <c r="Q63" s="93">
        <v>160</v>
      </c>
      <c r="R63" s="69"/>
    </row>
    <row r="64" spans="2:18">
      <c r="B64" s="68"/>
      <c r="C64" s="93">
        <v>1</v>
      </c>
      <c r="D64" s="93" t="s">
        <v>1779</v>
      </c>
      <c r="E64" s="93">
        <v>19</v>
      </c>
      <c r="F64" s="93">
        <v>203025</v>
      </c>
      <c r="G64" s="93">
        <v>10932</v>
      </c>
      <c r="H64" s="94"/>
      <c r="I64" s="93" t="s">
        <v>237</v>
      </c>
      <c r="J64" s="93">
        <v>1</v>
      </c>
      <c r="K64" s="93">
        <v>3750</v>
      </c>
      <c r="L64" s="93">
        <v>410</v>
      </c>
      <c r="M64" s="17"/>
      <c r="N64" s="93" t="s">
        <v>237</v>
      </c>
      <c r="O64" s="93">
        <v>1</v>
      </c>
      <c r="P64" s="93">
        <v>3750</v>
      </c>
      <c r="Q64" s="93">
        <v>410</v>
      </c>
      <c r="R64" s="69"/>
    </row>
    <row r="65" spans="2:18">
      <c r="B65" s="68"/>
      <c r="C65" s="93">
        <v>1</v>
      </c>
      <c r="D65" s="93" t="s">
        <v>1779</v>
      </c>
      <c r="E65" s="93">
        <v>18</v>
      </c>
      <c r="F65" s="93">
        <v>201325</v>
      </c>
      <c r="G65" s="93">
        <v>10772</v>
      </c>
      <c r="H65" s="94"/>
      <c r="I65" s="93" t="s">
        <v>238</v>
      </c>
      <c r="J65" s="93">
        <v>1</v>
      </c>
      <c r="K65" s="93">
        <v>1700</v>
      </c>
      <c r="L65" s="93">
        <v>160</v>
      </c>
      <c r="M65" s="17"/>
      <c r="N65" s="93" t="s">
        <v>238</v>
      </c>
      <c r="O65" s="93">
        <v>1</v>
      </c>
      <c r="P65" s="93">
        <v>1700</v>
      </c>
      <c r="Q65" s="93">
        <v>160</v>
      </c>
      <c r="R65" s="69"/>
    </row>
    <row r="66" spans="2:18">
      <c r="B66" s="68"/>
      <c r="C66" s="93">
        <v>1</v>
      </c>
      <c r="D66" s="93" t="s">
        <v>1779</v>
      </c>
      <c r="E66" s="93">
        <v>17</v>
      </c>
      <c r="F66" s="93">
        <v>199625</v>
      </c>
      <c r="G66" s="93">
        <v>10612</v>
      </c>
      <c r="H66" s="94"/>
      <c r="I66" s="93" t="s">
        <v>240</v>
      </c>
      <c r="J66" s="93">
        <v>1</v>
      </c>
      <c r="K66" s="93">
        <v>1700</v>
      </c>
      <c r="L66" s="93">
        <v>160</v>
      </c>
      <c r="M66" s="17"/>
      <c r="N66" s="93" t="s">
        <v>240</v>
      </c>
      <c r="O66" s="93">
        <v>1</v>
      </c>
      <c r="P66" s="93">
        <v>1700</v>
      </c>
      <c r="Q66" s="93">
        <v>160</v>
      </c>
      <c r="R66" s="69"/>
    </row>
    <row r="67" spans="2:18">
      <c r="B67" s="68"/>
      <c r="C67" s="93">
        <v>1</v>
      </c>
      <c r="D67" s="93" t="s">
        <v>1779</v>
      </c>
      <c r="E67" s="93">
        <v>9</v>
      </c>
      <c r="F67" s="93">
        <v>169625</v>
      </c>
      <c r="G67" s="93">
        <v>10452</v>
      </c>
      <c r="H67" s="94"/>
      <c r="I67" s="93" t="s">
        <v>243</v>
      </c>
      <c r="J67" s="93">
        <v>8</v>
      </c>
      <c r="K67" s="93">
        <v>30000</v>
      </c>
      <c r="L67" s="93">
        <v>160</v>
      </c>
      <c r="M67" s="17"/>
      <c r="N67" s="93" t="s">
        <v>243</v>
      </c>
      <c r="O67" s="93">
        <v>8</v>
      </c>
      <c r="P67" s="93">
        <v>30000</v>
      </c>
      <c r="Q67" s="93">
        <v>160</v>
      </c>
      <c r="R67" s="69"/>
    </row>
    <row r="68" spans="2:18">
      <c r="B68" s="68"/>
      <c r="C68" s="93">
        <v>1</v>
      </c>
      <c r="D68" s="93" t="s">
        <v>1779</v>
      </c>
      <c r="E68" s="93">
        <v>5</v>
      </c>
      <c r="F68" s="93">
        <v>154625</v>
      </c>
      <c r="G68" s="93">
        <v>10372</v>
      </c>
      <c r="H68" s="94"/>
      <c r="I68" s="93" t="s">
        <v>246</v>
      </c>
      <c r="J68" s="93">
        <v>4</v>
      </c>
      <c r="K68" s="93">
        <v>15000</v>
      </c>
      <c r="L68" s="93">
        <v>80</v>
      </c>
      <c r="M68" s="17"/>
      <c r="N68" s="93" t="s">
        <v>246</v>
      </c>
      <c r="O68" s="93">
        <v>4</v>
      </c>
      <c r="P68" s="93">
        <v>15000</v>
      </c>
      <c r="Q68" s="93">
        <v>80</v>
      </c>
      <c r="R68" s="69"/>
    </row>
    <row r="69" spans="2:18">
      <c r="B69" s="68"/>
      <c r="C69" s="93">
        <v>1</v>
      </c>
      <c r="D69" s="93" t="s">
        <v>1779</v>
      </c>
      <c r="E69" s="93">
        <v>4</v>
      </c>
      <c r="F69" s="93">
        <v>152925</v>
      </c>
      <c r="G69" s="93">
        <v>10212</v>
      </c>
      <c r="H69" s="94"/>
      <c r="I69" s="93" t="s">
        <v>247</v>
      </c>
      <c r="J69" s="93">
        <v>1</v>
      </c>
      <c r="K69" s="93">
        <v>1700</v>
      </c>
      <c r="L69" s="93">
        <v>160</v>
      </c>
      <c r="M69" s="17"/>
      <c r="N69" s="93" t="s">
        <v>247</v>
      </c>
      <c r="O69" s="93">
        <v>1</v>
      </c>
      <c r="P69" s="93">
        <v>1700</v>
      </c>
      <c r="Q69" s="93">
        <v>160</v>
      </c>
      <c r="R69" s="69"/>
    </row>
    <row r="70" spans="2:18">
      <c r="B70" s="68"/>
      <c r="C70" s="93">
        <v>1</v>
      </c>
      <c r="D70" s="93" t="s">
        <v>1779</v>
      </c>
      <c r="E70" s="93">
        <v>3</v>
      </c>
      <c r="F70" s="93">
        <v>151225</v>
      </c>
      <c r="G70" s="93">
        <v>10052</v>
      </c>
      <c r="H70" s="94"/>
      <c r="I70" s="93" t="s">
        <v>250</v>
      </c>
      <c r="J70" s="93">
        <v>1</v>
      </c>
      <c r="K70" s="93">
        <v>1700</v>
      </c>
      <c r="L70" s="93">
        <v>160</v>
      </c>
      <c r="M70" s="17"/>
      <c r="N70" s="93" t="s">
        <v>250</v>
      </c>
      <c r="O70" s="93">
        <v>1</v>
      </c>
      <c r="P70" s="93">
        <v>1700</v>
      </c>
      <c r="Q70" s="93">
        <v>160</v>
      </c>
      <c r="R70" s="69"/>
    </row>
    <row r="71" spans="2:18">
      <c r="B71" s="68"/>
      <c r="C71" s="93">
        <v>1</v>
      </c>
      <c r="D71" s="93" t="s">
        <v>1779</v>
      </c>
      <c r="E71" s="93">
        <v>2</v>
      </c>
      <c r="F71" s="93">
        <v>147475</v>
      </c>
      <c r="G71" s="93">
        <v>10048</v>
      </c>
      <c r="H71" s="94"/>
      <c r="I71" s="93" t="s">
        <v>253</v>
      </c>
      <c r="J71" s="93">
        <v>1</v>
      </c>
      <c r="K71" s="93">
        <v>3750</v>
      </c>
      <c r="L71" s="93">
        <v>4</v>
      </c>
      <c r="M71" s="17"/>
      <c r="N71" s="93" t="s">
        <v>253</v>
      </c>
      <c r="O71" s="93">
        <v>1</v>
      </c>
      <c r="P71" s="93">
        <v>3750</v>
      </c>
      <c r="Q71" s="93">
        <v>4</v>
      </c>
      <c r="R71" s="69"/>
    </row>
    <row r="72" spans="2:18">
      <c r="B72" s="68"/>
      <c r="C72" s="93">
        <v>1</v>
      </c>
      <c r="D72" s="93" t="s">
        <v>1779</v>
      </c>
      <c r="E72" s="93">
        <v>1</v>
      </c>
      <c r="F72" s="93">
        <v>143725</v>
      </c>
      <c r="G72" s="93">
        <v>10044</v>
      </c>
      <c r="H72" s="94"/>
      <c r="I72" s="93" t="s">
        <v>254</v>
      </c>
      <c r="J72" s="93">
        <v>1</v>
      </c>
      <c r="K72" s="93">
        <v>3750</v>
      </c>
      <c r="L72" s="93">
        <v>4</v>
      </c>
      <c r="M72" s="17"/>
      <c r="N72" s="93" t="s">
        <v>254</v>
      </c>
      <c r="O72" s="93">
        <v>1</v>
      </c>
      <c r="P72" s="93">
        <v>3750</v>
      </c>
      <c r="Q72" s="93">
        <v>4</v>
      </c>
      <c r="R72" s="69"/>
    </row>
    <row r="73" spans="2:18">
      <c r="B73" s="68"/>
      <c r="C73" s="93">
        <v>2</v>
      </c>
      <c r="D73" s="93" t="s">
        <v>1780</v>
      </c>
      <c r="E73" s="93">
        <v>138</v>
      </c>
      <c r="F73" s="93">
        <v>514740</v>
      </c>
      <c r="G73" s="93">
        <v>19598</v>
      </c>
      <c r="H73" s="94"/>
      <c r="I73" s="93" t="s">
        <v>255</v>
      </c>
      <c r="J73" s="93">
        <v>2</v>
      </c>
      <c r="K73" s="93">
        <v>7500</v>
      </c>
      <c r="L73" s="93">
        <v>32</v>
      </c>
      <c r="M73" s="17"/>
      <c r="N73" s="93" t="s">
        <v>255</v>
      </c>
      <c r="O73" s="93">
        <v>2</v>
      </c>
      <c r="P73" s="93">
        <v>7500</v>
      </c>
      <c r="Q73" s="93">
        <v>32</v>
      </c>
      <c r="R73" s="69"/>
    </row>
    <row r="74" spans="2:18">
      <c r="B74" s="68"/>
      <c r="C74" s="93">
        <v>2</v>
      </c>
      <c r="D74" s="93" t="s">
        <v>1780</v>
      </c>
      <c r="E74" s="93">
        <v>137</v>
      </c>
      <c r="F74" s="93">
        <v>512740</v>
      </c>
      <c r="G74" s="93">
        <v>19598</v>
      </c>
      <c r="H74" s="94"/>
      <c r="I74" s="93" t="s">
        <v>256</v>
      </c>
      <c r="J74" s="93">
        <v>1</v>
      </c>
      <c r="K74" s="93">
        <v>2000</v>
      </c>
      <c r="L74" s="93">
        <v>0</v>
      </c>
      <c r="M74" s="17"/>
      <c r="N74" s="93" t="s">
        <v>256</v>
      </c>
      <c r="O74" s="93">
        <v>1</v>
      </c>
      <c r="P74" s="93">
        <v>2000</v>
      </c>
      <c r="Q74" s="93">
        <v>0</v>
      </c>
      <c r="R74" s="69"/>
    </row>
    <row r="75" spans="2:18">
      <c r="B75" s="68"/>
      <c r="C75" s="93">
        <v>2</v>
      </c>
      <c r="D75" s="93" t="s">
        <v>1780</v>
      </c>
      <c r="E75" s="93">
        <v>136</v>
      </c>
      <c r="F75" s="93">
        <v>511040</v>
      </c>
      <c r="G75" s="93">
        <v>19438</v>
      </c>
      <c r="H75" s="94"/>
      <c r="I75" s="93" t="s">
        <v>257</v>
      </c>
      <c r="J75" s="93">
        <v>1</v>
      </c>
      <c r="K75" s="93">
        <v>1700</v>
      </c>
      <c r="L75" s="93">
        <v>160</v>
      </c>
      <c r="M75" s="17"/>
      <c r="N75" s="93" t="s">
        <v>257</v>
      </c>
      <c r="O75" s="93">
        <v>1</v>
      </c>
      <c r="P75" s="93">
        <v>1700</v>
      </c>
      <c r="Q75" s="93">
        <v>160</v>
      </c>
      <c r="R75" s="69"/>
    </row>
    <row r="76" spans="2:18">
      <c r="B76" s="68"/>
      <c r="C76" s="93">
        <v>2</v>
      </c>
      <c r="D76" s="93" t="s">
        <v>1780</v>
      </c>
      <c r="E76" s="93">
        <v>134</v>
      </c>
      <c r="F76" s="93">
        <v>507040</v>
      </c>
      <c r="G76" s="93">
        <v>19438</v>
      </c>
      <c r="H76" s="94"/>
      <c r="I76" s="93" t="s">
        <v>259</v>
      </c>
      <c r="J76" s="93">
        <v>2</v>
      </c>
      <c r="K76" s="93">
        <v>4000</v>
      </c>
      <c r="L76" s="93">
        <v>0</v>
      </c>
      <c r="M76" s="17"/>
      <c r="N76" s="93" t="s">
        <v>259</v>
      </c>
      <c r="O76" s="93">
        <v>2</v>
      </c>
      <c r="P76" s="93">
        <v>4000</v>
      </c>
      <c r="Q76" s="93">
        <v>0</v>
      </c>
      <c r="R76" s="69"/>
    </row>
    <row r="77" spans="2:18">
      <c r="B77" s="68"/>
      <c r="C77" s="93">
        <v>2</v>
      </c>
      <c r="D77" s="93" t="s">
        <v>1780</v>
      </c>
      <c r="E77" s="93">
        <v>133</v>
      </c>
      <c r="F77" s="93">
        <v>503290</v>
      </c>
      <c r="G77" s="93">
        <v>19434</v>
      </c>
      <c r="H77" s="94"/>
      <c r="I77" s="93" t="s">
        <v>260</v>
      </c>
      <c r="J77" s="93">
        <v>1</v>
      </c>
      <c r="K77" s="93">
        <v>3750</v>
      </c>
      <c r="L77" s="93">
        <v>4</v>
      </c>
      <c r="M77" s="17"/>
      <c r="N77" s="93" t="s">
        <v>260</v>
      </c>
      <c r="O77" s="93">
        <v>1</v>
      </c>
      <c r="P77" s="93">
        <v>3750</v>
      </c>
      <c r="Q77" s="93">
        <v>4</v>
      </c>
      <c r="R77" s="69"/>
    </row>
    <row r="78" spans="2:18">
      <c r="B78" s="68"/>
      <c r="C78" s="93">
        <v>2</v>
      </c>
      <c r="D78" s="93" t="s">
        <v>1780</v>
      </c>
      <c r="E78" s="93">
        <v>132</v>
      </c>
      <c r="F78" s="93">
        <v>501590</v>
      </c>
      <c r="G78" s="93">
        <v>19274</v>
      </c>
      <c r="H78" s="94"/>
      <c r="I78" s="93" t="s">
        <v>262</v>
      </c>
      <c r="J78" s="93">
        <v>1</v>
      </c>
      <c r="K78" s="93">
        <v>1700</v>
      </c>
      <c r="L78" s="93">
        <v>160</v>
      </c>
      <c r="M78" s="17"/>
      <c r="N78" s="93" t="s">
        <v>262</v>
      </c>
      <c r="O78" s="93">
        <v>1</v>
      </c>
      <c r="P78" s="93">
        <v>1700</v>
      </c>
      <c r="Q78" s="93">
        <v>160</v>
      </c>
      <c r="R78" s="69"/>
    </row>
    <row r="79" spans="2:18">
      <c r="B79" s="68"/>
      <c r="C79" s="93">
        <v>2</v>
      </c>
      <c r="D79" s="93" t="s">
        <v>1780</v>
      </c>
      <c r="E79" s="93">
        <v>131</v>
      </c>
      <c r="F79" s="93">
        <v>499890</v>
      </c>
      <c r="G79" s="93">
        <v>19114</v>
      </c>
      <c r="H79" s="94"/>
      <c r="I79" s="93" t="s">
        <v>264</v>
      </c>
      <c r="J79" s="93">
        <v>1</v>
      </c>
      <c r="K79" s="93">
        <v>1700</v>
      </c>
      <c r="L79" s="93">
        <v>160</v>
      </c>
      <c r="M79" s="17"/>
      <c r="N79" s="93" t="s">
        <v>264</v>
      </c>
      <c r="O79" s="93">
        <v>1</v>
      </c>
      <c r="P79" s="93">
        <v>1700</v>
      </c>
      <c r="Q79" s="93">
        <v>160</v>
      </c>
      <c r="R79" s="69"/>
    </row>
    <row r="80" spans="2:18">
      <c r="B80" s="68"/>
      <c r="C80" s="93">
        <v>2</v>
      </c>
      <c r="D80" s="93" t="s">
        <v>1780</v>
      </c>
      <c r="E80" s="93">
        <v>130</v>
      </c>
      <c r="F80" s="93">
        <v>498190</v>
      </c>
      <c r="G80" s="93">
        <v>18954</v>
      </c>
      <c r="H80" s="94"/>
      <c r="I80" s="93" t="s">
        <v>266</v>
      </c>
      <c r="J80" s="93">
        <v>1</v>
      </c>
      <c r="K80" s="93">
        <v>1700</v>
      </c>
      <c r="L80" s="93">
        <v>160</v>
      </c>
      <c r="M80" s="17"/>
      <c r="N80" s="93" t="s">
        <v>266</v>
      </c>
      <c r="O80" s="93">
        <v>1</v>
      </c>
      <c r="P80" s="93">
        <v>1700</v>
      </c>
      <c r="Q80" s="93">
        <v>160</v>
      </c>
      <c r="R80" s="69"/>
    </row>
    <row r="81" spans="2:18">
      <c r="B81" s="68"/>
      <c r="C81" s="93">
        <v>2</v>
      </c>
      <c r="D81" s="93" t="s">
        <v>1780</v>
      </c>
      <c r="E81" s="93">
        <v>122</v>
      </c>
      <c r="F81" s="93">
        <v>483190</v>
      </c>
      <c r="G81" s="93">
        <v>18794</v>
      </c>
      <c r="H81" s="94"/>
      <c r="I81" s="93" t="s">
        <v>268</v>
      </c>
      <c r="J81" s="93">
        <v>8</v>
      </c>
      <c r="K81" s="93">
        <v>15000</v>
      </c>
      <c r="L81" s="93">
        <v>160</v>
      </c>
      <c r="M81" s="17"/>
      <c r="N81" s="93" t="s">
        <v>268</v>
      </c>
      <c r="O81" s="93">
        <v>8</v>
      </c>
      <c r="P81" s="93">
        <v>15000</v>
      </c>
      <c r="Q81" s="93">
        <v>160</v>
      </c>
      <c r="R81" s="69"/>
    </row>
    <row r="82" spans="2:18">
      <c r="B82" s="68"/>
      <c r="C82" s="93">
        <v>2</v>
      </c>
      <c r="D82" s="93" t="s">
        <v>1780</v>
      </c>
      <c r="E82" s="93">
        <v>121</v>
      </c>
      <c r="F82" s="93">
        <v>479440</v>
      </c>
      <c r="G82" s="93">
        <v>18790</v>
      </c>
      <c r="H82" s="94"/>
      <c r="I82" s="93" t="s">
        <v>271</v>
      </c>
      <c r="J82" s="93">
        <v>1</v>
      </c>
      <c r="K82" s="93">
        <v>3750</v>
      </c>
      <c r="L82" s="93">
        <v>4</v>
      </c>
      <c r="M82" s="17"/>
      <c r="N82" s="93" t="s">
        <v>271</v>
      </c>
      <c r="O82" s="93">
        <v>1</v>
      </c>
      <c r="P82" s="93">
        <v>3750</v>
      </c>
      <c r="Q82" s="93">
        <v>4</v>
      </c>
      <c r="R82" s="69"/>
    </row>
    <row r="83" spans="2:18">
      <c r="B83" s="68"/>
      <c r="C83" s="93">
        <v>2</v>
      </c>
      <c r="D83" s="93" t="s">
        <v>1780</v>
      </c>
      <c r="E83" s="93">
        <v>117</v>
      </c>
      <c r="F83" s="93">
        <v>464440</v>
      </c>
      <c r="G83" s="93">
        <v>18710</v>
      </c>
      <c r="H83" s="94"/>
      <c r="I83" s="93" t="s">
        <v>272</v>
      </c>
      <c r="J83" s="93">
        <v>4</v>
      </c>
      <c r="K83" s="93">
        <v>15000</v>
      </c>
      <c r="L83" s="93">
        <v>80</v>
      </c>
      <c r="M83" s="17"/>
      <c r="N83" s="93" t="s">
        <v>272</v>
      </c>
      <c r="O83" s="93">
        <v>4</v>
      </c>
      <c r="P83" s="93">
        <v>15000</v>
      </c>
      <c r="Q83" s="93">
        <v>80</v>
      </c>
      <c r="R83" s="69"/>
    </row>
    <row r="84" spans="2:18">
      <c r="B84" s="68"/>
      <c r="C84" s="93">
        <v>2</v>
      </c>
      <c r="D84" s="93" t="s">
        <v>1780</v>
      </c>
      <c r="E84" s="93">
        <v>101</v>
      </c>
      <c r="F84" s="93">
        <v>434440</v>
      </c>
      <c r="G84" s="93">
        <v>18390</v>
      </c>
      <c r="H84" s="94"/>
      <c r="I84" s="93" t="s">
        <v>276</v>
      </c>
      <c r="J84" s="93">
        <v>16</v>
      </c>
      <c r="K84" s="93">
        <v>30000</v>
      </c>
      <c r="L84" s="93">
        <v>320</v>
      </c>
      <c r="M84" s="17"/>
      <c r="N84" s="93" t="s">
        <v>276</v>
      </c>
      <c r="O84" s="93">
        <v>16</v>
      </c>
      <c r="P84" s="93">
        <v>30000</v>
      </c>
      <c r="Q84" s="93">
        <v>320</v>
      </c>
      <c r="R84" s="69"/>
    </row>
    <row r="85" spans="2:18">
      <c r="B85" s="68"/>
      <c r="C85" s="93">
        <v>2</v>
      </c>
      <c r="D85" s="93" t="s">
        <v>1780</v>
      </c>
      <c r="E85" s="93">
        <v>100</v>
      </c>
      <c r="F85" s="93">
        <v>432740</v>
      </c>
      <c r="G85" s="93">
        <v>18230</v>
      </c>
      <c r="H85" s="94"/>
      <c r="I85" s="93" t="s">
        <v>278</v>
      </c>
      <c r="J85" s="93">
        <v>1</v>
      </c>
      <c r="K85" s="93">
        <v>1700</v>
      </c>
      <c r="L85" s="93">
        <v>160</v>
      </c>
      <c r="M85" s="17"/>
      <c r="N85" s="93" t="s">
        <v>278</v>
      </c>
      <c r="O85" s="93">
        <v>1</v>
      </c>
      <c r="P85" s="93">
        <v>1700</v>
      </c>
      <c r="Q85" s="93">
        <v>160</v>
      </c>
      <c r="R85" s="69"/>
    </row>
    <row r="86" spans="2:18">
      <c r="B86" s="68"/>
      <c r="C86" s="93">
        <v>2</v>
      </c>
      <c r="D86" s="93" t="s">
        <v>1780</v>
      </c>
      <c r="E86" s="93">
        <v>99</v>
      </c>
      <c r="F86" s="93">
        <v>431040</v>
      </c>
      <c r="G86" s="93">
        <v>18070</v>
      </c>
      <c r="H86" s="94"/>
      <c r="I86" s="93" t="s">
        <v>279</v>
      </c>
      <c r="J86" s="93">
        <v>1</v>
      </c>
      <c r="K86" s="93">
        <v>1700</v>
      </c>
      <c r="L86" s="93">
        <v>160</v>
      </c>
      <c r="M86" s="17"/>
      <c r="N86" s="93" t="s">
        <v>279</v>
      </c>
      <c r="O86" s="93">
        <v>1</v>
      </c>
      <c r="P86" s="93">
        <v>1700</v>
      </c>
      <c r="Q86" s="93">
        <v>160</v>
      </c>
      <c r="R86" s="69"/>
    </row>
    <row r="87" spans="2:18">
      <c r="B87" s="68"/>
      <c r="C87" s="93">
        <v>2</v>
      </c>
      <c r="D87" s="93" t="s">
        <v>1780</v>
      </c>
      <c r="E87" s="93">
        <v>98</v>
      </c>
      <c r="F87" s="93">
        <v>429340</v>
      </c>
      <c r="G87" s="93">
        <v>17910</v>
      </c>
      <c r="H87" s="94"/>
      <c r="I87" s="93" t="s">
        <v>281</v>
      </c>
      <c r="J87" s="93">
        <v>1</v>
      </c>
      <c r="K87" s="93">
        <v>1700</v>
      </c>
      <c r="L87" s="93">
        <v>160</v>
      </c>
      <c r="M87" s="17"/>
      <c r="N87" s="93" t="s">
        <v>281</v>
      </c>
      <c r="O87" s="93">
        <v>1</v>
      </c>
      <c r="P87" s="93">
        <v>1700</v>
      </c>
      <c r="Q87" s="93">
        <v>160</v>
      </c>
      <c r="R87" s="69"/>
    </row>
    <row r="88" spans="2:18">
      <c r="B88" s="68"/>
      <c r="C88" s="93">
        <v>2</v>
      </c>
      <c r="D88" s="93" t="s">
        <v>1780</v>
      </c>
      <c r="E88" s="93">
        <v>97</v>
      </c>
      <c r="F88" s="93">
        <v>427640</v>
      </c>
      <c r="G88" s="93">
        <v>17750</v>
      </c>
      <c r="H88" s="94"/>
      <c r="I88" s="93" t="s">
        <v>282</v>
      </c>
      <c r="J88" s="93">
        <v>1</v>
      </c>
      <c r="K88" s="93">
        <v>1700</v>
      </c>
      <c r="L88" s="93">
        <v>160</v>
      </c>
      <c r="M88" s="17"/>
      <c r="N88" s="93" t="s">
        <v>282</v>
      </c>
      <c r="O88" s="93">
        <v>1</v>
      </c>
      <c r="P88" s="93">
        <v>1700</v>
      </c>
      <c r="Q88" s="93">
        <v>160</v>
      </c>
      <c r="R88" s="69"/>
    </row>
    <row r="89" spans="2:18">
      <c r="B89" s="68"/>
      <c r="C89" s="93">
        <v>2</v>
      </c>
      <c r="D89" s="93" t="s">
        <v>1780</v>
      </c>
      <c r="E89" s="93">
        <v>96</v>
      </c>
      <c r="F89" s="93">
        <v>425940</v>
      </c>
      <c r="G89" s="93">
        <v>17590</v>
      </c>
      <c r="H89" s="94"/>
      <c r="I89" s="93" t="s">
        <v>284</v>
      </c>
      <c r="J89" s="93">
        <v>1</v>
      </c>
      <c r="K89" s="93">
        <v>1700</v>
      </c>
      <c r="L89" s="93">
        <v>160</v>
      </c>
      <c r="M89" s="17"/>
      <c r="N89" s="93" t="s">
        <v>284</v>
      </c>
      <c r="O89" s="93">
        <v>1</v>
      </c>
      <c r="P89" s="93">
        <v>1700</v>
      </c>
      <c r="Q89" s="93">
        <v>160</v>
      </c>
      <c r="R89" s="69"/>
    </row>
    <row r="90" spans="2:18">
      <c r="B90" s="68"/>
      <c r="C90" s="93">
        <v>2</v>
      </c>
      <c r="D90" s="93" t="s">
        <v>1780</v>
      </c>
      <c r="E90" s="93">
        <v>94</v>
      </c>
      <c r="F90" s="93">
        <v>421940</v>
      </c>
      <c r="G90" s="93">
        <v>17590</v>
      </c>
      <c r="H90" s="94"/>
      <c r="I90" s="93" t="s">
        <v>285</v>
      </c>
      <c r="J90" s="93">
        <v>2</v>
      </c>
      <c r="K90" s="93">
        <v>4000</v>
      </c>
      <c r="L90" s="93">
        <v>0</v>
      </c>
      <c r="M90" s="17"/>
      <c r="N90" s="93" t="s">
        <v>285</v>
      </c>
      <c r="O90" s="93">
        <v>2</v>
      </c>
      <c r="P90" s="93">
        <v>4000</v>
      </c>
      <c r="Q90" s="93">
        <v>0</v>
      </c>
      <c r="R90" s="69"/>
    </row>
    <row r="91" spans="2:18">
      <c r="B91" s="68"/>
      <c r="C91" s="93">
        <v>2</v>
      </c>
      <c r="D91" s="93" t="s">
        <v>1780</v>
      </c>
      <c r="E91" s="93">
        <v>62</v>
      </c>
      <c r="F91" s="93">
        <v>361940</v>
      </c>
      <c r="G91" s="93">
        <v>16950</v>
      </c>
      <c r="H91" s="94"/>
      <c r="I91" s="93" t="s">
        <v>286</v>
      </c>
      <c r="J91" s="93">
        <v>32</v>
      </c>
      <c r="K91" s="93">
        <v>60000</v>
      </c>
      <c r="L91" s="93">
        <v>640</v>
      </c>
      <c r="M91" s="17"/>
      <c r="N91" s="93" t="s">
        <v>286</v>
      </c>
      <c r="O91" s="93">
        <v>32</v>
      </c>
      <c r="P91" s="93">
        <v>60000</v>
      </c>
      <c r="Q91" s="93">
        <v>640</v>
      </c>
      <c r="R91" s="69"/>
    </row>
    <row r="92" spans="2:18">
      <c r="B92" s="68"/>
      <c r="C92" s="93">
        <v>2</v>
      </c>
      <c r="D92" s="93" t="s">
        <v>1780</v>
      </c>
      <c r="E92" s="93">
        <v>61</v>
      </c>
      <c r="F92" s="93">
        <v>358190</v>
      </c>
      <c r="G92" s="93">
        <v>16946</v>
      </c>
      <c r="H92" s="94"/>
      <c r="I92" s="93" t="s">
        <v>287</v>
      </c>
      <c r="J92" s="93">
        <v>1</v>
      </c>
      <c r="K92" s="93">
        <v>3750</v>
      </c>
      <c r="L92" s="93">
        <v>4</v>
      </c>
      <c r="M92" s="17"/>
      <c r="N92" s="93" t="s">
        <v>287</v>
      </c>
      <c r="O92" s="93">
        <v>1</v>
      </c>
      <c r="P92" s="93">
        <v>3750</v>
      </c>
      <c r="Q92" s="93">
        <v>4</v>
      </c>
      <c r="R92" s="69"/>
    </row>
    <row r="93" spans="2:18">
      <c r="B93" s="68"/>
      <c r="C93" s="93">
        <v>2</v>
      </c>
      <c r="D93" s="93" t="s">
        <v>1780</v>
      </c>
      <c r="E93" s="93">
        <v>59</v>
      </c>
      <c r="F93" s="93">
        <v>354440</v>
      </c>
      <c r="G93" s="93">
        <v>16914</v>
      </c>
      <c r="H93" s="94"/>
      <c r="I93" s="93" t="s">
        <v>289</v>
      </c>
      <c r="J93" s="93">
        <v>2</v>
      </c>
      <c r="K93" s="93">
        <v>3750</v>
      </c>
      <c r="L93" s="93">
        <v>32</v>
      </c>
      <c r="M93" s="17"/>
      <c r="N93" s="93" t="s">
        <v>289</v>
      </c>
      <c r="O93" s="93">
        <v>2</v>
      </c>
      <c r="P93" s="93">
        <v>3750</v>
      </c>
      <c r="Q93" s="93">
        <v>32</v>
      </c>
      <c r="R93" s="69"/>
    </row>
    <row r="94" spans="2:18">
      <c r="B94" s="68"/>
      <c r="C94" s="93">
        <v>2</v>
      </c>
      <c r="D94" s="93" t="s">
        <v>1780</v>
      </c>
      <c r="E94" s="93">
        <v>58</v>
      </c>
      <c r="F94" s="93">
        <v>352740</v>
      </c>
      <c r="G94" s="93">
        <v>16754</v>
      </c>
      <c r="H94" s="94"/>
      <c r="I94" s="93" t="s">
        <v>290</v>
      </c>
      <c r="J94" s="93">
        <v>1</v>
      </c>
      <c r="K94" s="93">
        <v>1700</v>
      </c>
      <c r="L94" s="93">
        <v>160</v>
      </c>
      <c r="M94" s="17"/>
      <c r="N94" s="93" t="s">
        <v>290</v>
      </c>
      <c r="O94" s="93">
        <v>1</v>
      </c>
      <c r="P94" s="93">
        <v>1700</v>
      </c>
      <c r="Q94" s="93">
        <v>160</v>
      </c>
      <c r="R94" s="69"/>
    </row>
    <row r="95" spans="2:18">
      <c r="B95" s="68"/>
      <c r="C95" s="93">
        <v>2</v>
      </c>
      <c r="D95" s="93" t="s">
        <v>1780</v>
      </c>
      <c r="E95" s="93">
        <v>57</v>
      </c>
      <c r="F95" s="93">
        <v>348990</v>
      </c>
      <c r="G95" s="93">
        <v>16750</v>
      </c>
      <c r="H95" s="94"/>
      <c r="I95" s="93" t="s">
        <v>291</v>
      </c>
      <c r="J95" s="93">
        <v>1</v>
      </c>
      <c r="K95" s="93">
        <v>3750</v>
      </c>
      <c r="L95" s="93">
        <v>4</v>
      </c>
      <c r="M95" s="17"/>
      <c r="N95" s="93" t="s">
        <v>291</v>
      </c>
      <c r="O95" s="93">
        <v>1</v>
      </c>
      <c r="P95" s="93">
        <v>3750</v>
      </c>
      <c r="Q95" s="93">
        <v>4</v>
      </c>
      <c r="R95" s="69"/>
    </row>
    <row r="96" spans="2:18">
      <c r="B96" s="68"/>
      <c r="C96" s="93">
        <v>2</v>
      </c>
      <c r="D96" s="93" t="s">
        <v>1780</v>
      </c>
      <c r="E96" s="93">
        <v>56</v>
      </c>
      <c r="F96" s="93">
        <v>347290</v>
      </c>
      <c r="G96" s="93">
        <v>16590</v>
      </c>
      <c r="H96" s="94"/>
      <c r="I96" s="93" t="s">
        <v>292</v>
      </c>
      <c r="J96" s="93">
        <v>1</v>
      </c>
      <c r="K96" s="93">
        <v>1700</v>
      </c>
      <c r="L96" s="93">
        <v>160</v>
      </c>
      <c r="M96" s="17"/>
      <c r="N96" s="93" t="s">
        <v>292</v>
      </c>
      <c r="O96" s="93">
        <v>1</v>
      </c>
      <c r="P96" s="93">
        <v>1700</v>
      </c>
      <c r="Q96" s="93">
        <v>160</v>
      </c>
      <c r="R96" s="69"/>
    </row>
    <row r="97" spans="2:18">
      <c r="B97" s="68"/>
      <c r="C97" s="93">
        <v>2</v>
      </c>
      <c r="D97" s="93" t="s">
        <v>1780</v>
      </c>
      <c r="E97" s="93">
        <v>52</v>
      </c>
      <c r="F97" s="93">
        <v>332290</v>
      </c>
      <c r="G97" s="93">
        <v>16510</v>
      </c>
      <c r="H97" s="94"/>
      <c r="I97" s="93" t="s">
        <v>293</v>
      </c>
      <c r="J97" s="93">
        <v>4</v>
      </c>
      <c r="K97" s="93">
        <v>15000</v>
      </c>
      <c r="L97" s="93">
        <v>80</v>
      </c>
      <c r="M97" s="17"/>
      <c r="N97" s="93" t="s">
        <v>293</v>
      </c>
      <c r="O97" s="93">
        <v>4</v>
      </c>
      <c r="P97" s="93">
        <v>15000</v>
      </c>
      <c r="Q97" s="93">
        <v>80</v>
      </c>
      <c r="R97" s="69"/>
    </row>
    <row r="98" spans="2:18">
      <c r="B98" s="68"/>
      <c r="C98" s="93">
        <v>2</v>
      </c>
      <c r="D98" s="93" t="s">
        <v>1780</v>
      </c>
      <c r="E98" s="93">
        <v>51</v>
      </c>
      <c r="F98" s="93">
        <v>330290</v>
      </c>
      <c r="G98" s="93">
        <v>16510</v>
      </c>
      <c r="H98" s="94"/>
      <c r="I98" s="93" t="s">
        <v>294</v>
      </c>
      <c r="J98" s="93">
        <v>1</v>
      </c>
      <c r="K98" s="93">
        <v>2000</v>
      </c>
      <c r="L98" s="93">
        <v>0</v>
      </c>
      <c r="M98" s="17"/>
      <c r="N98" s="93" t="s">
        <v>294</v>
      </c>
      <c r="O98" s="93">
        <v>1</v>
      </c>
      <c r="P98" s="93">
        <v>2000</v>
      </c>
      <c r="Q98" s="93">
        <v>0</v>
      </c>
      <c r="R98" s="69"/>
    </row>
    <row r="99" spans="2:18">
      <c r="B99" s="68"/>
      <c r="C99" s="93">
        <v>2</v>
      </c>
      <c r="D99" s="93" t="s">
        <v>1780</v>
      </c>
      <c r="E99" s="93">
        <v>50</v>
      </c>
      <c r="F99" s="93">
        <v>328590</v>
      </c>
      <c r="G99" s="93">
        <v>16350</v>
      </c>
      <c r="H99" s="94"/>
      <c r="I99" s="93" t="s">
        <v>295</v>
      </c>
      <c r="J99" s="93">
        <v>1</v>
      </c>
      <c r="K99" s="93">
        <v>1700</v>
      </c>
      <c r="L99" s="93">
        <v>160</v>
      </c>
      <c r="M99" s="17"/>
      <c r="N99" s="93" t="s">
        <v>295</v>
      </c>
      <c r="O99" s="93">
        <v>1</v>
      </c>
      <c r="P99" s="93">
        <v>1700</v>
      </c>
      <c r="Q99" s="93">
        <v>160</v>
      </c>
      <c r="R99" s="69"/>
    </row>
    <row r="100" spans="2:18">
      <c r="B100" s="68"/>
      <c r="C100" s="93">
        <v>2</v>
      </c>
      <c r="D100" s="93" t="s">
        <v>1780</v>
      </c>
      <c r="E100" s="93">
        <v>49</v>
      </c>
      <c r="F100" s="93">
        <v>326890</v>
      </c>
      <c r="G100" s="93">
        <v>16190</v>
      </c>
      <c r="H100" s="94"/>
      <c r="I100" s="93" t="s">
        <v>296</v>
      </c>
      <c r="J100" s="93">
        <v>1</v>
      </c>
      <c r="K100" s="93">
        <v>1700</v>
      </c>
      <c r="L100" s="93">
        <v>160</v>
      </c>
      <c r="M100" s="17"/>
      <c r="N100" s="93" t="s">
        <v>296</v>
      </c>
      <c r="O100" s="93">
        <v>1</v>
      </c>
      <c r="P100" s="93">
        <v>1700</v>
      </c>
      <c r="Q100" s="93">
        <v>160</v>
      </c>
      <c r="R100" s="69"/>
    </row>
    <row r="101" spans="2:18">
      <c r="B101" s="68"/>
      <c r="C101" s="93">
        <v>2</v>
      </c>
      <c r="D101" s="93" t="s">
        <v>1780</v>
      </c>
      <c r="E101" s="93">
        <v>48</v>
      </c>
      <c r="F101" s="93">
        <v>325190</v>
      </c>
      <c r="G101" s="93">
        <v>16030</v>
      </c>
      <c r="H101" s="94"/>
      <c r="I101" s="93" t="s">
        <v>298</v>
      </c>
      <c r="J101" s="93">
        <v>1</v>
      </c>
      <c r="K101" s="93">
        <v>1700</v>
      </c>
      <c r="L101" s="93">
        <v>160</v>
      </c>
      <c r="M101" s="17"/>
      <c r="N101" s="93" t="s">
        <v>298</v>
      </c>
      <c r="O101" s="93">
        <v>1</v>
      </c>
      <c r="P101" s="93">
        <v>1700</v>
      </c>
      <c r="Q101" s="93">
        <v>160</v>
      </c>
      <c r="R101" s="69"/>
    </row>
    <row r="102" spans="2:18">
      <c r="B102" s="68"/>
      <c r="C102" s="93">
        <v>2</v>
      </c>
      <c r="D102" s="93" t="s">
        <v>1780</v>
      </c>
      <c r="E102" s="93">
        <v>47</v>
      </c>
      <c r="F102" s="93">
        <v>323490</v>
      </c>
      <c r="G102" s="93">
        <v>15870</v>
      </c>
      <c r="H102" s="94"/>
      <c r="I102" s="93" t="s">
        <v>299</v>
      </c>
      <c r="J102" s="93">
        <v>1</v>
      </c>
      <c r="K102" s="93">
        <v>1700</v>
      </c>
      <c r="L102" s="93">
        <v>160</v>
      </c>
      <c r="M102" s="17"/>
      <c r="N102" s="93" t="s">
        <v>299</v>
      </c>
      <c r="O102" s="93">
        <v>1</v>
      </c>
      <c r="P102" s="93">
        <v>1700</v>
      </c>
      <c r="Q102" s="93">
        <v>160</v>
      </c>
      <c r="R102" s="69"/>
    </row>
    <row r="103" spans="2:18">
      <c r="B103" s="68"/>
      <c r="C103" s="93">
        <v>2</v>
      </c>
      <c r="D103" s="93" t="s">
        <v>1780</v>
      </c>
      <c r="E103" s="93">
        <v>46</v>
      </c>
      <c r="F103" s="93">
        <v>321790</v>
      </c>
      <c r="G103" s="93">
        <v>15710</v>
      </c>
      <c r="H103" s="94"/>
      <c r="I103" s="93" t="s">
        <v>300</v>
      </c>
      <c r="J103" s="93">
        <v>1</v>
      </c>
      <c r="K103" s="93">
        <v>1700</v>
      </c>
      <c r="L103" s="93">
        <v>160</v>
      </c>
      <c r="M103" s="17"/>
      <c r="N103" s="93" t="s">
        <v>300</v>
      </c>
      <c r="O103" s="93">
        <v>1</v>
      </c>
      <c r="P103" s="93">
        <v>1700</v>
      </c>
      <c r="Q103" s="93">
        <v>160</v>
      </c>
      <c r="R103" s="69"/>
    </row>
    <row r="104" spans="2:18">
      <c r="B104" s="68"/>
      <c r="C104" s="93">
        <v>2</v>
      </c>
      <c r="D104" s="93" t="s">
        <v>1780</v>
      </c>
      <c r="E104" s="93">
        <v>30</v>
      </c>
      <c r="F104" s="93">
        <v>291790</v>
      </c>
      <c r="G104" s="93">
        <v>15390</v>
      </c>
      <c r="H104" s="94"/>
      <c r="I104" s="93" t="s">
        <v>301</v>
      </c>
      <c r="J104" s="93">
        <v>16</v>
      </c>
      <c r="K104" s="93">
        <v>30000</v>
      </c>
      <c r="L104" s="93">
        <v>320</v>
      </c>
      <c r="M104" s="17"/>
      <c r="N104" s="93" t="s">
        <v>301</v>
      </c>
      <c r="O104" s="93">
        <v>16</v>
      </c>
      <c r="P104" s="93">
        <v>30000</v>
      </c>
      <c r="Q104" s="93">
        <v>320</v>
      </c>
      <c r="R104" s="69"/>
    </row>
    <row r="105" spans="2:18">
      <c r="B105" s="68"/>
      <c r="C105" s="93">
        <v>2</v>
      </c>
      <c r="D105" s="93" t="s">
        <v>1780</v>
      </c>
      <c r="E105" s="93">
        <v>26</v>
      </c>
      <c r="F105" s="93">
        <v>276790</v>
      </c>
      <c r="G105" s="93">
        <v>15310</v>
      </c>
      <c r="H105" s="94"/>
      <c r="I105" s="93" t="s">
        <v>302</v>
      </c>
      <c r="J105" s="93">
        <v>4</v>
      </c>
      <c r="K105" s="93">
        <v>15000</v>
      </c>
      <c r="L105" s="93">
        <v>80</v>
      </c>
      <c r="M105" s="17"/>
      <c r="N105" s="93" t="s">
        <v>302</v>
      </c>
      <c r="O105" s="93">
        <v>4</v>
      </c>
      <c r="P105" s="93">
        <v>15000</v>
      </c>
      <c r="Q105" s="93">
        <v>80</v>
      </c>
      <c r="R105" s="69"/>
    </row>
    <row r="106" spans="2:18">
      <c r="B106" s="68"/>
      <c r="C106" s="93">
        <v>2</v>
      </c>
      <c r="D106" s="93" t="s">
        <v>1780</v>
      </c>
      <c r="E106" s="93">
        <v>25</v>
      </c>
      <c r="F106" s="93">
        <v>273040</v>
      </c>
      <c r="G106" s="93">
        <v>15306</v>
      </c>
      <c r="H106" s="94"/>
      <c r="I106" s="93" t="s">
        <v>304</v>
      </c>
      <c r="J106" s="93">
        <v>1</v>
      </c>
      <c r="K106" s="93">
        <v>3750</v>
      </c>
      <c r="L106" s="93">
        <v>4</v>
      </c>
      <c r="M106" s="17"/>
      <c r="N106" s="93" t="s">
        <v>304</v>
      </c>
      <c r="O106" s="93">
        <v>1</v>
      </c>
      <c r="P106" s="93">
        <v>3750</v>
      </c>
      <c r="Q106" s="93">
        <v>4</v>
      </c>
      <c r="R106" s="69"/>
    </row>
    <row r="107" spans="2:18">
      <c r="B107" s="68"/>
      <c r="C107" s="93">
        <v>2</v>
      </c>
      <c r="D107" s="93" t="s">
        <v>1780</v>
      </c>
      <c r="E107" s="93">
        <v>21</v>
      </c>
      <c r="F107" s="93">
        <v>258040</v>
      </c>
      <c r="G107" s="93">
        <v>15226</v>
      </c>
      <c r="H107" s="94"/>
      <c r="I107" s="93" t="s">
        <v>306</v>
      </c>
      <c r="J107" s="93">
        <v>4</v>
      </c>
      <c r="K107" s="93">
        <v>15000</v>
      </c>
      <c r="L107" s="93">
        <v>80</v>
      </c>
      <c r="M107" s="17"/>
      <c r="N107" s="93" t="s">
        <v>306</v>
      </c>
      <c r="O107" s="93">
        <v>4</v>
      </c>
      <c r="P107" s="93">
        <v>15000</v>
      </c>
      <c r="Q107" s="93">
        <v>80</v>
      </c>
      <c r="R107" s="69"/>
    </row>
    <row r="108" spans="2:18">
      <c r="B108" s="68"/>
      <c r="C108" s="93">
        <v>2</v>
      </c>
      <c r="D108" s="93" t="s">
        <v>1780</v>
      </c>
      <c r="E108" s="93">
        <v>20</v>
      </c>
      <c r="F108" s="93">
        <v>256340</v>
      </c>
      <c r="G108" s="93">
        <v>15066</v>
      </c>
      <c r="H108" s="94"/>
      <c r="I108" s="93" t="s">
        <v>308</v>
      </c>
      <c r="J108" s="93">
        <v>1</v>
      </c>
      <c r="K108" s="93">
        <v>1700</v>
      </c>
      <c r="L108" s="93">
        <v>160</v>
      </c>
      <c r="M108" s="17"/>
      <c r="N108" s="93" t="s">
        <v>308</v>
      </c>
      <c r="O108" s="93">
        <v>1</v>
      </c>
      <c r="P108" s="93">
        <v>1700</v>
      </c>
      <c r="Q108" s="93">
        <v>160</v>
      </c>
      <c r="R108" s="69"/>
    </row>
    <row r="109" spans="2:18">
      <c r="B109" s="68"/>
      <c r="C109" s="93">
        <v>2</v>
      </c>
      <c r="D109" s="93" t="s">
        <v>1780</v>
      </c>
      <c r="E109" s="93">
        <v>19</v>
      </c>
      <c r="F109" s="93">
        <v>254340</v>
      </c>
      <c r="G109" s="93">
        <v>15066</v>
      </c>
      <c r="H109" s="94"/>
      <c r="I109" s="93" t="s">
        <v>309</v>
      </c>
      <c r="J109" s="93">
        <v>1</v>
      </c>
      <c r="K109" s="93">
        <v>2000</v>
      </c>
      <c r="L109" s="93">
        <v>0</v>
      </c>
      <c r="M109" s="17"/>
      <c r="N109" s="93" t="s">
        <v>309</v>
      </c>
      <c r="O109" s="93">
        <v>1</v>
      </c>
      <c r="P109" s="93">
        <v>2000</v>
      </c>
      <c r="Q109" s="93">
        <v>0</v>
      </c>
      <c r="R109" s="69"/>
    </row>
    <row r="110" spans="2:18">
      <c r="B110" s="68"/>
      <c r="C110" s="93">
        <v>2</v>
      </c>
      <c r="D110" s="93" t="s">
        <v>1780</v>
      </c>
      <c r="E110" s="93">
        <v>17</v>
      </c>
      <c r="F110" s="93">
        <v>250340</v>
      </c>
      <c r="G110" s="93">
        <v>15066</v>
      </c>
      <c r="H110" s="94"/>
      <c r="I110" s="93" t="s">
        <v>312</v>
      </c>
      <c r="J110" s="93">
        <v>2</v>
      </c>
      <c r="K110" s="93">
        <v>4000</v>
      </c>
      <c r="L110" s="93">
        <v>0</v>
      </c>
      <c r="M110" s="17"/>
      <c r="N110" s="93" t="s">
        <v>312</v>
      </c>
      <c r="O110" s="93">
        <v>2</v>
      </c>
      <c r="P110" s="93">
        <v>4000</v>
      </c>
      <c r="Q110" s="93">
        <v>0</v>
      </c>
      <c r="R110" s="69"/>
    </row>
    <row r="111" spans="2:18">
      <c r="B111" s="68"/>
      <c r="C111" s="93">
        <v>2</v>
      </c>
      <c r="D111" s="93" t="s">
        <v>1780</v>
      </c>
      <c r="E111" s="93">
        <v>16</v>
      </c>
      <c r="F111" s="93">
        <v>248340</v>
      </c>
      <c r="G111" s="93">
        <v>15066</v>
      </c>
      <c r="H111" s="94"/>
      <c r="I111" s="93" t="s">
        <v>313</v>
      </c>
      <c r="J111" s="93">
        <v>1</v>
      </c>
      <c r="K111" s="93">
        <v>2000</v>
      </c>
      <c r="L111" s="93">
        <v>0</v>
      </c>
      <c r="M111" s="17"/>
      <c r="N111" s="93" t="s">
        <v>313</v>
      </c>
      <c r="O111" s="93">
        <v>1</v>
      </c>
      <c r="P111" s="93">
        <v>2000</v>
      </c>
      <c r="Q111" s="93">
        <v>0</v>
      </c>
      <c r="R111" s="69"/>
    </row>
    <row r="112" spans="2:18">
      <c r="B112" s="68"/>
      <c r="C112" s="93">
        <v>2</v>
      </c>
      <c r="D112" s="93" t="s">
        <v>1780</v>
      </c>
      <c r="E112" s="93">
        <v>15</v>
      </c>
      <c r="F112" s="93">
        <v>246640</v>
      </c>
      <c r="G112" s="93">
        <v>14906</v>
      </c>
      <c r="H112" s="94"/>
      <c r="I112" s="93" t="s">
        <v>314</v>
      </c>
      <c r="J112" s="93">
        <v>1</v>
      </c>
      <c r="K112" s="93">
        <v>1700</v>
      </c>
      <c r="L112" s="93">
        <v>160</v>
      </c>
      <c r="M112" s="17"/>
      <c r="N112" s="93" t="s">
        <v>314</v>
      </c>
      <c r="O112" s="93">
        <v>1</v>
      </c>
      <c r="P112" s="93">
        <v>1700</v>
      </c>
      <c r="Q112" s="93">
        <v>160</v>
      </c>
      <c r="R112" s="69"/>
    </row>
    <row r="113" spans="2:18">
      <c r="B113" s="68"/>
      <c r="C113" s="93">
        <v>2</v>
      </c>
      <c r="D113" s="93" t="s">
        <v>1780</v>
      </c>
      <c r="E113" s="93">
        <v>13</v>
      </c>
      <c r="F113" s="93">
        <v>239140</v>
      </c>
      <c r="G113" s="93">
        <v>14874</v>
      </c>
      <c r="H113" s="94"/>
      <c r="I113" s="93" t="s">
        <v>315</v>
      </c>
      <c r="J113" s="93">
        <v>2</v>
      </c>
      <c r="K113" s="93">
        <v>7500</v>
      </c>
      <c r="L113" s="93">
        <v>32</v>
      </c>
      <c r="M113" s="17"/>
      <c r="N113" s="93" t="s">
        <v>315</v>
      </c>
      <c r="O113" s="93">
        <v>2</v>
      </c>
      <c r="P113" s="93">
        <v>7500</v>
      </c>
      <c r="Q113" s="93">
        <v>32</v>
      </c>
      <c r="R113" s="69"/>
    </row>
    <row r="114" spans="2:18">
      <c r="B114" s="68"/>
      <c r="C114" s="93">
        <v>2</v>
      </c>
      <c r="D114" s="93" t="s">
        <v>1780</v>
      </c>
      <c r="E114" s="93">
        <v>12</v>
      </c>
      <c r="F114" s="93">
        <v>235390</v>
      </c>
      <c r="G114" s="93">
        <v>14870</v>
      </c>
      <c r="H114" s="94"/>
      <c r="I114" s="93" t="s">
        <v>316</v>
      </c>
      <c r="J114" s="93">
        <v>1</v>
      </c>
      <c r="K114" s="93">
        <v>3750</v>
      </c>
      <c r="L114" s="93">
        <v>4</v>
      </c>
      <c r="M114" s="17"/>
      <c r="N114" s="93" t="s">
        <v>316</v>
      </c>
      <c r="O114" s="93">
        <v>1</v>
      </c>
      <c r="P114" s="93">
        <v>3750</v>
      </c>
      <c r="Q114" s="93">
        <v>4</v>
      </c>
      <c r="R114" s="69"/>
    </row>
    <row r="115" spans="2:18">
      <c r="B115" s="68"/>
      <c r="C115" s="93">
        <v>2</v>
      </c>
      <c r="D115" s="93" t="s">
        <v>1780</v>
      </c>
      <c r="E115" s="93">
        <v>11</v>
      </c>
      <c r="F115" s="93">
        <v>233690</v>
      </c>
      <c r="G115" s="93">
        <v>14710</v>
      </c>
      <c r="H115" s="94"/>
      <c r="I115" s="93" t="s">
        <v>317</v>
      </c>
      <c r="J115" s="93">
        <v>1</v>
      </c>
      <c r="K115" s="93">
        <v>1700</v>
      </c>
      <c r="L115" s="93">
        <v>160</v>
      </c>
      <c r="M115" s="17"/>
      <c r="N115" s="93" t="s">
        <v>317</v>
      </c>
      <c r="O115" s="93">
        <v>1</v>
      </c>
      <c r="P115" s="93">
        <v>1700</v>
      </c>
      <c r="Q115" s="93">
        <v>160</v>
      </c>
      <c r="R115" s="69"/>
    </row>
    <row r="116" spans="2:18">
      <c r="B116" s="68"/>
      <c r="C116" s="93">
        <v>2</v>
      </c>
      <c r="D116" s="93" t="s">
        <v>1780</v>
      </c>
      <c r="E116" s="93">
        <v>10</v>
      </c>
      <c r="F116" s="93">
        <v>231990</v>
      </c>
      <c r="G116" s="93">
        <v>14550</v>
      </c>
      <c r="H116" s="94"/>
      <c r="I116" s="93" t="s">
        <v>318</v>
      </c>
      <c r="J116" s="93">
        <v>1</v>
      </c>
      <c r="K116" s="93">
        <v>1700</v>
      </c>
      <c r="L116" s="93">
        <v>160</v>
      </c>
      <c r="M116" s="17"/>
      <c r="N116" s="93" t="s">
        <v>318</v>
      </c>
      <c r="O116" s="93">
        <v>1</v>
      </c>
      <c r="P116" s="93">
        <v>1700</v>
      </c>
      <c r="Q116" s="93">
        <v>160</v>
      </c>
      <c r="R116" s="69"/>
    </row>
    <row r="117" spans="2:18">
      <c r="B117" s="68"/>
      <c r="C117" s="93">
        <v>2</v>
      </c>
      <c r="D117" s="93" t="s">
        <v>1780</v>
      </c>
      <c r="E117" s="93">
        <v>6</v>
      </c>
      <c r="F117" s="93">
        <v>216990</v>
      </c>
      <c r="G117" s="93">
        <v>14470</v>
      </c>
      <c r="H117" s="94"/>
      <c r="I117" s="93" t="s">
        <v>319</v>
      </c>
      <c r="J117" s="93">
        <v>4</v>
      </c>
      <c r="K117" s="93">
        <v>15000</v>
      </c>
      <c r="L117" s="93">
        <v>80</v>
      </c>
      <c r="M117" s="17"/>
      <c r="N117" s="93" t="s">
        <v>319</v>
      </c>
      <c r="O117" s="93">
        <v>4</v>
      </c>
      <c r="P117" s="93">
        <v>15000</v>
      </c>
      <c r="Q117" s="93">
        <v>80</v>
      </c>
      <c r="R117" s="69"/>
    </row>
    <row r="118" spans="2:18">
      <c r="B118" s="68"/>
      <c r="C118" s="93">
        <v>2</v>
      </c>
      <c r="D118" s="93" t="s">
        <v>1780</v>
      </c>
      <c r="E118" s="93">
        <v>5</v>
      </c>
      <c r="F118" s="93">
        <v>215290</v>
      </c>
      <c r="G118" s="93">
        <v>14310</v>
      </c>
      <c r="H118" s="94"/>
      <c r="I118" s="93" t="s">
        <v>320</v>
      </c>
      <c r="J118" s="93">
        <v>1</v>
      </c>
      <c r="K118" s="93">
        <v>1700</v>
      </c>
      <c r="L118" s="93">
        <v>160</v>
      </c>
      <c r="M118" s="17"/>
      <c r="N118" s="93" t="s">
        <v>320</v>
      </c>
      <c r="O118" s="93">
        <v>1</v>
      </c>
      <c r="P118" s="93">
        <v>1700</v>
      </c>
      <c r="Q118" s="93">
        <v>160</v>
      </c>
      <c r="R118" s="69"/>
    </row>
    <row r="119" spans="2:18">
      <c r="B119" s="68"/>
      <c r="C119" s="93">
        <v>2</v>
      </c>
      <c r="D119" s="93" t="s">
        <v>1780</v>
      </c>
      <c r="E119" s="93">
        <v>4</v>
      </c>
      <c r="F119" s="93">
        <v>213290</v>
      </c>
      <c r="G119" s="93">
        <v>14310</v>
      </c>
      <c r="H119" s="94"/>
      <c r="I119" s="93" t="s">
        <v>321</v>
      </c>
      <c r="J119" s="93">
        <v>1</v>
      </c>
      <c r="K119" s="93">
        <v>2000</v>
      </c>
      <c r="L119" s="93">
        <v>0</v>
      </c>
      <c r="M119" s="17"/>
      <c r="N119" s="93" t="s">
        <v>321</v>
      </c>
      <c r="O119" s="93">
        <v>1</v>
      </c>
      <c r="P119" s="93">
        <v>2000</v>
      </c>
      <c r="Q119" s="93">
        <v>0</v>
      </c>
      <c r="R119" s="69"/>
    </row>
    <row r="120" spans="2:18">
      <c r="B120" s="68"/>
      <c r="C120" s="93">
        <v>2</v>
      </c>
      <c r="D120" s="93" t="s">
        <v>1780</v>
      </c>
      <c r="E120" s="93">
        <v>3</v>
      </c>
      <c r="F120" s="93">
        <v>211290</v>
      </c>
      <c r="G120" s="93">
        <v>14310</v>
      </c>
      <c r="H120" s="94"/>
      <c r="I120" s="93" t="s">
        <v>323</v>
      </c>
      <c r="J120" s="93">
        <v>1</v>
      </c>
      <c r="K120" s="93">
        <v>2000</v>
      </c>
      <c r="L120" s="93">
        <v>0</v>
      </c>
      <c r="M120" s="17"/>
      <c r="N120" s="93" t="s">
        <v>323</v>
      </c>
      <c r="O120" s="93">
        <v>1</v>
      </c>
      <c r="P120" s="93">
        <v>2000</v>
      </c>
      <c r="Q120" s="93">
        <v>0</v>
      </c>
      <c r="R120" s="69"/>
    </row>
    <row r="121" spans="2:18">
      <c r="B121" s="68"/>
      <c r="C121" s="93">
        <v>2</v>
      </c>
      <c r="D121" s="93" t="s">
        <v>1780</v>
      </c>
      <c r="E121" s="93">
        <v>2</v>
      </c>
      <c r="F121" s="93">
        <v>209590</v>
      </c>
      <c r="G121" s="93">
        <v>14150</v>
      </c>
      <c r="H121" s="94"/>
      <c r="I121" s="93" t="s">
        <v>324</v>
      </c>
      <c r="J121" s="93">
        <v>1</v>
      </c>
      <c r="K121" s="93">
        <v>1700</v>
      </c>
      <c r="L121" s="93">
        <v>160</v>
      </c>
      <c r="M121" s="17"/>
      <c r="N121" s="93" t="s">
        <v>324</v>
      </c>
      <c r="O121" s="93">
        <v>1</v>
      </c>
      <c r="P121" s="93">
        <v>1700</v>
      </c>
      <c r="Q121" s="93">
        <v>160</v>
      </c>
      <c r="R121" s="69"/>
    </row>
    <row r="122" spans="2:18">
      <c r="B122" s="68"/>
      <c r="C122" s="93">
        <v>3</v>
      </c>
      <c r="D122" s="93" t="s">
        <v>1781</v>
      </c>
      <c r="E122" s="93">
        <v>136</v>
      </c>
      <c r="F122" s="93">
        <v>507240</v>
      </c>
      <c r="G122" s="93">
        <v>19550</v>
      </c>
      <c r="H122" s="94"/>
      <c r="I122" s="93" t="s">
        <v>325</v>
      </c>
      <c r="J122" s="93">
        <v>4</v>
      </c>
      <c r="K122" s="93">
        <v>15000</v>
      </c>
      <c r="L122" s="93">
        <v>80</v>
      </c>
      <c r="M122" s="17"/>
      <c r="N122" s="93" t="s">
        <v>325</v>
      </c>
      <c r="O122" s="93">
        <v>4</v>
      </c>
      <c r="P122" s="93">
        <v>15000</v>
      </c>
      <c r="Q122" s="93">
        <v>80</v>
      </c>
      <c r="R122" s="69"/>
    </row>
    <row r="123" spans="2:18">
      <c r="B123" s="68"/>
      <c r="C123" s="93">
        <v>2</v>
      </c>
      <c r="D123" s="93" t="s">
        <v>1780</v>
      </c>
      <c r="E123" s="93">
        <v>1</v>
      </c>
      <c r="F123" s="93">
        <v>207890</v>
      </c>
      <c r="G123" s="93">
        <v>13990</v>
      </c>
      <c r="H123" s="94"/>
      <c r="I123" s="93" t="s">
        <v>326</v>
      </c>
      <c r="J123" s="93">
        <v>1</v>
      </c>
      <c r="K123" s="93">
        <v>1700</v>
      </c>
      <c r="L123" s="93">
        <v>160</v>
      </c>
      <c r="M123" s="17"/>
      <c r="N123" s="93" t="s">
        <v>326</v>
      </c>
      <c r="O123" s="93">
        <v>1</v>
      </c>
      <c r="P123" s="93">
        <v>1700</v>
      </c>
      <c r="Q123" s="93">
        <v>160</v>
      </c>
      <c r="R123" s="69"/>
    </row>
    <row r="124" spans="2:18">
      <c r="B124" s="68"/>
      <c r="C124" s="93">
        <v>3</v>
      </c>
      <c r="D124" s="93" t="s">
        <v>1781</v>
      </c>
      <c r="E124" s="93">
        <v>135</v>
      </c>
      <c r="F124" s="93">
        <v>505540</v>
      </c>
      <c r="G124" s="93">
        <v>19390</v>
      </c>
      <c r="H124" s="94"/>
      <c r="I124" s="93" t="s">
        <v>327</v>
      </c>
      <c r="J124" s="93">
        <v>1</v>
      </c>
      <c r="K124" s="93">
        <v>1700</v>
      </c>
      <c r="L124" s="93">
        <v>160</v>
      </c>
      <c r="M124" s="17"/>
      <c r="N124" s="93" t="s">
        <v>327</v>
      </c>
      <c r="O124" s="93">
        <v>1</v>
      </c>
      <c r="P124" s="93">
        <v>1700</v>
      </c>
      <c r="Q124" s="93">
        <v>160</v>
      </c>
      <c r="R124" s="69"/>
    </row>
    <row r="125" spans="2:18">
      <c r="B125" s="68"/>
      <c r="C125" s="93">
        <v>3</v>
      </c>
      <c r="D125" s="93" t="s">
        <v>1781</v>
      </c>
      <c r="E125" s="93">
        <v>133</v>
      </c>
      <c r="F125" s="93">
        <v>498040</v>
      </c>
      <c r="G125" s="93">
        <v>19358</v>
      </c>
      <c r="H125" s="94"/>
      <c r="I125" s="93" t="s">
        <v>328</v>
      </c>
      <c r="J125" s="93">
        <v>2</v>
      </c>
      <c r="K125" s="93">
        <v>7500</v>
      </c>
      <c r="L125" s="93">
        <v>32</v>
      </c>
      <c r="M125" s="17"/>
      <c r="N125" s="93" t="s">
        <v>328</v>
      </c>
      <c r="O125" s="93">
        <v>2</v>
      </c>
      <c r="P125" s="93">
        <v>7500</v>
      </c>
      <c r="Q125" s="93">
        <v>32</v>
      </c>
      <c r="R125" s="69"/>
    </row>
    <row r="126" spans="2:18">
      <c r="B126" s="68"/>
      <c r="C126" s="93">
        <v>3</v>
      </c>
      <c r="D126" s="93" t="s">
        <v>1781</v>
      </c>
      <c r="E126" s="93">
        <v>132</v>
      </c>
      <c r="F126" s="93">
        <v>496340</v>
      </c>
      <c r="G126" s="93">
        <v>19198</v>
      </c>
      <c r="H126" s="94"/>
      <c r="I126" s="93" t="s">
        <v>329</v>
      </c>
      <c r="J126" s="93">
        <v>1</v>
      </c>
      <c r="K126" s="93">
        <v>1700</v>
      </c>
      <c r="L126" s="93">
        <v>160</v>
      </c>
      <c r="M126" s="17"/>
      <c r="N126" s="93" t="s">
        <v>329</v>
      </c>
      <c r="O126" s="93">
        <v>1</v>
      </c>
      <c r="P126" s="93">
        <v>1700</v>
      </c>
      <c r="Q126" s="93">
        <v>160</v>
      </c>
      <c r="R126" s="69"/>
    </row>
    <row r="127" spans="2:18">
      <c r="B127" s="68"/>
      <c r="C127" s="93">
        <v>3</v>
      </c>
      <c r="D127" s="93" t="s">
        <v>1781</v>
      </c>
      <c r="E127" s="93">
        <v>131</v>
      </c>
      <c r="F127" s="93">
        <v>494640</v>
      </c>
      <c r="G127" s="93">
        <v>19038</v>
      </c>
      <c r="H127" s="94"/>
      <c r="I127" s="93" t="s">
        <v>330</v>
      </c>
      <c r="J127" s="93">
        <v>1</v>
      </c>
      <c r="K127" s="93">
        <v>1700</v>
      </c>
      <c r="L127" s="93">
        <v>160</v>
      </c>
      <c r="M127" s="17"/>
      <c r="N127" s="93" t="s">
        <v>330</v>
      </c>
      <c r="O127" s="93">
        <v>1</v>
      </c>
      <c r="P127" s="93">
        <v>1700</v>
      </c>
      <c r="Q127" s="93">
        <v>160</v>
      </c>
      <c r="R127" s="69"/>
    </row>
    <row r="128" spans="2:18">
      <c r="B128" s="68"/>
      <c r="C128" s="93">
        <v>3</v>
      </c>
      <c r="D128" s="93" t="s">
        <v>1781</v>
      </c>
      <c r="E128" s="93">
        <v>130</v>
      </c>
      <c r="F128" s="93">
        <v>492940</v>
      </c>
      <c r="G128" s="93">
        <v>18878</v>
      </c>
      <c r="H128" s="94"/>
      <c r="I128" s="93" t="s">
        <v>331</v>
      </c>
      <c r="J128" s="93">
        <v>1</v>
      </c>
      <c r="K128" s="93">
        <v>1700</v>
      </c>
      <c r="L128" s="93">
        <v>160</v>
      </c>
      <c r="M128" s="17"/>
      <c r="N128" s="93" t="s">
        <v>331</v>
      </c>
      <c r="O128" s="93">
        <v>1</v>
      </c>
      <c r="P128" s="93">
        <v>1700</v>
      </c>
      <c r="Q128" s="93">
        <v>160</v>
      </c>
      <c r="R128" s="69"/>
    </row>
    <row r="129" spans="2:18">
      <c r="B129" s="68"/>
      <c r="C129" s="93">
        <v>3</v>
      </c>
      <c r="D129" s="93" t="s">
        <v>1781</v>
      </c>
      <c r="E129" s="93">
        <v>129</v>
      </c>
      <c r="F129" s="93">
        <v>491240</v>
      </c>
      <c r="G129" s="93">
        <v>18718</v>
      </c>
      <c r="H129" s="94"/>
      <c r="I129" s="93" t="s">
        <v>332</v>
      </c>
      <c r="J129" s="93">
        <v>1</v>
      </c>
      <c r="K129" s="93">
        <v>1700</v>
      </c>
      <c r="L129" s="93">
        <v>160</v>
      </c>
      <c r="M129" s="17"/>
      <c r="N129" s="93" t="s">
        <v>332</v>
      </c>
      <c r="O129" s="93">
        <v>1</v>
      </c>
      <c r="P129" s="93">
        <v>1700</v>
      </c>
      <c r="Q129" s="93">
        <v>160</v>
      </c>
      <c r="R129" s="69"/>
    </row>
    <row r="130" spans="2:18">
      <c r="B130" s="68"/>
      <c r="C130" s="93">
        <v>3</v>
      </c>
      <c r="D130" s="93" t="s">
        <v>1781</v>
      </c>
      <c r="E130" s="93">
        <v>125</v>
      </c>
      <c r="F130" s="93">
        <v>476240</v>
      </c>
      <c r="G130" s="93">
        <v>18638</v>
      </c>
      <c r="H130" s="94"/>
      <c r="I130" s="93" t="s">
        <v>333</v>
      </c>
      <c r="J130" s="93">
        <v>4</v>
      </c>
      <c r="K130" s="93">
        <v>15000</v>
      </c>
      <c r="L130" s="93">
        <v>80</v>
      </c>
      <c r="M130" s="17"/>
      <c r="N130" s="93" t="s">
        <v>333</v>
      </c>
      <c r="O130" s="93">
        <v>4</v>
      </c>
      <c r="P130" s="93">
        <v>15000</v>
      </c>
      <c r="Q130" s="93">
        <v>80</v>
      </c>
      <c r="R130" s="69"/>
    </row>
    <row r="131" spans="2:18">
      <c r="B131" s="68"/>
      <c r="C131" s="93">
        <v>3</v>
      </c>
      <c r="D131" s="93" t="s">
        <v>1781</v>
      </c>
      <c r="E131" s="93">
        <v>109</v>
      </c>
      <c r="F131" s="93">
        <v>446240</v>
      </c>
      <c r="G131" s="93">
        <v>18318</v>
      </c>
      <c r="H131" s="94"/>
      <c r="I131" s="93" t="s">
        <v>334</v>
      </c>
      <c r="J131" s="93">
        <v>16</v>
      </c>
      <c r="K131" s="93">
        <v>30000</v>
      </c>
      <c r="L131" s="93">
        <v>320</v>
      </c>
      <c r="M131" s="17"/>
      <c r="N131" s="93" t="s">
        <v>334</v>
      </c>
      <c r="O131" s="93">
        <v>16</v>
      </c>
      <c r="P131" s="93">
        <v>30000</v>
      </c>
      <c r="Q131" s="93">
        <v>320</v>
      </c>
      <c r="R131" s="69"/>
    </row>
    <row r="132" spans="2:18">
      <c r="B132" s="68"/>
      <c r="C132" s="93">
        <v>3</v>
      </c>
      <c r="D132" s="93" t="s">
        <v>1781</v>
      </c>
      <c r="E132" s="93">
        <v>108</v>
      </c>
      <c r="F132" s="93">
        <v>444540</v>
      </c>
      <c r="G132" s="93">
        <v>18158</v>
      </c>
      <c r="H132" s="94"/>
      <c r="I132" s="93" t="s">
        <v>335</v>
      </c>
      <c r="J132" s="93">
        <v>1</v>
      </c>
      <c r="K132" s="93">
        <v>1700</v>
      </c>
      <c r="L132" s="93">
        <v>160</v>
      </c>
      <c r="M132" s="17"/>
      <c r="N132" s="93" t="s">
        <v>335</v>
      </c>
      <c r="O132" s="93">
        <v>1</v>
      </c>
      <c r="P132" s="93">
        <v>1700</v>
      </c>
      <c r="Q132" s="93">
        <v>160</v>
      </c>
      <c r="R132" s="69"/>
    </row>
    <row r="133" spans="2:18">
      <c r="B133" s="68"/>
      <c r="C133" s="93">
        <v>3</v>
      </c>
      <c r="D133" s="93" t="s">
        <v>1781</v>
      </c>
      <c r="E133" s="93">
        <v>106</v>
      </c>
      <c r="F133" s="93">
        <v>440540</v>
      </c>
      <c r="G133" s="93">
        <v>18158</v>
      </c>
      <c r="H133" s="94"/>
      <c r="I133" s="93" t="s">
        <v>336</v>
      </c>
      <c r="J133" s="93">
        <v>2</v>
      </c>
      <c r="K133" s="93">
        <v>4000</v>
      </c>
      <c r="L133" s="93">
        <v>0</v>
      </c>
      <c r="M133" s="17"/>
      <c r="N133" s="93" t="s">
        <v>336</v>
      </c>
      <c r="O133" s="93">
        <v>2</v>
      </c>
      <c r="P133" s="93">
        <v>4000</v>
      </c>
      <c r="Q133" s="93">
        <v>0</v>
      </c>
      <c r="R133" s="69"/>
    </row>
    <row r="134" spans="2:18">
      <c r="B134" s="68"/>
      <c r="C134" s="93">
        <v>3</v>
      </c>
      <c r="D134" s="93" t="s">
        <v>1781</v>
      </c>
      <c r="E134" s="93">
        <v>102</v>
      </c>
      <c r="F134" s="93">
        <v>425540</v>
      </c>
      <c r="G134" s="93">
        <v>18078</v>
      </c>
      <c r="H134" s="94"/>
      <c r="I134" s="93" t="s">
        <v>337</v>
      </c>
      <c r="J134" s="93">
        <v>4</v>
      </c>
      <c r="K134" s="93">
        <v>15000</v>
      </c>
      <c r="L134" s="93">
        <v>80</v>
      </c>
      <c r="M134" s="17"/>
      <c r="N134" s="93" t="s">
        <v>337</v>
      </c>
      <c r="O134" s="93">
        <v>4</v>
      </c>
      <c r="P134" s="93">
        <v>15000</v>
      </c>
      <c r="Q134" s="93">
        <v>80</v>
      </c>
      <c r="R134" s="69"/>
    </row>
    <row r="135" spans="2:18">
      <c r="B135" s="68"/>
      <c r="C135" s="93">
        <v>3</v>
      </c>
      <c r="D135" s="93" t="s">
        <v>1781</v>
      </c>
      <c r="E135" s="93">
        <v>94</v>
      </c>
      <c r="F135" s="93">
        <v>395540</v>
      </c>
      <c r="G135" s="93">
        <v>17918</v>
      </c>
      <c r="H135" s="94"/>
      <c r="I135" s="93" t="s">
        <v>338</v>
      </c>
      <c r="J135" s="93">
        <v>8</v>
      </c>
      <c r="K135" s="93">
        <v>30000</v>
      </c>
      <c r="L135" s="93">
        <v>160</v>
      </c>
      <c r="M135" s="17"/>
      <c r="N135" s="93" t="s">
        <v>338</v>
      </c>
      <c r="O135" s="93">
        <v>8</v>
      </c>
      <c r="P135" s="93">
        <v>30000</v>
      </c>
      <c r="Q135" s="93">
        <v>160</v>
      </c>
      <c r="R135" s="69"/>
    </row>
    <row r="136" spans="2:18">
      <c r="B136" s="68"/>
      <c r="C136" s="93">
        <v>3</v>
      </c>
      <c r="D136" s="93" t="s">
        <v>1781</v>
      </c>
      <c r="E136" s="93">
        <v>86</v>
      </c>
      <c r="F136" s="93">
        <v>365540</v>
      </c>
      <c r="G136" s="93">
        <v>17758</v>
      </c>
      <c r="H136" s="94"/>
      <c r="I136" s="93" t="s">
        <v>339</v>
      </c>
      <c r="J136" s="93">
        <v>8</v>
      </c>
      <c r="K136" s="93">
        <v>30000</v>
      </c>
      <c r="L136" s="93">
        <v>160</v>
      </c>
      <c r="M136" s="17"/>
      <c r="N136" s="93" t="s">
        <v>339</v>
      </c>
      <c r="O136" s="93">
        <v>8</v>
      </c>
      <c r="P136" s="93">
        <v>30000</v>
      </c>
      <c r="Q136" s="93">
        <v>160</v>
      </c>
      <c r="R136" s="69"/>
    </row>
    <row r="137" spans="2:18">
      <c r="B137" s="68"/>
      <c r="C137" s="93">
        <v>3</v>
      </c>
      <c r="D137" s="93" t="s">
        <v>1781</v>
      </c>
      <c r="E137" s="93">
        <v>85</v>
      </c>
      <c r="F137" s="93">
        <v>363840</v>
      </c>
      <c r="G137" s="93">
        <v>17598</v>
      </c>
      <c r="H137" s="94"/>
      <c r="I137" s="93" t="s">
        <v>341</v>
      </c>
      <c r="J137" s="93">
        <v>1</v>
      </c>
      <c r="K137" s="93">
        <v>1700</v>
      </c>
      <c r="L137" s="93">
        <v>160</v>
      </c>
      <c r="M137" s="17"/>
      <c r="N137" s="93" t="s">
        <v>341</v>
      </c>
      <c r="O137" s="93">
        <v>1</v>
      </c>
      <c r="P137" s="93">
        <v>1700</v>
      </c>
      <c r="Q137" s="93">
        <v>160</v>
      </c>
      <c r="R137" s="69"/>
    </row>
    <row r="138" spans="2:18">
      <c r="B138" s="68"/>
      <c r="C138" s="93">
        <v>3</v>
      </c>
      <c r="D138" s="93" t="s">
        <v>1781</v>
      </c>
      <c r="E138" s="93">
        <v>84</v>
      </c>
      <c r="F138" s="93">
        <v>362140</v>
      </c>
      <c r="G138" s="93">
        <v>17438</v>
      </c>
      <c r="H138" s="94"/>
      <c r="I138" s="93" t="s">
        <v>343</v>
      </c>
      <c r="J138" s="93">
        <v>1</v>
      </c>
      <c r="K138" s="93">
        <v>1700</v>
      </c>
      <c r="L138" s="93">
        <v>160</v>
      </c>
      <c r="M138" s="17"/>
      <c r="N138" s="93" t="s">
        <v>343</v>
      </c>
      <c r="O138" s="93">
        <v>1</v>
      </c>
      <c r="P138" s="93">
        <v>1700</v>
      </c>
      <c r="Q138" s="93">
        <v>160</v>
      </c>
      <c r="R138" s="69"/>
    </row>
    <row r="139" spans="2:18">
      <c r="B139" s="68"/>
      <c r="C139" s="93">
        <v>3</v>
      </c>
      <c r="D139" s="93" t="s">
        <v>1781</v>
      </c>
      <c r="E139" s="93">
        <v>83</v>
      </c>
      <c r="F139" s="93">
        <v>360440</v>
      </c>
      <c r="G139" s="93">
        <v>17278</v>
      </c>
      <c r="H139" s="94"/>
      <c r="I139" s="93" t="s">
        <v>345</v>
      </c>
      <c r="J139" s="93">
        <v>1</v>
      </c>
      <c r="K139" s="93">
        <v>1700</v>
      </c>
      <c r="L139" s="93">
        <v>160</v>
      </c>
      <c r="M139" s="17"/>
      <c r="N139" s="93" t="s">
        <v>345</v>
      </c>
      <c r="O139" s="93">
        <v>1</v>
      </c>
      <c r="P139" s="93">
        <v>1700</v>
      </c>
      <c r="Q139" s="93">
        <v>160</v>
      </c>
      <c r="R139" s="69"/>
    </row>
    <row r="140" spans="2:18">
      <c r="B140" s="68"/>
      <c r="C140" s="93">
        <v>3</v>
      </c>
      <c r="D140" s="93" t="s">
        <v>1781</v>
      </c>
      <c r="E140" s="93">
        <v>82</v>
      </c>
      <c r="F140" s="93">
        <v>358740</v>
      </c>
      <c r="G140" s="93">
        <v>17118</v>
      </c>
      <c r="H140" s="94"/>
      <c r="I140" s="93" t="s">
        <v>346</v>
      </c>
      <c r="J140" s="93">
        <v>1</v>
      </c>
      <c r="K140" s="93">
        <v>1700</v>
      </c>
      <c r="L140" s="93">
        <v>160</v>
      </c>
      <c r="M140" s="17"/>
      <c r="N140" s="93" t="s">
        <v>346</v>
      </c>
      <c r="O140" s="93">
        <v>1</v>
      </c>
      <c r="P140" s="93">
        <v>1700</v>
      </c>
      <c r="Q140" s="93">
        <v>160</v>
      </c>
      <c r="R140" s="69"/>
    </row>
    <row r="141" spans="2:18">
      <c r="B141" s="68"/>
      <c r="C141" s="93">
        <v>3</v>
      </c>
      <c r="D141" s="93" t="s">
        <v>1781</v>
      </c>
      <c r="E141" s="93">
        <v>81</v>
      </c>
      <c r="F141" s="93">
        <v>357040</v>
      </c>
      <c r="G141" s="93">
        <v>16958</v>
      </c>
      <c r="H141" s="94"/>
      <c r="I141" s="93" t="s">
        <v>347</v>
      </c>
      <c r="J141" s="93">
        <v>1</v>
      </c>
      <c r="K141" s="93">
        <v>1700</v>
      </c>
      <c r="L141" s="93">
        <v>160</v>
      </c>
      <c r="M141" s="17"/>
      <c r="N141" s="93" t="s">
        <v>347</v>
      </c>
      <c r="O141" s="93">
        <v>1</v>
      </c>
      <c r="P141" s="93">
        <v>1700</v>
      </c>
      <c r="Q141" s="93">
        <v>160</v>
      </c>
      <c r="R141" s="69"/>
    </row>
    <row r="142" spans="2:18">
      <c r="B142" s="68"/>
      <c r="C142" s="93">
        <v>3</v>
      </c>
      <c r="D142" s="93" t="s">
        <v>1781</v>
      </c>
      <c r="E142" s="93">
        <v>79</v>
      </c>
      <c r="F142" s="93">
        <v>342040</v>
      </c>
      <c r="G142" s="93">
        <v>16926</v>
      </c>
      <c r="H142" s="94"/>
      <c r="I142" s="93" t="s">
        <v>348</v>
      </c>
      <c r="J142" s="93">
        <v>2</v>
      </c>
      <c r="K142" s="93">
        <v>15000</v>
      </c>
      <c r="L142" s="93">
        <v>32</v>
      </c>
      <c r="M142" s="17"/>
      <c r="N142" s="93" t="s">
        <v>348</v>
      </c>
      <c r="O142" s="93">
        <v>2</v>
      </c>
      <c r="P142" s="93">
        <v>15000</v>
      </c>
      <c r="Q142" s="93">
        <v>32</v>
      </c>
      <c r="R142" s="69"/>
    </row>
    <row r="143" spans="2:18">
      <c r="B143" s="68"/>
      <c r="C143" s="93">
        <v>3</v>
      </c>
      <c r="D143" s="93" t="s">
        <v>1781</v>
      </c>
      <c r="E143" s="93">
        <v>78</v>
      </c>
      <c r="F143" s="93">
        <v>340340</v>
      </c>
      <c r="G143" s="93">
        <v>16766</v>
      </c>
      <c r="H143" s="94"/>
      <c r="I143" s="93" t="s">
        <v>349</v>
      </c>
      <c r="J143" s="93">
        <v>1</v>
      </c>
      <c r="K143" s="93">
        <v>1700</v>
      </c>
      <c r="L143" s="93">
        <v>160</v>
      </c>
      <c r="M143" s="17"/>
      <c r="N143" s="93" t="s">
        <v>349</v>
      </c>
      <c r="O143" s="93">
        <v>1</v>
      </c>
      <c r="P143" s="93">
        <v>1700</v>
      </c>
      <c r="Q143" s="93">
        <v>160</v>
      </c>
      <c r="R143" s="69"/>
    </row>
    <row r="144" spans="2:18">
      <c r="B144" s="68"/>
      <c r="C144" s="93">
        <v>3</v>
      </c>
      <c r="D144" s="93" t="s">
        <v>1781</v>
      </c>
      <c r="E144" s="93">
        <v>77</v>
      </c>
      <c r="F144" s="93">
        <v>336590</v>
      </c>
      <c r="G144" s="93">
        <v>16762</v>
      </c>
      <c r="H144" s="94"/>
      <c r="I144" s="93" t="s">
        <v>351</v>
      </c>
      <c r="J144" s="93">
        <v>1</v>
      </c>
      <c r="K144" s="93">
        <v>3750</v>
      </c>
      <c r="L144" s="93">
        <v>4</v>
      </c>
      <c r="M144" s="17"/>
      <c r="N144" s="93" t="s">
        <v>351</v>
      </c>
      <c r="O144" s="93">
        <v>1</v>
      </c>
      <c r="P144" s="93">
        <v>3750</v>
      </c>
      <c r="Q144" s="93">
        <v>4</v>
      </c>
      <c r="R144" s="69"/>
    </row>
    <row r="145" spans="2:18">
      <c r="B145" s="68"/>
      <c r="C145" s="93">
        <v>3</v>
      </c>
      <c r="D145" s="93" t="s">
        <v>1781</v>
      </c>
      <c r="E145" s="93">
        <v>76</v>
      </c>
      <c r="F145" s="93">
        <v>334590</v>
      </c>
      <c r="G145" s="93">
        <v>16762</v>
      </c>
      <c r="H145" s="94"/>
      <c r="I145" s="93" t="s">
        <v>352</v>
      </c>
      <c r="J145" s="93">
        <v>1</v>
      </c>
      <c r="K145" s="93">
        <v>2000</v>
      </c>
      <c r="L145" s="93">
        <v>0</v>
      </c>
      <c r="M145" s="17"/>
      <c r="N145" s="93" t="s">
        <v>352</v>
      </c>
      <c r="O145" s="93">
        <v>1</v>
      </c>
      <c r="P145" s="93">
        <v>2000</v>
      </c>
      <c r="Q145" s="93">
        <v>0</v>
      </c>
      <c r="R145" s="69"/>
    </row>
    <row r="146" spans="2:18">
      <c r="B146" s="68"/>
      <c r="C146" s="93">
        <v>3</v>
      </c>
      <c r="D146" s="93" t="s">
        <v>1781</v>
      </c>
      <c r="E146" s="93">
        <v>75</v>
      </c>
      <c r="F146" s="93">
        <v>330840</v>
      </c>
      <c r="G146" s="93">
        <v>16352</v>
      </c>
      <c r="H146" s="94"/>
      <c r="I146" s="93" t="s">
        <v>353</v>
      </c>
      <c r="J146" s="93">
        <v>1</v>
      </c>
      <c r="K146" s="93">
        <v>3750</v>
      </c>
      <c r="L146" s="93">
        <v>410</v>
      </c>
      <c r="M146" s="17"/>
      <c r="N146" s="93" t="s">
        <v>353</v>
      </c>
      <c r="O146" s="93">
        <v>1</v>
      </c>
      <c r="P146" s="93">
        <v>3750</v>
      </c>
      <c r="Q146" s="93">
        <v>410</v>
      </c>
      <c r="R146" s="69"/>
    </row>
    <row r="147" spans="2:18">
      <c r="B147" s="68"/>
      <c r="C147" s="93">
        <v>3</v>
      </c>
      <c r="D147" s="93" t="s">
        <v>1781</v>
      </c>
      <c r="E147" s="93">
        <v>74</v>
      </c>
      <c r="F147" s="93">
        <v>327090</v>
      </c>
      <c r="G147" s="93">
        <v>16348</v>
      </c>
      <c r="H147" s="94"/>
      <c r="I147" s="93" t="s">
        <v>354</v>
      </c>
      <c r="J147" s="93">
        <v>1</v>
      </c>
      <c r="K147" s="93">
        <v>3750</v>
      </c>
      <c r="L147" s="93">
        <v>4</v>
      </c>
      <c r="M147" s="17"/>
      <c r="N147" s="93" t="s">
        <v>354</v>
      </c>
      <c r="O147" s="93">
        <v>1</v>
      </c>
      <c r="P147" s="93">
        <v>3750</v>
      </c>
      <c r="Q147" s="93">
        <v>4</v>
      </c>
      <c r="R147" s="69"/>
    </row>
    <row r="148" spans="2:18">
      <c r="B148" s="68"/>
      <c r="C148" s="93">
        <v>3</v>
      </c>
      <c r="D148" s="93" t="s">
        <v>1781</v>
      </c>
      <c r="E148" s="93">
        <v>73</v>
      </c>
      <c r="F148" s="93">
        <v>323340</v>
      </c>
      <c r="G148" s="93">
        <v>15938</v>
      </c>
      <c r="H148" s="94"/>
      <c r="I148" s="93" t="s">
        <v>355</v>
      </c>
      <c r="J148" s="93">
        <v>1</v>
      </c>
      <c r="K148" s="93">
        <v>3750</v>
      </c>
      <c r="L148" s="93">
        <v>410</v>
      </c>
      <c r="M148" s="17"/>
      <c r="N148" s="93" t="s">
        <v>355</v>
      </c>
      <c r="O148" s="93">
        <v>1</v>
      </c>
      <c r="P148" s="93">
        <v>3750</v>
      </c>
      <c r="Q148" s="93">
        <v>410</v>
      </c>
      <c r="R148" s="69"/>
    </row>
    <row r="149" spans="2:18">
      <c r="B149" s="68"/>
      <c r="C149" s="93">
        <v>3</v>
      </c>
      <c r="D149" s="93" t="s">
        <v>1781</v>
      </c>
      <c r="E149" s="93">
        <v>71</v>
      </c>
      <c r="F149" s="93">
        <v>315840</v>
      </c>
      <c r="G149" s="93">
        <v>15906</v>
      </c>
      <c r="H149" s="94"/>
      <c r="I149" s="93" t="s">
        <v>356</v>
      </c>
      <c r="J149" s="93">
        <v>2</v>
      </c>
      <c r="K149" s="93">
        <v>7500</v>
      </c>
      <c r="L149" s="93">
        <v>32</v>
      </c>
      <c r="M149" s="17"/>
      <c r="N149" s="93" t="s">
        <v>356</v>
      </c>
      <c r="O149" s="93">
        <v>2</v>
      </c>
      <c r="P149" s="93">
        <v>7500</v>
      </c>
      <c r="Q149" s="93">
        <v>32</v>
      </c>
      <c r="R149" s="69"/>
    </row>
    <row r="150" spans="2:18">
      <c r="B150" s="68"/>
      <c r="C150" s="93">
        <v>3</v>
      </c>
      <c r="D150" s="93" t="s">
        <v>1781</v>
      </c>
      <c r="E150" s="93">
        <v>70</v>
      </c>
      <c r="F150" s="93">
        <v>313840</v>
      </c>
      <c r="G150" s="93">
        <v>15906</v>
      </c>
      <c r="H150" s="94"/>
      <c r="I150" s="93" t="s">
        <v>357</v>
      </c>
      <c r="J150" s="93">
        <v>1</v>
      </c>
      <c r="K150" s="93">
        <v>2000</v>
      </c>
      <c r="L150" s="93">
        <v>0</v>
      </c>
      <c r="M150" s="17"/>
      <c r="N150" s="93" t="s">
        <v>357</v>
      </c>
      <c r="O150" s="93">
        <v>1</v>
      </c>
      <c r="P150" s="93">
        <v>2000</v>
      </c>
      <c r="Q150" s="93">
        <v>0</v>
      </c>
      <c r="R150" s="69"/>
    </row>
    <row r="151" spans="2:18">
      <c r="B151" s="68"/>
      <c r="C151" s="93">
        <v>3</v>
      </c>
      <c r="D151" s="93" t="s">
        <v>1781</v>
      </c>
      <c r="E151" s="93">
        <v>69</v>
      </c>
      <c r="F151" s="93">
        <v>310090</v>
      </c>
      <c r="G151" s="93">
        <v>15902</v>
      </c>
      <c r="H151" s="94"/>
      <c r="I151" s="93" t="s">
        <v>359</v>
      </c>
      <c r="J151" s="93">
        <v>1</v>
      </c>
      <c r="K151" s="93">
        <v>3750</v>
      </c>
      <c r="L151" s="93">
        <v>4</v>
      </c>
      <c r="M151" s="17"/>
      <c r="N151" s="93" t="s">
        <v>359</v>
      </c>
      <c r="O151" s="93">
        <v>1</v>
      </c>
      <c r="P151" s="93">
        <v>3750</v>
      </c>
      <c r="Q151" s="93">
        <v>4</v>
      </c>
      <c r="R151" s="69"/>
    </row>
    <row r="152" spans="2:18">
      <c r="B152" s="68"/>
      <c r="C152" s="93">
        <v>3</v>
      </c>
      <c r="D152" s="93" t="s">
        <v>1781</v>
      </c>
      <c r="E152" s="93">
        <v>68</v>
      </c>
      <c r="F152" s="93">
        <v>308390</v>
      </c>
      <c r="G152" s="93">
        <v>15742</v>
      </c>
      <c r="H152" s="94"/>
      <c r="I152" s="93" t="s">
        <v>360</v>
      </c>
      <c r="J152" s="93">
        <v>1</v>
      </c>
      <c r="K152" s="93">
        <v>1700</v>
      </c>
      <c r="L152" s="93">
        <v>160</v>
      </c>
      <c r="M152" s="17"/>
      <c r="N152" s="93" t="s">
        <v>360</v>
      </c>
      <c r="O152" s="93">
        <v>1</v>
      </c>
      <c r="P152" s="93">
        <v>1700</v>
      </c>
      <c r="Q152" s="93">
        <v>160</v>
      </c>
      <c r="R152" s="69"/>
    </row>
    <row r="153" spans="2:18">
      <c r="B153" s="68"/>
      <c r="C153" s="93">
        <v>3</v>
      </c>
      <c r="D153" s="93" t="s">
        <v>1781</v>
      </c>
      <c r="E153" s="93">
        <v>60</v>
      </c>
      <c r="F153" s="93">
        <v>278390</v>
      </c>
      <c r="G153" s="93">
        <v>15582</v>
      </c>
      <c r="H153" s="94"/>
      <c r="I153" s="93" t="s">
        <v>361</v>
      </c>
      <c r="J153" s="93">
        <v>8</v>
      </c>
      <c r="K153" s="93">
        <v>30000</v>
      </c>
      <c r="L153" s="93">
        <v>160</v>
      </c>
      <c r="M153" s="17"/>
      <c r="N153" s="93" t="s">
        <v>361</v>
      </c>
      <c r="O153" s="93">
        <v>8</v>
      </c>
      <c r="P153" s="93">
        <v>30000</v>
      </c>
      <c r="Q153" s="93">
        <v>160</v>
      </c>
      <c r="R153" s="69"/>
    </row>
    <row r="154" spans="2:18">
      <c r="B154" s="68"/>
      <c r="C154" s="93">
        <v>3</v>
      </c>
      <c r="D154" s="93" t="s">
        <v>1781</v>
      </c>
      <c r="E154" s="93">
        <v>56</v>
      </c>
      <c r="F154" s="93">
        <v>263390</v>
      </c>
      <c r="G154" s="93">
        <v>15502</v>
      </c>
      <c r="H154" s="94"/>
      <c r="I154" s="93" t="s">
        <v>363</v>
      </c>
      <c r="J154" s="93">
        <v>4</v>
      </c>
      <c r="K154" s="93">
        <v>15000</v>
      </c>
      <c r="L154" s="93">
        <v>80</v>
      </c>
      <c r="M154" s="17"/>
      <c r="N154" s="93" t="s">
        <v>363</v>
      </c>
      <c r="O154" s="93">
        <v>4</v>
      </c>
      <c r="P154" s="93">
        <v>15000</v>
      </c>
      <c r="Q154" s="93">
        <v>80</v>
      </c>
      <c r="R154" s="69"/>
    </row>
    <row r="155" spans="2:18">
      <c r="B155" s="68"/>
      <c r="C155" s="93">
        <v>3</v>
      </c>
      <c r="D155" s="93" t="s">
        <v>1781</v>
      </c>
      <c r="E155" s="93">
        <v>55</v>
      </c>
      <c r="F155" s="93">
        <v>261690</v>
      </c>
      <c r="G155" s="93">
        <v>15342</v>
      </c>
      <c r="H155" s="94"/>
      <c r="I155" s="93" t="s">
        <v>364</v>
      </c>
      <c r="J155" s="93">
        <v>1</v>
      </c>
      <c r="K155" s="93">
        <v>1700</v>
      </c>
      <c r="L155" s="93">
        <v>160</v>
      </c>
      <c r="M155" s="17"/>
      <c r="N155" s="93" t="s">
        <v>364</v>
      </c>
      <c r="O155" s="93">
        <v>1</v>
      </c>
      <c r="P155" s="93">
        <v>1700</v>
      </c>
      <c r="Q155" s="93">
        <v>160</v>
      </c>
      <c r="R155" s="69"/>
    </row>
    <row r="156" spans="2:18">
      <c r="B156" s="68"/>
      <c r="C156" s="93">
        <v>3</v>
      </c>
      <c r="D156" s="93" t="s">
        <v>1781</v>
      </c>
      <c r="E156" s="93">
        <v>54</v>
      </c>
      <c r="F156" s="93">
        <v>259990</v>
      </c>
      <c r="G156" s="93">
        <v>15182</v>
      </c>
      <c r="H156" s="94"/>
      <c r="I156" s="93" t="s">
        <v>365</v>
      </c>
      <c r="J156" s="93">
        <v>1</v>
      </c>
      <c r="K156" s="93">
        <v>1700</v>
      </c>
      <c r="L156" s="93">
        <v>160</v>
      </c>
      <c r="M156" s="17"/>
      <c r="N156" s="93" t="s">
        <v>365</v>
      </c>
      <c r="O156" s="93">
        <v>1</v>
      </c>
      <c r="P156" s="93">
        <v>1700</v>
      </c>
      <c r="Q156" s="93">
        <v>160</v>
      </c>
      <c r="R156" s="69"/>
    </row>
    <row r="157" spans="2:18">
      <c r="B157" s="68"/>
      <c r="C157" s="93">
        <v>3</v>
      </c>
      <c r="D157" s="93" t="s">
        <v>1781</v>
      </c>
      <c r="E157" s="93">
        <v>53</v>
      </c>
      <c r="F157" s="93">
        <v>258290</v>
      </c>
      <c r="G157" s="93">
        <v>15022</v>
      </c>
      <c r="H157" s="94"/>
      <c r="I157" s="93" t="s">
        <v>366</v>
      </c>
      <c r="J157" s="93">
        <v>1</v>
      </c>
      <c r="K157" s="93">
        <v>1700</v>
      </c>
      <c r="L157" s="93">
        <v>160</v>
      </c>
      <c r="M157" s="17"/>
      <c r="N157" s="93" t="s">
        <v>366</v>
      </c>
      <c r="O157" s="93">
        <v>1</v>
      </c>
      <c r="P157" s="93">
        <v>1700</v>
      </c>
      <c r="Q157" s="93">
        <v>160</v>
      </c>
      <c r="R157" s="69"/>
    </row>
    <row r="158" spans="2:18">
      <c r="B158" s="68"/>
      <c r="C158" s="93">
        <v>3</v>
      </c>
      <c r="D158" s="93" t="s">
        <v>1781</v>
      </c>
      <c r="E158" s="93">
        <v>52</v>
      </c>
      <c r="F158" s="93">
        <v>256590</v>
      </c>
      <c r="G158" s="93">
        <v>14862</v>
      </c>
      <c r="H158" s="94"/>
      <c r="I158" s="93" t="s">
        <v>367</v>
      </c>
      <c r="J158" s="93">
        <v>1</v>
      </c>
      <c r="K158" s="93">
        <v>1700</v>
      </c>
      <c r="L158" s="93">
        <v>160</v>
      </c>
      <c r="M158" s="17"/>
      <c r="N158" s="93" t="s">
        <v>367</v>
      </c>
      <c r="O158" s="93">
        <v>1</v>
      </c>
      <c r="P158" s="93">
        <v>1700</v>
      </c>
      <c r="Q158" s="93">
        <v>160</v>
      </c>
      <c r="R158" s="69"/>
    </row>
    <row r="159" spans="2:18">
      <c r="B159" s="68"/>
      <c r="C159" s="93">
        <v>3</v>
      </c>
      <c r="D159" s="93" t="s">
        <v>1781</v>
      </c>
      <c r="E159" s="93">
        <v>44</v>
      </c>
      <c r="F159" s="93">
        <v>226590</v>
      </c>
      <c r="G159" s="93">
        <v>14702</v>
      </c>
      <c r="H159" s="94"/>
      <c r="I159" s="93" t="s">
        <v>368</v>
      </c>
      <c r="J159" s="93">
        <v>8</v>
      </c>
      <c r="K159" s="93">
        <v>30000</v>
      </c>
      <c r="L159" s="93">
        <v>160</v>
      </c>
      <c r="M159" s="17"/>
      <c r="N159" s="93" t="s">
        <v>368</v>
      </c>
      <c r="O159" s="93">
        <v>8</v>
      </c>
      <c r="P159" s="93">
        <v>30000</v>
      </c>
      <c r="Q159" s="93">
        <v>160</v>
      </c>
      <c r="R159" s="69"/>
    </row>
    <row r="160" spans="2:18">
      <c r="B160" s="68"/>
      <c r="C160" s="93">
        <v>3</v>
      </c>
      <c r="D160" s="93" t="s">
        <v>1781</v>
      </c>
      <c r="E160" s="93">
        <v>36</v>
      </c>
      <c r="F160" s="93">
        <v>196590</v>
      </c>
      <c r="G160" s="93">
        <v>14542</v>
      </c>
      <c r="H160" s="94"/>
      <c r="I160" s="93" t="s">
        <v>369</v>
      </c>
      <c r="J160" s="93">
        <v>8</v>
      </c>
      <c r="K160" s="93">
        <v>30000</v>
      </c>
      <c r="L160" s="93">
        <v>160</v>
      </c>
      <c r="M160" s="17"/>
      <c r="N160" s="93" t="s">
        <v>369</v>
      </c>
      <c r="O160" s="93">
        <v>8</v>
      </c>
      <c r="P160" s="93">
        <v>30000</v>
      </c>
      <c r="Q160" s="93">
        <v>160</v>
      </c>
      <c r="R160" s="69"/>
    </row>
    <row r="161" spans="2:18">
      <c r="B161" s="68"/>
      <c r="C161" s="93">
        <v>3</v>
      </c>
      <c r="D161" s="93" t="s">
        <v>1781</v>
      </c>
      <c r="E161" s="93">
        <v>35</v>
      </c>
      <c r="F161" s="93">
        <v>194890</v>
      </c>
      <c r="G161" s="93">
        <v>14382</v>
      </c>
      <c r="H161" s="94"/>
      <c r="I161" s="93" t="s">
        <v>370</v>
      </c>
      <c r="J161" s="93">
        <v>1</v>
      </c>
      <c r="K161" s="93">
        <v>1700</v>
      </c>
      <c r="L161" s="93">
        <v>160</v>
      </c>
      <c r="M161" s="17"/>
      <c r="N161" s="93" t="s">
        <v>370</v>
      </c>
      <c r="O161" s="93">
        <v>1</v>
      </c>
      <c r="P161" s="93">
        <v>1700</v>
      </c>
      <c r="Q161" s="93">
        <v>160</v>
      </c>
      <c r="R161" s="69"/>
    </row>
    <row r="162" spans="2:18">
      <c r="B162" s="68"/>
      <c r="C162" s="93">
        <v>3</v>
      </c>
      <c r="D162" s="93" t="s">
        <v>1781</v>
      </c>
      <c r="E162" s="93">
        <v>34</v>
      </c>
      <c r="F162" s="93">
        <v>193190</v>
      </c>
      <c r="G162" s="93">
        <v>14222</v>
      </c>
      <c r="H162" s="94"/>
      <c r="I162" s="93" t="s">
        <v>372</v>
      </c>
      <c r="J162" s="93">
        <v>1</v>
      </c>
      <c r="K162" s="93">
        <v>1700</v>
      </c>
      <c r="L162" s="93">
        <v>160</v>
      </c>
      <c r="M162" s="17"/>
      <c r="N162" s="93" t="s">
        <v>372</v>
      </c>
      <c r="O162" s="93">
        <v>1</v>
      </c>
      <c r="P162" s="93">
        <v>1700</v>
      </c>
      <c r="Q162" s="93">
        <v>160</v>
      </c>
      <c r="R162" s="69"/>
    </row>
    <row r="163" spans="2:18">
      <c r="B163" s="68"/>
      <c r="C163" s="93">
        <v>3</v>
      </c>
      <c r="D163" s="93" t="s">
        <v>1781</v>
      </c>
      <c r="E163" s="93">
        <v>33</v>
      </c>
      <c r="F163" s="93">
        <v>189440</v>
      </c>
      <c r="G163" s="93">
        <v>14218</v>
      </c>
      <c r="H163" s="94"/>
      <c r="I163" s="93" t="s">
        <v>373</v>
      </c>
      <c r="J163" s="93">
        <v>1</v>
      </c>
      <c r="K163" s="93">
        <v>3750</v>
      </c>
      <c r="L163" s="93">
        <v>4</v>
      </c>
      <c r="M163" s="17"/>
      <c r="N163" s="93" t="s">
        <v>373</v>
      </c>
      <c r="O163" s="93">
        <v>1</v>
      </c>
      <c r="P163" s="93">
        <v>3750</v>
      </c>
      <c r="Q163" s="93">
        <v>4</v>
      </c>
      <c r="R163" s="69"/>
    </row>
    <row r="164" spans="2:18">
      <c r="B164" s="68"/>
      <c r="C164" s="93">
        <v>3</v>
      </c>
      <c r="D164" s="93" t="s">
        <v>1781</v>
      </c>
      <c r="E164" s="93">
        <v>29</v>
      </c>
      <c r="F164" s="93">
        <v>174440</v>
      </c>
      <c r="G164" s="93">
        <v>14138</v>
      </c>
      <c r="H164" s="94"/>
      <c r="I164" s="93" t="s">
        <v>374</v>
      </c>
      <c r="J164" s="93">
        <v>4</v>
      </c>
      <c r="K164" s="93">
        <v>15000</v>
      </c>
      <c r="L164" s="93">
        <v>80</v>
      </c>
      <c r="M164" s="17"/>
      <c r="N164" s="93" t="s">
        <v>374</v>
      </c>
      <c r="O164" s="93">
        <v>4</v>
      </c>
      <c r="P164" s="93">
        <v>15000</v>
      </c>
      <c r="Q164" s="93">
        <v>80</v>
      </c>
      <c r="R164" s="69"/>
    </row>
    <row r="165" spans="2:18">
      <c r="B165" s="68"/>
      <c r="C165" s="93">
        <v>3</v>
      </c>
      <c r="D165" s="93" t="s">
        <v>1781</v>
      </c>
      <c r="E165" s="93">
        <v>28</v>
      </c>
      <c r="F165" s="93">
        <v>172440</v>
      </c>
      <c r="G165" s="93">
        <v>14138</v>
      </c>
      <c r="H165" s="94"/>
      <c r="I165" s="93" t="s">
        <v>375</v>
      </c>
      <c r="J165" s="93">
        <v>1</v>
      </c>
      <c r="K165" s="93">
        <v>2000</v>
      </c>
      <c r="L165" s="93">
        <v>0</v>
      </c>
      <c r="M165" s="17"/>
      <c r="N165" s="93" t="s">
        <v>375</v>
      </c>
      <c r="O165" s="93">
        <v>1</v>
      </c>
      <c r="P165" s="93">
        <v>2000</v>
      </c>
      <c r="Q165" s="93">
        <v>0</v>
      </c>
      <c r="R165" s="69"/>
    </row>
    <row r="166" spans="2:18">
      <c r="B166" s="68"/>
      <c r="C166" s="93">
        <v>3</v>
      </c>
      <c r="D166" s="93" t="s">
        <v>1781</v>
      </c>
      <c r="E166" s="93">
        <v>27</v>
      </c>
      <c r="F166" s="93">
        <v>170740</v>
      </c>
      <c r="G166" s="93">
        <v>13978</v>
      </c>
      <c r="H166" s="94"/>
      <c r="I166" s="93" t="s">
        <v>378</v>
      </c>
      <c r="J166" s="93">
        <v>1</v>
      </c>
      <c r="K166" s="93">
        <v>1700</v>
      </c>
      <c r="L166" s="93">
        <v>160</v>
      </c>
      <c r="M166" s="17"/>
      <c r="N166" s="93" t="s">
        <v>378</v>
      </c>
      <c r="O166" s="93">
        <v>1</v>
      </c>
      <c r="P166" s="93">
        <v>1700</v>
      </c>
      <c r="Q166" s="93">
        <v>160</v>
      </c>
      <c r="R166" s="69"/>
    </row>
    <row r="167" spans="2:18">
      <c r="B167" s="68"/>
      <c r="C167" s="93">
        <v>3</v>
      </c>
      <c r="D167" s="93" t="s">
        <v>1781</v>
      </c>
      <c r="E167" s="93">
        <v>26</v>
      </c>
      <c r="F167" s="93">
        <v>169040</v>
      </c>
      <c r="G167" s="93">
        <v>13818</v>
      </c>
      <c r="H167" s="94"/>
      <c r="I167" s="93" t="s">
        <v>379</v>
      </c>
      <c r="J167" s="93">
        <v>1</v>
      </c>
      <c r="K167" s="93">
        <v>1700</v>
      </c>
      <c r="L167" s="93">
        <v>160</v>
      </c>
      <c r="M167" s="17"/>
      <c r="N167" s="93" t="s">
        <v>379</v>
      </c>
      <c r="O167" s="93">
        <v>1</v>
      </c>
      <c r="P167" s="93">
        <v>1700</v>
      </c>
      <c r="Q167" s="93">
        <v>160</v>
      </c>
      <c r="R167" s="69"/>
    </row>
    <row r="168" spans="2:18">
      <c r="B168" s="68"/>
      <c r="C168" s="93">
        <v>3</v>
      </c>
      <c r="D168" s="93" t="s">
        <v>1781</v>
      </c>
      <c r="E168" s="93">
        <v>25</v>
      </c>
      <c r="F168" s="93">
        <v>167340</v>
      </c>
      <c r="G168" s="93">
        <v>13658</v>
      </c>
      <c r="H168" s="94"/>
      <c r="I168" s="93" t="s">
        <v>380</v>
      </c>
      <c r="J168" s="93">
        <v>1</v>
      </c>
      <c r="K168" s="93">
        <v>1700</v>
      </c>
      <c r="L168" s="93">
        <v>160</v>
      </c>
      <c r="M168" s="17"/>
      <c r="N168" s="93" t="s">
        <v>380</v>
      </c>
      <c r="O168" s="93">
        <v>1</v>
      </c>
      <c r="P168" s="93">
        <v>1700</v>
      </c>
      <c r="Q168" s="93">
        <v>160</v>
      </c>
      <c r="R168" s="69"/>
    </row>
    <row r="169" spans="2:18">
      <c r="B169" s="68"/>
      <c r="C169" s="93">
        <v>3</v>
      </c>
      <c r="D169" s="93" t="s">
        <v>1781</v>
      </c>
      <c r="E169" s="93">
        <v>24</v>
      </c>
      <c r="F169" s="93">
        <v>165640</v>
      </c>
      <c r="G169" s="93">
        <v>13498</v>
      </c>
      <c r="H169" s="94"/>
      <c r="I169" s="93" t="s">
        <v>381</v>
      </c>
      <c r="J169" s="93">
        <v>1</v>
      </c>
      <c r="K169" s="93">
        <v>1700</v>
      </c>
      <c r="L169" s="93">
        <v>160</v>
      </c>
      <c r="M169" s="17"/>
      <c r="N169" s="93" t="s">
        <v>381</v>
      </c>
      <c r="O169" s="93">
        <v>1</v>
      </c>
      <c r="P169" s="93">
        <v>1700</v>
      </c>
      <c r="Q169" s="93">
        <v>160</v>
      </c>
      <c r="R169" s="69"/>
    </row>
    <row r="170" spans="2:18">
      <c r="B170" s="68"/>
      <c r="C170" s="93">
        <v>3</v>
      </c>
      <c r="D170" s="93" t="s">
        <v>1781</v>
      </c>
      <c r="E170" s="93">
        <v>16</v>
      </c>
      <c r="F170" s="93">
        <v>150640</v>
      </c>
      <c r="G170" s="93">
        <v>13338</v>
      </c>
      <c r="H170" s="94"/>
      <c r="I170" s="93" t="s">
        <v>382</v>
      </c>
      <c r="J170" s="93">
        <v>8</v>
      </c>
      <c r="K170" s="93">
        <v>15000</v>
      </c>
      <c r="L170" s="93">
        <v>160</v>
      </c>
      <c r="M170" s="17"/>
      <c r="N170" s="93" t="s">
        <v>382</v>
      </c>
      <c r="O170" s="93">
        <v>8</v>
      </c>
      <c r="P170" s="93">
        <v>15000</v>
      </c>
      <c r="Q170" s="93">
        <v>160</v>
      </c>
      <c r="R170" s="69"/>
    </row>
    <row r="171" spans="2:18">
      <c r="B171" s="68"/>
      <c r="C171" s="93">
        <v>3</v>
      </c>
      <c r="D171" s="93" t="s">
        <v>1781</v>
      </c>
      <c r="E171" s="93">
        <v>15</v>
      </c>
      <c r="F171" s="93">
        <v>146890</v>
      </c>
      <c r="G171" s="93">
        <v>12928</v>
      </c>
      <c r="H171" s="94"/>
      <c r="I171" s="93" t="s">
        <v>385</v>
      </c>
      <c r="J171" s="93">
        <v>1</v>
      </c>
      <c r="K171" s="93">
        <v>3750</v>
      </c>
      <c r="L171" s="93">
        <v>410</v>
      </c>
      <c r="M171" s="17"/>
      <c r="N171" s="93" t="s">
        <v>385</v>
      </c>
      <c r="O171" s="93">
        <v>1</v>
      </c>
      <c r="P171" s="93">
        <v>3750</v>
      </c>
      <c r="Q171" s="93">
        <v>410</v>
      </c>
      <c r="R171" s="69"/>
    </row>
    <row r="172" spans="2:18">
      <c r="B172" s="68"/>
      <c r="C172" s="93">
        <v>3</v>
      </c>
      <c r="D172" s="93" t="s">
        <v>1781</v>
      </c>
      <c r="E172" s="93">
        <v>13</v>
      </c>
      <c r="F172" s="93">
        <v>139390</v>
      </c>
      <c r="G172" s="93">
        <v>12896</v>
      </c>
      <c r="H172" s="94"/>
      <c r="I172" s="93" t="s">
        <v>388</v>
      </c>
      <c r="J172" s="93">
        <v>2</v>
      </c>
      <c r="K172" s="93">
        <v>7500</v>
      </c>
      <c r="L172" s="93">
        <v>32</v>
      </c>
      <c r="M172" s="17"/>
      <c r="N172" s="93" t="s">
        <v>388</v>
      </c>
      <c r="O172" s="93">
        <v>2</v>
      </c>
      <c r="P172" s="93">
        <v>7500</v>
      </c>
      <c r="Q172" s="93">
        <v>32</v>
      </c>
      <c r="R172" s="69"/>
    </row>
    <row r="173" spans="2:18">
      <c r="B173" s="68"/>
      <c r="C173" s="93">
        <v>3</v>
      </c>
      <c r="D173" s="93" t="s">
        <v>1781</v>
      </c>
      <c r="E173" s="93">
        <v>12</v>
      </c>
      <c r="F173" s="93">
        <v>137390</v>
      </c>
      <c r="G173" s="93">
        <v>12896</v>
      </c>
      <c r="H173" s="94"/>
      <c r="I173" s="93" t="s">
        <v>389</v>
      </c>
      <c r="J173" s="93">
        <v>1</v>
      </c>
      <c r="K173" s="93">
        <v>2000</v>
      </c>
      <c r="L173" s="93">
        <v>0</v>
      </c>
      <c r="M173" s="17"/>
      <c r="N173" s="93" t="s">
        <v>389</v>
      </c>
      <c r="O173" s="93">
        <v>1</v>
      </c>
      <c r="P173" s="93">
        <v>2000</v>
      </c>
      <c r="Q173" s="93">
        <v>0</v>
      </c>
      <c r="R173" s="69"/>
    </row>
    <row r="174" spans="2:18">
      <c r="B174" s="68"/>
      <c r="C174" s="93">
        <v>3</v>
      </c>
      <c r="D174" s="93" t="s">
        <v>1781</v>
      </c>
      <c r="E174" s="93">
        <v>11</v>
      </c>
      <c r="F174" s="93">
        <v>135690</v>
      </c>
      <c r="G174" s="93">
        <v>12736</v>
      </c>
      <c r="H174" s="94"/>
      <c r="I174" s="93" t="s">
        <v>390</v>
      </c>
      <c r="J174" s="93">
        <v>1</v>
      </c>
      <c r="K174" s="93">
        <v>1700</v>
      </c>
      <c r="L174" s="93">
        <v>160</v>
      </c>
      <c r="M174" s="17"/>
      <c r="N174" s="93" t="s">
        <v>390</v>
      </c>
      <c r="O174" s="93">
        <v>1</v>
      </c>
      <c r="P174" s="93">
        <v>1700</v>
      </c>
      <c r="Q174" s="93">
        <v>160</v>
      </c>
      <c r="R174" s="69"/>
    </row>
    <row r="175" spans="2:18">
      <c r="B175" s="68"/>
      <c r="C175" s="93">
        <v>3</v>
      </c>
      <c r="D175" s="93" t="s">
        <v>1781</v>
      </c>
      <c r="E175" s="93">
        <v>10</v>
      </c>
      <c r="F175" s="93">
        <v>133990</v>
      </c>
      <c r="G175" s="93">
        <v>12576</v>
      </c>
      <c r="H175" s="94"/>
      <c r="I175" s="93" t="s">
        <v>391</v>
      </c>
      <c r="J175" s="93">
        <v>1</v>
      </c>
      <c r="K175" s="93">
        <v>1700</v>
      </c>
      <c r="L175" s="93">
        <v>160</v>
      </c>
      <c r="M175" s="17"/>
      <c r="N175" s="93" t="s">
        <v>391</v>
      </c>
      <c r="O175" s="93">
        <v>1</v>
      </c>
      <c r="P175" s="93">
        <v>1700</v>
      </c>
      <c r="Q175" s="93">
        <v>160</v>
      </c>
      <c r="R175" s="69"/>
    </row>
    <row r="176" spans="2:18">
      <c r="B176" s="68"/>
      <c r="C176" s="93">
        <v>3</v>
      </c>
      <c r="D176" s="93" t="s">
        <v>1781</v>
      </c>
      <c r="E176" s="93">
        <v>9</v>
      </c>
      <c r="F176" s="93">
        <v>132290</v>
      </c>
      <c r="G176" s="93">
        <v>12416</v>
      </c>
      <c r="H176" s="94"/>
      <c r="I176" s="93" t="s">
        <v>392</v>
      </c>
      <c r="J176" s="93">
        <v>1</v>
      </c>
      <c r="K176" s="93">
        <v>1700</v>
      </c>
      <c r="L176" s="93">
        <v>160</v>
      </c>
      <c r="M176" s="17"/>
      <c r="N176" s="93" t="s">
        <v>392</v>
      </c>
      <c r="O176" s="93">
        <v>1</v>
      </c>
      <c r="P176" s="93">
        <v>1700</v>
      </c>
      <c r="Q176" s="93">
        <v>160</v>
      </c>
      <c r="R176" s="69"/>
    </row>
    <row r="177" spans="2:18">
      <c r="B177" s="68"/>
      <c r="C177" s="93">
        <v>3</v>
      </c>
      <c r="D177" s="93" t="s">
        <v>1781</v>
      </c>
      <c r="E177" s="93">
        <v>8</v>
      </c>
      <c r="F177" s="93">
        <v>130590</v>
      </c>
      <c r="G177" s="93">
        <v>12256</v>
      </c>
      <c r="H177" s="94"/>
      <c r="I177" s="93" t="s">
        <v>393</v>
      </c>
      <c r="J177" s="93">
        <v>1</v>
      </c>
      <c r="K177" s="93">
        <v>1700</v>
      </c>
      <c r="L177" s="93">
        <v>160</v>
      </c>
      <c r="M177" s="17"/>
      <c r="N177" s="93" t="s">
        <v>393</v>
      </c>
      <c r="O177" s="93">
        <v>1</v>
      </c>
      <c r="P177" s="93">
        <v>1700</v>
      </c>
      <c r="Q177" s="93">
        <v>160</v>
      </c>
      <c r="R177" s="69"/>
    </row>
    <row r="178" spans="2:18">
      <c r="B178" s="68"/>
      <c r="C178" s="93">
        <v>3</v>
      </c>
      <c r="D178" s="93" t="s">
        <v>1781</v>
      </c>
      <c r="E178" s="93">
        <v>7</v>
      </c>
      <c r="F178" s="93">
        <v>126840</v>
      </c>
      <c r="G178" s="93">
        <v>11846</v>
      </c>
      <c r="H178" s="94"/>
      <c r="I178" s="93" t="s">
        <v>395</v>
      </c>
      <c r="J178" s="93">
        <v>1</v>
      </c>
      <c r="K178" s="93">
        <v>3750</v>
      </c>
      <c r="L178" s="93">
        <v>410</v>
      </c>
      <c r="M178" s="17"/>
      <c r="N178" s="93" t="s">
        <v>395</v>
      </c>
      <c r="O178" s="93">
        <v>1</v>
      </c>
      <c r="P178" s="93">
        <v>3750</v>
      </c>
      <c r="Q178" s="93">
        <v>410</v>
      </c>
      <c r="R178" s="69"/>
    </row>
    <row r="179" spans="2:18">
      <c r="B179" s="68"/>
      <c r="C179" s="93">
        <v>3</v>
      </c>
      <c r="D179" s="93" t="s">
        <v>1781</v>
      </c>
      <c r="E179" s="93">
        <v>6</v>
      </c>
      <c r="F179" s="93">
        <v>123090</v>
      </c>
      <c r="G179" s="93">
        <v>11842</v>
      </c>
      <c r="H179" s="94"/>
      <c r="I179" s="93" t="s">
        <v>396</v>
      </c>
      <c r="J179" s="93">
        <v>1</v>
      </c>
      <c r="K179" s="93">
        <v>3750</v>
      </c>
      <c r="L179" s="93">
        <v>4</v>
      </c>
      <c r="M179" s="17"/>
      <c r="N179" s="93" t="s">
        <v>396</v>
      </c>
      <c r="O179" s="93">
        <v>1</v>
      </c>
      <c r="P179" s="93">
        <v>3750</v>
      </c>
      <c r="Q179" s="93">
        <v>4</v>
      </c>
      <c r="R179" s="69"/>
    </row>
    <row r="180" spans="2:18">
      <c r="B180" s="68"/>
      <c r="C180" s="93">
        <v>3</v>
      </c>
      <c r="D180" s="93" t="s">
        <v>1781</v>
      </c>
      <c r="E180" s="93">
        <v>4</v>
      </c>
      <c r="F180" s="93">
        <v>119340</v>
      </c>
      <c r="G180" s="93">
        <v>11810</v>
      </c>
      <c r="H180" s="94"/>
      <c r="I180" s="93" t="s">
        <v>397</v>
      </c>
      <c r="J180" s="93">
        <v>2</v>
      </c>
      <c r="K180" s="93">
        <v>3750</v>
      </c>
      <c r="L180" s="93">
        <v>32</v>
      </c>
      <c r="M180" s="17"/>
      <c r="N180" s="93" t="s">
        <v>397</v>
      </c>
      <c r="O180" s="93">
        <v>2</v>
      </c>
      <c r="P180" s="93">
        <v>3750</v>
      </c>
      <c r="Q180" s="93">
        <v>32</v>
      </c>
      <c r="R180" s="69"/>
    </row>
    <row r="181" spans="2:18">
      <c r="B181" s="68"/>
      <c r="C181" s="93">
        <v>3</v>
      </c>
      <c r="D181" s="93" t="s">
        <v>1781</v>
      </c>
      <c r="E181" s="93">
        <v>2</v>
      </c>
      <c r="F181" s="93">
        <v>115590</v>
      </c>
      <c r="G181" s="93">
        <v>11778</v>
      </c>
      <c r="H181" s="94"/>
      <c r="I181" s="93" t="s">
        <v>398</v>
      </c>
      <c r="J181" s="93">
        <v>2</v>
      </c>
      <c r="K181" s="93">
        <v>3750</v>
      </c>
      <c r="L181" s="93">
        <v>32</v>
      </c>
      <c r="M181" s="17"/>
      <c r="N181" s="93" t="s">
        <v>398</v>
      </c>
      <c r="O181" s="93">
        <v>2</v>
      </c>
      <c r="P181" s="93">
        <v>3750</v>
      </c>
      <c r="Q181" s="93">
        <v>32</v>
      </c>
      <c r="R181" s="69"/>
    </row>
    <row r="182" spans="2:18">
      <c r="B182" s="68"/>
      <c r="C182" s="93">
        <v>4</v>
      </c>
      <c r="D182" s="93" t="s">
        <v>1782</v>
      </c>
      <c r="E182" s="93">
        <v>138</v>
      </c>
      <c r="F182" s="93">
        <v>518490</v>
      </c>
      <c r="G182" s="93">
        <v>19598</v>
      </c>
      <c r="H182" s="94"/>
      <c r="I182" s="93" t="s">
        <v>399</v>
      </c>
      <c r="J182" s="93">
        <v>2</v>
      </c>
      <c r="K182" s="93">
        <v>3750</v>
      </c>
      <c r="L182" s="93">
        <v>32</v>
      </c>
      <c r="M182" s="17"/>
      <c r="N182" s="93" t="s">
        <v>399</v>
      </c>
      <c r="O182" s="93">
        <v>2</v>
      </c>
      <c r="P182" s="93">
        <v>3750</v>
      </c>
      <c r="Q182" s="93">
        <v>32</v>
      </c>
      <c r="R182" s="69"/>
    </row>
    <row r="183" spans="2:18">
      <c r="B183" s="68"/>
      <c r="C183" s="93">
        <v>4</v>
      </c>
      <c r="D183" s="93" t="s">
        <v>1782</v>
      </c>
      <c r="E183" s="93">
        <v>136</v>
      </c>
      <c r="F183" s="93">
        <v>514740</v>
      </c>
      <c r="G183" s="93">
        <v>19566</v>
      </c>
      <c r="H183" s="94"/>
      <c r="I183" s="93" t="s">
        <v>400</v>
      </c>
      <c r="J183" s="93">
        <v>2</v>
      </c>
      <c r="K183" s="93">
        <v>3750</v>
      </c>
      <c r="L183" s="93">
        <v>32</v>
      </c>
      <c r="M183" s="17"/>
      <c r="N183" s="93" t="s">
        <v>400</v>
      </c>
      <c r="O183" s="93">
        <v>2</v>
      </c>
      <c r="P183" s="93">
        <v>3750</v>
      </c>
      <c r="Q183" s="93">
        <v>32</v>
      </c>
      <c r="R183" s="69"/>
    </row>
    <row r="184" spans="2:18">
      <c r="B184" s="68"/>
      <c r="C184" s="93">
        <v>4</v>
      </c>
      <c r="D184" s="93" t="s">
        <v>1782</v>
      </c>
      <c r="E184" s="93">
        <v>134</v>
      </c>
      <c r="F184" s="93">
        <v>510990</v>
      </c>
      <c r="G184" s="93">
        <v>19534</v>
      </c>
      <c r="H184" s="94"/>
      <c r="I184" s="93" t="s">
        <v>401</v>
      </c>
      <c r="J184" s="93">
        <v>2</v>
      </c>
      <c r="K184" s="93">
        <v>3750</v>
      </c>
      <c r="L184" s="93">
        <v>32</v>
      </c>
      <c r="M184" s="17"/>
      <c r="N184" s="93" t="s">
        <v>401</v>
      </c>
      <c r="O184" s="93">
        <v>2</v>
      </c>
      <c r="P184" s="93">
        <v>3750</v>
      </c>
      <c r="Q184" s="93">
        <v>32</v>
      </c>
      <c r="R184" s="69"/>
    </row>
    <row r="185" spans="2:18">
      <c r="B185" s="68"/>
      <c r="C185" s="93">
        <v>3</v>
      </c>
      <c r="D185" s="93" t="s">
        <v>1781</v>
      </c>
      <c r="E185" s="93">
        <v>1</v>
      </c>
      <c r="F185" s="93">
        <v>113890</v>
      </c>
      <c r="G185" s="93">
        <v>11618</v>
      </c>
      <c r="H185" s="94"/>
      <c r="I185" s="93" t="s">
        <v>402</v>
      </c>
      <c r="J185" s="93">
        <v>1</v>
      </c>
      <c r="K185" s="93">
        <v>1700</v>
      </c>
      <c r="L185" s="93">
        <v>160</v>
      </c>
      <c r="M185" s="17"/>
      <c r="N185" s="93" t="s">
        <v>402</v>
      </c>
      <c r="O185" s="93">
        <v>1</v>
      </c>
      <c r="P185" s="93">
        <v>1700</v>
      </c>
      <c r="Q185" s="93">
        <v>160</v>
      </c>
      <c r="R185" s="69"/>
    </row>
    <row r="186" spans="2:18">
      <c r="B186" s="68"/>
      <c r="C186" s="93">
        <v>4</v>
      </c>
      <c r="D186" s="93" t="s">
        <v>1782</v>
      </c>
      <c r="E186" s="93">
        <v>133</v>
      </c>
      <c r="F186" s="93">
        <v>507240</v>
      </c>
      <c r="G186" s="93">
        <v>19124</v>
      </c>
      <c r="H186" s="94"/>
      <c r="I186" s="93" t="s">
        <v>403</v>
      </c>
      <c r="J186" s="93">
        <v>1</v>
      </c>
      <c r="K186" s="93">
        <v>3750</v>
      </c>
      <c r="L186" s="93">
        <v>410</v>
      </c>
      <c r="M186" s="17"/>
      <c r="N186" s="93" t="s">
        <v>403</v>
      </c>
      <c r="O186" s="93">
        <v>1</v>
      </c>
      <c r="P186" s="93">
        <v>3750</v>
      </c>
      <c r="Q186" s="93">
        <v>410</v>
      </c>
      <c r="R186" s="69"/>
    </row>
    <row r="187" spans="2:18">
      <c r="B187" s="68"/>
      <c r="C187" s="93">
        <v>4</v>
      </c>
      <c r="D187" s="93" t="s">
        <v>1782</v>
      </c>
      <c r="E187" s="93">
        <v>131</v>
      </c>
      <c r="F187" s="93">
        <v>499740</v>
      </c>
      <c r="G187" s="93">
        <v>19092</v>
      </c>
      <c r="H187" s="94"/>
      <c r="I187" s="93" t="s">
        <v>404</v>
      </c>
      <c r="J187" s="93">
        <v>2</v>
      </c>
      <c r="K187" s="93">
        <v>7500</v>
      </c>
      <c r="L187" s="93">
        <v>32</v>
      </c>
      <c r="M187" s="17"/>
      <c r="N187" s="93" t="s">
        <v>404</v>
      </c>
      <c r="O187" s="93">
        <v>2</v>
      </c>
      <c r="P187" s="93">
        <v>7500</v>
      </c>
      <c r="Q187" s="93">
        <v>32</v>
      </c>
      <c r="R187" s="69"/>
    </row>
    <row r="188" spans="2:18">
      <c r="B188" s="68"/>
      <c r="C188" s="93">
        <v>4</v>
      </c>
      <c r="D188" s="93" t="s">
        <v>1782</v>
      </c>
      <c r="E188" s="93">
        <v>129</v>
      </c>
      <c r="F188" s="93">
        <v>495740</v>
      </c>
      <c r="G188" s="93">
        <v>19092</v>
      </c>
      <c r="H188" s="94"/>
      <c r="I188" s="93" t="s">
        <v>407</v>
      </c>
      <c r="J188" s="93">
        <v>2</v>
      </c>
      <c r="K188" s="93">
        <v>4000</v>
      </c>
      <c r="L188" s="93">
        <v>0</v>
      </c>
      <c r="M188" s="17"/>
      <c r="N188" s="93" t="s">
        <v>407</v>
      </c>
      <c r="O188" s="93">
        <v>2</v>
      </c>
      <c r="P188" s="93">
        <v>4000</v>
      </c>
      <c r="Q188" s="93">
        <v>0</v>
      </c>
      <c r="R188" s="69"/>
    </row>
    <row r="189" spans="2:18">
      <c r="B189" s="68"/>
      <c r="C189" s="93">
        <v>4</v>
      </c>
      <c r="D189" s="93" t="s">
        <v>1782</v>
      </c>
      <c r="E189" s="93">
        <v>125</v>
      </c>
      <c r="F189" s="93">
        <v>480740</v>
      </c>
      <c r="G189" s="93">
        <v>19012</v>
      </c>
      <c r="H189" s="94"/>
      <c r="I189" s="93" t="s">
        <v>408</v>
      </c>
      <c r="J189" s="93">
        <v>4</v>
      </c>
      <c r="K189" s="93">
        <v>15000</v>
      </c>
      <c r="L189" s="93">
        <v>80</v>
      </c>
      <c r="M189" s="17"/>
      <c r="N189" s="93" t="s">
        <v>408</v>
      </c>
      <c r="O189" s="93">
        <v>4</v>
      </c>
      <c r="P189" s="93">
        <v>15000</v>
      </c>
      <c r="Q189" s="93">
        <v>80</v>
      </c>
      <c r="R189" s="69"/>
    </row>
    <row r="190" spans="2:18">
      <c r="B190" s="68"/>
      <c r="C190" s="93">
        <v>4</v>
      </c>
      <c r="D190" s="93" t="s">
        <v>1782</v>
      </c>
      <c r="E190" s="93">
        <v>124</v>
      </c>
      <c r="F190" s="93">
        <v>479040</v>
      </c>
      <c r="G190" s="93">
        <v>18852</v>
      </c>
      <c r="H190" s="94"/>
      <c r="I190" s="93" t="s">
        <v>409</v>
      </c>
      <c r="J190" s="93">
        <v>1</v>
      </c>
      <c r="K190" s="93">
        <v>1700</v>
      </c>
      <c r="L190" s="93">
        <v>160</v>
      </c>
      <c r="M190" s="17"/>
      <c r="N190" s="93" t="s">
        <v>409</v>
      </c>
      <c r="O190" s="93">
        <v>1</v>
      </c>
      <c r="P190" s="93">
        <v>1700</v>
      </c>
      <c r="Q190" s="93">
        <v>160</v>
      </c>
      <c r="R190" s="69"/>
    </row>
    <row r="191" spans="2:18">
      <c r="B191" s="68"/>
      <c r="C191" s="93">
        <v>4</v>
      </c>
      <c r="D191" s="93" t="s">
        <v>1782</v>
      </c>
      <c r="E191" s="93">
        <v>116</v>
      </c>
      <c r="F191" s="93">
        <v>449040</v>
      </c>
      <c r="G191" s="93">
        <v>18692</v>
      </c>
      <c r="H191" s="94"/>
      <c r="I191" s="93" t="s">
        <v>410</v>
      </c>
      <c r="J191" s="93">
        <v>8</v>
      </c>
      <c r="K191" s="93">
        <v>30000</v>
      </c>
      <c r="L191" s="93">
        <v>160</v>
      </c>
      <c r="M191" s="17"/>
      <c r="N191" s="93" t="s">
        <v>410</v>
      </c>
      <c r="O191" s="93">
        <v>8</v>
      </c>
      <c r="P191" s="93">
        <v>30000</v>
      </c>
      <c r="Q191" s="93">
        <v>160</v>
      </c>
      <c r="R191" s="69"/>
    </row>
    <row r="192" spans="2:18">
      <c r="B192" s="68"/>
      <c r="C192" s="93">
        <v>4</v>
      </c>
      <c r="D192" s="93" t="s">
        <v>1782</v>
      </c>
      <c r="E192" s="93">
        <v>115</v>
      </c>
      <c r="F192" s="93">
        <v>447340</v>
      </c>
      <c r="G192" s="93">
        <v>18532</v>
      </c>
      <c r="H192" s="94"/>
      <c r="I192" s="93" t="s">
        <v>411</v>
      </c>
      <c r="J192" s="93">
        <v>1</v>
      </c>
      <c r="K192" s="93">
        <v>1700</v>
      </c>
      <c r="L192" s="93">
        <v>160</v>
      </c>
      <c r="M192" s="17"/>
      <c r="N192" s="93" t="s">
        <v>411</v>
      </c>
      <c r="O192" s="93">
        <v>1</v>
      </c>
      <c r="P192" s="93">
        <v>1700</v>
      </c>
      <c r="Q192" s="93">
        <v>160</v>
      </c>
      <c r="R192" s="69"/>
    </row>
    <row r="193" spans="2:18">
      <c r="B193" s="68"/>
      <c r="C193" s="93">
        <v>4</v>
      </c>
      <c r="D193" s="93" t="s">
        <v>1782</v>
      </c>
      <c r="E193" s="93">
        <v>113</v>
      </c>
      <c r="F193" s="93">
        <v>439840</v>
      </c>
      <c r="G193" s="93">
        <v>17682</v>
      </c>
      <c r="H193" s="94"/>
      <c r="I193" s="93" t="s">
        <v>412</v>
      </c>
      <c r="J193" s="93">
        <v>2</v>
      </c>
      <c r="K193" s="93">
        <v>7500</v>
      </c>
      <c r="L193" s="93">
        <v>850</v>
      </c>
      <c r="M193" s="17"/>
      <c r="N193" s="93" t="s">
        <v>412</v>
      </c>
      <c r="O193" s="93">
        <v>2</v>
      </c>
      <c r="P193" s="93">
        <v>7500</v>
      </c>
      <c r="Q193" s="93">
        <v>850</v>
      </c>
      <c r="R193" s="69"/>
    </row>
    <row r="194" spans="2:18">
      <c r="B194" s="68"/>
      <c r="C194" s="93">
        <v>4</v>
      </c>
      <c r="D194" s="93" t="s">
        <v>1782</v>
      </c>
      <c r="E194" s="93">
        <v>112</v>
      </c>
      <c r="F194" s="93">
        <v>438140</v>
      </c>
      <c r="G194" s="93">
        <v>17522</v>
      </c>
      <c r="H194" s="94"/>
      <c r="I194" s="93" t="s">
        <v>413</v>
      </c>
      <c r="J194" s="93">
        <v>1</v>
      </c>
      <c r="K194" s="93">
        <v>1700</v>
      </c>
      <c r="L194" s="93">
        <v>160</v>
      </c>
      <c r="M194" s="17"/>
      <c r="N194" s="93" t="s">
        <v>413</v>
      </c>
      <c r="O194" s="93">
        <v>1</v>
      </c>
      <c r="P194" s="93">
        <v>1700</v>
      </c>
      <c r="Q194" s="93">
        <v>160</v>
      </c>
      <c r="R194" s="69"/>
    </row>
    <row r="195" spans="2:18">
      <c r="B195" s="68"/>
      <c r="C195" s="93">
        <v>4</v>
      </c>
      <c r="D195" s="93" t="s">
        <v>1782</v>
      </c>
      <c r="E195" s="93">
        <v>111</v>
      </c>
      <c r="F195" s="93">
        <v>436140</v>
      </c>
      <c r="G195" s="93">
        <v>17522</v>
      </c>
      <c r="H195" s="94"/>
      <c r="I195" s="93" t="s">
        <v>414</v>
      </c>
      <c r="J195" s="93">
        <v>1</v>
      </c>
      <c r="K195" s="93">
        <v>2000</v>
      </c>
      <c r="L195" s="93">
        <v>0</v>
      </c>
      <c r="M195" s="17"/>
      <c r="N195" s="93" t="s">
        <v>414</v>
      </c>
      <c r="O195" s="93">
        <v>1</v>
      </c>
      <c r="P195" s="93">
        <v>2000</v>
      </c>
      <c r="Q195" s="93">
        <v>0</v>
      </c>
      <c r="R195" s="69"/>
    </row>
    <row r="196" spans="2:18">
      <c r="B196" s="68"/>
      <c r="C196" s="93">
        <v>4</v>
      </c>
      <c r="D196" s="93" t="s">
        <v>1782</v>
      </c>
      <c r="E196" s="93">
        <v>110</v>
      </c>
      <c r="F196" s="93">
        <v>434140</v>
      </c>
      <c r="G196" s="93">
        <v>17522</v>
      </c>
      <c r="H196" s="94"/>
      <c r="I196" s="93" t="s">
        <v>415</v>
      </c>
      <c r="J196" s="93">
        <v>1</v>
      </c>
      <c r="K196" s="93">
        <v>2000</v>
      </c>
      <c r="L196" s="93">
        <v>0</v>
      </c>
      <c r="M196" s="17"/>
      <c r="N196" s="93" t="s">
        <v>415</v>
      </c>
      <c r="O196" s="93">
        <v>1</v>
      </c>
      <c r="P196" s="93">
        <v>2000</v>
      </c>
      <c r="Q196" s="93">
        <v>0</v>
      </c>
      <c r="R196" s="69"/>
    </row>
    <row r="197" spans="2:18">
      <c r="B197" s="68"/>
      <c r="C197" s="93">
        <v>4</v>
      </c>
      <c r="D197" s="93" t="s">
        <v>1782</v>
      </c>
      <c r="E197" s="93">
        <v>106</v>
      </c>
      <c r="F197" s="93">
        <v>419140</v>
      </c>
      <c r="G197" s="93">
        <v>17442</v>
      </c>
      <c r="H197" s="94"/>
      <c r="I197" s="93" t="s">
        <v>416</v>
      </c>
      <c r="J197" s="93">
        <v>4</v>
      </c>
      <c r="K197" s="93">
        <v>15000</v>
      </c>
      <c r="L197" s="93">
        <v>80</v>
      </c>
      <c r="M197" s="17"/>
      <c r="N197" s="93" t="s">
        <v>416</v>
      </c>
      <c r="O197" s="93">
        <v>4</v>
      </c>
      <c r="P197" s="93">
        <v>15000</v>
      </c>
      <c r="Q197" s="93">
        <v>80</v>
      </c>
      <c r="R197" s="69"/>
    </row>
    <row r="198" spans="2:18">
      <c r="B198" s="68"/>
      <c r="C198" s="93">
        <v>4</v>
      </c>
      <c r="D198" s="93" t="s">
        <v>1782</v>
      </c>
      <c r="E198" s="93">
        <v>105</v>
      </c>
      <c r="F198" s="93">
        <v>417140</v>
      </c>
      <c r="G198" s="93">
        <v>17442</v>
      </c>
      <c r="H198" s="94"/>
      <c r="I198" s="93" t="s">
        <v>417</v>
      </c>
      <c r="J198" s="93">
        <v>1</v>
      </c>
      <c r="K198" s="93">
        <v>2000</v>
      </c>
      <c r="L198" s="93">
        <v>0</v>
      </c>
      <c r="M198" s="17"/>
      <c r="N198" s="93" t="s">
        <v>417</v>
      </c>
      <c r="O198" s="93">
        <v>1</v>
      </c>
      <c r="P198" s="93">
        <v>2000</v>
      </c>
      <c r="Q198" s="93">
        <v>0</v>
      </c>
      <c r="R198" s="69"/>
    </row>
    <row r="199" spans="2:18">
      <c r="B199" s="68"/>
      <c r="C199" s="93">
        <v>4</v>
      </c>
      <c r="D199" s="93" t="s">
        <v>1782</v>
      </c>
      <c r="E199" s="93">
        <v>104</v>
      </c>
      <c r="F199" s="93">
        <v>415140</v>
      </c>
      <c r="G199" s="93">
        <v>17442</v>
      </c>
      <c r="H199" s="94"/>
      <c r="I199" s="93" t="s">
        <v>419</v>
      </c>
      <c r="J199" s="93">
        <v>1</v>
      </c>
      <c r="K199" s="93">
        <v>2000</v>
      </c>
      <c r="L199" s="93">
        <v>0</v>
      </c>
      <c r="M199" s="17"/>
      <c r="N199" s="93" t="s">
        <v>419</v>
      </c>
      <c r="O199" s="93">
        <v>1</v>
      </c>
      <c r="P199" s="93">
        <v>2000</v>
      </c>
      <c r="Q199" s="93">
        <v>0</v>
      </c>
      <c r="R199" s="69"/>
    </row>
    <row r="200" spans="2:18">
      <c r="B200" s="68"/>
      <c r="C200" s="93">
        <v>4</v>
      </c>
      <c r="D200" s="93" t="s">
        <v>1782</v>
      </c>
      <c r="E200" s="93">
        <v>103</v>
      </c>
      <c r="F200" s="93">
        <v>413440</v>
      </c>
      <c r="G200" s="93">
        <v>17282</v>
      </c>
      <c r="H200" s="94"/>
      <c r="I200" s="93" t="s">
        <v>420</v>
      </c>
      <c r="J200" s="93">
        <v>1</v>
      </c>
      <c r="K200" s="93">
        <v>1700</v>
      </c>
      <c r="L200" s="93">
        <v>160</v>
      </c>
      <c r="M200" s="17"/>
      <c r="N200" s="93" t="s">
        <v>420</v>
      </c>
      <c r="O200" s="93">
        <v>1</v>
      </c>
      <c r="P200" s="93">
        <v>1700</v>
      </c>
      <c r="Q200" s="93">
        <v>160</v>
      </c>
      <c r="R200" s="69"/>
    </row>
    <row r="201" spans="2:18">
      <c r="B201" s="68"/>
      <c r="C201" s="93">
        <v>4</v>
      </c>
      <c r="D201" s="93" t="s">
        <v>1782</v>
      </c>
      <c r="E201" s="93">
        <v>99</v>
      </c>
      <c r="F201" s="93">
        <v>398440</v>
      </c>
      <c r="G201" s="93">
        <v>17202</v>
      </c>
      <c r="H201" s="94"/>
      <c r="I201" s="93" t="s">
        <v>421</v>
      </c>
      <c r="J201" s="93">
        <v>4</v>
      </c>
      <c r="K201" s="93">
        <v>15000</v>
      </c>
      <c r="L201" s="93">
        <v>80</v>
      </c>
      <c r="M201" s="17"/>
      <c r="N201" s="93" t="s">
        <v>421</v>
      </c>
      <c r="O201" s="93">
        <v>4</v>
      </c>
      <c r="P201" s="93">
        <v>15000</v>
      </c>
      <c r="Q201" s="93">
        <v>80</v>
      </c>
      <c r="R201" s="69"/>
    </row>
    <row r="202" spans="2:18">
      <c r="B202" s="68"/>
      <c r="C202" s="93">
        <v>4</v>
      </c>
      <c r="D202" s="93" t="s">
        <v>1782</v>
      </c>
      <c r="E202" s="93">
        <v>98</v>
      </c>
      <c r="F202" s="93">
        <v>396740</v>
      </c>
      <c r="G202" s="93">
        <v>17042</v>
      </c>
      <c r="H202" s="94"/>
      <c r="I202" s="93" t="s">
        <v>422</v>
      </c>
      <c r="J202" s="93">
        <v>1</v>
      </c>
      <c r="K202" s="93">
        <v>1700</v>
      </c>
      <c r="L202" s="93">
        <v>160</v>
      </c>
      <c r="M202" s="17"/>
      <c r="N202" s="93" t="s">
        <v>422</v>
      </c>
      <c r="O202" s="93">
        <v>1</v>
      </c>
      <c r="P202" s="93">
        <v>1700</v>
      </c>
      <c r="Q202" s="93">
        <v>160</v>
      </c>
      <c r="R202" s="69"/>
    </row>
    <row r="203" spans="2:18">
      <c r="B203" s="68"/>
      <c r="C203" s="93">
        <v>4</v>
      </c>
      <c r="D203" s="93" t="s">
        <v>1782</v>
      </c>
      <c r="E203" s="93">
        <v>96</v>
      </c>
      <c r="F203" s="93">
        <v>392990</v>
      </c>
      <c r="G203" s="93">
        <v>17010</v>
      </c>
      <c r="H203" s="94"/>
      <c r="I203" s="93" t="s">
        <v>423</v>
      </c>
      <c r="J203" s="93">
        <v>2</v>
      </c>
      <c r="K203" s="93">
        <v>3750</v>
      </c>
      <c r="L203" s="93">
        <v>32</v>
      </c>
      <c r="M203" s="17"/>
      <c r="N203" s="93" t="s">
        <v>423</v>
      </c>
      <c r="O203" s="93">
        <v>2</v>
      </c>
      <c r="P203" s="93">
        <v>3750</v>
      </c>
      <c r="Q203" s="93">
        <v>32</v>
      </c>
      <c r="R203" s="69"/>
    </row>
    <row r="204" spans="2:18">
      <c r="B204" s="68"/>
      <c r="C204" s="93">
        <v>4</v>
      </c>
      <c r="D204" s="93" t="s">
        <v>1782</v>
      </c>
      <c r="E204" s="93">
        <v>95</v>
      </c>
      <c r="F204" s="93">
        <v>391290</v>
      </c>
      <c r="G204" s="93">
        <v>16850</v>
      </c>
      <c r="H204" s="94"/>
      <c r="I204" s="93" t="s">
        <v>424</v>
      </c>
      <c r="J204" s="93">
        <v>1</v>
      </c>
      <c r="K204" s="93">
        <v>1700</v>
      </c>
      <c r="L204" s="93">
        <v>160</v>
      </c>
      <c r="M204" s="17"/>
      <c r="N204" s="93" t="s">
        <v>424</v>
      </c>
      <c r="O204" s="93">
        <v>1</v>
      </c>
      <c r="P204" s="93">
        <v>1700</v>
      </c>
      <c r="Q204" s="93">
        <v>160</v>
      </c>
      <c r="R204" s="69"/>
    </row>
    <row r="205" spans="2:18">
      <c r="B205" s="68"/>
      <c r="C205" s="93">
        <v>4</v>
      </c>
      <c r="D205" s="93" t="s">
        <v>1782</v>
      </c>
      <c r="E205" s="93">
        <v>94</v>
      </c>
      <c r="F205" s="93">
        <v>389590</v>
      </c>
      <c r="G205" s="93">
        <v>16690</v>
      </c>
      <c r="H205" s="94"/>
      <c r="I205" s="93" t="s">
        <v>425</v>
      </c>
      <c r="J205" s="93">
        <v>1</v>
      </c>
      <c r="K205" s="93">
        <v>1700</v>
      </c>
      <c r="L205" s="93">
        <v>160</v>
      </c>
      <c r="M205" s="17"/>
      <c r="N205" s="93" t="s">
        <v>425</v>
      </c>
      <c r="O205" s="93">
        <v>1</v>
      </c>
      <c r="P205" s="93">
        <v>1700</v>
      </c>
      <c r="Q205" s="93">
        <v>160</v>
      </c>
      <c r="R205" s="69"/>
    </row>
    <row r="206" spans="2:18">
      <c r="B206" s="68"/>
      <c r="C206" s="93">
        <v>4</v>
      </c>
      <c r="D206" s="93" t="s">
        <v>1782</v>
      </c>
      <c r="E206" s="93">
        <v>93</v>
      </c>
      <c r="F206" s="93">
        <v>387890</v>
      </c>
      <c r="G206" s="93">
        <v>16530</v>
      </c>
      <c r="H206" s="94"/>
      <c r="I206" s="93" t="s">
        <v>426</v>
      </c>
      <c r="J206" s="93">
        <v>1</v>
      </c>
      <c r="K206" s="93">
        <v>1700</v>
      </c>
      <c r="L206" s="93">
        <v>160</v>
      </c>
      <c r="M206" s="17"/>
      <c r="N206" s="93" t="s">
        <v>426</v>
      </c>
      <c r="O206" s="93">
        <v>1</v>
      </c>
      <c r="P206" s="93">
        <v>1700</v>
      </c>
      <c r="Q206" s="93">
        <v>160</v>
      </c>
      <c r="R206" s="69"/>
    </row>
    <row r="207" spans="2:18">
      <c r="B207" s="68"/>
      <c r="C207" s="93">
        <v>4</v>
      </c>
      <c r="D207" s="93" t="s">
        <v>1782</v>
      </c>
      <c r="E207" s="93">
        <v>91</v>
      </c>
      <c r="F207" s="93">
        <v>380390</v>
      </c>
      <c r="G207" s="93">
        <v>16498</v>
      </c>
      <c r="H207" s="94"/>
      <c r="I207" s="93" t="s">
        <v>427</v>
      </c>
      <c r="J207" s="93">
        <v>2</v>
      </c>
      <c r="K207" s="93">
        <v>7500</v>
      </c>
      <c r="L207" s="93">
        <v>32</v>
      </c>
      <c r="M207" s="17"/>
      <c r="N207" s="93" t="s">
        <v>427</v>
      </c>
      <c r="O207" s="93">
        <v>2</v>
      </c>
      <c r="P207" s="93">
        <v>7500</v>
      </c>
      <c r="Q207" s="93">
        <v>32</v>
      </c>
      <c r="R207" s="69"/>
    </row>
    <row r="208" spans="2:18">
      <c r="B208" s="68"/>
      <c r="C208" s="93">
        <v>4</v>
      </c>
      <c r="D208" s="93" t="s">
        <v>1782</v>
      </c>
      <c r="E208" s="93">
        <v>90</v>
      </c>
      <c r="F208" s="93">
        <v>378390</v>
      </c>
      <c r="G208" s="93">
        <v>16498</v>
      </c>
      <c r="H208" s="94"/>
      <c r="I208" s="93" t="s">
        <v>428</v>
      </c>
      <c r="J208" s="93">
        <v>1</v>
      </c>
      <c r="K208" s="93">
        <v>2000</v>
      </c>
      <c r="L208" s="93">
        <v>0</v>
      </c>
      <c r="M208" s="17"/>
      <c r="N208" s="93" t="s">
        <v>428</v>
      </c>
      <c r="O208" s="93">
        <v>1</v>
      </c>
      <c r="P208" s="93">
        <v>2000</v>
      </c>
      <c r="Q208" s="93">
        <v>0</v>
      </c>
      <c r="R208" s="69"/>
    </row>
    <row r="209" spans="2:18">
      <c r="B209" s="68"/>
      <c r="C209" s="93">
        <v>4</v>
      </c>
      <c r="D209" s="93" t="s">
        <v>1782</v>
      </c>
      <c r="E209" s="93">
        <v>89</v>
      </c>
      <c r="F209" s="93">
        <v>374640</v>
      </c>
      <c r="G209" s="93">
        <v>16494</v>
      </c>
      <c r="H209" s="94"/>
      <c r="I209" s="93" t="s">
        <v>430</v>
      </c>
      <c r="J209" s="93">
        <v>1</v>
      </c>
      <c r="K209" s="93">
        <v>3750</v>
      </c>
      <c r="L209" s="93">
        <v>4</v>
      </c>
      <c r="M209" s="17"/>
      <c r="N209" s="93" t="s">
        <v>430</v>
      </c>
      <c r="O209" s="93">
        <v>1</v>
      </c>
      <c r="P209" s="93">
        <v>3750</v>
      </c>
      <c r="Q209" s="93">
        <v>4</v>
      </c>
      <c r="R209" s="69"/>
    </row>
    <row r="210" spans="2:18">
      <c r="B210" s="68"/>
      <c r="C210" s="93">
        <v>4</v>
      </c>
      <c r="D210" s="93" t="s">
        <v>1782</v>
      </c>
      <c r="E210" s="93">
        <v>85</v>
      </c>
      <c r="F210" s="93">
        <v>359640</v>
      </c>
      <c r="G210" s="93">
        <v>16414</v>
      </c>
      <c r="H210" s="94"/>
      <c r="I210" s="93" t="s">
        <v>431</v>
      </c>
      <c r="J210" s="93">
        <v>4</v>
      </c>
      <c r="K210" s="93">
        <v>15000</v>
      </c>
      <c r="L210" s="93">
        <v>80</v>
      </c>
      <c r="M210" s="17"/>
      <c r="N210" s="93" t="s">
        <v>431</v>
      </c>
      <c r="O210" s="93">
        <v>4</v>
      </c>
      <c r="P210" s="93">
        <v>15000</v>
      </c>
      <c r="Q210" s="93">
        <v>80</v>
      </c>
      <c r="R210" s="69"/>
    </row>
    <row r="211" spans="2:18">
      <c r="B211" s="68"/>
      <c r="C211" s="93">
        <v>4</v>
      </c>
      <c r="D211" s="93" t="s">
        <v>1782</v>
      </c>
      <c r="E211" s="93">
        <v>84</v>
      </c>
      <c r="F211" s="93">
        <v>357940</v>
      </c>
      <c r="G211" s="93">
        <v>16254</v>
      </c>
      <c r="H211" s="94"/>
      <c r="I211" s="93" t="s">
        <v>433</v>
      </c>
      <c r="J211" s="93">
        <v>1</v>
      </c>
      <c r="K211" s="93">
        <v>1700</v>
      </c>
      <c r="L211" s="93">
        <v>160</v>
      </c>
      <c r="M211" s="17"/>
      <c r="N211" s="93" t="s">
        <v>433</v>
      </c>
      <c r="O211" s="93">
        <v>1</v>
      </c>
      <c r="P211" s="93">
        <v>1700</v>
      </c>
      <c r="Q211" s="93">
        <v>160</v>
      </c>
      <c r="R211" s="69"/>
    </row>
    <row r="212" spans="2:18">
      <c r="B212" s="68"/>
      <c r="C212" s="93">
        <v>4</v>
      </c>
      <c r="D212" s="93" t="s">
        <v>1782</v>
      </c>
      <c r="E212" s="93">
        <v>80</v>
      </c>
      <c r="F212" s="93">
        <v>342940</v>
      </c>
      <c r="G212" s="93">
        <v>16174</v>
      </c>
      <c r="H212" s="94"/>
      <c r="I212" s="93" t="s">
        <v>435</v>
      </c>
      <c r="J212" s="93">
        <v>4</v>
      </c>
      <c r="K212" s="93">
        <v>15000</v>
      </c>
      <c r="L212" s="93">
        <v>80</v>
      </c>
      <c r="M212" s="17"/>
      <c r="N212" s="93" t="s">
        <v>435</v>
      </c>
      <c r="O212" s="93">
        <v>4</v>
      </c>
      <c r="P212" s="93">
        <v>15000</v>
      </c>
      <c r="Q212" s="93">
        <v>80</v>
      </c>
      <c r="R212" s="69"/>
    </row>
    <row r="213" spans="2:18">
      <c r="B213" s="68"/>
      <c r="C213" s="93">
        <v>4</v>
      </c>
      <c r="D213" s="93" t="s">
        <v>1782</v>
      </c>
      <c r="E213" s="93">
        <v>79</v>
      </c>
      <c r="F213" s="93">
        <v>339190</v>
      </c>
      <c r="G213" s="93">
        <v>16170</v>
      </c>
      <c r="H213" s="94"/>
      <c r="I213" s="93" t="s">
        <v>436</v>
      </c>
      <c r="J213" s="93">
        <v>1</v>
      </c>
      <c r="K213" s="93">
        <v>3750</v>
      </c>
      <c r="L213" s="93">
        <v>4</v>
      </c>
      <c r="M213" s="17"/>
      <c r="N213" s="93" t="s">
        <v>436</v>
      </c>
      <c r="O213" s="93">
        <v>1</v>
      </c>
      <c r="P213" s="93">
        <v>3750</v>
      </c>
      <c r="Q213" s="93">
        <v>4</v>
      </c>
      <c r="R213" s="69"/>
    </row>
    <row r="214" spans="2:18">
      <c r="B214" s="68"/>
      <c r="C214" s="93">
        <v>4</v>
      </c>
      <c r="D214" s="93" t="s">
        <v>1782</v>
      </c>
      <c r="E214" s="93">
        <v>71</v>
      </c>
      <c r="F214" s="93">
        <v>278190</v>
      </c>
      <c r="G214" s="93">
        <v>14730</v>
      </c>
      <c r="H214" s="94"/>
      <c r="I214" s="93" t="s">
        <v>438</v>
      </c>
      <c r="J214" s="93">
        <v>8</v>
      </c>
      <c r="K214" s="93">
        <v>61000</v>
      </c>
      <c r="L214" s="93">
        <v>1440</v>
      </c>
      <c r="M214" s="17"/>
      <c r="N214" s="93" t="s">
        <v>438</v>
      </c>
      <c r="O214" s="93">
        <v>8</v>
      </c>
      <c r="P214" s="93">
        <v>61000</v>
      </c>
      <c r="Q214" s="93">
        <v>1440</v>
      </c>
      <c r="R214" s="69"/>
    </row>
    <row r="215" spans="2:18">
      <c r="B215" s="68"/>
      <c r="C215" s="93">
        <v>4</v>
      </c>
      <c r="D215" s="93" t="s">
        <v>1782</v>
      </c>
      <c r="E215" s="93">
        <v>63</v>
      </c>
      <c r="F215" s="93">
        <v>248190</v>
      </c>
      <c r="G215" s="93">
        <v>14570</v>
      </c>
      <c r="H215" s="94"/>
      <c r="I215" s="93" t="s">
        <v>439</v>
      </c>
      <c r="J215" s="93">
        <v>8</v>
      </c>
      <c r="K215" s="93">
        <v>30000</v>
      </c>
      <c r="L215" s="93">
        <v>160</v>
      </c>
      <c r="M215" s="17"/>
      <c r="N215" s="93" t="s">
        <v>439</v>
      </c>
      <c r="O215" s="93">
        <v>8</v>
      </c>
      <c r="P215" s="93">
        <v>30000</v>
      </c>
      <c r="Q215" s="93">
        <v>160</v>
      </c>
      <c r="R215" s="69"/>
    </row>
    <row r="216" spans="2:18">
      <c r="B216" s="68"/>
      <c r="C216" s="93">
        <v>4</v>
      </c>
      <c r="D216" s="93" t="s">
        <v>1782</v>
      </c>
      <c r="E216" s="93">
        <v>62</v>
      </c>
      <c r="F216" s="93">
        <v>246490</v>
      </c>
      <c r="G216" s="93">
        <v>14410</v>
      </c>
      <c r="H216" s="94"/>
      <c r="I216" s="93" t="s">
        <v>440</v>
      </c>
      <c r="J216" s="93">
        <v>1</v>
      </c>
      <c r="K216" s="93">
        <v>1700</v>
      </c>
      <c r="L216" s="93">
        <v>160</v>
      </c>
      <c r="M216" s="17"/>
      <c r="N216" s="93" t="s">
        <v>440</v>
      </c>
      <c r="O216" s="93">
        <v>1</v>
      </c>
      <c r="P216" s="93">
        <v>1700</v>
      </c>
      <c r="Q216" s="93">
        <v>160</v>
      </c>
      <c r="R216" s="69"/>
    </row>
    <row r="217" spans="2:18">
      <c r="B217" s="68"/>
      <c r="C217" s="93">
        <v>4</v>
      </c>
      <c r="D217" s="93" t="s">
        <v>1782</v>
      </c>
      <c r="E217" s="93">
        <v>58</v>
      </c>
      <c r="F217" s="93">
        <v>231490</v>
      </c>
      <c r="G217" s="93">
        <v>14330</v>
      </c>
      <c r="H217" s="94"/>
      <c r="I217" s="93" t="s">
        <v>441</v>
      </c>
      <c r="J217" s="93">
        <v>4</v>
      </c>
      <c r="K217" s="93">
        <v>15000</v>
      </c>
      <c r="L217" s="93">
        <v>80</v>
      </c>
      <c r="M217" s="17"/>
      <c r="N217" s="93" t="s">
        <v>441</v>
      </c>
      <c r="O217" s="93">
        <v>4</v>
      </c>
      <c r="P217" s="93">
        <v>15000</v>
      </c>
      <c r="Q217" s="93">
        <v>80</v>
      </c>
      <c r="R217" s="69"/>
    </row>
    <row r="218" spans="2:18">
      <c r="B218" s="68"/>
      <c r="C218" s="93">
        <v>4</v>
      </c>
      <c r="D218" s="93" t="s">
        <v>1782</v>
      </c>
      <c r="E218" s="93">
        <v>57</v>
      </c>
      <c r="F218" s="93">
        <v>229790</v>
      </c>
      <c r="G218" s="93">
        <v>14170</v>
      </c>
      <c r="H218" s="94"/>
      <c r="I218" s="93" t="s">
        <v>442</v>
      </c>
      <c r="J218" s="93">
        <v>1</v>
      </c>
      <c r="K218" s="93">
        <v>1700</v>
      </c>
      <c r="L218" s="93">
        <v>160</v>
      </c>
      <c r="M218" s="17"/>
      <c r="N218" s="93" t="s">
        <v>442</v>
      </c>
      <c r="O218" s="93">
        <v>1</v>
      </c>
      <c r="P218" s="93">
        <v>1700</v>
      </c>
      <c r="Q218" s="93">
        <v>160</v>
      </c>
      <c r="R218" s="69"/>
    </row>
    <row r="219" spans="2:18">
      <c r="B219" s="68"/>
      <c r="C219" s="93">
        <v>4</v>
      </c>
      <c r="D219" s="93" t="s">
        <v>1782</v>
      </c>
      <c r="E219" s="93">
        <v>56</v>
      </c>
      <c r="F219" s="93">
        <v>228090</v>
      </c>
      <c r="G219" s="93">
        <v>14010</v>
      </c>
      <c r="H219" s="94"/>
      <c r="I219" s="93" t="s">
        <v>443</v>
      </c>
      <c r="J219" s="93">
        <v>1</v>
      </c>
      <c r="K219" s="93">
        <v>1700</v>
      </c>
      <c r="L219" s="93">
        <v>160</v>
      </c>
      <c r="M219" s="17"/>
      <c r="N219" s="93" t="s">
        <v>443</v>
      </c>
      <c r="O219" s="93">
        <v>1</v>
      </c>
      <c r="P219" s="93">
        <v>1700</v>
      </c>
      <c r="Q219" s="93">
        <v>160</v>
      </c>
      <c r="R219" s="69"/>
    </row>
    <row r="220" spans="2:18">
      <c r="B220" s="68"/>
      <c r="C220" s="93">
        <v>4</v>
      </c>
      <c r="D220" s="93" t="s">
        <v>1782</v>
      </c>
      <c r="E220" s="93">
        <v>55</v>
      </c>
      <c r="F220" s="93">
        <v>226390</v>
      </c>
      <c r="G220" s="93">
        <v>13850</v>
      </c>
      <c r="H220" s="94"/>
      <c r="I220" s="93" t="s">
        <v>444</v>
      </c>
      <c r="J220" s="93">
        <v>1</v>
      </c>
      <c r="K220" s="93">
        <v>1700</v>
      </c>
      <c r="L220" s="93">
        <v>160</v>
      </c>
      <c r="M220" s="17"/>
      <c r="N220" s="93" t="s">
        <v>444</v>
      </c>
      <c r="O220" s="93">
        <v>1</v>
      </c>
      <c r="P220" s="93">
        <v>1700</v>
      </c>
      <c r="Q220" s="93">
        <v>160</v>
      </c>
      <c r="R220" s="69"/>
    </row>
    <row r="221" spans="2:18">
      <c r="B221" s="68"/>
      <c r="C221" s="93">
        <v>4</v>
      </c>
      <c r="D221" s="93" t="s">
        <v>1782</v>
      </c>
      <c r="E221" s="93">
        <v>54</v>
      </c>
      <c r="F221" s="93">
        <v>224690</v>
      </c>
      <c r="G221" s="93">
        <v>13690</v>
      </c>
      <c r="H221" s="94"/>
      <c r="I221" s="93" t="s">
        <v>445</v>
      </c>
      <c r="J221" s="93">
        <v>1</v>
      </c>
      <c r="K221" s="93">
        <v>1700</v>
      </c>
      <c r="L221" s="93">
        <v>160</v>
      </c>
      <c r="M221" s="17"/>
      <c r="N221" s="93" t="s">
        <v>445</v>
      </c>
      <c r="O221" s="93">
        <v>1</v>
      </c>
      <c r="P221" s="93">
        <v>1700</v>
      </c>
      <c r="Q221" s="93">
        <v>160</v>
      </c>
      <c r="R221" s="69"/>
    </row>
    <row r="222" spans="2:18">
      <c r="B222" s="68"/>
      <c r="C222" s="93">
        <v>4</v>
      </c>
      <c r="D222" s="93" t="s">
        <v>1782</v>
      </c>
      <c r="E222" s="93">
        <v>53</v>
      </c>
      <c r="F222" s="93">
        <v>222990</v>
      </c>
      <c r="G222" s="93">
        <v>13530</v>
      </c>
      <c r="H222" s="94"/>
      <c r="I222" s="93" t="s">
        <v>447</v>
      </c>
      <c r="J222" s="93">
        <v>1</v>
      </c>
      <c r="K222" s="93">
        <v>1700</v>
      </c>
      <c r="L222" s="93">
        <v>160</v>
      </c>
      <c r="M222" s="17"/>
      <c r="N222" s="93" t="s">
        <v>447</v>
      </c>
      <c r="O222" s="93">
        <v>1</v>
      </c>
      <c r="P222" s="93">
        <v>1700</v>
      </c>
      <c r="Q222" s="93">
        <v>160</v>
      </c>
      <c r="R222" s="69"/>
    </row>
    <row r="223" spans="2:18">
      <c r="B223" s="68"/>
      <c r="C223" s="93">
        <v>4</v>
      </c>
      <c r="D223" s="93" t="s">
        <v>1782</v>
      </c>
      <c r="E223" s="93">
        <v>52</v>
      </c>
      <c r="F223" s="93">
        <v>219240</v>
      </c>
      <c r="G223" s="93">
        <v>13526</v>
      </c>
      <c r="H223" s="94"/>
      <c r="I223" s="93" t="s">
        <v>448</v>
      </c>
      <c r="J223" s="93">
        <v>1</v>
      </c>
      <c r="K223" s="93">
        <v>3750</v>
      </c>
      <c r="L223" s="93">
        <v>4</v>
      </c>
      <c r="M223" s="17"/>
      <c r="N223" s="93" t="s">
        <v>448</v>
      </c>
      <c r="O223" s="93">
        <v>1</v>
      </c>
      <c r="P223" s="93">
        <v>3750</v>
      </c>
      <c r="Q223" s="93">
        <v>4</v>
      </c>
      <c r="R223" s="69"/>
    </row>
    <row r="224" spans="2:18">
      <c r="B224" s="68"/>
      <c r="C224" s="93">
        <v>4</v>
      </c>
      <c r="D224" s="93" t="s">
        <v>1782</v>
      </c>
      <c r="E224" s="93">
        <v>50</v>
      </c>
      <c r="F224" s="93">
        <v>211740</v>
      </c>
      <c r="G224" s="93">
        <v>13494</v>
      </c>
      <c r="H224" s="94"/>
      <c r="I224" s="93" t="s">
        <v>449</v>
      </c>
      <c r="J224" s="93">
        <v>2</v>
      </c>
      <c r="K224" s="93">
        <v>7500</v>
      </c>
      <c r="L224" s="93">
        <v>32</v>
      </c>
      <c r="M224" s="17"/>
      <c r="N224" s="93" t="s">
        <v>449</v>
      </c>
      <c r="O224" s="93">
        <v>2</v>
      </c>
      <c r="P224" s="93">
        <v>7500</v>
      </c>
      <c r="Q224" s="93">
        <v>32</v>
      </c>
      <c r="R224" s="69"/>
    </row>
    <row r="225" spans="2:18">
      <c r="B225" s="68"/>
      <c r="C225" s="93">
        <v>4</v>
      </c>
      <c r="D225" s="93" t="s">
        <v>1782</v>
      </c>
      <c r="E225" s="93">
        <v>49</v>
      </c>
      <c r="F225" s="93">
        <v>209740</v>
      </c>
      <c r="G225" s="93">
        <v>13494</v>
      </c>
      <c r="H225" s="94"/>
      <c r="I225" s="93" t="s">
        <v>450</v>
      </c>
      <c r="J225" s="93">
        <v>1</v>
      </c>
      <c r="K225" s="93">
        <v>2000</v>
      </c>
      <c r="L225" s="93">
        <v>0</v>
      </c>
      <c r="M225" s="17"/>
      <c r="N225" s="93" t="s">
        <v>450</v>
      </c>
      <c r="O225" s="93">
        <v>1</v>
      </c>
      <c r="P225" s="93">
        <v>2000</v>
      </c>
      <c r="Q225" s="93">
        <v>0</v>
      </c>
      <c r="R225" s="69"/>
    </row>
    <row r="226" spans="2:18">
      <c r="B226" s="68"/>
      <c r="C226" s="93">
        <v>4</v>
      </c>
      <c r="D226" s="93" t="s">
        <v>1782</v>
      </c>
      <c r="E226" s="93">
        <v>48</v>
      </c>
      <c r="F226" s="93">
        <v>207740</v>
      </c>
      <c r="G226" s="93">
        <v>13494</v>
      </c>
      <c r="H226" s="94"/>
      <c r="I226" s="93" t="s">
        <v>451</v>
      </c>
      <c r="J226" s="93">
        <v>1</v>
      </c>
      <c r="K226" s="93">
        <v>2000</v>
      </c>
      <c r="L226" s="93">
        <v>0</v>
      </c>
      <c r="M226" s="17"/>
      <c r="N226" s="93" t="s">
        <v>451</v>
      </c>
      <c r="O226" s="93">
        <v>1</v>
      </c>
      <c r="P226" s="93">
        <v>2000</v>
      </c>
      <c r="Q226" s="93">
        <v>0</v>
      </c>
      <c r="R226" s="69"/>
    </row>
    <row r="227" spans="2:18">
      <c r="B227" s="68"/>
      <c r="C227" s="93">
        <v>4</v>
      </c>
      <c r="D227" s="93" t="s">
        <v>1782</v>
      </c>
      <c r="E227" s="93">
        <v>44</v>
      </c>
      <c r="F227" s="93">
        <v>192740</v>
      </c>
      <c r="G227" s="93">
        <v>13414</v>
      </c>
      <c r="H227" s="94"/>
      <c r="I227" s="93" t="s">
        <v>452</v>
      </c>
      <c r="J227" s="93">
        <v>4</v>
      </c>
      <c r="K227" s="93">
        <v>15000</v>
      </c>
      <c r="L227" s="93">
        <v>80</v>
      </c>
      <c r="M227" s="17"/>
      <c r="N227" s="93" t="s">
        <v>452</v>
      </c>
      <c r="O227" s="93">
        <v>4</v>
      </c>
      <c r="P227" s="93">
        <v>15000</v>
      </c>
      <c r="Q227" s="93">
        <v>80</v>
      </c>
      <c r="R227" s="69"/>
    </row>
    <row r="228" spans="2:18">
      <c r="B228" s="68"/>
      <c r="C228" s="93">
        <v>4</v>
      </c>
      <c r="D228" s="93" t="s">
        <v>1782</v>
      </c>
      <c r="E228" s="93">
        <v>43</v>
      </c>
      <c r="F228" s="93">
        <v>191040</v>
      </c>
      <c r="G228" s="93">
        <v>13254</v>
      </c>
      <c r="H228" s="94"/>
      <c r="I228" s="93" t="s">
        <v>453</v>
      </c>
      <c r="J228" s="93">
        <v>1</v>
      </c>
      <c r="K228" s="93">
        <v>1700</v>
      </c>
      <c r="L228" s="93">
        <v>160</v>
      </c>
      <c r="M228" s="17"/>
      <c r="N228" s="93" t="s">
        <v>453</v>
      </c>
      <c r="O228" s="93">
        <v>1</v>
      </c>
      <c r="P228" s="93">
        <v>1700</v>
      </c>
      <c r="Q228" s="93">
        <v>160</v>
      </c>
      <c r="R228" s="69"/>
    </row>
    <row r="229" spans="2:18">
      <c r="B229" s="68"/>
      <c r="C229" s="93">
        <v>4</v>
      </c>
      <c r="D229" s="93" t="s">
        <v>1782</v>
      </c>
      <c r="E229" s="93">
        <v>42</v>
      </c>
      <c r="F229" s="93">
        <v>190425</v>
      </c>
      <c r="G229" s="93">
        <v>13094</v>
      </c>
      <c r="H229" s="94"/>
      <c r="I229" s="93" t="s">
        <v>454</v>
      </c>
      <c r="J229" s="93">
        <v>1</v>
      </c>
      <c r="K229" s="93">
        <v>615</v>
      </c>
      <c r="L229" s="93">
        <v>160</v>
      </c>
      <c r="M229" s="17"/>
      <c r="N229" s="93" t="s">
        <v>454</v>
      </c>
      <c r="O229" s="93">
        <v>1</v>
      </c>
      <c r="P229" s="93">
        <v>615</v>
      </c>
      <c r="Q229" s="93">
        <v>160</v>
      </c>
      <c r="R229" s="69"/>
    </row>
    <row r="230" spans="2:18">
      <c r="B230" s="68"/>
      <c r="C230" s="93">
        <v>4</v>
      </c>
      <c r="D230" s="93" t="s">
        <v>1782</v>
      </c>
      <c r="E230" s="93">
        <v>41</v>
      </c>
      <c r="F230" s="93">
        <v>188725</v>
      </c>
      <c r="G230" s="93">
        <v>12934</v>
      </c>
      <c r="H230" s="94"/>
      <c r="I230" s="93" t="s">
        <v>456</v>
      </c>
      <c r="J230" s="93">
        <v>1</v>
      </c>
      <c r="K230" s="93">
        <v>1700</v>
      </c>
      <c r="L230" s="93">
        <v>160</v>
      </c>
      <c r="M230" s="17"/>
      <c r="N230" s="93" t="s">
        <v>456</v>
      </c>
      <c r="O230" s="93">
        <v>1</v>
      </c>
      <c r="P230" s="93">
        <v>1700</v>
      </c>
      <c r="Q230" s="93">
        <v>160</v>
      </c>
      <c r="R230" s="69"/>
    </row>
    <row r="231" spans="2:18">
      <c r="B231" s="68"/>
      <c r="C231" s="93">
        <v>4</v>
      </c>
      <c r="D231" s="93" t="s">
        <v>1782</v>
      </c>
      <c r="E231" s="93">
        <v>33</v>
      </c>
      <c r="F231" s="93">
        <v>173725</v>
      </c>
      <c r="G231" s="93">
        <v>12774</v>
      </c>
      <c r="H231" s="94"/>
      <c r="I231" s="93" t="s">
        <v>457</v>
      </c>
      <c r="J231" s="93">
        <v>8</v>
      </c>
      <c r="K231" s="93">
        <v>15000</v>
      </c>
      <c r="L231" s="93">
        <v>160</v>
      </c>
      <c r="M231" s="17"/>
      <c r="N231" s="93" t="s">
        <v>457</v>
      </c>
      <c r="O231" s="93">
        <v>8</v>
      </c>
      <c r="P231" s="93">
        <v>15000</v>
      </c>
      <c r="Q231" s="93">
        <v>160</v>
      </c>
      <c r="R231" s="69"/>
    </row>
    <row r="232" spans="2:18">
      <c r="B232" s="68"/>
      <c r="C232" s="93">
        <v>4</v>
      </c>
      <c r="D232" s="93" t="s">
        <v>1782</v>
      </c>
      <c r="E232" s="93">
        <v>32</v>
      </c>
      <c r="F232" s="93">
        <v>172025</v>
      </c>
      <c r="G232" s="93">
        <v>12614</v>
      </c>
      <c r="H232" s="94"/>
      <c r="I232" s="93" t="s">
        <v>458</v>
      </c>
      <c r="J232" s="93">
        <v>1</v>
      </c>
      <c r="K232" s="93">
        <v>1700</v>
      </c>
      <c r="L232" s="93">
        <v>160</v>
      </c>
      <c r="M232" s="17"/>
      <c r="N232" s="93" t="s">
        <v>458</v>
      </c>
      <c r="O232" s="93">
        <v>1</v>
      </c>
      <c r="P232" s="93">
        <v>1700</v>
      </c>
      <c r="Q232" s="93">
        <v>160</v>
      </c>
      <c r="R232" s="69"/>
    </row>
    <row r="233" spans="2:18">
      <c r="B233" s="68"/>
      <c r="C233" s="93">
        <v>4</v>
      </c>
      <c r="D233" s="93" t="s">
        <v>1782</v>
      </c>
      <c r="E233" s="93">
        <v>31</v>
      </c>
      <c r="F233" s="93">
        <v>170025</v>
      </c>
      <c r="G233" s="93">
        <v>12614</v>
      </c>
      <c r="H233" s="94"/>
      <c r="I233" s="93" t="s">
        <v>459</v>
      </c>
      <c r="J233" s="93">
        <v>1</v>
      </c>
      <c r="K233" s="93">
        <v>2000</v>
      </c>
      <c r="L233" s="93">
        <v>0</v>
      </c>
      <c r="M233" s="17"/>
      <c r="N233" s="93" t="s">
        <v>459</v>
      </c>
      <c r="O233" s="93">
        <v>1</v>
      </c>
      <c r="P233" s="93">
        <v>2000</v>
      </c>
      <c r="Q233" s="93">
        <v>0</v>
      </c>
      <c r="R233" s="69"/>
    </row>
    <row r="234" spans="2:18">
      <c r="B234" s="68"/>
      <c r="C234" s="93">
        <v>4</v>
      </c>
      <c r="D234" s="93" t="s">
        <v>1782</v>
      </c>
      <c r="E234" s="93">
        <v>30</v>
      </c>
      <c r="F234" s="93">
        <v>168325</v>
      </c>
      <c r="G234" s="93">
        <v>12454</v>
      </c>
      <c r="H234" s="94"/>
      <c r="I234" s="93" t="s">
        <v>460</v>
      </c>
      <c r="J234" s="93">
        <v>1</v>
      </c>
      <c r="K234" s="93">
        <v>1700</v>
      </c>
      <c r="L234" s="93">
        <v>160</v>
      </c>
      <c r="M234" s="17"/>
      <c r="N234" s="93" t="s">
        <v>460</v>
      </c>
      <c r="O234" s="93">
        <v>1</v>
      </c>
      <c r="P234" s="93">
        <v>1700</v>
      </c>
      <c r="Q234" s="93">
        <v>160</v>
      </c>
      <c r="R234" s="69"/>
    </row>
    <row r="235" spans="2:18">
      <c r="B235" s="68"/>
      <c r="C235" s="93">
        <v>4</v>
      </c>
      <c r="D235" s="93" t="s">
        <v>1782</v>
      </c>
      <c r="E235" s="93">
        <v>28</v>
      </c>
      <c r="F235" s="93">
        <v>164325</v>
      </c>
      <c r="G235" s="93">
        <v>12454</v>
      </c>
      <c r="H235" s="94"/>
      <c r="I235" s="93" t="s">
        <v>461</v>
      </c>
      <c r="J235" s="93">
        <v>2</v>
      </c>
      <c r="K235" s="93">
        <v>4000</v>
      </c>
      <c r="L235" s="93">
        <v>0</v>
      </c>
      <c r="M235" s="17"/>
      <c r="N235" s="93" t="s">
        <v>461</v>
      </c>
      <c r="O235" s="93">
        <v>2</v>
      </c>
      <c r="P235" s="93">
        <v>4000</v>
      </c>
      <c r="Q235" s="93">
        <v>0</v>
      </c>
      <c r="R235" s="69"/>
    </row>
    <row r="236" spans="2:18">
      <c r="B236" s="68"/>
      <c r="C236" s="93">
        <v>4</v>
      </c>
      <c r="D236" s="93" t="s">
        <v>1782</v>
      </c>
      <c r="E236" s="93">
        <v>26</v>
      </c>
      <c r="F236" s="93">
        <v>156825</v>
      </c>
      <c r="G236" s="93">
        <v>12422</v>
      </c>
      <c r="H236" s="94"/>
      <c r="I236" s="93" t="s">
        <v>462</v>
      </c>
      <c r="J236" s="93">
        <v>2</v>
      </c>
      <c r="K236" s="93">
        <v>7500</v>
      </c>
      <c r="L236" s="93">
        <v>32</v>
      </c>
      <c r="M236" s="17"/>
      <c r="N236" s="93" t="s">
        <v>462</v>
      </c>
      <c r="O236" s="93">
        <v>2</v>
      </c>
      <c r="P236" s="93">
        <v>7500</v>
      </c>
      <c r="Q236" s="93">
        <v>32</v>
      </c>
      <c r="R236" s="69"/>
    </row>
    <row r="237" spans="2:18">
      <c r="B237" s="68"/>
      <c r="C237" s="93">
        <v>4</v>
      </c>
      <c r="D237" s="93" t="s">
        <v>1782</v>
      </c>
      <c r="E237" s="93">
        <v>18</v>
      </c>
      <c r="F237" s="93">
        <v>126825</v>
      </c>
      <c r="G237" s="93">
        <v>12262</v>
      </c>
      <c r="H237" s="94"/>
      <c r="I237" s="93" t="s">
        <v>463</v>
      </c>
      <c r="J237" s="93">
        <v>8</v>
      </c>
      <c r="K237" s="93">
        <v>30000</v>
      </c>
      <c r="L237" s="93">
        <v>160</v>
      </c>
      <c r="M237" s="17"/>
      <c r="N237" s="93" t="s">
        <v>463</v>
      </c>
      <c r="O237" s="93">
        <v>8</v>
      </c>
      <c r="P237" s="93">
        <v>30000</v>
      </c>
      <c r="Q237" s="93">
        <v>160</v>
      </c>
      <c r="R237" s="69"/>
    </row>
    <row r="238" spans="2:18">
      <c r="B238" s="68"/>
      <c r="C238" s="93">
        <v>4</v>
      </c>
      <c r="D238" s="93" t="s">
        <v>1782</v>
      </c>
      <c r="E238" s="93">
        <v>17</v>
      </c>
      <c r="F238" s="93">
        <v>125125</v>
      </c>
      <c r="G238" s="93">
        <v>12102</v>
      </c>
      <c r="H238" s="94"/>
      <c r="I238" s="93" t="s">
        <v>464</v>
      </c>
      <c r="J238" s="93">
        <v>1</v>
      </c>
      <c r="K238" s="93">
        <v>1700</v>
      </c>
      <c r="L238" s="93">
        <v>160</v>
      </c>
      <c r="M238" s="17"/>
      <c r="N238" s="93" t="s">
        <v>464</v>
      </c>
      <c r="O238" s="93">
        <v>1</v>
      </c>
      <c r="P238" s="93">
        <v>1700</v>
      </c>
      <c r="Q238" s="93">
        <v>160</v>
      </c>
      <c r="R238" s="69"/>
    </row>
    <row r="239" spans="2:18">
      <c r="B239" s="68"/>
      <c r="C239" s="93">
        <v>4</v>
      </c>
      <c r="D239" s="93" t="s">
        <v>1782</v>
      </c>
      <c r="E239" s="93">
        <v>16</v>
      </c>
      <c r="F239" s="93">
        <v>123425</v>
      </c>
      <c r="G239" s="93">
        <v>11942</v>
      </c>
      <c r="H239" s="94"/>
      <c r="I239" s="93" t="s">
        <v>465</v>
      </c>
      <c r="J239" s="93">
        <v>1</v>
      </c>
      <c r="K239" s="93">
        <v>1700</v>
      </c>
      <c r="L239" s="93">
        <v>160</v>
      </c>
      <c r="M239" s="17"/>
      <c r="N239" s="93" t="s">
        <v>465</v>
      </c>
      <c r="O239" s="93">
        <v>1</v>
      </c>
      <c r="P239" s="93">
        <v>1700</v>
      </c>
      <c r="Q239" s="93">
        <v>160</v>
      </c>
      <c r="R239" s="69"/>
    </row>
    <row r="240" spans="2:18">
      <c r="B240" s="68"/>
      <c r="C240" s="93">
        <v>4</v>
      </c>
      <c r="D240" s="93" t="s">
        <v>1782</v>
      </c>
      <c r="E240" s="93">
        <v>12</v>
      </c>
      <c r="F240" s="93">
        <v>108425</v>
      </c>
      <c r="G240" s="93">
        <v>11862</v>
      </c>
      <c r="H240" s="94"/>
      <c r="I240" s="93" t="s">
        <v>467</v>
      </c>
      <c r="J240" s="93">
        <v>4</v>
      </c>
      <c r="K240" s="93">
        <v>15000</v>
      </c>
      <c r="L240" s="93">
        <v>80</v>
      </c>
      <c r="M240" s="17"/>
      <c r="N240" s="93" t="s">
        <v>467</v>
      </c>
      <c r="O240" s="93">
        <v>4</v>
      </c>
      <c r="P240" s="93">
        <v>15000</v>
      </c>
      <c r="Q240" s="93">
        <v>80</v>
      </c>
      <c r="R240" s="69"/>
    </row>
    <row r="241" spans="2:18">
      <c r="B241" s="68"/>
      <c r="C241" s="93">
        <v>4</v>
      </c>
      <c r="D241" s="93" t="s">
        <v>1782</v>
      </c>
      <c r="E241" s="93">
        <v>11</v>
      </c>
      <c r="F241" s="93">
        <v>106725</v>
      </c>
      <c r="G241" s="93">
        <v>11702</v>
      </c>
      <c r="H241" s="94"/>
      <c r="I241" s="93" t="s">
        <v>468</v>
      </c>
      <c r="J241" s="93">
        <v>1</v>
      </c>
      <c r="K241" s="93">
        <v>1700</v>
      </c>
      <c r="L241" s="93">
        <v>160</v>
      </c>
      <c r="M241" s="17"/>
      <c r="N241" s="93" t="s">
        <v>468</v>
      </c>
      <c r="O241" s="93">
        <v>1</v>
      </c>
      <c r="P241" s="93">
        <v>1700</v>
      </c>
      <c r="Q241" s="93">
        <v>160</v>
      </c>
      <c r="R241" s="69"/>
    </row>
    <row r="242" spans="2:18">
      <c r="B242" s="68"/>
      <c r="C242" s="93">
        <v>4</v>
      </c>
      <c r="D242" s="93" t="s">
        <v>1782</v>
      </c>
      <c r="E242" s="93">
        <v>10</v>
      </c>
      <c r="F242" s="93">
        <v>104725</v>
      </c>
      <c r="G242" s="93">
        <v>11702</v>
      </c>
      <c r="H242" s="94"/>
      <c r="I242" s="93" t="s">
        <v>469</v>
      </c>
      <c r="J242" s="93">
        <v>1</v>
      </c>
      <c r="K242" s="93">
        <v>2000</v>
      </c>
      <c r="L242" s="93">
        <v>0</v>
      </c>
      <c r="M242" s="17"/>
      <c r="N242" s="93" t="s">
        <v>469</v>
      </c>
      <c r="O242" s="93">
        <v>1</v>
      </c>
      <c r="P242" s="93">
        <v>2000</v>
      </c>
      <c r="Q242" s="93">
        <v>0</v>
      </c>
      <c r="R242" s="69"/>
    </row>
    <row r="243" spans="2:18">
      <c r="B243" s="68"/>
      <c r="C243" s="93">
        <v>4</v>
      </c>
      <c r="D243" s="93" t="s">
        <v>1782</v>
      </c>
      <c r="E243" s="93">
        <v>9</v>
      </c>
      <c r="F243" s="93">
        <v>102725</v>
      </c>
      <c r="G243" s="93">
        <v>11702</v>
      </c>
      <c r="H243" s="94"/>
      <c r="I243" s="93" t="s">
        <v>470</v>
      </c>
      <c r="J243" s="93">
        <v>1</v>
      </c>
      <c r="K243" s="93">
        <v>2000</v>
      </c>
      <c r="L243" s="93">
        <v>0</v>
      </c>
      <c r="M243" s="17"/>
      <c r="N243" s="93" t="s">
        <v>470</v>
      </c>
      <c r="O243" s="93">
        <v>1</v>
      </c>
      <c r="P243" s="93">
        <v>2000</v>
      </c>
      <c r="Q243" s="93">
        <v>0</v>
      </c>
      <c r="R243" s="69"/>
    </row>
    <row r="244" spans="2:18">
      <c r="B244" s="68"/>
      <c r="C244" s="93">
        <v>4</v>
      </c>
      <c r="D244" s="93" t="s">
        <v>1782</v>
      </c>
      <c r="E244" s="93">
        <v>8</v>
      </c>
      <c r="F244" s="93">
        <v>100725</v>
      </c>
      <c r="G244" s="93">
        <v>11702</v>
      </c>
      <c r="H244" s="94"/>
      <c r="I244" s="93" t="s">
        <v>471</v>
      </c>
      <c r="J244" s="93">
        <v>1</v>
      </c>
      <c r="K244" s="93">
        <v>2000</v>
      </c>
      <c r="L244" s="93">
        <v>0</v>
      </c>
      <c r="M244" s="17"/>
      <c r="N244" s="93" t="s">
        <v>471</v>
      </c>
      <c r="O244" s="93">
        <v>1</v>
      </c>
      <c r="P244" s="93">
        <v>2000</v>
      </c>
      <c r="Q244" s="93">
        <v>0</v>
      </c>
      <c r="R244" s="69"/>
    </row>
    <row r="245" spans="2:18">
      <c r="B245" s="68"/>
      <c r="C245" s="93">
        <v>4</v>
      </c>
      <c r="D245" s="93" t="s">
        <v>1782</v>
      </c>
      <c r="E245" s="93">
        <v>7</v>
      </c>
      <c r="F245" s="93">
        <v>99025</v>
      </c>
      <c r="G245" s="93">
        <v>11542</v>
      </c>
      <c r="H245" s="94"/>
      <c r="I245" s="93" t="s">
        <v>473</v>
      </c>
      <c r="J245" s="93">
        <v>1</v>
      </c>
      <c r="K245" s="93">
        <v>1700</v>
      </c>
      <c r="L245" s="93">
        <v>160</v>
      </c>
      <c r="M245" s="17"/>
      <c r="N245" s="93" t="s">
        <v>473</v>
      </c>
      <c r="O245" s="93">
        <v>1</v>
      </c>
      <c r="P245" s="93">
        <v>1700</v>
      </c>
      <c r="Q245" s="93">
        <v>160</v>
      </c>
      <c r="R245" s="69"/>
    </row>
    <row r="246" spans="2:18">
      <c r="B246" s="68"/>
      <c r="C246" s="93">
        <v>4</v>
      </c>
      <c r="D246" s="93" t="s">
        <v>1782</v>
      </c>
      <c r="E246" s="93">
        <v>6</v>
      </c>
      <c r="F246" s="93">
        <v>97325</v>
      </c>
      <c r="G246" s="93">
        <v>11382</v>
      </c>
      <c r="H246" s="94"/>
      <c r="I246" s="93" t="s">
        <v>474</v>
      </c>
      <c r="J246" s="93">
        <v>1</v>
      </c>
      <c r="K246" s="93">
        <v>1700</v>
      </c>
      <c r="L246" s="93">
        <v>160</v>
      </c>
      <c r="M246" s="17"/>
      <c r="N246" s="93" t="s">
        <v>474</v>
      </c>
      <c r="O246" s="93">
        <v>1</v>
      </c>
      <c r="P246" s="93">
        <v>1700</v>
      </c>
      <c r="Q246" s="93">
        <v>160</v>
      </c>
      <c r="R246" s="69"/>
    </row>
    <row r="247" spans="2:18">
      <c r="B247" s="68"/>
      <c r="C247" s="93">
        <v>4</v>
      </c>
      <c r="D247" s="93" t="s">
        <v>1782</v>
      </c>
      <c r="E247" s="93">
        <v>5</v>
      </c>
      <c r="F247" s="93">
        <v>95625</v>
      </c>
      <c r="G247" s="93">
        <v>11222</v>
      </c>
      <c r="H247" s="94"/>
      <c r="I247" s="93" t="s">
        <v>475</v>
      </c>
      <c r="J247" s="93">
        <v>1</v>
      </c>
      <c r="K247" s="93">
        <v>1700</v>
      </c>
      <c r="L247" s="93">
        <v>160</v>
      </c>
      <c r="M247" s="17"/>
      <c r="N247" s="93" t="s">
        <v>475</v>
      </c>
      <c r="O247" s="93">
        <v>1</v>
      </c>
      <c r="P247" s="93">
        <v>1700</v>
      </c>
      <c r="Q247" s="93">
        <v>160</v>
      </c>
      <c r="R247" s="69"/>
    </row>
    <row r="248" spans="2:18">
      <c r="B248" s="68"/>
      <c r="C248" s="93">
        <v>4</v>
      </c>
      <c r="D248" s="93" t="s">
        <v>1782</v>
      </c>
      <c r="E248" s="93">
        <v>1</v>
      </c>
      <c r="F248" s="93">
        <v>80625</v>
      </c>
      <c r="G248" s="93">
        <v>11142</v>
      </c>
      <c r="H248" s="94"/>
      <c r="I248" s="93" t="s">
        <v>476</v>
      </c>
      <c r="J248" s="93">
        <v>4</v>
      </c>
      <c r="K248" s="93">
        <v>15000</v>
      </c>
      <c r="L248" s="93">
        <v>80</v>
      </c>
      <c r="M248" s="17"/>
      <c r="N248" s="93" t="s">
        <v>476</v>
      </c>
      <c r="O248" s="93">
        <v>4</v>
      </c>
      <c r="P248" s="93">
        <v>15000</v>
      </c>
      <c r="Q248" s="93">
        <v>80</v>
      </c>
      <c r="R248" s="69"/>
    </row>
    <row r="249" spans="2:18">
      <c r="B249" s="68"/>
      <c r="C249" s="93">
        <v>5</v>
      </c>
      <c r="D249" s="93" t="s">
        <v>1783</v>
      </c>
      <c r="E249" s="93">
        <v>139</v>
      </c>
      <c r="F249" s="93">
        <v>520240</v>
      </c>
      <c r="G249" s="93">
        <v>19630</v>
      </c>
      <c r="H249" s="94"/>
      <c r="I249" s="93" t="s">
        <v>477</v>
      </c>
      <c r="J249" s="93">
        <v>1</v>
      </c>
      <c r="K249" s="93">
        <v>2000</v>
      </c>
      <c r="L249" s="93">
        <v>0</v>
      </c>
      <c r="M249" s="17"/>
      <c r="N249" s="93" t="s">
        <v>477</v>
      </c>
      <c r="O249" s="93">
        <v>1</v>
      </c>
      <c r="P249" s="93">
        <v>2000</v>
      </c>
      <c r="Q249" s="93">
        <v>0</v>
      </c>
      <c r="R249" s="69"/>
    </row>
    <row r="250" spans="2:18">
      <c r="B250" s="68"/>
      <c r="C250" s="93">
        <v>5</v>
      </c>
      <c r="D250" s="93" t="s">
        <v>1783</v>
      </c>
      <c r="E250" s="93">
        <v>138</v>
      </c>
      <c r="F250" s="93">
        <v>518240</v>
      </c>
      <c r="G250" s="93">
        <v>19630</v>
      </c>
      <c r="H250" s="94"/>
      <c r="I250" s="93" t="s">
        <v>478</v>
      </c>
      <c r="J250" s="93">
        <v>1</v>
      </c>
      <c r="K250" s="93">
        <v>2000</v>
      </c>
      <c r="L250" s="93">
        <v>0</v>
      </c>
      <c r="M250" s="17"/>
      <c r="N250" s="93" t="s">
        <v>478</v>
      </c>
      <c r="O250" s="93">
        <v>1</v>
      </c>
      <c r="P250" s="93">
        <v>2000</v>
      </c>
      <c r="Q250" s="93">
        <v>0</v>
      </c>
      <c r="R250" s="69"/>
    </row>
    <row r="251" spans="2:18">
      <c r="B251" s="68"/>
      <c r="C251" s="93">
        <v>5</v>
      </c>
      <c r="D251" s="93" t="s">
        <v>1783</v>
      </c>
      <c r="E251" s="93">
        <v>137</v>
      </c>
      <c r="F251" s="93">
        <v>516540</v>
      </c>
      <c r="G251" s="93">
        <v>19470</v>
      </c>
      <c r="H251" s="94"/>
      <c r="I251" s="93" t="s">
        <v>479</v>
      </c>
      <c r="J251" s="93">
        <v>1</v>
      </c>
      <c r="K251" s="93">
        <v>1700</v>
      </c>
      <c r="L251" s="93">
        <v>160</v>
      </c>
      <c r="M251" s="17"/>
      <c r="N251" s="93" t="s">
        <v>479</v>
      </c>
      <c r="O251" s="93">
        <v>1</v>
      </c>
      <c r="P251" s="93">
        <v>1700</v>
      </c>
      <c r="Q251" s="93">
        <v>160</v>
      </c>
      <c r="R251" s="69"/>
    </row>
    <row r="252" spans="2:18">
      <c r="B252" s="68"/>
      <c r="C252" s="93">
        <v>5</v>
      </c>
      <c r="D252" s="93" t="s">
        <v>1783</v>
      </c>
      <c r="E252" s="93">
        <v>136</v>
      </c>
      <c r="F252" s="93">
        <v>514840</v>
      </c>
      <c r="G252" s="93">
        <v>19310</v>
      </c>
      <c r="H252" s="94"/>
      <c r="I252" s="93" t="s">
        <v>480</v>
      </c>
      <c r="J252" s="93">
        <v>1</v>
      </c>
      <c r="K252" s="93">
        <v>1700</v>
      </c>
      <c r="L252" s="93">
        <v>160</v>
      </c>
      <c r="M252" s="17"/>
      <c r="N252" s="93" t="s">
        <v>480</v>
      </c>
      <c r="O252" s="93">
        <v>1</v>
      </c>
      <c r="P252" s="93">
        <v>1700</v>
      </c>
      <c r="Q252" s="93">
        <v>160</v>
      </c>
      <c r="R252" s="69"/>
    </row>
    <row r="253" spans="2:18">
      <c r="B253" s="68"/>
      <c r="C253" s="93">
        <v>5</v>
      </c>
      <c r="D253" s="93" t="s">
        <v>1783</v>
      </c>
      <c r="E253" s="93">
        <v>134</v>
      </c>
      <c r="F253" s="93">
        <v>511090</v>
      </c>
      <c r="G253" s="93">
        <v>19278</v>
      </c>
      <c r="H253" s="94"/>
      <c r="I253" s="93" t="s">
        <v>481</v>
      </c>
      <c r="J253" s="93">
        <v>2</v>
      </c>
      <c r="K253" s="93">
        <v>3750</v>
      </c>
      <c r="L253" s="93">
        <v>32</v>
      </c>
      <c r="M253" s="17"/>
      <c r="N253" s="93" t="s">
        <v>481</v>
      </c>
      <c r="O253" s="93">
        <v>2</v>
      </c>
      <c r="P253" s="93">
        <v>3750</v>
      </c>
      <c r="Q253" s="93">
        <v>32</v>
      </c>
      <c r="R253" s="69"/>
    </row>
    <row r="254" spans="2:18">
      <c r="B254" s="68"/>
      <c r="C254" s="93">
        <v>5</v>
      </c>
      <c r="D254" s="93" t="s">
        <v>1783</v>
      </c>
      <c r="E254" s="93">
        <v>133</v>
      </c>
      <c r="F254" s="93">
        <v>509090</v>
      </c>
      <c r="G254" s="93">
        <v>19278</v>
      </c>
      <c r="H254" s="94"/>
      <c r="I254" s="93" t="s">
        <v>483</v>
      </c>
      <c r="J254" s="93">
        <v>1</v>
      </c>
      <c r="K254" s="93">
        <v>2000</v>
      </c>
      <c r="L254" s="93">
        <v>0</v>
      </c>
      <c r="M254" s="17"/>
      <c r="N254" s="93" t="s">
        <v>483</v>
      </c>
      <c r="O254" s="93">
        <v>1</v>
      </c>
      <c r="P254" s="93">
        <v>2000</v>
      </c>
      <c r="Q254" s="93">
        <v>0</v>
      </c>
      <c r="R254" s="69"/>
    </row>
    <row r="255" spans="2:18">
      <c r="B255" s="68"/>
      <c r="C255" s="93">
        <v>5</v>
      </c>
      <c r="D255" s="93" t="s">
        <v>1783</v>
      </c>
      <c r="E255" s="93">
        <v>132</v>
      </c>
      <c r="F255" s="93">
        <v>507390</v>
      </c>
      <c r="G255" s="93">
        <v>19118</v>
      </c>
      <c r="H255" s="94"/>
      <c r="I255" s="93" t="s">
        <v>484</v>
      </c>
      <c r="J255" s="93">
        <v>1</v>
      </c>
      <c r="K255" s="93">
        <v>1700</v>
      </c>
      <c r="L255" s="93">
        <v>160</v>
      </c>
      <c r="M255" s="17"/>
      <c r="N255" s="93" t="s">
        <v>484</v>
      </c>
      <c r="O255" s="93">
        <v>1</v>
      </c>
      <c r="P255" s="93">
        <v>1700</v>
      </c>
      <c r="Q255" s="93">
        <v>160</v>
      </c>
      <c r="R255" s="69"/>
    </row>
    <row r="256" spans="2:18">
      <c r="B256" s="68"/>
      <c r="C256" s="93">
        <v>5</v>
      </c>
      <c r="D256" s="93" t="s">
        <v>1783</v>
      </c>
      <c r="E256" s="93">
        <v>131</v>
      </c>
      <c r="F256" s="93">
        <v>505690</v>
      </c>
      <c r="G256" s="93">
        <v>18958</v>
      </c>
      <c r="H256" s="94"/>
      <c r="I256" s="93" t="s">
        <v>485</v>
      </c>
      <c r="J256" s="93">
        <v>1</v>
      </c>
      <c r="K256" s="93">
        <v>1700</v>
      </c>
      <c r="L256" s="93">
        <v>160</v>
      </c>
      <c r="M256" s="17"/>
      <c r="N256" s="93" t="s">
        <v>485</v>
      </c>
      <c r="O256" s="93">
        <v>1</v>
      </c>
      <c r="P256" s="93">
        <v>1700</v>
      </c>
      <c r="Q256" s="93">
        <v>160</v>
      </c>
      <c r="R256" s="69"/>
    </row>
    <row r="257" spans="2:18">
      <c r="B257" s="68"/>
      <c r="C257" s="93">
        <v>5</v>
      </c>
      <c r="D257" s="93" t="s">
        <v>1783</v>
      </c>
      <c r="E257" s="93">
        <v>130</v>
      </c>
      <c r="F257" s="93">
        <v>503690</v>
      </c>
      <c r="G257" s="93">
        <v>18958</v>
      </c>
      <c r="H257" s="94"/>
      <c r="I257" s="93" t="s">
        <v>486</v>
      </c>
      <c r="J257" s="93">
        <v>1</v>
      </c>
      <c r="K257" s="93">
        <v>2000</v>
      </c>
      <c r="L257" s="93">
        <v>0</v>
      </c>
      <c r="M257" s="17"/>
      <c r="N257" s="93" t="s">
        <v>486</v>
      </c>
      <c r="O257" s="93">
        <v>1</v>
      </c>
      <c r="P257" s="93">
        <v>2000</v>
      </c>
      <c r="Q257" s="93">
        <v>0</v>
      </c>
      <c r="R257" s="69"/>
    </row>
    <row r="258" spans="2:18">
      <c r="B258" s="68"/>
      <c r="C258" s="93">
        <v>5</v>
      </c>
      <c r="D258" s="93" t="s">
        <v>1783</v>
      </c>
      <c r="E258" s="93">
        <v>129</v>
      </c>
      <c r="F258" s="93">
        <v>501690</v>
      </c>
      <c r="G258" s="93">
        <v>18958</v>
      </c>
      <c r="H258" s="94"/>
      <c r="I258" s="93" t="s">
        <v>487</v>
      </c>
      <c r="J258" s="93">
        <v>1</v>
      </c>
      <c r="K258" s="93">
        <v>2000</v>
      </c>
      <c r="L258" s="93">
        <v>0</v>
      </c>
      <c r="M258" s="17"/>
      <c r="N258" s="93" t="s">
        <v>487</v>
      </c>
      <c r="O258" s="93">
        <v>1</v>
      </c>
      <c r="P258" s="93">
        <v>2000</v>
      </c>
      <c r="Q258" s="93">
        <v>0</v>
      </c>
      <c r="R258" s="69"/>
    </row>
    <row r="259" spans="2:18">
      <c r="B259" s="68"/>
      <c r="C259" s="93">
        <v>5</v>
      </c>
      <c r="D259" s="93" t="s">
        <v>1783</v>
      </c>
      <c r="E259" s="93">
        <v>128</v>
      </c>
      <c r="F259" s="93">
        <v>499990</v>
      </c>
      <c r="G259" s="93">
        <v>18798</v>
      </c>
      <c r="H259" s="94"/>
      <c r="I259" s="93" t="s">
        <v>488</v>
      </c>
      <c r="J259" s="93">
        <v>1</v>
      </c>
      <c r="K259" s="93">
        <v>1700</v>
      </c>
      <c r="L259" s="93">
        <v>160</v>
      </c>
      <c r="M259" s="17"/>
      <c r="N259" s="93" t="s">
        <v>488</v>
      </c>
      <c r="O259" s="93">
        <v>1</v>
      </c>
      <c r="P259" s="93">
        <v>1700</v>
      </c>
      <c r="Q259" s="93">
        <v>160</v>
      </c>
      <c r="R259" s="69"/>
    </row>
    <row r="260" spans="2:18">
      <c r="B260" s="68"/>
      <c r="C260" s="93">
        <v>5</v>
      </c>
      <c r="D260" s="93" t="s">
        <v>1783</v>
      </c>
      <c r="E260" s="93">
        <v>127</v>
      </c>
      <c r="F260" s="93">
        <v>498290</v>
      </c>
      <c r="G260" s="93">
        <v>18638</v>
      </c>
      <c r="H260" s="94"/>
      <c r="I260" s="93" t="s">
        <v>489</v>
      </c>
      <c r="J260" s="93">
        <v>1</v>
      </c>
      <c r="K260" s="93">
        <v>1700</v>
      </c>
      <c r="L260" s="93">
        <v>160</v>
      </c>
      <c r="M260" s="17"/>
      <c r="N260" s="93" t="s">
        <v>489</v>
      </c>
      <c r="O260" s="93">
        <v>1</v>
      </c>
      <c r="P260" s="93">
        <v>1700</v>
      </c>
      <c r="Q260" s="93">
        <v>160</v>
      </c>
      <c r="R260" s="69"/>
    </row>
    <row r="261" spans="2:18">
      <c r="B261" s="68"/>
      <c r="C261" s="93">
        <v>5</v>
      </c>
      <c r="D261" s="93" t="s">
        <v>1783</v>
      </c>
      <c r="E261" s="93">
        <v>119</v>
      </c>
      <c r="F261" s="93">
        <v>468290</v>
      </c>
      <c r="G261" s="93">
        <v>18478</v>
      </c>
      <c r="H261" s="94"/>
      <c r="I261" s="93" t="s">
        <v>491</v>
      </c>
      <c r="J261" s="93">
        <v>8</v>
      </c>
      <c r="K261" s="93">
        <v>30000</v>
      </c>
      <c r="L261" s="93">
        <v>160</v>
      </c>
      <c r="M261" s="17"/>
      <c r="N261" s="93" t="s">
        <v>491</v>
      </c>
      <c r="O261" s="93">
        <v>8</v>
      </c>
      <c r="P261" s="93">
        <v>30000</v>
      </c>
      <c r="Q261" s="93">
        <v>160</v>
      </c>
      <c r="R261" s="69"/>
    </row>
    <row r="262" spans="2:18">
      <c r="B262" s="68"/>
      <c r="C262" s="93">
        <v>5</v>
      </c>
      <c r="D262" s="93" t="s">
        <v>1783</v>
      </c>
      <c r="E262" s="93">
        <v>118</v>
      </c>
      <c r="F262" s="93">
        <v>466590</v>
      </c>
      <c r="G262" s="93">
        <v>18318</v>
      </c>
      <c r="H262" s="94"/>
      <c r="I262" s="93" t="s">
        <v>492</v>
      </c>
      <c r="J262" s="93">
        <v>1</v>
      </c>
      <c r="K262" s="93">
        <v>1700</v>
      </c>
      <c r="L262" s="93">
        <v>160</v>
      </c>
      <c r="M262" s="17"/>
      <c r="N262" s="93" t="s">
        <v>492</v>
      </c>
      <c r="O262" s="93">
        <v>1</v>
      </c>
      <c r="P262" s="93">
        <v>1700</v>
      </c>
      <c r="Q262" s="93">
        <v>160</v>
      </c>
      <c r="R262" s="69"/>
    </row>
    <row r="263" spans="2:18">
      <c r="B263" s="68"/>
      <c r="C263" s="93">
        <v>5</v>
      </c>
      <c r="D263" s="93" t="s">
        <v>1783</v>
      </c>
      <c r="E263" s="93">
        <v>117</v>
      </c>
      <c r="F263" s="93">
        <v>464890</v>
      </c>
      <c r="G263" s="93">
        <v>18158</v>
      </c>
      <c r="H263" s="94"/>
      <c r="I263" s="93" t="s">
        <v>493</v>
      </c>
      <c r="J263" s="93">
        <v>1</v>
      </c>
      <c r="K263" s="93">
        <v>1700</v>
      </c>
      <c r="L263" s="93">
        <v>160</v>
      </c>
      <c r="M263" s="17"/>
      <c r="N263" s="93" t="s">
        <v>493</v>
      </c>
      <c r="O263" s="93">
        <v>1</v>
      </c>
      <c r="P263" s="93">
        <v>1700</v>
      </c>
      <c r="Q263" s="93">
        <v>160</v>
      </c>
      <c r="R263" s="69"/>
    </row>
    <row r="264" spans="2:18">
      <c r="B264" s="68"/>
      <c r="C264" s="93">
        <v>5</v>
      </c>
      <c r="D264" s="93" t="s">
        <v>1783</v>
      </c>
      <c r="E264" s="93">
        <v>109</v>
      </c>
      <c r="F264" s="93">
        <v>434890</v>
      </c>
      <c r="G264" s="93">
        <v>17998</v>
      </c>
      <c r="H264" s="94"/>
      <c r="I264" s="93" t="s">
        <v>494</v>
      </c>
      <c r="J264" s="93">
        <v>8</v>
      </c>
      <c r="K264" s="93">
        <v>30000</v>
      </c>
      <c r="L264" s="93">
        <v>160</v>
      </c>
      <c r="M264" s="17"/>
      <c r="N264" s="93" t="s">
        <v>494</v>
      </c>
      <c r="O264" s="93">
        <v>8</v>
      </c>
      <c r="P264" s="93">
        <v>30000</v>
      </c>
      <c r="Q264" s="93">
        <v>160</v>
      </c>
      <c r="R264" s="69"/>
    </row>
    <row r="265" spans="2:18">
      <c r="B265" s="68"/>
      <c r="C265" s="93">
        <v>5</v>
      </c>
      <c r="D265" s="93" t="s">
        <v>1783</v>
      </c>
      <c r="E265" s="93">
        <v>108</v>
      </c>
      <c r="F265" s="93">
        <v>432890</v>
      </c>
      <c r="G265" s="93">
        <v>17998</v>
      </c>
      <c r="H265" s="94"/>
      <c r="I265" s="93" t="s">
        <v>495</v>
      </c>
      <c r="J265" s="93">
        <v>1</v>
      </c>
      <c r="K265" s="93">
        <v>2000</v>
      </c>
      <c r="L265" s="93">
        <v>0</v>
      </c>
      <c r="M265" s="17"/>
      <c r="N265" s="93" t="s">
        <v>495</v>
      </c>
      <c r="O265" s="93">
        <v>1</v>
      </c>
      <c r="P265" s="93">
        <v>2000</v>
      </c>
      <c r="Q265" s="93">
        <v>0</v>
      </c>
      <c r="R265" s="69"/>
    </row>
    <row r="266" spans="2:18">
      <c r="B266" s="68"/>
      <c r="C266" s="93">
        <v>5</v>
      </c>
      <c r="D266" s="93" t="s">
        <v>1783</v>
      </c>
      <c r="E266" s="93">
        <v>76</v>
      </c>
      <c r="F266" s="93">
        <v>372890</v>
      </c>
      <c r="G266" s="93">
        <v>17358</v>
      </c>
      <c r="H266" s="94"/>
      <c r="I266" s="93" t="s">
        <v>496</v>
      </c>
      <c r="J266" s="93">
        <v>32</v>
      </c>
      <c r="K266" s="93">
        <v>60000</v>
      </c>
      <c r="L266" s="93">
        <v>640</v>
      </c>
      <c r="M266" s="17"/>
      <c r="N266" s="93" t="s">
        <v>496</v>
      </c>
      <c r="O266" s="93">
        <v>32</v>
      </c>
      <c r="P266" s="93">
        <v>60000</v>
      </c>
      <c r="Q266" s="93">
        <v>640</v>
      </c>
      <c r="R266" s="69"/>
    </row>
    <row r="267" spans="2:18">
      <c r="B267" s="68"/>
      <c r="C267" s="93">
        <v>5</v>
      </c>
      <c r="D267" s="93" t="s">
        <v>1783</v>
      </c>
      <c r="E267" s="93">
        <v>75</v>
      </c>
      <c r="F267" s="93">
        <v>371190</v>
      </c>
      <c r="G267" s="93">
        <v>17198</v>
      </c>
      <c r="H267" s="94"/>
      <c r="I267" s="93" t="s">
        <v>497</v>
      </c>
      <c r="J267" s="93">
        <v>1</v>
      </c>
      <c r="K267" s="93">
        <v>1700</v>
      </c>
      <c r="L267" s="93">
        <v>160</v>
      </c>
      <c r="M267" s="17"/>
      <c r="N267" s="93" t="s">
        <v>497</v>
      </c>
      <c r="O267" s="93">
        <v>1</v>
      </c>
      <c r="P267" s="93">
        <v>1700</v>
      </c>
      <c r="Q267" s="93">
        <v>160</v>
      </c>
      <c r="R267" s="69"/>
    </row>
    <row r="268" spans="2:18">
      <c r="B268" s="68"/>
      <c r="C268" s="93">
        <v>5</v>
      </c>
      <c r="D268" s="93" t="s">
        <v>1783</v>
      </c>
      <c r="E268" s="93">
        <v>74</v>
      </c>
      <c r="F268" s="93">
        <v>369490</v>
      </c>
      <c r="G268" s="93">
        <v>17038</v>
      </c>
      <c r="H268" s="94"/>
      <c r="I268" s="93" t="s">
        <v>499</v>
      </c>
      <c r="J268" s="93">
        <v>1</v>
      </c>
      <c r="K268" s="93">
        <v>1700</v>
      </c>
      <c r="L268" s="93">
        <v>160</v>
      </c>
      <c r="M268" s="17"/>
      <c r="N268" s="93" t="s">
        <v>499</v>
      </c>
      <c r="O268" s="93">
        <v>1</v>
      </c>
      <c r="P268" s="93">
        <v>1700</v>
      </c>
      <c r="Q268" s="93">
        <v>160</v>
      </c>
      <c r="R268" s="69"/>
    </row>
    <row r="269" spans="2:18">
      <c r="B269" s="68"/>
      <c r="C269" s="93">
        <v>5</v>
      </c>
      <c r="D269" s="93" t="s">
        <v>1783</v>
      </c>
      <c r="E269" s="93">
        <v>73</v>
      </c>
      <c r="F269" s="93">
        <v>367790</v>
      </c>
      <c r="G269" s="93">
        <v>16878</v>
      </c>
      <c r="H269" s="94"/>
      <c r="I269" s="93" t="s">
        <v>500</v>
      </c>
      <c r="J269" s="93">
        <v>1</v>
      </c>
      <c r="K269" s="93">
        <v>1700</v>
      </c>
      <c r="L269" s="93">
        <v>160</v>
      </c>
      <c r="M269" s="17"/>
      <c r="N269" s="93" t="s">
        <v>500</v>
      </c>
      <c r="O269" s="93">
        <v>1</v>
      </c>
      <c r="P269" s="93">
        <v>1700</v>
      </c>
      <c r="Q269" s="93">
        <v>160</v>
      </c>
      <c r="R269" s="69"/>
    </row>
    <row r="270" spans="2:18">
      <c r="B270" s="68"/>
      <c r="C270" s="93">
        <v>5</v>
      </c>
      <c r="D270" s="93" t="s">
        <v>1783</v>
      </c>
      <c r="E270" s="93">
        <v>72</v>
      </c>
      <c r="F270" s="93">
        <v>365790</v>
      </c>
      <c r="G270" s="93">
        <v>16878</v>
      </c>
      <c r="H270" s="94"/>
      <c r="I270" s="93" t="s">
        <v>501</v>
      </c>
      <c r="J270" s="93">
        <v>1</v>
      </c>
      <c r="K270" s="93">
        <v>2000</v>
      </c>
      <c r="L270" s="93">
        <v>0</v>
      </c>
      <c r="M270" s="17"/>
      <c r="N270" s="93" t="s">
        <v>501</v>
      </c>
      <c r="O270" s="93">
        <v>1</v>
      </c>
      <c r="P270" s="93">
        <v>2000</v>
      </c>
      <c r="Q270" s="93">
        <v>0</v>
      </c>
      <c r="R270" s="69"/>
    </row>
    <row r="271" spans="2:18">
      <c r="B271" s="68"/>
      <c r="C271" s="93">
        <v>5</v>
      </c>
      <c r="D271" s="93" t="s">
        <v>1783</v>
      </c>
      <c r="E271" s="93">
        <v>64</v>
      </c>
      <c r="F271" s="93">
        <v>350790</v>
      </c>
      <c r="G271" s="93">
        <v>16718</v>
      </c>
      <c r="H271" s="94"/>
      <c r="I271" s="93" t="s">
        <v>502</v>
      </c>
      <c r="J271" s="93">
        <v>8</v>
      </c>
      <c r="K271" s="93">
        <v>15000</v>
      </c>
      <c r="L271" s="93">
        <v>160</v>
      </c>
      <c r="M271" s="17"/>
      <c r="N271" s="93" t="s">
        <v>502</v>
      </c>
      <c r="O271" s="93">
        <v>8</v>
      </c>
      <c r="P271" s="93">
        <v>15000</v>
      </c>
      <c r="Q271" s="93">
        <v>160</v>
      </c>
      <c r="R271" s="69"/>
    </row>
    <row r="272" spans="2:18">
      <c r="B272" s="68"/>
      <c r="C272" s="93">
        <v>5</v>
      </c>
      <c r="D272" s="93" t="s">
        <v>1783</v>
      </c>
      <c r="E272" s="93">
        <v>63</v>
      </c>
      <c r="F272" s="93">
        <v>349090</v>
      </c>
      <c r="G272" s="93">
        <v>16558</v>
      </c>
      <c r="H272" s="94"/>
      <c r="I272" s="93" t="s">
        <v>503</v>
      </c>
      <c r="J272" s="93">
        <v>1</v>
      </c>
      <c r="K272" s="93">
        <v>1700</v>
      </c>
      <c r="L272" s="93">
        <v>160</v>
      </c>
      <c r="M272" s="17"/>
      <c r="N272" s="93" t="s">
        <v>503</v>
      </c>
      <c r="O272" s="93">
        <v>1</v>
      </c>
      <c r="P272" s="93">
        <v>1700</v>
      </c>
      <c r="Q272" s="93">
        <v>160</v>
      </c>
      <c r="R272" s="69"/>
    </row>
    <row r="273" spans="2:18">
      <c r="B273" s="68"/>
      <c r="C273" s="93">
        <v>5</v>
      </c>
      <c r="D273" s="93" t="s">
        <v>1783</v>
      </c>
      <c r="E273" s="93">
        <v>62</v>
      </c>
      <c r="F273" s="93">
        <v>347390</v>
      </c>
      <c r="G273" s="93">
        <v>16398</v>
      </c>
      <c r="H273" s="94"/>
      <c r="I273" s="93" t="s">
        <v>504</v>
      </c>
      <c r="J273" s="93">
        <v>1</v>
      </c>
      <c r="K273" s="93">
        <v>1700</v>
      </c>
      <c r="L273" s="93">
        <v>160</v>
      </c>
      <c r="M273" s="17"/>
      <c r="N273" s="93" t="s">
        <v>504</v>
      </c>
      <c r="O273" s="93">
        <v>1</v>
      </c>
      <c r="P273" s="93">
        <v>1700</v>
      </c>
      <c r="Q273" s="93">
        <v>160</v>
      </c>
      <c r="R273" s="69"/>
    </row>
    <row r="274" spans="2:18">
      <c r="B274" s="68"/>
      <c r="C274" s="93">
        <v>5</v>
      </c>
      <c r="D274" s="93" t="s">
        <v>1783</v>
      </c>
      <c r="E274" s="93">
        <v>61</v>
      </c>
      <c r="F274" s="93">
        <v>345390</v>
      </c>
      <c r="G274" s="93">
        <v>16398</v>
      </c>
      <c r="H274" s="94"/>
      <c r="I274" s="93" t="s">
        <v>505</v>
      </c>
      <c r="J274" s="93">
        <v>1</v>
      </c>
      <c r="K274" s="93">
        <v>2000</v>
      </c>
      <c r="L274" s="93">
        <v>0</v>
      </c>
      <c r="M274" s="17"/>
      <c r="N274" s="93" t="s">
        <v>505</v>
      </c>
      <c r="O274" s="93">
        <v>1</v>
      </c>
      <c r="P274" s="93">
        <v>2000</v>
      </c>
      <c r="Q274" s="93">
        <v>0</v>
      </c>
      <c r="R274" s="69"/>
    </row>
    <row r="275" spans="2:18">
      <c r="B275" s="68"/>
      <c r="C275" s="93">
        <v>5</v>
      </c>
      <c r="D275" s="93" t="s">
        <v>1783</v>
      </c>
      <c r="E275" s="93">
        <v>60</v>
      </c>
      <c r="F275" s="93">
        <v>343690</v>
      </c>
      <c r="G275" s="93">
        <v>16238</v>
      </c>
      <c r="H275" s="94"/>
      <c r="I275" s="93" t="s">
        <v>506</v>
      </c>
      <c r="J275" s="93">
        <v>1</v>
      </c>
      <c r="K275" s="93">
        <v>1700</v>
      </c>
      <c r="L275" s="93">
        <v>160</v>
      </c>
      <c r="M275" s="17"/>
      <c r="N275" s="93" t="s">
        <v>506</v>
      </c>
      <c r="O275" s="93">
        <v>1</v>
      </c>
      <c r="P275" s="93">
        <v>1700</v>
      </c>
      <c r="Q275" s="93">
        <v>160</v>
      </c>
      <c r="R275" s="69"/>
    </row>
    <row r="276" spans="2:18">
      <c r="B276" s="68"/>
      <c r="C276" s="93">
        <v>5</v>
      </c>
      <c r="D276" s="93" t="s">
        <v>1783</v>
      </c>
      <c r="E276" s="93">
        <v>59</v>
      </c>
      <c r="F276" s="93">
        <v>341990</v>
      </c>
      <c r="G276" s="93">
        <v>16078</v>
      </c>
      <c r="H276" s="94"/>
      <c r="I276" s="93" t="s">
        <v>507</v>
      </c>
      <c r="J276" s="93">
        <v>1</v>
      </c>
      <c r="K276" s="93">
        <v>1700</v>
      </c>
      <c r="L276" s="93">
        <v>160</v>
      </c>
      <c r="M276" s="17"/>
      <c r="N276" s="93" t="s">
        <v>507</v>
      </c>
      <c r="O276" s="93">
        <v>1</v>
      </c>
      <c r="P276" s="93">
        <v>1700</v>
      </c>
      <c r="Q276" s="93">
        <v>160</v>
      </c>
      <c r="R276" s="69"/>
    </row>
    <row r="277" spans="2:18">
      <c r="B277" s="68"/>
      <c r="C277" s="93">
        <v>5</v>
      </c>
      <c r="D277" s="93" t="s">
        <v>1783</v>
      </c>
      <c r="E277" s="93">
        <v>58</v>
      </c>
      <c r="F277" s="93">
        <v>339990</v>
      </c>
      <c r="G277" s="93">
        <v>16078</v>
      </c>
      <c r="H277" s="94"/>
      <c r="I277" s="93" t="s">
        <v>508</v>
      </c>
      <c r="J277" s="93">
        <v>1</v>
      </c>
      <c r="K277" s="93">
        <v>2000</v>
      </c>
      <c r="L277" s="93">
        <v>0</v>
      </c>
      <c r="M277" s="17"/>
      <c r="N277" s="93" t="s">
        <v>508</v>
      </c>
      <c r="O277" s="93">
        <v>1</v>
      </c>
      <c r="P277" s="93">
        <v>2000</v>
      </c>
      <c r="Q277" s="93">
        <v>0</v>
      </c>
      <c r="R277" s="69"/>
    </row>
    <row r="278" spans="2:18">
      <c r="B278" s="68"/>
      <c r="C278" s="93">
        <v>5</v>
      </c>
      <c r="D278" s="93" t="s">
        <v>1783</v>
      </c>
      <c r="E278" s="93">
        <v>57</v>
      </c>
      <c r="F278" s="93">
        <v>338290</v>
      </c>
      <c r="G278" s="93">
        <v>15918</v>
      </c>
      <c r="H278" s="94"/>
      <c r="I278" s="93" t="s">
        <v>509</v>
      </c>
      <c r="J278" s="93">
        <v>1</v>
      </c>
      <c r="K278" s="93">
        <v>1700</v>
      </c>
      <c r="L278" s="93">
        <v>160</v>
      </c>
      <c r="M278" s="17"/>
      <c r="N278" s="93" t="s">
        <v>509</v>
      </c>
      <c r="O278" s="93">
        <v>1</v>
      </c>
      <c r="P278" s="93">
        <v>1700</v>
      </c>
      <c r="Q278" s="93">
        <v>160</v>
      </c>
      <c r="R278" s="69"/>
    </row>
    <row r="279" spans="2:18">
      <c r="B279" s="68"/>
      <c r="C279" s="93">
        <v>5</v>
      </c>
      <c r="D279" s="93" t="s">
        <v>1783</v>
      </c>
      <c r="E279" s="93">
        <v>56</v>
      </c>
      <c r="F279" s="93">
        <v>336590</v>
      </c>
      <c r="G279" s="93">
        <v>15758</v>
      </c>
      <c r="H279" s="94"/>
      <c r="I279" s="93" t="s">
        <v>510</v>
      </c>
      <c r="J279" s="93">
        <v>1</v>
      </c>
      <c r="K279" s="93">
        <v>1700</v>
      </c>
      <c r="L279" s="93">
        <v>160</v>
      </c>
      <c r="M279" s="17"/>
      <c r="N279" s="93" t="s">
        <v>510</v>
      </c>
      <c r="O279" s="93">
        <v>1</v>
      </c>
      <c r="P279" s="93">
        <v>1700</v>
      </c>
      <c r="Q279" s="93">
        <v>160</v>
      </c>
      <c r="R279" s="69"/>
    </row>
    <row r="280" spans="2:18">
      <c r="B280" s="68"/>
      <c r="C280" s="93">
        <v>5</v>
      </c>
      <c r="D280" s="93" t="s">
        <v>1783</v>
      </c>
      <c r="E280" s="93">
        <v>55</v>
      </c>
      <c r="F280" s="93">
        <v>334890</v>
      </c>
      <c r="G280" s="93">
        <v>15598</v>
      </c>
      <c r="H280" s="94"/>
      <c r="I280" s="93" t="s">
        <v>511</v>
      </c>
      <c r="J280" s="93">
        <v>1</v>
      </c>
      <c r="K280" s="93">
        <v>1700</v>
      </c>
      <c r="L280" s="93">
        <v>160</v>
      </c>
      <c r="M280" s="17"/>
      <c r="N280" s="93" t="s">
        <v>511</v>
      </c>
      <c r="O280" s="93">
        <v>1</v>
      </c>
      <c r="P280" s="93">
        <v>1700</v>
      </c>
      <c r="Q280" s="93">
        <v>160</v>
      </c>
      <c r="R280" s="69"/>
    </row>
    <row r="281" spans="2:18">
      <c r="B281" s="68"/>
      <c r="C281" s="93">
        <v>5</v>
      </c>
      <c r="D281" s="93" t="s">
        <v>1783</v>
      </c>
      <c r="E281" s="93">
        <v>54</v>
      </c>
      <c r="F281" s="93">
        <v>333190</v>
      </c>
      <c r="G281" s="93">
        <v>15438</v>
      </c>
      <c r="H281" s="94"/>
      <c r="I281" s="93" t="s">
        <v>512</v>
      </c>
      <c r="J281" s="93">
        <v>1</v>
      </c>
      <c r="K281" s="93">
        <v>1700</v>
      </c>
      <c r="L281" s="93">
        <v>160</v>
      </c>
      <c r="M281" s="17"/>
      <c r="N281" s="93" t="s">
        <v>512</v>
      </c>
      <c r="O281" s="93">
        <v>1</v>
      </c>
      <c r="P281" s="93">
        <v>1700</v>
      </c>
      <c r="Q281" s="93">
        <v>160</v>
      </c>
      <c r="R281" s="69"/>
    </row>
    <row r="282" spans="2:18">
      <c r="B282" s="68"/>
      <c r="C282" s="93">
        <v>5</v>
      </c>
      <c r="D282" s="93" t="s">
        <v>1783</v>
      </c>
      <c r="E282" s="93">
        <v>52</v>
      </c>
      <c r="F282" s="93">
        <v>325690</v>
      </c>
      <c r="G282" s="93">
        <v>15406</v>
      </c>
      <c r="H282" s="94"/>
      <c r="I282" s="93" t="s">
        <v>513</v>
      </c>
      <c r="J282" s="93">
        <v>2</v>
      </c>
      <c r="K282" s="93">
        <v>7500</v>
      </c>
      <c r="L282" s="93">
        <v>32</v>
      </c>
      <c r="M282" s="17"/>
      <c r="N282" s="93" t="s">
        <v>513</v>
      </c>
      <c r="O282" s="93">
        <v>2</v>
      </c>
      <c r="P282" s="93">
        <v>7500</v>
      </c>
      <c r="Q282" s="93">
        <v>32</v>
      </c>
      <c r="R282" s="69"/>
    </row>
    <row r="283" spans="2:18">
      <c r="B283" s="68"/>
      <c r="C283" s="93">
        <v>5</v>
      </c>
      <c r="D283" s="93" t="s">
        <v>1783</v>
      </c>
      <c r="E283" s="93">
        <v>51</v>
      </c>
      <c r="F283" s="93">
        <v>323990</v>
      </c>
      <c r="G283" s="93">
        <v>15246</v>
      </c>
      <c r="H283" s="94"/>
      <c r="I283" s="93" t="s">
        <v>514</v>
      </c>
      <c r="J283" s="93">
        <v>1</v>
      </c>
      <c r="K283" s="93">
        <v>1700</v>
      </c>
      <c r="L283" s="93">
        <v>160</v>
      </c>
      <c r="M283" s="17"/>
      <c r="N283" s="93" t="s">
        <v>514</v>
      </c>
      <c r="O283" s="93">
        <v>1</v>
      </c>
      <c r="P283" s="93">
        <v>1700</v>
      </c>
      <c r="Q283" s="93">
        <v>160</v>
      </c>
      <c r="R283" s="69"/>
    </row>
    <row r="284" spans="2:18">
      <c r="B284" s="68"/>
      <c r="C284" s="93">
        <v>5</v>
      </c>
      <c r="D284" s="93" t="s">
        <v>1783</v>
      </c>
      <c r="E284" s="93">
        <v>50</v>
      </c>
      <c r="F284" s="93">
        <v>323375</v>
      </c>
      <c r="G284" s="93">
        <v>15086</v>
      </c>
      <c r="H284" s="94"/>
      <c r="I284" s="93" t="s">
        <v>515</v>
      </c>
      <c r="J284" s="93">
        <v>1</v>
      </c>
      <c r="K284" s="93">
        <v>615</v>
      </c>
      <c r="L284" s="93">
        <v>160</v>
      </c>
      <c r="M284" s="17"/>
      <c r="N284" s="93" t="s">
        <v>515</v>
      </c>
      <c r="O284" s="93">
        <v>1</v>
      </c>
      <c r="P284" s="93">
        <v>615</v>
      </c>
      <c r="Q284" s="93">
        <v>160</v>
      </c>
      <c r="R284" s="69"/>
    </row>
    <row r="285" spans="2:18">
      <c r="B285" s="68"/>
      <c r="C285" s="93">
        <v>5</v>
      </c>
      <c r="D285" s="93" t="s">
        <v>1783</v>
      </c>
      <c r="E285" s="93">
        <v>49</v>
      </c>
      <c r="F285" s="93">
        <v>321675</v>
      </c>
      <c r="G285" s="93">
        <v>14926</v>
      </c>
      <c r="H285" s="94"/>
      <c r="I285" s="93" t="s">
        <v>516</v>
      </c>
      <c r="J285" s="93">
        <v>1</v>
      </c>
      <c r="K285" s="93">
        <v>1700</v>
      </c>
      <c r="L285" s="93">
        <v>160</v>
      </c>
      <c r="M285" s="17"/>
      <c r="N285" s="93" t="s">
        <v>516</v>
      </c>
      <c r="O285" s="93">
        <v>1</v>
      </c>
      <c r="P285" s="93">
        <v>1700</v>
      </c>
      <c r="Q285" s="93">
        <v>160</v>
      </c>
      <c r="R285" s="69"/>
    </row>
    <row r="286" spans="2:18">
      <c r="B286" s="68"/>
      <c r="C286" s="93">
        <v>5</v>
      </c>
      <c r="D286" s="93" t="s">
        <v>1783</v>
      </c>
      <c r="E286" s="93">
        <v>47</v>
      </c>
      <c r="F286" s="93">
        <v>314175</v>
      </c>
      <c r="G286" s="93">
        <v>14894</v>
      </c>
      <c r="H286" s="94"/>
      <c r="I286" s="93" t="s">
        <v>517</v>
      </c>
      <c r="J286" s="93">
        <v>2</v>
      </c>
      <c r="K286" s="93">
        <v>7500</v>
      </c>
      <c r="L286" s="93">
        <v>32</v>
      </c>
      <c r="M286" s="17"/>
      <c r="N286" s="93" t="s">
        <v>517</v>
      </c>
      <c r="O286" s="93">
        <v>2</v>
      </c>
      <c r="P286" s="93">
        <v>7500</v>
      </c>
      <c r="Q286" s="93">
        <v>32</v>
      </c>
      <c r="R286" s="69"/>
    </row>
    <row r="287" spans="2:18">
      <c r="B287" s="68"/>
      <c r="C287" s="93">
        <v>5</v>
      </c>
      <c r="D287" s="93" t="s">
        <v>1783</v>
      </c>
      <c r="E287" s="93">
        <v>46</v>
      </c>
      <c r="F287" s="93">
        <v>312175</v>
      </c>
      <c r="G287" s="93">
        <v>14894</v>
      </c>
      <c r="H287" s="94"/>
      <c r="I287" s="93" t="s">
        <v>518</v>
      </c>
      <c r="J287" s="93">
        <v>1</v>
      </c>
      <c r="K287" s="93">
        <v>2000</v>
      </c>
      <c r="L287" s="93">
        <v>0</v>
      </c>
      <c r="M287" s="17"/>
      <c r="N287" s="93" t="s">
        <v>518</v>
      </c>
      <c r="O287" s="93">
        <v>1</v>
      </c>
      <c r="P287" s="93">
        <v>2000</v>
      </c>
      <c r="Q287" s="93">
        <v>0</v>
      </c>
      <c r="R287" s="69"/>
    </row>
    <row r="288" spans="2:18">
      <c r="B288" s="68"/>
      <c r="C288" s="93">
        <v>5</v>
      </c>
      <c r="D288" s="93" t="s">
        <v>1783</v>
      </c>
      <c r="E288" s="93">
        <v>45</v>
      </c>
      <c r="F288" s="93">
        <v>310175</v>
      </c>
      <c r="G288" s="93">
        <v>14894</v>
      </c>
      <c r="H288" s="94"/>
      <c r="I288" s="93" t="s">
        <v>519</v>
      </c>
      <c r="J288" s="93">
        <v>1</v>
      </c>
      <c r="K288" s="93">
        <v>2000</v>
      </c>
      <c r="L288" s="93">
        <v>0</v>
      </c>
      <c r="M288" s="17"/>
      <c r="N288" s="93" t="s">
        <v>519</v>
      </c>
      <c r="O288" s="93">
        <v>1</v>
      </c>
      <c r="P288" s="93">
        <v>2000</v>
      </c>
      <c r="Q288" s="93">
        <v>0</v>
      </c>
      <c r="R288" s="69"/>
    </row>
    <row r="289" spans="2:18">
      <c r="B289" s="68"/>
      <c r="C289" s="93">
        <v>5</v>
      </c>
      <c r="D289" s="93" t="s">
        <v>1783</v>
      </c>
      <c r="E289" s="93">
        <v>44</v>
      </c>
      <c r="F289" s="93">
        <v>308475</v>
      </c>
      <c r="G289" s="93">
        <v>14734</v>
      </c>
      <c r="H289" s="94"/>
      <c r="I289" s="93" t="s">
        <v>520</v>
      </c>
      <c r="J289" s="93">
        <v>1</v>
      </c>
      <c r="K289" s="93">
        <v>1700</v>
      </c>
      <c r="L289" s="93">
        <v>160</v>
      </c>
      <c r="M289" s="17"/>
      <c r="N289" s="93" t="s">
        <v>520</v>
      </c>
      <c r="O289" s="93">
        <v>1</v>
      </c>
      <c r="P289" s="93">
        <v>1700</v>
      </c>
      <c r="Q289" s="93">
        <v>160</v>
      </c>
      <c r="R289" s="69"/>
    </row>
    <row r="290" spans="2:18">
      <c r="B290" s="68"/>
      <c r="C290" s="93">
        <v>5</v>
      </c>
      <c r="D290" s="93" t="s">
        <v>1783</v>
      </c>
      <c r="E290" s="93">
        <v>40</v>
      </c>
      <c r="F290" s="93">
        <v>293475</v>
      </c>
      <c r="G290" s="93">
        <v>14654</v>
      </c>
      <c r="H290" s="94"/>
      <c r="I290" s="93" t="s">
        <v>521</v>
      </c>
      <c r="J290" s="93">
        <v>4</v>
      </c>
      <c r="K290" s="93">
        <v>15000</v>
      </c>
      <c r="L290" s="93">
        <v>80</v>
      </c>
      <c r="M290" s="17"/>
      <c r="N290" s="93" t="s">
        <v>521</v>
      </c>
      <c r="O290" s="93">
        <v>4</v>
      </c>
      <c r="P290" s="93">
        <v>15000</v>
      </c>
      <c r="Q290" s="93">
        <v>80</v>
      </c>
      <c r="R290" s="69"/>
    </row>
    <row r="291" spans="2:18">
      <c r="B291" s="68"/>
      <c r="C291" s="93">
        <v>5</v>
      </c>
      <c r="D291" s="93" t="s">
        <v>1783</v>
      </c>
      <c r="E291" s="93">
        <v>38</v>
      </c>
      <c r="F291" s="93">
        <v>289475</v>
      </c>
      <c r="G291" s="93">
        <v>14654</v>
      </c>
      <c r="H291" s="94"/>
      <c r="I291" s="93" t="s">
        <v>523</v>
      </c>
      <c r="J291" s="93">
        <v>2</v>
      </c>
      <c r="K291" s="93">
        <v>4000</v>
      </c>
      <c r="L291" s="93">
        <v>0</v>
      </c>
      <c r="M291" s="17"/>
      <c r="N291" s="93" t="s">
        <v>523</v>
      </c>
      <c r="O291" s="93">
        <v>2</v>
      </c>
      <c r="P291" s="93">
        <v>4000</v>
      </c>
      <c r="Q291" s="93">
        <v>0</v>
      </c>
      <c r="R291" s="69"/>
    </row>
    <row r="292" spans="2:18">
      <c r="B292" s="68"/>
      <c r="C292" s="93">
        <v>5</v>
      </c>
      <c r="D292" s="93" t="s">
        <v>1783</v>
      </c>
      <c r="E292" s="93">
        <v>37</v>
      </c>
      <c r="F292" s="93">
        <v>285725</v>
      </c>
      <c r="G292" s="93">
        <v>14244</v>
      </c>
      <c r="H292" s="94"/>
      <c r="I292" s="93" t="s">
        <v>524</v>
      </c>
      <c r="J292" s="93">
        <v>1</v>
      </c>
      <c r="K292" s="93">
        <v>3750</v>
      </c>
      <c r="L292" s="93">
        <v>410</v>
      </c>
      <c r="M292" s="17"/>
      <c r="N292" s="93" t="s">
        <v>524</v>
      </c>
      <c r="O292" s="93">
        <v>1</v>
      </c>
      <c r="P292" s="93">
        <v>3750</v>
      </c>
      <c r="Q292" s="93">
        <v>410</v>
      </c>
      <c r="R292" s="69"/>
    </row>
    <row r="293" spans="2:18">
      <c r="B293" s="68"/>
      <c r="C293" s="93">
        <v>5</v>
      </c>
      <c r="D293" s="93" t="s">
        <v>1783</v>
      </c>
      <c r="E293" s="93">
        <v>36</v>
      </c>
      <c r="F293" s="93">
        <v>284025</v>
      </c>
      <c r="G293" s="93">
        <v>14084</v>
      </c>
      <c r="H293" s="94"/>
      <c r="I293" s="93" t="s">
        <v>525</v>
      </c>
      <c r="J293" s="93">
        <v>1</v>
      </c>
      <c r="K293" s="93">
        <v>1700</v>
      </c>
      <c r="L293" s="93">
        <v>160</v>
      </c>
      <c r="M293" s="17"/>
      <c r="N293" s="93" t="s">
        <v>525</v>
      </c>
      <c r="O293" s="93">
        <v>1</v>
      </c>
      <c r="P293" s="93">
        <v>1700</v>
      </c>
      <c r="Q293" s="93">
        <v>160</v>
      </c>
      <c r="R293" s="69"/>
    </row>
    <row r="294" spans="2:18">
      <c r="B294" s="68"/>
      <c r="C294" s="93">
        <v>5</v>
      </c>
      <c r="D294" s="93" t="s">
        <v>1783</v>
      </c>
      <c r="E294" s="93">
        <v>28</v>
      </c>
      <c r="F294" s="93">
        <v>254025</v>
      </c>
      <c r="G294" s="93">
        <v>13924</v>
      </c>
      <c r="H294" s="94"/>
      <c r="I294" s="93" t="s">
        <v>526</v>
      </c>
      <c r="J294" s="93">
        <v>8</v>
      </c>
      <c r="K294" s="93">
        <v>30000</v>
      </c>
      <c r="L294" s="93">
        <v>160</v>
      </c>
      <c r="M294" s="17"/>
      <c r="N294" s="93" t="s">
        <v>526</v>
      </c>
      <c r="O294" s="93">
        <v>8</v>
      </c>
      <c r="P294" s="93">
        <v>30000</v>
      </c>
      <c r="Q294" s="93">
        <v>160</v>
      </c>
      <c r="R294" s="69"/>
    </row>
    <row r="295" spans="2:18">
      <c r="B295" s="68"/>
      <c r="C295" s="93">
        <v>5</v>
      </c>
      <c r="D295" s="93" t="s">
        <v>1783</v>
      </c>
      <c r="E295" s="93">
        <v>27</v>
      </c>
      <c r="F295" s="93">
        <v>252325</v>
      </c>
      <c r="G295" s="93">
        <v>13764</v>
      </c>
      <c r="H295" s="94"/>
      <c r="I295" s="93" t="s">
        <v>527</v>
      </c>
      <c r="J295" s="93">
        <v>1</v>
      </c>
      <c r="K295" s="93">
        <v>1700</v>
      </c>
      <c r="L295" s="93">
        <v>160</v>
      </c>
      <c r="M295" s="17"/>
      <c r="N295" s="93" t="s">
        <v>527</v>
      </c>
      <c r="O295" s="93">
        <v>1</v>
      </c>
      <c r="P295" s="93">
        <v>1700</v>
      </c>
      <c r="Q295" s="93">
        <v>160</v>
      </c>
      <c r="R295" s="69"/>
    </row>
    <row r="296" spans="2:18">
      <c r="B296" s="68"/>
      <c r="C296" s="93">
        <v>5</v>
      </c>
      <c r="D296" s="93" t="s">
        <v>1783</v>
      </c>
      <c r="E296" s="93">
        <v>26</v>
      </c>
      <c r="F296" s="93">
        <v>250325</v>
      </c>
      <c r="G296" s="93">
        <v>13764</v>
      </c>
      <c r="H296" s="94"/>
      <c r="I296" s="93" t="s">
        <v>528</v>
      </c>
      <c r="J296" s="93">
        <v>1</v>
      </c>
      <c r="K296" s="93">
        <v>2000</v>
      </c>
      <c r="L296" s="93">
        <v>0</v>
      </c>
      <c r="M296" s="17"/>
      <c r="N296" s="93" t="s">
        <v>528</v>
      </c>
      <c r="O296" s="93">
        <v>1</v>
      </c>
      <c r="P296" s="93">
        <v>2000</v>
      </c>
      <c r="Q296" s="93">
        <v>0</v>
      </c>
      <c r="R296" s="69"/>
    </row>
    <row r="297" spans="2:18">
      <c r="B297" s="68"/>
      <c r="C297" s="93">
        <v>5</v>
      </c>
      <c r="D297" s="93" t="s">
        <v>1783</v>
      </c>
      <c r="E297" s="93">
        <v>25</v>
      </c>
      <c r="F297" s="93">
        <v>248625</v>
      </c>
      <c r="G297" s="93">
        <v>13604</v>
      </c>
      <c r="H297" s="94"/>
      <c r="I297" s="93" t="s">
        <v>529</v>
      </c>
      <c r="J297" s="93">
        <v>1</v>
      </c>
      <c r="K297" s="93">
        <v>1700</v>
      </c>
      <c r="L297" s="93">
        <v>160</v>
      </c>
      <c r="M297" s="17"/>
      <c r="N297" s="93" t="s">
        <v>529</v>
      </c>
      <c r="O297" s="93">
        <v>1</v>
      </c>
      <c r="P297" s="93">
        <v>1700</v>
      </c>
      <c r="Q297" s="93">
        <v>160</v>
      </c>
      <c r="R297" s="69"/>
    </row>
    <row r="298" spans="2:18">
      <c r="B298" s="68"/>
      <c r="C298" s="93">
        <v>5</v>
      </c>
      <c r="D298" s="93" t="s">
        <v>1783</v>
      </c>
      <c r="E298" s="93">
        <v>21</v>
      </c>
      <c r="F298" s="93">
        <v>233625</v>
      </c>
      <c r="G298" s="93">
        <v>13524</v>
      </c>
      <c r="H298" s="94"/>
      <c r="I298" s="93" t="s">
        <v>530</v>
      </c>
      <c r="J298" s="93">
        <v>4</v>
      </c>
      <c r="K298" s="93">
        <v>15000</v>
      </c>
      <c r="L298" s="93">
        <v>80</v>
      </c>
      <c r="M298" s="17"/>
      <c r="N298" s="93" t="s">
        <v>530</v>
      </c>
      <c r="O298" s="93">
        <v>4</v>
      </c>
      <c r="P298" s="93">
        <v>15000</v>
      </c>
      <c r="Q298" s="93">
        <v>80</v>
      </c>
      <c r="R298" s="69"/>
    </row>
    <row r="299" spans="2:18">
      <c r="B299" s="68"/>
      <c r="C299" s="93">
        <v>5</v>
      </c>
      <c r="D299" s="93" t="s">
        <v>1783</v>
      </c>
      <c r="E299" s="93">
        <v>19</v>
      </c>
      <c r="F299" s="93">
        <v>229875</v>
      </c>
      <c r="G299" s="93">
        <v>13492</v>
      </c>
      <c r="H299" s="94"/>
      <c r="I299" s="93" t="s">
        <v>531</v>
      </c>
      <c r="J299" s="93">
        <v>2</v>
      </c>
      <c r="K299" s="93">
        <v>3750</v>
      </c>
      <c r="L299" s="93">
        <v>32</v>
      </c>
      <c r="M299" s="17"/>
      <c r="N299" s="93" t="s">
        <v>531</v>
      </c>
      <c r="O299" s="93">
        <v>2</v>
      </c>
      <c r="P299" s="93">
        <v>3750</v>
      </c>
      <c r="Q299" s="93">
        <v>32</v>
      </c>
      <c r="R299" s="69"/>
    </row>
    <row r="300" spans="2:18">
      <c r="B300" s="68"/>
      <c r="C300" s="93">
        <v>5</v>
      </c>
      <c r="D300" s="93" t="s">
        <v>1783</v>
      </c>
      <c r="E300" s="93">
        <v>17</v>
      </c>
      <c r="F300" s="93">
        <v>226125</v>
      </c>
      <c r="G300" s="93">
        <v>13460</v>
      </c>
      <c r="H300" s="94"/>
      <c r="I300" s="93" t="s">
        <v>532</v>
      </c>
      <c r="J300" s="93">
        <v>2</v>
      </c>
      <c r="K300" s="93">
        <v>3750</v>
      </c>
      <c r="L300" s="93">
        <v>32</v>
      </c>
      <c r="M300" s="17"/>
      <c r="N300" s="93" t="s">
        <v>532</v>
      </c>
      <c r="O300" s="93">
        <v>2</v>
      </c>
      <c r="P300" s="93">
        <v>3750</v>
      </c>
      <c r="Q300" s="93">
        <v>32</v>
      </c>
      <c r="R300" s="69"/>
    </row>
    <row r="301" spans="2:18">
      <c r="B301" s="68"/>
      <c r="C301" s="93">
        <v>5</v>
      </c>
      <c r="D301" s="93" t="s">
        <v>1783</v>
      </c>
      <c r="E301" s="93">
        <v>16</v>
      </c>
      <c r="F301" s="93">
        <v>222375</v>
      </c>
      <c r="G301" s="93">
        <v>13456</v>
      </c>
      <c r="H301" s="94"/>
      <c r="I301" s="93" t="s">
        <v>533</v>
      </c>
      <c r="J301" s="93">
        <v>1</v>
      </c>
      <c r="K301" s="93">
        <v>3750</v>
      </c>
      <c r="L301" s="93">
        <v>4</v>
      </c>
      <c r="M301" s="17"/>
      <c r="N301" s="93" t="s">
        <v>533</v>
      </c>
      <c r="O301" s="93">
        <v>1</v>
      </c>
      <c r="P301" s="93">
        <v>3750</v>
      </c>
      <c r="Q301" s="93">
        <v>4</v>
      </c>
      <c r="R301" s="69"/>
    </row>
    <row r="302" spans="2:18">
      <c r="B302" s="68"/>
      <c r="C302" s="93">
        <v>5</v>
      </c>
      <c r="D302" s="93" t="s">
        <v>1783</v>
      </c>
      <c r="E302" s="93">
        <v>15</v>
      </c>
      <c r="F302" s="93">
        <v>220375</v>
      </c>
      <c r="G302" s="93">
        <v>13456</v>
      </c>
      <c r="H302" s="94"/>
      <c r="I302" s="93" t="s">
        <v>534</v>
      </c>
      <c r="J302" s="93">
        <v>1</v>
      </c>
      <c r="K302" s="93">
        <v>2000</v>
      </c>
      <c r="L302" s="93">
        <v>0</v>
      </c>
      <c r="M302" s="17"/>
      <c r="N302" s="93" t="s">
        <v>534</v>
      </c>
      <c r="O302" s="93">
        <v>1</v>
      </c>
      <c r="P302" s="93">
        <v>2000</v>
      </c>
      <c r="Q302" s="93">
        <v>0</v>
      </c>
      <c r="R302" s="69"/>
    </row>
    <row r="303" spans="2:18">
      <c r="B303" s="68"/>
      <c r="C303" s="93">
        <v>5</v>
      </c>
      <c r="D303" s="93" t="s">
        <v>1783</v>
      </c>
      <c r="E303" s="93">
        <v>14</v>
      </c>
      <c r="F303" s="93">
        <v>218675</v>
      </c>
      <c r="G303" s="93">
        <v>13296</v>
      </c>
      <c r="H303" s="94"/>
      <c r="I303" s="93" t="s">
        <v>535</v>
      </c>
      <c r="J303" s="93">
        <v>1</v>
      </c>
      <c r="K303" s="93">
        <v>1700</v>
      </c>
      <c r="L303" s="93">
        <v>160</v>
      </c>
      <c r="M303" s="17"/>
      <c r="N303" s="93" t="s">
        <v>535</v>
      </c>
      <c r="O303" s="93">
        <v>1</v>
      </c>
      <c r="P303" s="93">
        <v>1700</v>
      </c>
      <c r="Q303" s="93">
        <v>160</v>
      </c>
      <c r="R303" s="69"/>
    </row>
    <row r="304" spans="2:18">
      <c r="B304" s="68"/>
      <c r="C304" s="93">
        <v>5</v>
      </c>
      <c r="D304" s="93" t="s">
        <v>1783</v>
      </c>
      <c r="E304" s="93">
        <v>13</v>
      </c>
      <c r="F304" s="93">
        <v>216675</v>
      </c>
      <c r="G304" s="93">
        <v>13296</v>
      </c>
      <c r="H304" s="94"/>
      <c r="I304" s="93" t="s">
        <v>536</v>
      </c>
      <c r="J304" s="93">
        <v>1</v>
      </c>
      <c r="K304" s="93">
        <v>2000</v>
      </c>
      <c r="L304" s="93">
        <v>0</v>
      </c>
      <c r="M304" s="17"/>
      <c r="N304" s="93" t="s">
        <v>536</v>
      </c>
      <c r="O304" s="93">
        <v>1</v>
      </c>
      <c r="P304" s="93">
        <v>2000</v>
      </c>
      <c r="Q304" s="93">
        <v>0</v>
      </c>
      <c r="R304" s="69"/>
    </row>
    <row r="305" spans="2:18">
      <c r="B305" s="68"/>
      <c r="C305" s="93">
        <v>5</v>
      </c>
      <c r="D305" s="93" t="s">
        <v>1783</v>
      </c>
      <c r="E305" s="93">
        <v>12</v>
      </c>
      <c r="F305" s="93">
        <v>214975</v>
      </c>
      <c r="G305" s="93">
        <v>13136</v>
      </c>
      <c r="H305" s="94"/>
      <c r="I305" s="93" t="s">
        <v>537</v>
      </c>
      <c r="J305" s="93">
        <v>1</v>
      </c>
      <c r="K305" s="93">
        <v>1700</v>
      </c>
      <c r="L305" s="93">
        <v>160</v>
      </c>
      <c r="M305" s="17"/>
      <c r="N305" s="93" t="s">
        <v>537</v>
      </c>
      <c r="O305" s="93">
        <v>1</v>
      </c>
      <c r="P305" s="93">
        <v>1700</v>
      </c>
      <c r="Q305" s="93">
        <v>160</v>
      </c>
      <c r="R305" s="69"/>
    </row>
    <row r="306" spans="2:18">
      <c r="B306" s="68"/>
      <c r="C306" s="93">
        <v>5</v>
      </c>
      <c r="D306" s="93" t="s">
        <v>1783</v>
      </c>
      <c r="E306" s="93">
        <v>11</v>
      </c>
      <c r="F306" s="93">
        <v>212975</v>
      </c>
      <c r="G306" s="93">
        <v>13136</v>
      </c>
      <c r="H306" s="94"/>
      <c r="I306" s="93" t="s">
        <v>538</v>
      </c>
      <c r="J306" s="93">
        <v>1</v>
      </c>
      <c r="K306" s="93">
        <v>2000</v>
      </c>
      <c r="L306" s="93">
        <v>0</v>
      </c>
      <c r="M306" s="17"/>
      <c r="N306" s="93" t="s">
        <v>538</v>
      </c>
      <c r="O306" s="93">
        <v>1</v>
      </c>
      <c r="P306" s="93">
        <v>2000</v>
      </c>
      <c r="Q306" s="93">
        <v>0</v>
      </c>
      <c r="R306" s="69"/>
    </row>
    <row r="307" spans="2:18">
      <c r="B307" s="68"/>
      <c r="C307" s="93">
        <v>5</v>
      </c>
      <c r="D307" s="93" t="s">
        <v>1783</v>
      </c>
      <c r="E307" s="93">
        <v>10</v>
      </c>
      <c r="F307" s="93">
        <v>211275</v>
      </c>
      <c r="G307" s="93">
        <v>12976</v>
      </c>
      <c r="H307" s="94"/>
      <c r="I307" s="93" t="s">
        <v>539</v>
      </c>
      <c r="J307" s="93">
        <v>1</v>
      </c>
      <c r="K307" s="93">
        <v>1700</v>
      </c>
      <c r="L307" s="93">
        <v>160</v>
      </c>
      <c r="M307" s="17"/>
      <c r="N307" s="93" t="s">
        <v>539</v>
      </c>
      <c r="O307" s="93">
        <v>1</v>
      </c>
      <c r="P307" s="93">
        <v>1700</v>
      </c>
      <c r="Q307" s="93">
        <v>160</v>
      </c>
      <c r="R307" s="69"/>
    </row>
    <row r="308" spans="2:18">
      <c r="B308" s="68"/>
      <c r="C308" s="93">
        <v>5</v>
      </c>
      <c r="D308" s="93" t="s">
        <v>1783</v>
      </c>
      <c r="E308" s="93">
        <v>9</v>
      </c>
      <c r="F308" s="93">
        <v>209575</v>
      </c>
      <c r="G308" s="93">
        <v>12816</v>
      </c>
      <c r="H308" s="94"/>
      <c r="I308" s="93" t="s">
        <v>540</v>
      </c>
      <c r="J308" s="93">
        <v>1</v>
      </c>
      <c r="K308" s="93">
        <v>1700</v>
      </c>
      <c r="L308" s="93">
        <v>160</v>
      </c>
      <c r="M308" s="17"/>
      <c r="N308" s="93" t="s">
        <v>540</v>
      </c>
      <c r="O308" s="93">
        <v>1</v>
      </c>
      <c r="P308" s="93">
        <v>1700</v>
      </c>
      <c r="Q308" s="93">
        <v>160</v>
      </c>
      <c r="R308" s="69"/>
    </row>
    <row r="309" spans="2:18">
      <c r="B309" s="68"/>
      <c r="C309" s="93">
        <v>5</v>
      </c>
      <c r="D309" s="93" t="s">
        <v>1783</v>
      </c>
      <c r="E309" s="93">
        <v>8</v>
      </c>
      <c r="F309" s="93">
        <v>207875</v>
      </c>
      <c r="G309" s="93">
        <v>12656</v>
      </c>
      <c r="H309" s="94"/>
      <c r="I309" s="93" t="s">
        <v>542</v>
      </c>
      <c r="J309" s="93">
        <v>1</v>
      </c>
      <c r="K309" s="93">
        <v>1700</v>
      </c>
      <c r="L309" s="93">
        <v>160</v>
      </c>
      <c r="M309" s="17"/>
      <c r="N309" s="93" t="s">
        <v>542</v>
      </c>
      <c r="O309" s="93">
        <v>1</v>
      </c>
      <c r="P309" s="93">
        <v>1700</v>
      </c>
      <c r="Q309" s="93">
        <v>160</v>
      </c>
      <c r="R309" s="69"/>
    </row>
    <row r="310" spans="2:18">
      <c r="B310" s="68"/>
      <c r="C310" s="93">
        <v>5</v>
      </c>
      <c r="D310" s="93" t="s">
        <v>1783</v>
      </c>
      <c r="E310" s="93">
        <v>7</v>
      </c>
      <c r="F310" s="93">
        <v>206175</v>
      </c>
      <c r="G310" s="93">
        <v>12496</v>
      </c>
      <c r="H310" s="94"/>
      <c r="I310" s="93" t="s">
        <v>543</v>
      </c>
      <c r="J310" s="93">
        <v>1</v>
      </c>
      <c r="K310" s="93">
        <v>1700</v>
      </c>
      <c r="L310" s="93">
        <v>160</v>
      </c>
      <c r="M310" s="17"/>
      <c r="N310" s="93" t="s">
        <v>543</v>
      </c>
      <c r="O310" s="93">
        <v>1</v>
      </c>
      <c r="P310" s="93">
        <v>1700</v>
      </c>
      <c r="Q310" s="93">
        <v>160</v>
      </c>
      <c r="R310" s="69"/>
    </row>
    <row r="311" spans="2:18">
      <c r="B311" s="68"/>
      <c r="C311" s="93">
        <v>5</v>
      </c>
      <c r="D311" s="93" t="s">
        <v>1783</v>
      </c>
      <c r="E311" s="93">
        <v>6</v>
      </c>
      <c r="F311" s="93">
        <v>204175</v>
      </c>
      <c r="G311" s="93">
        <v>12496</v>
      </c>
      <c r="H311" s="94"/>
      <c r="I311" s="93" t="s">
        <v>544</v>
      </c>
      <c r="J311" s="93">
        <v>1</v>
      </c>
      <c r="K311" s="93">
        <v>2000</v>
      </c>
      <c r="L311" s="93">
        <v>0</v>
      </c>
      <c r="M311" s="17"/>
      <c r="N311" s="93" t="s">
        <v>544</v>
      </c>
      <c r="O311" s="93">
        <v>1</v>
      </c>
      <c r="P311" s="93">
        <v>2000</v>
      </c>
      <c r="Q311" s="93">
        <v>0</v>
      </c>
      <c r="R311" s="69"/>
    </row>
    <row r="312" spans="2:18">
      <c r="B312" s="68"/>
      <c r="C312" s="93">
        <v>5</v>
      </c>
      <c r="D312" s="93" t="s">
        <v>1783</v>
      </c>
      <c r="E312" s="93">
        <v>5</v>
      </c>
      <c r="F312" s="93">
        <v>202475</v>
      </c>
      <c r="G312" s="93">
        <v>12336</v>
      </c>
      <c r="H312" s="94"/>
      <c r="I312" s="93" t="s">
        <v>545</v>
      </c>
      <c r="J312" s="93">
        <v>1</v>
      </c>
      <c r="K312" s="93">
        <v>1700</v>
      </c>
      <c r="L312" s="93">
        <v>160</v>
      </c>
      <c r="M312" s="17"/>
      <c r="N312" s="93" t="s">
        <v>545</v>
      </c>
      <c r="O312" s="93">
        <v>1</v>
      </c>
      <c r="P312" s="93">
        <v>1700</v>
      </c>
      <c r="Q312" s="93">
        <v>160</v>
      </c>
      <c r="R312" s="69"/>
    </row>
    <row r="313" spans="2:18">
      <c r="B313" s="68"/>
      <c r="C313" s="93">
        <v>5</v>
      </c>
      <c r="D313" s="93" t="s">
        <v>1783</v>
      </c>
      <c r="E313" s="93">
        <v>3</v>
      </c>
      <c r="F313" s="93">
        <v>194975</v>
      </c>
      <c r="G313" s="93">
        <v>12304</v>
      </c>
      <c r="H313" s="94"/>
      <c r="I313" s="93" t="s">
        <v>546</v>
      </c>
      <c r="J313" s="93">
        <v>2</v>
      </c>
      <c r="K313" s="93">
        <v>7500</v>
      </c>
      <c r="L313" s="93">
        <v>32</v>
      </c>
      <c r="M313" s="17"/>
      <c r="N313" s="93" t="s">
        <v>546</v>
      </c>
      <c r="O313" s="93">
        <v>2</v>
      </c>
      <c r="P313" s="93">
        <v>7500</v>
      </c>
      <c r="Q313" s="93">
        <v>32</v>
      </c>
      <c r="R313" s="69"/>
    </row>
    <row r="314" spans="2:18">
      <c r="B314" s="68"/>
      <c r="C314" s="93">
        <v>6</v>
      </c>
      <c r="D314" s="93" t="s">
        <v>1784</v>
      </c>
      <c r="E314" s="93">
        <v>136</v>
      </c>
      <c r="F314" s="93">
        <v>507240</v>
      </c>
      <c r="G314" s="93">
        <v>19550</v>
      </c>
      <c r="H314" s="94"/>
      <c r="I314" s="93" t="s">
        <v>547</v>
      </c>
      <c r="J314" s="93">
        <v>4</v>
      </c>
      <c r="K314" s="93">
        <v>15000</v>
      </c>
      <c r="L314" s="93">
        <v>80</v>
      </c>
      <c r="M314" s="17"/>
      <c r="N314" s="93" t="s">
        <v>547</v>
      </c>
      <c r="O314" s="93">
        <v>4</v>
      </c>
      <c r="P314" s="93">
        <v>15000</v>
      </c>
      <c r="Q314" s="93">
        <v>80</v>
      </c>
      <c r="R314" s="69"/>
    </row>
    <row r="315" spans="2:18">
      <c r="B315" s="68"/>
      <c r="C315" s="93">
        <v>6</v>
      </c>
      <c r="D315" s="93" t="s">
        <v>1784</v>
      </c>
      <c r="E315" s="93">
        <v>132</v>
      </c>
      <c r="F315" s="93">
        <v>492240</v>
      </c>
      <c r="G315" s="93">
        <v>19470</v>
      </c>
      <c r="H315" s="94"/>
      <c r="I315" s="93" t="s">
        <v>548</v>
      </c>
      <c r="J315" s="93">
        <v>4</v>
      </c>
      <c r="K315" s="93">
        <v>15000</v>
      </c>
      <c r="L315" s="93">
        <v>80</v>
      </c>
      <c r="M315" s="17"/>
      <c r="N315" s="93" t="s">
        <v>548</v>
      </c>
      <c r="O315" s="93">
        <v>4</v>
      </c>
      <c r="P315" s="93">
        <v>15000</v>
      </c>
      <c r="Q315" s="93">
        <v>80</v>
      </c>
      <c r="R315" s="69"/>
    </row>
    <row r="316" spans="2:18">
      <c r="B316" s="68"/>
      <c r="C316" s="93">
        <v>5</v>
      </c>
      <c r="D316" s="93" t="s">
        <v>1783</v>
      </c>
      <c r="E316" s="93">
        <v>2</v>
      </c>
      <c r="F316" s="93">
        <v>193275</v>
      </c>
      <c r="G316" s="93">
        <v>12144</v>
      </c>
      <c r="H316" s="94"/>
      <c r="I316" s="93" t="s">
        <v>549</v>
      </c>
      <c r="J316" s="93">
        <v>1</v>
      </c>
      <c r="K316" s="93">
        <v>1700</v>
      </c>
      <c r="L316" s="93">
        <v>160</v>
      </c>
      <c r="M316" s="17"/>
      <c r="N316" s="93" t="s">
        <v>549</v>
      </c>
      <c r="O316" s="93">
        <v>1</v>
      </c>
      <c r="P316" s="93">
        <v>1700</v>
      </c>
      <c r="Q316" s="93">
        <v>160</v>
      </c>
      <c r="R316" s="69"/>
    </row>
    <row r="317" spans="2:18">
      <c r="B317" s="68"/>
      <c r="C317" s="93">
        <v>6</v>
      </c>
      <c r="D317" s="93" t="s">
        <v>1784</v>
      </c>
      <c r="E317" s="93">
        <v>130</v>
      </c>
      <c r="F317" s="93">
        <v>484740</v>
      </c>
      <c r="G317" s="93">
        <v>18620</v>
      </c>
      <c r="H317" s="94"/>
      <c r="I317" s="93" t="s">
        <v>550</v>
      </c>
      <c r="J317" s="93">
        <v>2</v>
      </c>
      <c r="K317" s="93">
        <v>7500</v>
      </c>
      <c r="L317" s="93">
        <v>850</v>
      </c>
      <c r="M317" s="17"/>
      <c r="N317" s="93" t="s">
        <v>550</v>
      </c>
      <c r="O317" s="93">
        <v>2</v>
      </c>
      <c r="P317" s="93">
        <v>7500</v>
      </c>
      <c r="Q317" s="93">
        <v>850</v>
      </c>
      <c r="R317" s="69"/>
    </row>
    <row r="318" spans="2:18">
      <c r="B318" s="68"/>
      <c r="C318" s="93">
        <v>5</v>
      </c>
      <c r="D318" s="93" t="s">
        <v>1783</v>
      </c>
      <c r="E318" s="93">
        <v>1</v>
      </c>
      <c r="F318" s="93">
        <v>191575</v>
      </c>
      <c r="G318" s="93">
        <v>11984</v>
      </c>
      <c r="H318" s="94"/>
      <c r="I318" s="93" t="s">
        <v>551</v>
      </c>
      <c r="J318" s="93">
        <v>1</v>
      </c>
      <c r="K318" s="93">
        <v>1700</v>
      </c>
      <c r="L318" s="93">
        <v>160</v>
      </c>
      <c r="M318" s="17"/>
      <c r="N318" s="93" t="s">
        <v>551</v>
      </c>
      <c r="O318" s="93">
        <v>1</v>
      </c>
      <c r="P318" s="93">
        <v>1700</v>
      </c>
      <c r="Q318" s="93">
        <v>160</v>
      </c>
      <c r="R318" s="69"/>
    </row>
    <row r="319" spans="2:18">
      <c r="B319" s="68"/>
      <c r="C319" s="93">
        <v>6</v>
      </c>
      <c r="D319" s="93" t="s">
        <v>1784</v>
      </c>
      <c r="E319" s="93">
        <v>129</v>
      </c>
      <c r="F319" s="93">
        <v>480990</v>
      </c>
      <c r="G319" s="93">
        <v>18616</v>
      </c>
      <c r="H319" s="94"/>
      <c r="I319" s="93" t="s">
        <v>552</v>
      </c>
      <c r="J319" s="93">
        <v>1</v>
      </c>
      <c r="K319" s="93">
        <v>3750</v>
      </c>
      <c r="L319" s="93">
        <v>4</v>
      </c>
      <c r="M319" s="17"/>
      <c r="N319" s="93" t="s">
        <v>552</v>
      </c>
      <c r="O319" s="93">
        <v>1</v>
      </c>
      <c r="P319" s="93">
        <v>3750</v>
      </c>
      <c r="Q319" s="93">
        <v>4</v>
      </c>
      <c r="R319" s="69"/>
    </row>
    <row r="320" spans="2:18">
      <c r="B320" s="68"/>
      <c r="C320" s="93">
        <v>6</v>
      </c>
      <c r="D320" s="93" t="s">
        <v>1784</v>
      </c>
      <c r="E320" s="93">
        <v>125</v>
      </c>
      <c r="F320" s="93">
        <v>465990</v>
      </c>
      <c r="G320" s="93">
        <v>18536</v>
      </c>
      <c r="H320" s="94"/>
      <c r="I320" s="93" t="s">
        <v>553</v>
      </c>
      <c r="J320" s="93">
        <v>4</v>
      </c>
      <c r="K320" s="93">
        <v>15000</v>
      </c>
      <c r="L320" s="93">
        <v>80</v>
      </c>
      <c r="M320" s="17"/>
      <c r="N320" s="93" t="s">
        <v>553</v>
      </c>
      <c r="O320" s="93">
        <v>4</v>
      </c>
      <c r="P320" s="93">
        <v>15000</v>
      </c>
      <c r="Q320" s="93">
        <v>80</v>
      </c>
      <c r="R320" s="69"/>
    </row>
    <row r="321" spans="2:18">
      <c r="B321" s="68"/>
      <c r="C321" s="93">
        <v>6</v>
      </c>
      <c r="D321" s="93" t="s">
        <v>1784</v>
      </c>
      <c r="E321" s="93">
        <v>124</v>
      </c>
      <c r="F321" s="93">
        <v>463990</v>
      </c>
      <c r="G321" s="93">
        <v>18536</v>
      </c>
      <c r="H321" s="94"/>
      <c r="I321" s="93" t="s">
        <v>554</v>
      </c>
      <c r="J321" s="93">
        <v>1</v>
      </c>
      <c r="K321" s="93">
        <v>2000</v>
      </c>
      <c r="L321" s="93">
        <v>0</v>
      </c>
      <c r="M321" s="17"/>
      <c r="N321" s="93" t="s">
        <v>554</v>
      </c>
      <c r="O321" s="93">
        <v>1</v>
      </c>
      <c r="P321" s="93">
        <v>2000</v>
      </c>
      <c r="Q321" s="93">
        <v>0</v>
      </c>
      <c r="R321" s="69"/>
    </row>
    <row r="322" spans="2:18">
      <c r="B322" s="68"/>
      <c r="C322" s="93">
        <v>6</v>
      </c>
      <c r="D322" s="93" t="s">
        <v>1784</v>
      </c>
      <c r="E322" s="93">
        <v>123</v>
      </c>
      <c r="F322" s="93">
        <v>462290</v>
      </c>
      <c r="G322" s="93">
        <v>18376</v>
      </c>
      <c r="H322" s="94"/>
      <c r="I322" s="93" t="s">
        <v>555</v>
      </c>
      <c r="J322" s="93">
        <v>1</v>
      </c>
      <c r="K322" s="93">
        <v>1700</v>
      </c>
      <c r="L322" s="93">
        <v>160</v>
      </c>
      <c r="M322" s="17"/>
      <c r="N322" s="93" t="s">
        <v>555</v>
      </c>
      <c r="O322" s="93">
        <v>1</v>
      </c>
      <c r="P322" s="93">
        <v>1700</v>
      </c>
      <c r="Q322" s="93">
        <v>160</v>
      </c>
      <c r="R322" s="69"/>
    </row>
    <row r="323" spans="2:18">
      <c r="B323" s="68"/>
      <c r="C323" s="93">
        <v>6</v>
      </c>
      <c r="D323" s="93" t="s">
        <v>1784</v>
      </c>
      <c r="E323" s="93">
        <v>119</v>
      </c>
      <c r="F323" s="93">
        <v>447290</v>
      </c>
      <c r="G323" s="93">
        <v>18296</v>
      </c>
      <c r="H323" s="94"/>
      <c r="I323" s="93" t="s">
        <v>556</v>
      </c>
      <c r="J323" s="93">
        <v>4</v>
      </c>
      <c r="K323" s="93">
        <v>15000</v>
      </c>
      <c r="L323" s="93">
        <v>80</v>
      </c>
      <c r="M323" s="17"/>
      <c r="N323" s="93" t="s">
        <v>556</v>
      </c>
      <c r="O323" s="93">
        <v>4</v>
      </c>
      <c r="P323" s="93">
        <v>15000</v>
      </c>
      <c r="Q323" s="93">
        <v>80</v>
      </c>
      <c r="R323" s="69"/>
    </row>
    <row r="324" spans="2:18">
      <c r="B324" s="68"/>
      <c r="C324" s="93">
        <v>6</v>
      </c>
      <c r="D324" s="93" t="s">
        <v>1784</v>
      </c>
      <c r="E324" s="93">
        <v>118</v>
      </c>
      <c r="F324" s="93">
        <v>445590</v>
      </c>
      <c r="G324" s="93">
        <v>18136</v>
      </c>
      <c r="H324" s="94"/>
      <c r="I324" s="93" t="s">
        <v>557</v>
      </c>
      <c r="J324" s="93">
        <v>1</v>
      </c>
      <c r="K324" s="93">
        <v>1700</v>
      </c>
      <c r="L324" s="93">
        <v>160</v>
      </c>
      <c r="M324" s="17"/>
      <c r="N324" s="93" t="s">
        <v>557</v>
      </c>
      <c r="O324" s="93">
        <v>1</v>
      </c>
      <c r="P324" s="93">
        <v>1700</v>
      </c>
      <c r="Q324" s="93">
        <v>160</v>
      </c>
      <c r="R324" s="69"/>
    </row>
    <row r="325" spans="2:18">
      <c r="B325" s="68"/>
      <c r="C325" s="93">
        <v>6</v>
      </c>
      <c r="D325" s="93" t="s">
        <v>1784</v>
      </c>
      <c r="E325" s="93">
        <v>117</v>
      </c>
      <c r="F325" s="93">
        <v>443590</v>
      </c>
      <c r="G325" s="93">
        <v>18136</v>
      </c>
      <c r="H325" s="94"/>
      <c r="I325" s="93" t="s">
        <v>558</v>
      </c>
      <c r="J325" s="93">
        <v>1</v>
      </c>
      <c r="K325" s="93">
        <v>2000</v>
      </c>
      <c r="L325" s="93">
        <v>0</v>
      </c>
      <c r="M325" s="17"/>
      <c r="N325" s="93" t="s">
        <v>558</v>
      </c>
      <c r="O325" s="93">
        <v>1</v>
      </c>
      <c r="P325" s="93">
        <v>2000</v>
      </c>
      <c r="Q325" s="93">
        <v>0</v>
      </c>
      <c r="R325" s="69"/>
    </row>
    <row r="326" spans="2:18">
      <c r="B326" s="68"/>
      <c r="C326" s="93">
        <v>6</v>
      </c>
      <c r="D326" s="93" t="s">
        <v>1784</v>
      </c>
      <c r="E326" s="93">
        <v>116</v>
      </c>
      <c r="F326" s="93">
        <v>441590</v>
      </c>
      <c r="G326" s="93">
        <v>18136</v>
      </c>
      <c r="H326" s="94"/>
      <c r="I326" s="93" t="s">
        <v>559</v>
      </c>
      <c r="J326" s="93">
        <v>1</v>
      </c>
      <c r="K326" s="93">
        <v>2000</v>
      </c>
      <c r="L326" s="93">
        <v>0</v>
      </c>
      <c r="M326" s="17"/>
      <c r="N326" s="93" t="s">
        <v>559</v>
      </c>
      <c r="O326" s="93">
        <v>1</v>
      </c>
      <c r="P326" s="93">
        <v>2000</v>
      </c>
      <c r="Q326" s="93">
        <v>0</v>
      </c>
      <c r="R326" s="69"/>
    </row>
    <row r="327" spans="2:18">
      <c r="B327" s="68"/>
      <c r="C327" s="93">
        <v>6</v>
      </c>
      <c r="D327" s="93" t="s">
        <v>1784</v>
      </c>
      <c r="E327" s="93">
        <v>115</v>
      </c>
      <c r="F327" s="93">
        <v>439590</v>
      </c>
      <c r="G327" s="93">
        <v>18136</v>
      </c>
      <c r="H327" s="94"/>
      <c r="I327" s="93" t="s">
        <v>560</v>
      </c>
      <c r="J327" s="93">
        <v>1</v>
      </c>
      <c r="K327" s="93">
        <v>2000</v>
      </c>
      <c r="L327" s="93">
        <v>0</v>
      </c>
      <c r="M327" s="17"/>
      <c r="N327" s="93" t="s">
        <v>560</v>
      </c>
      <c r="O327" s="93">
        <v>1</v>
      </c>
      <c r="P327" s="93">
        <v>2000</v>
      </c>
      <c r="Q327" s="93">
        <v>0</v>
      </c>
      <c r="R327" s="69"/>
    </row>
    <row r="328" spans="2:18">
      <c r="B328" s="68"/>
      <c r="C328" s="93">
        <v>6</v>
      </c>
      <c r="D328" s="93" t="s">
        <v>1784</v>
      </c>
      <c r="E328" s="93">
        <v>114</v>
      </c>
      <c r="F328" s="93">
        <v>437890</v>
      </c>
      <c r="G328" s="93">
        <v>17976</v>
      </c>
      <c r="H328" s="94"/>
      <c r="I328" s="93" t="s">
        <v>561</v>
      </c>
      <c r="J328" s="93">
        <v>1</v>
      </c>
      <c r="K328" s="93">
        <v>1700</v>
      </c>
      <c r="L328" s="93">
        <v>160</v>
      </c>
      <c r="M328" s="17"/>
      <c r="N328" s="93" t="s">
        <v>561</v>
      </c>
      <c r="O328" s="93">
        <v>1</v>
      </c>
      <c r="P328" s="93">
        <v>1700</v>
      </c>
      <c r="Q328" s="93">
        <v>160</v>
      </c>
      <c r="R328" s="69"/>
    </row>
    <row r="329" spans="2:18">
      <c r="B329" s="68"/>
      <c r="C329" s="93">
        <v>6</v>
      </c>
      <c r="D329" s="93" t="s">
        <v>1784</v>
      </c>
      <c r="E329" s="93">
        <v>113</v>
      </c>
      <c r="F329" s="93">
        <v>436190</v>
      </c>
      <c r="G329" s="93">
        <v>17816</v>
      </c>
      <c r="H329" s="94"/>
      <c r="I329" s="93" t="s">
        <v>562</v>
      </c>
      <c r="J329" s="93">
        <v>1</v>
      </c>
      <c r="K329" s="93">
        <v>1700</v>
      </c>
      <c r="L329" s="93">
        <v>160</v>
      </c>
      <c r="M329" s="17"/>
      <c r="N329" s="93" t="s">
        <v>562</v>
      </c>
      <c r="O329" s="93">
        <v>1</v>
      </c>
      <c r="P329" s="93">
        <v>1700</v>
      </c>
      <c r="Q329" s="93">
        <v>160</v>
      </c>
      <c r="R329" s="69"/>
    </row>
    <row r="330" spans="2:18">
      <c r="B330" s="68"/>
      <c r="C330" s="93">
        <v>6</v>
      </c>
      <c r="D330" s="93" t="s">
        <v>1784</v>
      </c>
      <c r="E330" s="93">
        <v>112</v>
      </c>
      <c r="F330" s="93">
        <v>434490</v>
      </c>
      <c r="G330" s="93">
        <v>17656</v>
      </c>
      <c r="H330" s="94"/>
      <c r="I330" s="93" t="s">
        <v>564</v>
      </c>
      <c r="J330" s="93">
        <v>1</v>
      </c>
      <c r="K330" s="93">
        <v>1700</v>
      </c>
      <c r="L330" s="93">
        <v>160</v>
      </c>
      <c r="M330" s="17"/>
      <c r="N330" s="93" t="s">
        <v>564</v>
      </c>
      <c r="O330" s="93">
        <v>1</v>
      </c>
      <c r="P330" s="93">
        <v>1700</v>
      </c>
      <c r="Q330" s="93">
        <v>160</v>
      </c>
      <c r="R330" s="69"/>
    </row>
    <row r="331" spans="2:18">
      <c r="B331" s="68"/>
      <c r="C331" s="93">
        <v>6</v>
      </c>
      <c r="D331" s="93" t="s">
        <v>1784</v>
      </c>
      <c r="E331" s="93">
        <v>111</v>
      </c>
      <c r="F331" s="93">
        <v>432790</v>
      </c>
      <c r="G331" s="93">
        <v>17496</v>
      </c>
      <c r="H331" s="94"/>
      <c r="I331" s="93" t="s">
        <v>565</v>
      </c>
      <c r="J331" s="93">
        <v>1</v>
      </c>
      <c r="K331" s="93">
        <v>1700</v>
      </c>
      <c r="L331" s="93">
        <v>160</v>
      </c>
      <c r="M331" s="17"/>
      <c r="N331" s="93" t="s">
        <v>565</v>
      </c>
      <c r="O331" s="93">
        <v>1</v>
      </c>
      <c r="P331" s="93">
        <v>1700</v>
      </c>
      <c r="Q331" s="93">
        <v>160</v>
      </c>
      <c r="R331" s="69"/>
    </row>
    <row r="332" spans="2:18">
      <c r="B332" s="68"/>
      <c r="C332" s="93">
        <v>6</v>
      </c>
      <c r="D332" s="93" t="s">
        <v>1784</v>
      </c>
      <c r="E332" s="93">
        <v>110</v>
      </c>
      <c r="F332" s="93">
        <v>432175</v>
      </c>
      <c r="G332" s="93">
        <v>17336</v>
      </c>
      <c r="H332" s="94"/>
      <c r="I332" s="93" t="s">
        <v>567</v>
      </c>
      <c r="J332" s="93">
        <v>1</v>
      </c>
      <c r="K332" s="93">
        <v>615</v>
      </c>
      <c r="L332" s="93">
        <v>160</v>
      </c>
      <c r="M332" s="17"/>
      <c r="N332" s="93" t="s">
        <v>567</v>
      </c>
      <c r="O332" s="93">
        <v>1</v>
      </c>
      <c r="P332" s="93">
        <v>615</v>
      </c>
      <c r="Q332" s="93">
        <v>160</v>
      </c>
      <c r="R332" s="69"/>
    </row>
    <row r="333" spans="2:18">
      <c r="B333" s="68"/>
      <c r="C333" s="93">
        <v>6</v>
      </c>
      <c r="D333" s="93" t="s">
        <v>1784</v>
      </c>
      <c r="E333" s="93">
        <v>94</v>
      </c>
      <c r="F333" s="93">
        <v>402175</v>
      </c>
      <c r="G333" s="93">
        <v>17016</v>
      </c>
      <c r="H333" s="94"/>
      <c r="I333" s="93" t="s">
        <v>568</v>
      </c>
      <c r="J333" s="93">
        <v>16</v>
      </c>
      <c r="K333" s="93">
        <v>30000</v>
      </c>
      <c r="L333" s="93">
        <v>320</v>
      </c>
      <c r="M333" s="17"/>
      <c r="N333" s="93" t="s">
        <v>568</v>
      </c>
      <c r="O333" s="93">
        <v>16</v>
      </c>
      <c r="P333" s="93">
        <v>30000</v>
      </c>
      <c r="Q333" s="93">
        <v>320</v>
      </c>
      <c r="R333" s="69"/>
    </row>
    <row r="334" spans="2:18">
      <c r="B334" s="68"/>
      <c r="C334" s="93">
        <v>6</v>
      </c>
      <c r="D334" s="93" t="s">
        <v>1784</v>
      </c>
      <c r="E334" s="93">
        <v>93</v>
      </c>
      <c r="F334" s="93">
        <v>400175</v>
      </c>
      <c r="G334" s="93">
        <v>17016</v>
      </c>
      <c r="H334" s="94"/>
      <c r="I334" s="93" t="s">
        <v>569</v>
      </c>
      <c r="J334" s="93">
        <v>1</v>
      </c>
      <c r="K334" s="93">
        <v>2000</v>
      </c>
      <c r="L334" s="93">
        <v>0</v>
      </c>
      <c r="M334" s="17"/>
      <c r="N334" s="93" t="s">
        <v>569</v>
      </c>
      <c r="O334" s="93">
        <v>1</v>
      </c>
      <c r="P334" s="93">
        <v>2000</v>
      </c>
      <c r="Q334" s="93">
        <v>0</v>
      </c>
      <c r="R334" s="69"/>
    </row>
    <row r="335" spans="2:18">
      <c r="B335" s="68"/>
      <c r="C335" s="93">
        <v>6</v>
      </c>
      <c r="D335" s="93" t="s">
        <v>1784</v>
      </c>
      <c r="E335" s="93">
        <v>92</v>
      </c>
      <c r="F335" s="93">
        <v>396425</v>
      </c>
      <c r="G335" s="93">
        <v>17012</v>
      </c>
      <c r="H335" s="94"/>
      <c r="I335" s="93" t="s">
        <v>570</v>
      </c>
      <c r="J335" s="93">
        <v>1</v>
      </c>
      <c r="K335" s="93">
        <v>3750</v>
      </c>
      <c r="L335" s="93">
        <v>4</v>
      </c>
      <c r="M335" s="17"/>
      <c r="N335" s="93" t="s">
        <v>570</v>
      </c>
      <c r="O335" s="93">
        <v>1</v>
      </c>
      <c r="P335" s="93">
        <v>3750</v>
      </c>
      <c r="Q335" s="93">
        <v>4</v>
      </c>
      <c r="R335" s="69"/>
    </row>
    <row r="336" spans="2:18">
      <c r="B336" s="68"/>
      <c r="C336" s="93">
        <v>6</v>
      </c>
      <c r="D336" s="93" t="s">
        <v>1784</v>
      </c>
      <c r="E336" s="93">
        <v>91</v>
      </c>
      <c r="F336" s="93">
        <v>394425</v>
      </c>
      <c r="G336" s="93">
        <v>17012</v>
      </c>
      <c r="H336" s="94"/>
      <c r="I336" s="93" t="s">
        <v>571</v>
      </c>
      <c r="J336" s="93">
        <v>1</v>
      </c>
      <c r="K336" s="93">
        <v>2000</v>
      </c>
      <c r="L336" s="93">
        <v>0</v>
      </c>
      <c r="M336" s="17"/>
      <c r="N336" s="93" t="s">
        <v>571</v>
      </c>
      <c r="O336" s="93">
        <v>1</v>
      </c>
      <c r="P336" s="93">
        <v>2000</v>
      </c>
      <c r="Q336" s="93">
        <v>0</v>
      </c>
      <c r="R336" s="69"/>
    </row>
    <row r="337" spans="2:18">
      <c r="B337" s="68"/>
      <c r="C337" s="93">
        <v>6</v>
      </c>
      <c r="D337" s="93" t="s">
        <v>1784</v>
      </c>
      <c r="E337" s="93">
        <v>90</v>
      </c>
      <c r="F337" s="93">
        <v>392725</v>
      </c>
      <c r="G337" s="93">
        <v>16852</v>
      </c>
      <c r="H337" s="94"/>
      <c r="I337" s="93" t="s">
        <v>572</v>
      </c>
      <c r="J337" s="93">
        <v>1</v>
      </c>
      <c r="K337" s="93">
        <v>1700</v>
      </c>
      <c r="L337" s="93">
        <v>160</v>
      </c>
      <c r="M337" s="17"/>
      <c r="N337" s="93" t="s">
        <v>572</v>
      </c>
      <c r="O337" s="93">
        <v>1</v>
      </c>
      <c r="P337" s="93">
        <v>1700</v>
      </c>
      <c r="Q337" s="93">
        <v>160</v>
      </c>
      <c r="R337" s="69"/>
    </row>
    <row r="338" spans="2:18">
      <c r="B338" s="68"/>
      <c r="C338" s="93">
        <v>6</v>
      </c>
      <c r="D338" s="93" t="s">
        <v>1784</v>
      </c>
      <c r="E338" s="93">
        <v>89</v>
      </c>
      <c r="F338" s="93">
        <v>388975</v>
      </c>
      <c r="G338" s="93">
        <v>16442</v>
      </c>
      <c r="H338" s="94"/>
      <c r="I338" s="93" t="s">
        <v>573</v>
      </c>
      <c r="J338" s="93">
        <v>1</v>
      </c>
      <c r="K338" s="93">
        <v>3750</v>
      </c>
      <c r="L338" s="93">
        <v>410</v>
      </c>
      <c r="M338" s="17"/>
      <c r="N338" s="93" t="s">
        <v>573</v>
      </c>
      <c r="O338" s="93">
        <v>1</v>
      </c>
      <c r="P338" s="93">
        <v>3750</v>
      </c>
      <c r="Q338" s="93">
        <v>410</v>
      </c>
      <c r="R338" s="69"/>
    </row>
    <row r="339" spans="2:18">
      <c r="B339" s="68"/>
      <c r="C339" s="93">
        <v>6</v>
      </c>
      <c r="D339" s="93" t="s">
        <v>1784</v>
      </c>
      <c r="E339" s="93">
        <v>88</v>
      </c>
      <c r="F339" s="93">
        <v>387275</v>
      </c>
      <c r="G339" s="93">
        <v>16282</v>
      </c>
      <c r="H339" s="94"/>
      <c r="I339" s="93" t="s">
        <v>574</v>
      </c>
      <c r="J339" s="93">
        <v>1</v>
      </c>
      <c r="K339" s="93">
        <v>1700</v>
      </c>
      <c r="L339" s="93">
        <v>160</v>
      </c>
      <c r="M339" s="17"/>
      <c r="N339" s="93" t="s">
        <v>574</v>
      </c>
      <c r="O339" s="93">
        <v>1</v>
      </c>
      <c r="P339" s="93">
        <v>1700</v>
      </c>
      <c r="Q339" s="93">
        <v>160</v>
      </c>
      <c r="R339" s="69"/>
    </row>
    <row r="340" spans="2:18">
      <c r="B340" s="68"/>
      <c r="C340" s="93">
        <v>6</v>
      </c>
      <c r="D340" s="93" t="s">
        <v>1784</v>
      </c>
      <c r="E340" s="93">
        <v>86</v>
      </c>
      <c r="F340" s="93">
        <v>379775</v>
      </c>
      <c r="G340" s="93">
        <v>15432</v>
      </c>
      <c r="H340" s="94"/>
      <c r="I340" s="93" t="s">
        <v>575</v>
      </c>
      <c r="J340" s="93">
        <v>2</v>
      </c>
      <c r="K340" s="93">
        <v>7500</v>
      </c>
      <c r="L340" s="93">
        <v>850</v>
      </c>
      <c r="M340" s="17"/>
      <c r="N340" s="93" t="s">
        <v>575</v>
      </c>
      <c r="O340" s="93">
        <v>2</v>
      </c>
      <c r="P340" s="93">
        <v>7500</v>
      </c>
      <c r="Q340" s="93">
        <v>850</v>
      </c>
      <c r="R340" s="69"/>
    </row>
    <row r="341" spans="2:18">
      <c r="B341" s="68"/>
      <c r="C341" s="93">
        <v>6</v>
      </c>
      <c r="D341" s="93" t="s">
        <v>1784</v>
      </c>
      <c r="E341" s="93">
        <v>85</v>
      </c>
      <c r="F341" s="93">
        <v>378075</v>
      </c>
      <c r="G341" s="93">
        <v>15272</v>
      </c>
      <c r="H341" s="94"/>
      <c r="I341" s="93" t="s">
        <v>576</v>
      </c>
      <c r="J341" s="93">
        <v>1</v>
      </c>
      <c r="K341" s="93">
        <v>1700</v>
      </c>
      <c r="L341" s="93">
        <v>160</v>
      </c>
      <c r="M341" s="17"/>
      <c r="N341" s="93" t="s">
        <v>576</v>
      </c>
      <c r="O341" s="93">
        <v>1</v>
      </c>
      <c r="P341" s="93">
        <v>1700</v>
      </c>
      <c r="Q341" s="93">
        <v>160</v>
      </c>
      <c r="R341" s="69"/>
    </row>
    <row r="342" spans="2:18">
      <c r="B342" s="68"/>
      <c r="C342" s="93">
        <v>6</v>
      </c>
      <c r="D342" s="93" t="s">
        <v>1784</v>
      </c>
      <c r="E342" s="93">
        <v>84</v>
      </c>
      <c r="F342" s="93">
        <v>376375</v>
      </c>
      <c r="G342" s="93">
        <v>15112</v>
      </c>
      <c r="H342" s="94"/>
      <c r="I342" s="93" t="s">
        <v>577</v>
      </c>
      <c r="J342" s="93">
        <v>1</v>
      </c>
      <c r="K342" s="93">
        <v>1700</v>
      </c>
      <c r="L342" s="93">
        <v>160</v>
      </c>
      <c r="M342" s="17"/>
      <c r="N342" s="93" t="s">
        <v>577</v>
      </c>
      <c r="O342" s="93">
        <v>1</v>
      </c>
      <c r="P342" s="93">
        <v>1700</v>
      </c>
      <c r="Q342" s="93">
        <v>160</v>
      </c>
      <c r="R342" s="69"/>
    </row>
    <row r="343" spans="2:18">
      <c r="B343" s="68"/>
      <c r="C343" s="93">
        <v>6</v>
      </c>
      <c r="D343" s="93" t="s">
        <v>1784</v>
      </c>
      <c r="E343" s="93">
        <v>83</v>
      </c>
      <c r="F343" s="93">
        <v>374375</v>
      </c>
      <c r="G343" s="93">
        <v>15112</v>
      </c>
      <c r="H343" s="94"/>
      <c r="I343" s="93" t="s">
        <v>578</v>
      </c>
      <c r="J343" s="93">
        <v>1</v>
      </c>
      <c r="K343" s="93">
        <v>2000</v>
      </c>
      <c r="L343" s="93">
        <v>0</v>
      </c>
      <c r="M343" s="17"/>
      <c r="N343" s="93" t="s">
        <v>578</v>
      </c>
      <c r="O343" s="93">
        <v>1</v>
      </c>
      <c r="P343" s="93">
        <v>2000</v>
      </c>
      <c r="Q343" s="93">
        <v>0</v>
      </c>
      <c r="R343" s="69"/>
    </row>
    <row r="344" spans="2:18">
      <c r="B344" s="68"/>
      <c r="C344" s="93">
        <v>6</v>
      </c>
      <c r="D344" s="93" t="s">
        <v>1784</v>
      </c>
      <c r="E344" s="93">
        <v>82</v>
      </c>
      <c r="F344" s="93">
        <v>372675</v>
      </c>
      <c r="G344" s="93">
        <v>14952</v>
      </c>
      <c r="H344" s="94"/>
      <c r="I344" s="93" t="s">
        <v>579</v>
      </c>
      <c r="J344" s="93">
        <v>1</v>
      </c>
      <c r="K344" s="93">
        <v>1700</v>
      </c>
      <c r="L344" s="93">
        <v>160</v>
      </c>
      <c r="M344" s="17"/>
      <c r="N344" s="93" t="s">
        <v>579</v>
      </c>
      <c r="O344" s="93">
        <v>1</v>
      </c>
      <c r="P344" s="93">
        <v>1700</v>
      </c>
      <c r="Q344" s="93">
        <v>160</v>
      </c>
      <c r="R344" s="69"/>
    </row>
    <row r="345" spans="2:18">
      <c r="B345" s="68"/>
      <c r="C345" s="93">
        <v>6</v>
      </c>
      <c r="D345" s="93" t="s">
        <v>1784</v>
      </c>
      <c r="E345" s="93">
        <v>80</v>
      </c>
      <c r="F345" s="93">
        <v>368925</v>
      </c>
      <c r="G345" s="93">
        <v>14920</v>
      </c>
      <c r="H345" s="94"/>
      <c r="I345" s="93" t="s">
        <v>580</v>
      </c>
      <c r="J345" s="93">
        <v>2</v>
      </c>
      <c r="K345" s="93">
        <v>3750</v>
      </c>
      <c r="L345" s="93">
        <v>32</v>
      </c>
      <c r="M345" s="17"/>
      <c r="N345" s="93" t="s">
        <v>580</v>
      </c>
      <c r="O345" s="93">
        <v>2</v>
      </c>
      <c r="P345" s="93">
        <v>3750</v>
      </c>
      <c r="Q345" s="93">
        <v>32</v>
      </c>
      <c r="R345" s="69"/>
    </row>
    <row r="346" spans="2:18">
      <c r="B346" s="68"/>
      <c r="C346" s="93">
        <v>6</v>
      </c>
      <c r="D346" s="93" t="s">
        <v>1784</v>
      </c>
      <c r="E346" s="93">
        <v>79</v>
      </c>
      <c r="F346" s="93">
        <v>367225</v>
      </c>
      <c r="G346" s="93">
        <v>14760</v>
      </c>
      <c r="H346" s="94"/>
      <c r="I346" s="93" t="s">
        <v>581</v>
      </c>
      <c r="J346" s="93">
        <v>1</v>
      </c>
      <c r="K346" s="93">
        <v>1700</v>
      </c>
      <c r="L346" s="93">
        <v>160</v>
      </c>
      <c r="M346" s="17"/>
      <c r="N346" s="93" t="s">
        <v>581</v>
      </c>
      <c r="O346" s="93">
        <v>1</v>
      </c>
      <c r="P346" s="93">
        <v>1700</v>
      </c>
      <c r="Q346" s="93">
        <v>160</v>
      </c>
      <c r="R346" s="69"/>
    </row>
    <row r="347" spans="2:18">
      <c r="B347" s="68"/>
      <c r="C347" s="93">
        <v>6</v>
      </c>
      <c r="D347" s="93" t="s">
        <v>1784</v>
      </c>
      <c r="E347" s="93">
        <v>78</v>
      </c>
      <c r="F347" s="93">
        <v>365225</v>
      </c>
      <c r="G347" s="93">
        <v>14760</v>
      </c>
      <c r="H347" s="94"/>
      <c r="I347" s="93" t="s">
        <v>582</v>
      </c>
      <c r="J347" s="93">
        <v>1</v>
      </c>
      <c r="K347" s="93">
        <v>2000</v>
      </c>
      <c r="L347" s="93">
        <v>0</v>
      </c>
      <c r="M347" s="17"/>
      <c r="N347" s="93" t="s">
        <v>582</v>
      </c>
      <c r="O347" s="93">
        <v>1</v>
      </c>
      <c r="P347" s="93">
        <v>2000</v>
      </c>
      <c r="Q347" s="93">
        <v>0</v>
      </c>
      <c r="R347" s="69"/>
    </row>
    <row r="348" spans="2:18">
      <c r="B348" s="68"/>
      <c r="C348" s="93">
        <v>6</v>
      </c>
      <c r="D348" s="93" t="s">
        <v>1784</v>
      </c>
      <c r="E348" s="93">
        <v>77</v>
      </c>
      <c r="F348" s="93">
        <v>361475</v>
      </c>
      <c r="G348" s="93">
        <v>14350</v>
      </c>
      <c r="H348" s="94"/>
      <c r="I348" s="93" t="s">
        <v>583</v>
      </c>
      <c r="J348" s="93">
        <v>1</v>
      </c>
      <c r="K348" s="93">
        <v>3750</v>
      </c>
      <c r="L348" s="93">
        <v>410</v>
      </c>
      <c r="M348" s="17"/>
      <c r="N348" s="93" t="s">
        <v>583</v>
      </c>
      <c r="O348" s="93">
        <v>1</v>
      </c>
      <c r="P348" s="93">
        <v>3750</v>
      </c>
      <c r="Q348" s="93">
        <v>410</v>
      </c>
      <c r="R348" s="69"/>
    </row>
    <row r="349" spans="2:18">
      <c r="B349" s="68"/>
      <c r="C349" s="93">
        <v>6</v>
      </c>
      <c r="D349" s="93" t="s">
        <v>1784</v>
      </c>
      <c r="E349" s="93">
        <v>76</v>
      </c>
      <c r="F349" s="93">
        <v>357725</v>
      </c>
      <c r="G349" s="93">
        <v>14346</v>
      </c>
      <c r="H349" s="94"/>
      <c r="I349" s="93" t="s">
        <v>584</v>
      </c>
      <c r="J349" s="93">
        <v>1</v>
      </c>
      <c r="K349" s="93">
        <v>3750</v>
      </c>
      <c r="L349" s="93">
        <v>4</v>
      </c>
      <c r="M349" s="17"/>
      <c r="N349" s="93" t="s">
        <v>584</v>
      </c>
      <c r="O349" s="93">
        <v>1</v>
      </c>
      <c r="P349" s="93">
        <v>3750</v>
      </c>
      <c r="Q349" s="93">
        <v>4</v>
      </c>
      <c r="R349" s="69"/>
    </row>
    <row r="350" spans="2:18">
      <c r="B350" s="68"/>
      <c r="C350" s="93">
        <v>6</v>
      </c>
      <c r="D350" s="93" t="s">
        <v>1784</v>
      </c>
      <c r="E350" s="93">
        <v>75</v>
      </c>
      <c r="F350" s="93">
        <v>356025</v>
      </c>
      <c r="G350" s="93">
        <v>14186</v>
      </c>
      <c r="H350" s="94"/>
      <c r="I350" s="93" t="s">
        <v>585</v>
      </c>
      <c r="J350" s="93">
        <v>1</v>
      </c>
      <c r="K350" s="93">
        <v>1700</v>
      </c>
      <c r="L350" s="93">
        <v>160</v>
      </c>
      <c r="M350" s="17"/>
      <c r="N350" s="93" t="s">
        <v>585</v>
      </c>
      <c r="O350" s="93">
        <v>1</v>
      </c>
      <c r="P350" s="93">
        <v>1700</v>
      </c>
      <c r="Q350" s="93">
        <v>160</v>
      </c>
      <c r="R350" s="69"/>
    </row>
    <row r="351" spans="2:18">
      <c r="B351" s="68"/>
      <c r="C351" s="93">
        <v>6</v>
      </c>
      <c r="D351" s="93" t="s">
        <v>1784</v>
      </c>
      <c r="E351" s="93">
        <v>74</v>
      </c>
      <c r="F351" s="93">
        <v>354025</v>
      </c>
      <c r="G351" s="93">
        <v>14186</v>
      </c>
      <c r="H351" s="94"/>
      <c r="I351" s="93" t="s">
        <v>586</v>
      </c>
      <c r="J351" s="93">
        <v>1</v>
      </c>
      <c r="K351" s="93">
        <v>2000</v>
      </c>
      <c r="L351" s="93">
        <v>0</v>
      </c>
      <c r="M351" s="17"/>
      <c r="N351" s="93" t="s">
        <v>586</v>
      </c>
      <c r="O351" s="93">
        <v>1</v>
      </c>
      <c r="P351" s="93">
        <v>2000</v>
      </c>
      <c r="Q351" s="93">
        <v>0</v>
      </c>
      <c r="R351" s="69"/>
    </row>
    <row r="352" spans="2:18">
      <c r="B352" s="68"/>
      <c r="C352" s="93">
        <v>6</v>
      </c>
      <c r="D352" s="93" t="s">
        <v>1784</v>
      </c>
      <c r="E352" s="93">
        <v>72</v>
      </c>
      <c r="F352" s="93">
        <v>350275</v>
      </c>
      <c r="G352" s="93">
        <v>14154</v>
      </c>
      <c r="H352" s="94"/>
      <c r="I352" s="93" t="s">
        <v>587</v>
      </c>
      <c r="J352" s="93">
        <v>2</v>
      </c>
      <c r="K352" s="93">
        <v>3750</v>
      </c>
      <c r="L352" s="93">
        <v>32</v>
      </c>
      <c r="M352" s="17"/>
      <c r="N352" s="93" t="s">
        <v>587</v>
      </c>
      <c r="O352" s="93">
        <v>2</v>
      </c>
      <c r="P352" s="93">
        <v>3750</v>
      </c>
      <c r="Q352" s="93">
        <v>32</v>
      </c>
      <c r="R352" s="69"/>
    </row>
    <row r="353" spans="2:18">
      <c r="B353" s="68"/>
      <c r="C353" s="93">
        <v>6</v>
      </c>
      <c r="D353" s="93" t="s">
        <v>1784</v>
      </c>
      <c r="E353" s="93">
        <v>68</v>
      </c>
      <c r="F353" s="93">
        <v>342775</v>
      </c>
      <c r="G353" s="93">
        <v>14074</v>
      </c>
      <c r="H353" s="94"/>
      <c r="I353" s="93" t="s">
        <v>589</v>
      </c>
      <c r="J353" s="93">
        <v>4</v>
      </c>
      <c r="K353" s="93">
        <v>7500</v>
      </c>
      <c r="L353" s="93">
        <v>80</v>
      </c>
      <c r="M353" s="17"/>
      <c r="N353" s="93" t="s">
        <v>589</v>
      </c>
      <c r="O353" s="93">
        <v>4</v>
      </c>
      <c r="P353" s="93">
        <v>7500</v>
      </c>
      <c r="Q353" s="93">
        <v>80</v>
      </c>
      <c r="R353" s="69"/>
    </row>
    <row r="354" spans="2:18">
      <c r="B354" s="68"/>
      <c r="C354" s="93">
        <v>6</v>
      </c>
      <c r="D354" s="93" t="s">
        <v>1784</v>
      </c>
      <c r="E354" s="93">
        <v>64</v>
      </c>
      <c r="F354" s="93">
        <v>327775</v>
      </c>
      <c r="G354" s="93">
        <v>13994</v>
      </c>
      <c r="H354" s="94"/>
      <c r="I354" s="93" t="s">
        <v>590</v>
      </c>
      <c r="J354" s="93">
        <v>4</v>
      </c>
      <c r="K354" s="93">
        <v>15000</v>
      </c>
      <c r="L354" s="93">
        <v>80</v>
      </c>
      <c r="M354" s="17"/>
      <c r="N354" s="93" t="s">
        <v>590</v>
      </c>
      <c r="O354" s="93">
        <v>4</v>
      </c>
      <c r="P354" s="93">
        <v>15000</v>
      </c>
      <c r="Q354" s="93">
        <v>80</v>
      </c>
      <c r="R354" s="69"/>
    </row>
    <row r="355" spans="2:18">
      <c r="B355" s="68"/>
      <c r="C355" s="93">
        <v>6</v>
      </c>
      <c r="D355" s="93" t="s">
        <v>1784</v>
      </c>
      <c r="E355" s="93">
        <v>63</v>
      </c>
      <c r="F355" s="93">
        <v>326075</v>
      </c>
      <c r="G355" s="93">
        <v>13834</v>
      </c>
      <c r="H355" s="94"/>
      <c r="I355" s="93" t="s">
        <v>591</v>
      </c>
      <c r="J355" s="93">
        <v>1</v>
      </c>
      <c r="K355" s="93">
        <v>1700</v>
      </c>
      <c r="L355" s="93">
        <v>160</v>
      </c>
      <c r="M355" s="17"/>
      <c r="N355" s="93" t="s">
        <v>591</v>
      </c>
      <c r="O355" s="93">
        <v>1</v>
      </c>
      <c r="P355" s="93">
        <v>1700</v>
      </c>
      <c r="Q355" s="93">
        <v>160</v>
      </c>
      <c r="R355" s="69"/>
    </row>
    <row r="356" spans="2:18">
      <c r="B356" s="68"/>
      <c r="C356" s="93">
        <v>6</v>
      </c>
      <c r="D356" s="93" t="s">
        <v>1784</v>
      </c>
      <c r="E356" s="93">
        <v>59</v>
      </c>
      <c r="F356" s="93">
        <v>311075</v>
      </c>
      <c r="G356" s="93">
        <v>13754</v>
      </c>
      <c r="H356" s="94"/>
      <c r="I356" s="93" t="s">
        <v>592</v>
      </c>
      <c r="J356" s="93">
        <v>4</v>
      </c>
      <c r="K356" s="93">
        <v>15000</v>
      </c>
      <c r="L356" s="93">
        <v>80</v>
      </c>
      <c r="M356" s="17"/>
      <c r="N356" s="93" t="s">
        <v>592</v>
      </c>
      <c r="O356" s="93">
        <v>4</v>
      </c>
      <c r="P356" s="93">
        <v>15000</v>
      </c>
      <c r="Q356" s="93">
        <v>80</v>
      </c>
      <c r="R356" s="69"/>
    </row>
    <row r="357" spans="2:18">
      <c r="B357" s="68"/>
      <c r="C357" s="93">
        <v>6</v>
      </c>
      <c r="D357" s="93" t="s">
        <v>1784</v>
      </c>
      <c r="E357" s="93">
        <v>58</v>
      </c>
      <c r="F357" s="93">
        <v>309375</v>
      </c>
      <c r="G357" s="93">
        <v>13594</v>
      </c>
      <c r="H357" s="94"/>
      <c r="I357" s="93" t="s">
        <v>593</v>
      </c>
      <c r="J357" s="93">
        <v>1</v>
      </c>
      <c r="K357" s="93">
        <v>1700</v>
      </c>
      <c r="L357" s="93">
        <v>160</v>
      </c>
      <c r="M357" s="17"/>
      <c r="N357" s="93" t="s">
        <v>593</v>
      </c>
      <c r="O357" s="93">
        <v>1</v>
      </c>
      <c r="P357" s="93">
        <v>1700</v>
      </c>
      <c r="Q357" s="93">
        <v>160</v>
      </c>
      <c r="R357" s="69"/>
    </row>
    <row r="358" spans="2:18">
      <c r="B358" s="68"/>
      <c r="C358" s="93">
        <v>6</v>
      </c>
      <c r="D358" s="93" t="s">
        <v>1784</v>
      </c>
      <c r="E358" s="93">
        <v>57</v>
      </c>
      <c r="F358" s="93">
        <v>305625</v>
      </c>
      <c r="G358" s="93">
        <v>13590</v>
      </c>
      <c r="H358" s="94"/>
      <c r="I358" s="93" t="s">
        <v>594</v>
      </c>
      <c r="J358" s="93">
        <v>1</v>
      </c>
      <c r="K358" s="93">
        <v>3750</v>
      </c>
      <c r="L358" s="93">
        <v>4</v>
      </c>
      <c r="M358" s="17"/>
      <c r="N358" s="93" t="s">
        <v>594</v>
      </c>
      <c r="O358" s="93">
        <v>1</v>
      </c>
      <c r="P358" s="93">
        <v>3750</v>
      </c>
      <c r="Q358" s="93">
        <v>4</v>
      </c>
      <c r="R358" s="69"/>
    </row>
    <row r="359" spans="2:18">
      <c r="B359" s="68"/>
      <c r="C359" s="93">
        <v>6</v>
      </c>
      <c r="D359" s="93" t="s">
        <v>1784</v>
      </c>
      <c r="E359" s="93">
        <v>49</v>
      </c>
      <c r="F359" s="93">
        <v>275625</v>
      </c>
      <c r="G359" s="93">
        <v>13430</v>
      </c>
      <c r="H359" s="94"/>
      <c r="I359" s="93" t="s">
        <v>595</v>
      </c>
      <c r="J359" s="93">
        <v>8</v>
      </c>
      <c r="K359" s="93">
        <v>30000</v>
      </c>
      <c r="L359" s="93">
        <v>160</v>
      </c>
      <c r="M359" s="17"/>
      <c r="N359" s="93" t="s">
        <v>595</v>
      </c>
      <c r="O359" s="93">
        <v>8</v>
      </c>
      <c r="P359" s="93">
        <v>30000</v>
      </c>
      <c r="Q359" s="93">
        <v>160</v>
      </c>
      <c r="R359" s="69"/>
    </row>
    <row r="360" spans="2:18">
      <c r="B360" s="68"/>
      <c r="C360" s="93">
        <v>6</v>
      </c>
      <c r="D360" s="93" t="s">
        <v>1784</v>
      </c>
      <c r="E360" s="93">
        <v>48</v>
      </c>
      <c r="F360" s="93">
        <v>271875</v>
      </c>
      <c r="G360" s="93">
        <v>13020</v>
      </c>
      <c r="H360" s="94"/>
      <c r="I360" s="93" t="s">
        <v>596</v>
      </c>
      <c r="J360" s="93">
        <v>1</v>
      </c>
      <c r="K360" s="93">
        <v>3750</v>
      </c>
      <c r="L360" s="93">
        <v>410</v>
      </c>
      <c r="M360" s="17"/>
      <c r="N360" s="93" t="s">
        <v>596</v>
      </c>
      <c r="O360" s="93">
        <v>1</v>
      </c>
      <c r="P360" s="93">
        <v>3750</v>
      </c>
      <c r="Q360" s="93">
        <v>410</v>
      </c>
      <c r="R360" s="69"/>
    </row>
    <row r="361" spans="2:18">
      <c r="B361" s="68"/>
      <c r="C361" s="93">
        <v>6</v>
      </c>
      <c r="D361" s="93" t="s">
        <v>1784</v>
      </c>
      <c r="E361" s="93">
        <v>47</v>
      </c>
      <c r="F361" s="93">
        <v>270175</v>
      </c>
      <c r="G361" s="93">
        <v>12860</v>
      </c>
      <c r="H361" s="94"/>
      <c r="I361" s="93" t="s">
        <v>597</v>
      </c>
      <c r="J361" s="93">
        <v>1</v>
      </c>
      <c r="K361" s="93">
        <v>1700</v>
      </c>
      <c r="L361" s="93">
        <v>160</v>
      </c>
      <c r="M361" s="17"/>
      <c r="N361" s="93" t="s">
        <v>597</v>
      </c>
      <c r="O361" s="93">
        <v>1</v>
      </c>
      <c r="P361" s="93">
        <v>1700</v>
      </c>
      <c r="Q361" s="93">
        <v>160</v>
      </c>
      <c r="R361" s="69"/>
    </row>
    <row r="362" spans="2:18">
      <c r="B362" s="68"/>
      <c r="C362" s="93">
        <v>6</v>
      </c>
      <c r="D362" s="93" t="s">
        <v>1784</v>
      </c>
      <c r="E362" s="93">
        <v>45</v>
      </c>
      <c r="F362" s="93">
        <v>266425</v>
      </c>
      <c r="G362" s="93">
        <v>12828</v>
      </c>
      <c r="H362" s="94"/>
      <c r="I362" s="93" t="s">
        <v>598</v>
      </c>
      <c r="J362" s="93">
        <v>2</v>
      </c>
      <c r="K362" s="93">
        <v>3750</v>
      </c>
      <c r="L362" s="93">
        <v>32</v>
      </c>
      <c r="M362" s="17"/>
      <c r="N362" s="93" t="s">
        <v>598</v>
      </c>
      <c r="O362" s="93">
        <v>2</v>
      </c>
      <c r="P362" s="93">
        <v>3750</v>
      </c>
      <c r="Q362" s="93">
        <v>32</v>
      </c>
      <c r="R362" s="69"/>
    </row>
    <row r="363" spans="2:18">
      <c r="B363" s="68"/>
      <c r="C363" s="93">
        <v>6</v>
      </c>
      <c r="D363" s="93" t="s">
        <v>1784</v>
      </c>
      <c r="E363" s="93">
        <v>44</v>
      </c>
      <c r="F363" s="93">
        <v>264725</v>
      </c>
      <c r="G363" s="93">
        <v>12668</v>
      </c>
      <c r="H363" s="94"/>
      <c r="I363" s="93" t="s">
        <v>599</v>
      </c>
      <c r="J363" s="93">
        <v>1</v>
      </c>
      <c r="K363" s="93">
        <v>1700</v>
      </c>
      <c r="L363" s="93">
        <v>160</v>
      </c>
      <c r="M363" s="17"/>
      <c r="N363" s="93" t="s">
        <v>599</v>
      </c>
      <c r="O363" s="93">
        <v>1</v>
      </c>
      <c r="P363" s="93">
        <v>1700</v>
      </c>
      <c r="Q363" s="93">
        <v>160</v>
      </c>
      <c r="R363" s="69"/>
    </row>
    <row r="364" spans="2:18">
      <c r="B364" s="68"/>
      <c r="C364" s="93">
        <v>6</v>
      </c>
      <c r="D364" s="93" t="s">
        <v>1784</v>
      </c>
      <c r="E364" s="93">
        <v>43</v>
      </c>
      <c r="F364" s="93">
        <v>263025</v>
      </c>
      <c r="G364" s="93">
        <v>12508</v>
      </c>
      <c r="H364" s="94"/>
      <c r="I364" s="93" t="s">
        <v>600</v>
      </c>
      <c r="J364" s="93">
        <v>1</v>
      </c>
      <c r="K364" s="93">
        <v>1700</v>
      </c>
      <c r="L364" s="93">
        <v>160</v>
      </c>
      <c r="M364" s="17"/>
      <c r="N364" s="93" t="s">
        <v>600</v>
      </c>
      <c r="O364" s="93">
        <v>1</v>
      </c>
      <c r="P364" s="93">
        <v>1700</v>
      </c>
      <c r="Q364" s="93">
        <v>160</v>
      </c>
      <c r="R364" s="69"/>
    </row>
    <row r="365" spans="2:18">
      <c r="B365" s="68"/>
      <c r="C365" s="93">
        <v>6</v>
      </c>
      <c r="D365" s="93" t="s">
        <v>1784</v>
      </c>
      <c r="E365" s="93">
        <v>39</v>
      </c>
      <c r="F365" s="93">
        <v>248025</v>
      </c>
      <c r="G365" s="93">
        <v>12428</v>
      </c>
      <c r="H365" s="94"/>
      <c r="I365" s="93" t="s">
        <v>601</v>
      </c>
      <c r="J365" s="93">
        <v>4</v>
      </c>
      <c r="K365" s="93">
        <v>15000</v>
      </c>
      <c r="L365" s="93">
        <v>80</v>
      </c>
      <c r="M365" s="17"/>
      <c r="N365" s="93" t="s">
        <v>601</v>
      </c>
      <c r="O365" s="93">
        <v>4</v>
      </c>
      <c r="P365" s="93">
        <v>15000</v>
      </c>
      <c r="Q365" s="93">
        <v>80</v>
      </c>
      <c r="R365" s="69"/>
    </row>
    <row r="366" spans="2:18">
      <c r="B366" s="68"/>
      <c r="C366" s="93">
        <v>6</v>
      </c>
      <c r="D366" s="93" t="s">
        <v>1784</v>
      </c>
      <c r="E366" s="93">
        <v>38</v>
      </c>
      <c r="F366" s="93">
        <v>244275</v>
      </c>
      <c r="G366" s="93">
        <v>12424</v>
      </c>
      <c r="H366" s="94"/>
      <c r="I366" s="93" t="s">
        <v>602</v>
      </c>
      <c r="J366" s="93">
        <v>1</v>
      </c>
      <c r="K366" s="93">
        <v>3750</v>
      </c>
      <c r="L366" s="93">
        <v>4</v>
      </c>
      <c r="M366" s="17"/>
      <c r="N366" s="93" t="s">
        <v>602</v>
      </c>
      <c r="O366" s="93">
        <v>1</v>
      </c>
      <c r="P366" s="93">
        <v>3750</v>
      </c>
      <c r="Q366" s="93">
        <v>4</v>
      </c>
      <c r="R366" s="69"/>
    </row>
    <row r="367" spans="2:18">
      <c r="B367" s="68"/>
      <c r="C367" s="93">
        <v>6</v>
      </c>
      <c r="D367" s="93" t="s">
        <v>1784</v>
      </c>
      <c r="E367" s="93">
        <v>37</v>
      </c>
      <c r="F367" s="93">
        <v>242575</v>
      </c>
      <c r="G367" s="93">
        <v>12264</v>
      </c>
      <c r="H367" s="94"/>
      <c r="I367" s="93" t="s">
        <v>604</v>
      </c>
      <c r="J367" s="93">
        <v>1</v>
      </c>
      <c r="K367" s="93">
        <v>1700</v>
      </c>
      <c r="L367" s="93">
        <v>160</v>
      </c>
      <c r="M367" s="17"/>
      <c r="N367" s="93" t="s">
        <v>604</v>
      </c>
      <c r="O367" s="93">
        <v>1</v>
      </c>
      <c r="P367" s="93">
        <v>1700</v>
      </c>
      <c r="Q367" s="93">
        <v>160</v>
      </c>
      <c r="R367" s="69"/>
    </row>
    <row r="368" spans="2:18">
      <c r="B368" s="68"/>
      <c r="C368" s="93">
        <v>6</v>
      </c>
      <c r="D368" s="93" t="s">
        <v>1784</v>
      </c>
      <c r="E368" s="93">
        <v>36</v>
      </c>
      <c r="F368" s="93">
        <v>238825</v>
      </c>
      <c r="G368" s="93">
        <v>12260</v>
      </c>
      <c r="H368" s="94"/>
      <c r="I368" s="93" t="s">
        <v>605</v>
      </c>
      <c r="J368" s="93">
        <v>1</v>
      </c>
      <c r="K368" s="93">
        <v>3750</v>
      </c>
      <c r="L368" s="93">
        <v>4</v>
      </c>
      <c r="M368" s="17"/>
      <c r="N368" s="93" t="s">
        <v>605</v>
      </c>
      <c r="O368" s="93">
        <v>1</v>
      </c>
      <c r="P368" s="93">
        <v>3750</v>
      </c>
      <c r="Q368" s="93">
        <v>4</v>
      </c>
      <c r="R368" s="69"/>
    </row>
    <row r="369" spans="2:18">
      <c r="B369" s="68"/>
      <c r="C369" s="93">
        <v>6</v>
      </c>
      <c r="D369" s="93" t="s">
        <v>1784</v>
      </c>
      <c r="E369" s="93">
        <v>35</v>
      </c>
      <c r="F369" s="93">
        <v>237125</v>
      </c>
      <c r="G369" s="93">
        <v>12100</v>
      </c>
      <c r="H369" s="94"/>
      <c r="I369" s="93" t="s">
        <v>606</v>
      </c>
      <c r="J369" s="93">
        <v>1</v>
      </c>
      <c r="K369" s="93">
        <v>1700</v>
      </c>
      <c r="L369" s="93">
        <v>160</v>
      </c>
      <c r="M369" s="17"/>
      <c r="N369" s="93" t="s">
        <v>606</v>
      </c>
      <c r="O369" s="93">
        <v>1</v>
      </c>
      <c r="P369" s="93">
        <v>1700</v>
      </c>
      <c r="Q369" s="93">
        <v>160</v>
      </c>
      <c r="R369" s="69"/>
    </row>
    <row r="370" spans="2:18">
      <c r="B370" s="68"/>
      <c r="C370" s="93">
        <v>6</v>
      </c>
      <c r="D370" s="93" t="s">
        <v>1784</v>
      </c>
      <c r="E370" s="93">
        <v>34</v>
      </c>
      <c r="F370" s="93">
        <v>233375</v>
      </c>
      <c r="G370" s="93">
        <v>12096</v>
      </c>
      <c r="H370" s="94"/>
      <c r="I370" s="93" t="s">
        <v>607</v>
      </c>
      <c r="J370" s="93">
        <v>1</v>
      </c>
      <c r="K370" s="93">
        <v>3750</v>
      </c>
      <c r="L370" s="93">
        <v>4</v>
      </c>
      <c r="M370" s="17"/>
      <c r="N370" s="93" t="s">
        <v>607</v>
      </c>
      <c r="O370" s="93">
        <v>1</v>
      </c>
      <c r="P370" s="93">
        <v>3750</v>
      </c>
      <c r="Q370" s="93">
        <v>4</v>
      </c>
      <c r="R370" s="69"/>
    </row>
    <row r="371" spans="2:18">
      <c r="B371" s="68"/>
      <c r="C371" s="93">
        <v>6</v>
      </c>
      <c r="D371" s="93" t="s">
        <v>1784</v>
      </c>
      <c r="E371" s="93">
        <v>33</v>
      </c>
      <c r="F371" s="93">
        <v>231675</v>
      </c>
      <c r="G371" s="93">
        <v>11936</v>
      </c>
      <c r="H371" s="94"/>
      <c r="I371" s="93" t="s">
        <v>608</v>
      </c>
      <c r="J371" s="93">
        <v>1</v>
      </c>
      <c r="K371" s="93">
        <v>1700</v>
      </c>
      <c r="L371" s="93">
        <v>160</v>
      </c>
      <c r="M371" s="17"/>
      <c r="N371" s="93" t="s">
        <v>608</v>
      </c>
      <c r="O371" s="93">
        <v>1</v>
      </c>
      <c r="P371" s="93">
        <v>1700</v>
      </c>
      <c r="Q371" s="93">
        <v>160</v>
      </c>
      <c r="R371" s="69"/>
    </row>
    <row r="372" spans="2:18">
      <c r="B372" s="68"/>
      <c r="C372" s="93">
        <v>6</v>
      </c>
      <c r="D372" s="93" t="s">
        <v>1784</v>
      </c>
      <c r="E372" s="93">
        <v>32</v>
      </c>
      <c r="F372" s="93">
        <v>227925</v>
      </c>
      <c r="G372" s="93">
        <v>11932</v>
      </c>
      <c r="H372" s="94"/>
      <c r="I372" s="93" t="s">
        <v>610</v>
      </c>
      <c r="J372" s="93">
        <v>1</v>
      </c>
      <c r="K372" s="93">
        <v>3750</v>
      </c>
      <c r="L372" s="93">
        <v>4</v>
      </c>
      <c r="M372" s="17"/>
      <c r="N372" s="93" t="s">
        <v>610</v>
      </c>
      <c r="O372" s="93">
        <v>1</v>
      </c>
      <c r="P372" s="93">
        <v>3750</v>
      </c>
      <c r="Q372" s="93">
        <v>4</v>
      </c>
      <c r="R372" s="69"/>
    </row>
    <row r="373" spans="2:18">
      <c r="B373" s="68"/>
      <c r="C373" s="93">
        <v>6</v>
      </c>
      <c r="D373" s="93" t="s">
        <v>1784</v>
      </c>
      <c r="E373" s="93">
        <v>31</v>
      </c>
      <c r="F373" s="93">
        <v>226225</v>
      </c>
      <c r="G373" s="93">
        <v>11772</v>
      </c>
      <c r="H373" s="94"/>
      <c r="I373" s="93" t="s">
        <v>611</v>
      </c>
      <c r="J373" s="93">
        <v>1</v>
      </c>
      <c r="K373" s="93">
        <v>1700</v>
      </c>
      <c r="L373" s="93">
        <v>160</v>
      </c>
      <c r="M373" s="17"/>
      <c r="N373" s="93" t="s">
        <v>611</v>
      </c>
      <c r="O373" s="93">
        <v>1</v>
      </c>
      <c r="P373" s="93">
        <v>1700</v>
      </c>
      <c r="Q373" s="93">
        <v>160</v>
      </c>
      <c r="R373" s="69"/>
    </row>
    <row r="374" spans="2:18">
      <c r="B374" s="68"/>
      <c r="C374" s="93">
        <v>6</v>
      </c>
      <c r="D374" s="93" t="s">
        <v>1784</v>
      </c>
      <c r="E374" s="93">
        <v>29</v>
      </c>
      <c r="F374" s="93">
        <v>218725</v>
      </c>
      <c r="G374" s="93">
        <v>10922</v>
      </c>
      <c r="H374" s="94"/>
      <c r="I374" s="93" t="s">
        <v>613</v>
      </c>
      <c r="J374" s="93">
        <v>2</v>
      </c>
      <c r="K374" s="93">
        <v>7500</v>
      </c>
      <c r="L374" s="93">
        <v>850</v>
      </c>
      <c r="M374" s="17"/>
      <c r="N374" s="93" t="s">
        <v>613</v>
      </c>
      <c r="O374" s="93">
        <v>2</v>
      </c>
      <c r="P374" s="93">
        <v>7500</v>
      </c>
      <c r="Q374" s="93">
        <v>850</v>
      </c>
      <c r="R374" s="69"/>
    </row>
    <row r="375" spans="2:18">
      <c r="B375" s="68"/>
      <c r="C375" s="93">
        <v>6</v>
      </c>
      <c r="D375" s="93" t="s">
        <v>1784</v>
      </c>
      <c r="E375" s="93">
        <v>28</v>
      </c>
      <c r="F375" s="93">
        <v>217025</v>
      </c>
      <c r="G375" s="93">
        <v>10762</v>
      </c>
      <c r="H375" s="94"/>
      <c r="I375" s="93" t="s">
        <v>614</v>
      </c>
      <c r="J375" s="93">
        <v>1</v>
      </c>
      <c r="K375" s="93">
        <v>1700</v>
      </c>
      <c r="L375" s="93">
        <v>160</v>
      </c>
      <c r="M375" s="17"/>
      <c r="N375" s="93" t="s">
        <v>614</v>
      </c>
      <c r="O375" s="93">
        <v>1</v>
      </c>
      <c r="P375" s="93">
        <v>1700</v>
      </c>
      <c r="Q375" s="93">
        <v>160</v>
      </c>
      <c r="R375" s="69"/>
    </row>
    <row r="376" spans="2:18">
      <c r="B376" s="68"/>
      <c r="C376" s="93">
        <v>6</v>
      </c>
      <c r="D376" s="93" t="s">
        <v>1784</v>
      </c>
      <c r="E376" s="93">
        <v>27</v>
      </c>
      <c r="F376" s="93">
        <v>215025</v>
      </c>
      <c r="G376" s="93">
        <v>10762</v>
      </c>
      <c r="H376" s="94"/>
      <c r="I376" s="93" t="s">
        <v>615</v>
      </c>
      <c r="J376" s="93">
        <v>1</v>
      </c>
      <c r="K376" s="93">
        <v>2000</v>
      </c>
      <c r="L376" s="93">
        <v>0</v>
      </c>
      <c r="M376" s="17"/>
      <c r="N376" s="93" t="s">
        <v>615</v>
      </c>
      <c r="O376" s="93">
        <v>1</v>
      </c>
      <c r="P376" s="93">
        <v>2000</v>
      </c>
      <c r="Q376" s="93">
        <v>0</v>
      </c>
      <c r="R376" s="69"/>
    </row>
    <row r="377" spans="2:18">
      <c r="B377" s="68"/>
      <c r="C377" s="93">
        <v>6</v>
      </c>
      <c r="D377" s="93" t="s">
        <v>1784</v>
      </c>
      <c r="E377" s="93">
        <v>23</v>
      </c>
      <c r="F377" s="93">
        <v>200025</v>
      </c>
      <c r="G377" s="93">
        <v>10682</v>
      </c>
      <c r="H377" s="94"/>
      <c r="I377" s="93" t="s">
        <v>616</v>
      </c>
      <c r="J377" s="93">
        <v>4</v>
      </c>
      <c r="K377" s="93">
        <v>15000</v>
      </c>
      <c r="L377" s="93">
        <v>80</v>
      </c>
      <c r="M377" s="17"/>
      <c r="N377" s="93" t="s">
        <v>616</v>
      </c>
      <c r="O377" s="93">
        <v>4</v>
      </c>
      <c r="P377" s="93">
        <v>15000</v>
      </c>
      <c r="Q377" s="93">
        <v>80</v>
      </c>
      <c r="R377" s="69"/>
    </row>
    <row r="378" spans="2:18">
      <c r="B378" s="68"/>
      <c r="C378" s="93">
        <v>6</v>
      </c>
      <c r="D378" s="93" t="s">
        <v>1784</v>
      </c>
      <c r="E378" s="93">
        <v>22</v>
      </c>
      <c r="F378" s="93">
        <v>198325</v>
      </c>
      <c r="G378" s="93">
        <v>10522</v>
      </c>
      <c r="H378" s="94"/>
      <c r="I378" s="93" t="s">
        <v>617</v>
      </c>
      <c r="J378" s="93">
        <v>1</v>
      </c>
      <c r="K378" s="93">
        <v>1700</v>
      </c>
      <c r="L378" s="93">
        <v>160</v>
      </c>
      <c r="M378" s="17"/>
      <c r="N378" s="93" t="s">
        <v>617</v>
      </c>
      <c r="O378" s="93">
        <v>1</v>
      </c>
      <c r="P378" s="93">
        <v>1700</v>
      </c>
      <c r="Q378" s="93">
        <v>160</v>
      </c>
      <c r="R378" s="69"/>
    </row>
    <row r="379" spans="2:18">
      <c r="B379" s="68"/>
      <c r="C379" s="93">
        <v>6</v>
      </c>
      <c r="D379" s="93" t="s">
        <v>1784</v>
      </c>
      <c r="E379" s="93">
        <v>21</v>
      </c>
      <c r="F379" s="93">
        <v>196625</v>
      </c>
      <c r="G379" s="93">
        <v>10362</v>
      </c>
      <c r="H379" s="94"/>
      <c r="I379" s="93" t="s">
        <v>618</v>
      </c>
      <c r="J379" s="93">
        <v>1</v>
      </c>
      <c r="K379" s="93">
        <v>1700</v>
      </c>
      <c r="L379" s="93">
        <v>160</v>
      </c>
      <c r="M379" s="17"/>
      <c r="N379" s="93" t="s">
        <v>618</v>
      </c>
      <c r="O379" s="93">
        <v>1</v>
      </c>
      <c r="P379" s="93">
        <v>1700</v>
      </c>
      <c r="Q379" s="93">
        <v>160</v>
      </c>
      <c r="R379" s="69"/>
    </row>
    <row r="380" spans="2:18">
      <c r="B380" s="68"/>
      <c r="C380" s="93">
        <v>6</v>
      </c>
      <c r="D380" s="93" t="s">
        <v>1784</v>
      </c>
      <c r="E380" s="93">
        <v>20</v>
      </c>
      <c r="F380" s="93">
        <v>194925</v>
      </c>
      <c r="G380" s="93">
        <v>10202</v>
      </c>
      <c r="H380" s="94"/>
      <c r="I380" s="93" t="s">
        <v>619</v>
      </c>
      <c r="J380" s="93">
        <v>1</v>
      </c>
      <c r="K380" s="93">
        <v>1700</v>
      </c>
      <c r="L380" s="93">
        <v>160</v>
      </c>
      <c r="M380" s="17"/>
      <c r="N380" s="93" t="s">
        <v>619</v>
      </c>
      <c r="O380" s="93">
        <v>1</v>
      </c>
      <c r="P380" s="93">
        <v>1700</v>
      </c>
      <c r="Q380" s="93">
        <v>160</v>
      </c>
      <c r="R380" s="69"/>
    </row>
    <row r="381" spans="2:18">
      <c r="B381" s="68"/>
      <c r="C381" s="93">
        <v>6</v>
      </c>
      <c r="D381" s="93" t="s">
        <v>1784</v>
      </c>
      <c r="E381" s="93">
        <v>19</v>
      </c>
      <c r="F381" s="93">
        <v>193225</v>
      </c>
      <c r="G381" s="93">
        <v>10042</v>
      </c>
      <c r="H381" s="94"/>
      <c r="I381" s="93" t="s">
        <v>620</v>
      </c>
      <c r="J381" s="93">
        <v>1</v>
      </c>
      <c r="K381" s="93">
        <v>1700</v>
      </c>
      <c r="L381" s="93">
        <v>160</v>
      </c>
      <c r="M381" s="17"/>
      <c r="N381" s="93" t="s">
        <v>620</v>
      </c>
      <c r="O381" s="93">
        <v>1</v>
      </c>
      <c r="P381" s="93">
        <v>1700</v>
      </c>
      <c r="Q381" s="93">
        <v>160</v>
      </c>
      <c r="R381" s="69"/>
    </row>
    <row r="382" spans="2:18">
      <c r="B382" s="68"/>
      <c r="C382" s="93">
        <v>6</v>
      </c>
      <c r="D382" s="93" t="s">
        <v>1784</v>
      </c>
      <c r="E382" s="93">
        <v>15</v>
      </c>
      <c r="F382" s="93">
        <v>178225</v>
      </c>
      <c r="G382" s="93">
        <v>9962</v>
      </c>
      <c r="H382" s="94"/>
      <c r="I382" s="93" t="s">
        <v>621</v>
      </c>
      <c r="J382" s="93">
        <v>4</v>
      </c>
      <c r="K382" s="93">
        <v>15000</v>
      </c>
      <c r="L382" s="93">
        <v>80</v>
      </c>
      <c r="M382" s="17"/>
      <c r="N382" s="93" t="s">
        <v>621</v>
      </c>
      <c r="O382" s="93">
        <v>4</v>
      </c>
      <c r="P382" s="93">
        <v>15000</v>
      </c>
      <c r="Q382" s="93">
        <v>80</v>
      </c>
      <c r="R382" s="69"/>
    </row>
    <row r="383" spans="2:18">
      <c r="B383" s="68"/>
      <c r="C383" s="93">
        <v>6</v>
      </c>
      <c r="D383" s="93" t="s">
        <v>1784</v>
      </c>
      <c r="E383" s="93">
        <v>14</v>
      </c>
      <c r="F383" s="93">
        <v>176525</v>
      </c>
      <c r="G383" s="93">
        <v>9802</v>
      </c>
      <c r="H383" s="94"/>
      <c r="I383" s="93" t="s">
        <v>622</v>
      </c>
      <c r="J383" s="93">
        <v>1</v>
      </c>
      <c r="K383" s="93">
        <v>1700</v>
      </c>
      <c r="L383" s="93">
        <v>160</v>
      </c>
      <c r="M383" s="17"/>
      <c r="N383" s="93" t="s">
        <v>622</v>
      </c>
      <c r="O383" s="93">
        <v>1</v>
      </c>
      <c r="P383" s="93">
        <v>1700</v>
      </c>
      <c r="Q383" s="93">
        <v>160</v>
      </c>
      <c r="R383" s="69"/>
    </row>
    <row r="384" spans="2:18">
      <c r="B384" s="68"/>
      <c r="C384" s="93">
        <v>6</v>
      </c>
      <c r="D384" s="93" t="s">
        <v>1784</v>
      </c>
      <c r="E384" s="93">
        <v>12</v>
      </c>
      <c r="F384" s="93">
        <v>172525</v>
      </c>
      <c r="G384" s="93">
        <v>9802</v>
      </c>
      <c r="H384" s="94"/>
      <c r="I384" s="93" t="s">
        <v>623</v>
      </c>
      <c r="J384" s="93">
        <v>2</v>
      </c>
      <c r="K384" s="93">
        <v>4000</v>
      </c>
      <c r="L384" s="93">
        <v>0</v>
      </c>
      <c r="M384" s="17"/>
      <c r="N384" s="93" t="s">
        <v>623</v>
      </c>
      <c r="O384" s="93">
        <v>2</v>
      </c>
      <c r="P384" s="93">
        <v>4000</v>
      </c>
      <c r="Q384" s="93">
        <v>0</v>
      </c>
      <c r="R384" s="69"/>
    </row>
    <row r="385" spans="2:18">
      <c r="B385" s="68"/>
      <c r="C385" s="93">
        <v>6</v>
      </c>
      <c r="D385" s="93" t="s">
        <v>1784</v>
      </c>
      <c r="E385" s="93">
        <v>10</v>
      </c>
      <c r="F385" s="93">
        <v>168775</v>
      </c>
      <c r="G385" s="93">
        <v>9770</v>
      </c>
      <c r="H385" s="94"/>
      <c r="I385" s="93" t="s">
        <v>624</v>
      </c>
      <c r="J385" s="93">
        <v>2</v>
      </c>
      <c r="K385" s="93">
        <v>3750</v>
      </c>
      <c r="L385" s="93">
        <v>32</v>
      </c>
      <c r="M385" s="17"/>
      <c r="N385" s="93" t="s">
        <v>624</v>
      </c>
      <c r="O385" s="93">
        <v>2</v>
      </c>
      <c r="P385" s="93">
        <v>3750</v>
      </c>
      <c r="Q385" s="93">
        <v>32</v>
      </c>
      <c r="R385" s="69"/>
    </row>
    <row r="386" spans="2:18">
      <c r="B386" s="68"/>
      <c r="C386" s="93">
        <v>6</v>
      </c>
      <c r="D386" s="93" t="s">
        <v>1784</v>
      </c>
      <c r="E386" s="93">
        <v>8</v>
      </c>
      <c r="F386" s="93">
        <v>165025</v>
      </c>
      <c r="G386" s="93">
        <v>9738</v>
      </c>
      <c r="H386" s="94"/>
      <c r="I386" s="93" t="s">
        <v>625</v>
      </c>
      <c r="J386" s="93">
        <v>2</v>
      </c>
      <c r="K386" s="93">
        <v>3750</v>
      </c>
      <c r="L386" s="93">
        <v>32</v>
      </c>
      <c r="M386" s="17"/>
      <c r="N386" s="93" t="s">
        <v>625</v>
      </c>
      <c r="O386" s="93">
        <v>2</v>
      </c>
      <c r="P386" s="93">
        <v>3750</v>
      </c>
      <c r="Q386" s="93">
        <v>32</v>
      </c>
      <c r="R386" s="69"/>
    </row>
    <row r="387" spans="2:18">
      <c r="B387" s="68"/>
      <c r="C387" s="93">
        <v>6</v>
      </c>
      <c r="D387" s="93" t="s">
        <v>1784</v>
      </c>
      <c r="E387" s="93">
        <v>6</v>
      </c>
      <c r="F387" s="93">
        <v>161275</v>
      </c>
      <c r="G387" s="93">
        <v>9706</v>
      </c>
      <c r="H387" s="94"/>
      <c r="I387" s="93" t="s">
        <v>626</v>
      </c>
      <c r="J387" s="93">
        <v>2</v>
      </c>
      <c r="K387" s="93">
        <v>3750</v>
      </c>
      <c r="L387" s="93">
        <v>32</v>
      </c>
      <c r="M387" s="17"/>
      <c r="N387" s="93" t="s">
        <v>626</v>
      </c>
      <c r="O387" s="93">
        <v>2</v>
      </c>
      <c r="P387" s="93">
        <v>3750</v>
      </c>
      <c r="Q387" s="93">
        <v>32</v>
      </c>
      <c r="R387" s="69"/>
    </row>
    <row r="388" spans="2:18">
      <c r="B388" s="68"/>
      <c r="C388" s="93">
        <v>6</v>
      </c>
      <c r="D388" s="93" t="s">
        <v>1784</v>
      </c>
      <c r="E388" s="93">
        <v>4</v>
      </c>
      <c r="F388" s="93">
        <v>157525</v>
      </c>
      <c r="G388" s="93">
        <v>9674</v>
      </c>
      <c r="H388" s="94"/>
      <c r="I388" s="93" t="s">
        <v>627</v>
      </c>
      <c r="J388" s="93">
        <v>2</v>
      </c>
      <c r="K388" s="93">
        <v>3750</v>
      </c>
      <c r="L388" s="93">
        <v>32</v>
      </c>
      <c r="M388" s="17"/>
      <c r="N388" s="93" t="s">
        <v>627</v>
      </c>
      <c r="O388" s="93">
        <v>2</v>
      </c>
      <c r="P388" s="93">
        <v>3750</v>
      </c>
      <c r="Q388" s="93">
        <v>32</v>
      </c>
      <c r="R388" s="69"/>
    </row>
    <row r="389" spans="2:18">
      <c r="B389" s="68"/>
      <c r="C389" s="93">
        <v>6</v>
      </c>
      <c r="D389" s="93" t="s">
        <v>1784</v>
      </c>
      <c r="E389" s="93">
        <v>2</v>
      </c>
      <c r="F389" s="93">
        <v>153775</v>
      </c>
      <c r="G389" s="93">
        <v>9642</v>
      </c>
      <c r="H389" s="94"/>
      <c r="I389" s="93" t="s">
        <v>628</v>
      </c>
      <c r="J389" s="93">
        <v>2</v>
      </c>
      <c r="K389" s="93">
        <v>3750</v>
      </c>
      <c r="L389" s="93">
        <v>32</v>
      </c>
      <c r="M389" s="17"/>
      <c r="N389" s="93" t="s">
        <v>628</v>
      </c>
      <c r="O389" s="93">
        <v>2</v>
      </c>
      <c r="P389" s="93">
        <v>3750</v>
      </c>
      <c r="Q389" s="93">
        <v>32</v>
      </c>
      <c r="R389" s="69"/>
    </row>
    <row r="390" spans="2:18">
      <c r="B390" s="68"/>
      <c r="C390" s="93">
        <v>6</v>
      </c>
      <c r="D390" s="93" t="s">
        <v>1784</v>
      </c>
      <c r="E390" s="93">
        <v>1</v>
      </c>
      <c r="F390" s="93">
        <v>152075</v>
      </c>
      <c r="G390" s="93">
        <v>9482</v>
      </c>
      <c r="H390" s="94"/>
      <c r="I390" s="93" t="s">
        <v>629</v>
      </c>
      <c r="J390" s="93">
        <v>1</v>
      </c>
      <c r="K390" s="93">
        <v>1700</v>
      </c>
      <c r="L390" s="93">
        <v>160</v>
      </c>
      <c r="M390" s="17"/>
      <c r="N390" s="93" t="s">
        <v>629</v>
      </c>
      <c r="O390" s="93">
        <v>1</v>
      </c>
      <c r="P390" s="93">
        <v>1700</v>
      </c>
      <c r="Q390" s="93">
        <v>160</v>
      </c>
      <c r="R390" s="69"/>
    </row>
    <row r="391" spans="2:18">
      <c r="B391" s="68"/>
      <c r="C391" s="93">
        <v>7</v>
      </c>
      <c r="D391" s="93" t="s">
        <v>1785</v>
      </c>
      <c r="E391" s="93">
        <v>139</v>
      </c>
      <c r="F391" s="93">
        <v>520540</v>
      </c>
      <c r="G391" s="93">
        <v>19470</v>
      </c>
      <c r="H391" s="94"/>
      <c r="I391" s="93" t="s">
        <v>630</v>
      </c>
      <c r="J391" s="93">
        <v>1</v>
      </c>
      <c r="K391" s="93">
        <v>1700</v>
      </c>
      <c r="L391" s="93">
        <v>160</v>
      </c>
      <c r="M391" s="17"/>
      <c r="N391" s="93" t="s">
        <v>630</v>
      </c>
      <c r="O391" s="93">
        <v>1</v>
      </c>
      <c r="P391" s="93">
        <v>1700</v>
      </c>
      <c r="Q391" s="93">
        <v>160</v>
      </c>
      <c r="R391" s="69"/>
    </row>
    <row r="392" spans="2:18">
      <c r="B392" s="68"/>
      <c r="C392" s="93">
        <v>7</v>
      </c>
      <c r="D392" s="93" t="s">
        <v>1785</v>
      </c>
      <c r="E392" s="93">
        <v>131</v>
      </c>
      <c r="F392" s="93">
        <v>505540</v>
      </c>
      <c r="G392" s="93">
        <v>19310</v>
      </c>
      <c r="H392" s="94"/>
      <c r="I392" s="93" t="s">
        <v>631</v>
      </c>
      <c r="J392" s="93">
        <v>8</v>
      </c>
      <c r="K392" s="93">
        <v>15000</v>
      </c>
      <c r="L392" s="93">
        <v>160</v>
      </c>
      <c r="M392" s="17"/>
      <c r="N392" s="93" t="s">
        <v>631</v>
      </c>
      <c r="O392" s="93">
        <v>8</v>
      </c>
      <c r="P392" s="93">
        <v>15000</v>
      </c>
      <c r="Q392" s="93">
        <v>160</v>
      </c>
      <c r="R392" s="69"/>
    </row>
    <row r="393" spans="2:18">
      <c r="B393" s="68"/>
      <c r="C393" s="93">
        <v>7</v>
      </c>
      <c r="D393" s="93" t="s">
        <v>1785</v>
      </c>
      <c r="E393" s="93">
        <v>130</v>
      </c>
      <c r="F393" s="93">
        <v>503540</v>
      </c>
      <c r="G393" s="93">
        <v>19310</v>
      </c>
      <c r="H393" s="94"/>
      <c r="I393" s="93" t="s">
        <v>633</v>
      </c>
      <c r="J393" s="93">
        <v>1</v>
      </c>
      <c r="K393" s="93">
        <v>2000</v>
      </c>
      <c r="L393" s="93">
        <v>0</v>
      </c>
      <c r="M393" s="17"/>
      <c r="N393" s="93" t="s">
        <v>633</v>
      </c>
      <c r="O393" s="93">
        <v>1</v>
      </c>
      <c r="P393" s="93">
        <v>2000</v>
      </c>
      <c r="Q393" s="93">
        <v>0</v>
      </c>
      <c r="R393" s="69"/>
    </row>
    <row r="394" spans="2:18">
      <c r="B394" s="68"/>
      <c r="C394" s="93">
        <v>7</v>
      </c>
      <c r="D394" s="93" t="s">
        <v>1785</v>
      </c>
      <c r="E394" s="93">
        <v>129</v>
      </c>
      <c r="F394" s="93">
        <v>501840</v>
      </c>
      <c r="G394" s="93">
        <v>19150</v>
      </c>
      <c r="H394" s="94"/>
      <c r="I394" s="93" t="s">
        <v>634</v>
      </c>
      <c r="J394" s="93">
        <v>1</v>
      </c>
      <c r="K394" s="93">
        <v>1700</v>
      </c>
      <c r="L394" s="93">
        <v>160</v>
      </c>
      <c r="M394" s="17"/>
      <c r="N394" s="93" t="s">
        <v>634</v>
      </c>
      <c r="O394" s="93">
        <v>1</v>
      </c>
      <c r="P394" s="93">
        <v>1700</v>
      </c>
      <c r="Q394" s="93">
        <v>160</v>
      </c>
      <c r="R394" s="69"/>
    </row>
    <row r="395" spans="2:18">
      <c r="B395" s="68"/>
      <c r="C395" s="93">
        <v>7</v>
      </c>
      <c r="D395" s="93" t="s">
        <v>1785</v>
      </c>
      <c r="E395" s="93">
        <v>128</v>
      </c>
      <c r="F395" s="93">
        <v>500140</v>
      </c>
      <c r="G395" s="93">
        <v>18990</v>
      </c>
      <c r="H395" s="94"/>
      <c r="I395" s="93" t="s">
        <v>635</v>
      </c>
      <c r="J395" s="93">
        <v>1</v>
      </c>
      <c r="K395" s="93">
        <v>1700</v>
      </c>
      <c r="L395" s="93">
        <v>160</v>
      </c>
      <c r="M395" s="17"/>
      <c r="N395" s="93" t="s">
        <v>635</v>
      </c>
      <c r="O395" s="93">
        <v>1</v>
      </c>
      <c r="P395" s="93">
        <v>1700</v>
      </c>
      <c r="Q395" s="93">
        <v>160</v>
      </c>
      <c r="R395" s="69"/>
    </row>
    <row r="396" spans="2:18">
      <c r="B396" s="68"/>
      <c r="C396" s="93">
        <v>7</v>
      </c>
      <c r="D396" s="93" t="s">
        <v>1785</v>
      </c>
      <c r="E396" s="93">
        <v>124</v>
      </c>
      <c r="F396" s="93">
        <v>485140</v>
      </c>
      <c r="G396" s="93">
        <v>18910</v>
      </c>
      <c r="H396" s="94"/>
      <c r="I396" s="93" t="s">
        <v>636</v>
      </c>
      <c r="J396" s="93">
        <v>4</v>
      </c>
      <c r="K396" s="93">
        <v>15000</v>
      </c>
      <c r="L396" s="93">
        <v>80</v>
      </c>
      <c r="M396" s="17"/>
      <c r="N396" s="93" t="s">
        <v>636</v>
      </c>
      <c r="O396" s="93">
        <v>4</v>
      </c>
      <c r="P396" s="93">
        <v>15000</v>
      </c>
      <c r="Q396" s="93">
        <v>80</v>
      </c>
      <c r="R396" s="69"/>
    </row>
    <row r="397" spans="2:18">
      <c r="B397" s="68"/>
      <c r="C397" s="93">
        <v>7</v>
      </c>
      <c r="D397" s="93" t="s">
        <v>1785</v>
      </c>
      <c r="E397" s="93">
        <v>123</v>
      </c>
      <c r="F397" s="93">
        <v>483140</v>
      </c>
      <c r="G397" s="93">
        <v>18910</v>
      </c>
      <c r="H397" s="94"/>
      <c r="I397" s="93" t="s">
        <v>637</v>
      </c>
      <c r="J397" s="93">
        <v>1</v>
      </c>
      <c r="K397" s="93">
        <v>2000</v>
      </c>
      <c r="L397" s="93">
        <v>0</v>
      </c>
      <c r="M397" s="17"/>
      <c r="N397" s="93" t="s">
        <v>637</v>
      </c>
      <c r="O397" s="93">
        <v>1</v>
      </c>
      <c r="P397" s="93">
        <v>2000</v>
      </c>
      <c r="Q397" s="93">
        <v>0</v>
      </c>
      <c r="R397" s="69"/>
    </row>
    <row r="398" spans="2:18">
      <c r="B398" s="68"/>
      <c r="C398" s="93">
        <v>7</v>
      </c>
      <c r="D398" s="93" t="s">
        <v>1785</v>
      </c>
      <c r="E398" s="93">
        <v>122</v>
      </c>
      <c r="F398" s="93">
        <v>481440</v>
      </c>
      <c r="G398" s="93">
        <v>18750</v>
      </c>
      <c r="H398" s="94"/>
      <c r="I398" s="93" t="s">
        <v>638</v>
      </c>
      <c r="J398" s="93">
        <v>1</v>
      </c>
      <c r="K398" s="93">
        <v>1700</v>
      </c>
      <c r="L398" s="93">
        <v>160</v>
      </c>
      <c r="M398" s="17"/>
      <c r="N398" s="93" t="s">
        <v>638</v>
      </c>
      <c r="O398" s="93">
        <v>1</v>
      </c>
      <c r="P398" s="93">
        <v>1700</v>
      </c>
      <c r="Q398" s="93">
        <v>160</v>
      </c>
      <c r="R398" s="69"/>
    </row>
    <row r="399" spans="2:18">
      <c r="B399" s="68"/>
      <c r="C399" s="93">
        <v>7</v>
      </c>
      <c r="D399" s="93" t="s">
        <v>1785</v>
      </c>
      <c r="E399" s="93">
        <v>121</v>
      </c>
      <c r="F399" s="93">
        <v>479740</v>
      </c>
      <c r="G399" s="93">
        <v>18590</v>
      </c>
      <c r="H399" s="94"/>
      <c r="I399" s="93" t="s">
        <v>639</v>
      </c>
      <c r="J399" s="93">
        <v>1</v>
      </c>
      <c r="K399" s="93">
        <v>1700</v>
      </c>
      <c r="L399" s="93">
        <v>160</v>
      </c>
      <c r="M399" s="17"/>
      <c r="N399" s="93" t="s">
        <v>639</v>
      </c>
      <c r="O399" s="93">
        <v>1</v>
      </c>
      <c r="P399" s="93">
        <v>1700</v>
      </c>
      <c r="Q399" s="93">
        <v>160</v>
      </c>
      <c r="R399" s="69"/>
    </row>
    <row r="400" spans="2:18">
      <c r="B400" s="68"/>
      <c r="C400" s="93">
        <v>7</v>
      </c>
      <c r="D400" s="93" t="s">
        <v>1785</v>
      </c>
      <c r="E400" s="93">
        <v>120</v>
      </c>
      <c r="F400" s="93">
        <v>478040</v>
      </c>
      <c r="G400" s="93">
        <v>18430</v>
      </c>
      <c r="H400" s="94"/>
      <c r="I400" s="93" t="s">
        <v>640</v>
      </c>
      <c r="J400" s="93">
        <v>1</v>
      </c>
      <c r="K400" s="93">
        <v>1700</v>
      </c>
      <c r="L400" s="93">
        <v>160</v>
      </c>
      <c r="M400" s="17"/>
      <c r="N400" s="93" t="s">
        <v>640</v>
      </c>
      <c r="O400" s="93">
        <v>1</v>
      </c>
      <c r="P400" s="93">
        <v>1700</v>
      </c>
      <c r="Q400" s="93">
        <v>160</v>
      </c>
      <c r="R400" s="69"/>
    </row>
    <row r="401" spans="2:18">
      <c r="B401" s="68"/>
      <c r="C401" s="93">
        <v>7</v>
      </c>
      <c r="D401" s="93" t="s">
        <v>1785</v>
      </c>
      <c r="E401" s="93">
        <v>119</v>
      </c>
      <c r="F401" s="93">
        <v>476340</v>
      </c>
      <c r="G401" s="93">
        <v>18270</v>
      </c>
      <c r="H401" s="94"/>
      <c r="I401" s="93" t="s">
        <v>641</v>
      </c>
      <c r="J401" s="93">
        <v>1</v>
      </c>
      <c r="K401" s="93">
        <v>1700</v>
      </c>
      <c r="L401" s="93">
        <v>160</v>
      </c>
      <c r="M401" s="17"/>
      <c r="N401" s="93" t="s">
        <v>641</v>
      </c>
      <c r="O401" s="93">
        <v>1</v>
      </c>
      <c r="P401" s="93">
        <v>1700</v>
      </c>
      <c r="Q401" s="93">
        <v>160</v>
      </c>
      <c r="R401" s="69"/>
    </row>
    <row r="402" spans="2:18">
      <c r="B402" s="68"/>
      <c r="C402" s="93">
        <v>7</v>
      </c>
      <c r="D402" s="93" t="s">
        <v>1785</v>
      </c>
      <c r="E402" s="93">
        <v>117</v>
      </c>
      <c r="F402" s="93">
        <v>472590</v>
      </c>
      <c r="G402" s="93">
        <v>18238</v>
      </c>
      <c r="H402" s="94"/>
      <c r="I402" s="93" t="s">
        <v>642</v>
      </c>
      <c r="J402" s="93">
        <v>2</v>
      </c>
      <c r="K402" s="93">
        <v>3750</v>
      </c>
      <c r="L402" s="93">
        <v>32</v>
      </c>
      <c r="M402" s="17"/>
      <c r="N402" s="93" t="s">
        <v>642</v>
      </c>
      <c r="O402" s="93">
        <v>2</v>
      </c>
      <c r="P402" s="93">
        <v>3750</v>
      </c>
      <c r="Q402" s="93">
        <v>32</v>
      </c>
      <c r="R402" s="69"/>
    </row>
    <row r="403" spans="2:18">
      <c r="B403" s="68"/>
      <c r="C403" s="93">
        <v>7</v>
      </c>
      <c r="D403" s="93" t="s">
        <v>1785</v>
      </c>
      <c r="E403" s="93">
        <v>116</v>
      </c>
      <c r="F403" s="93">
        <v>470890</v>
      </c>
      <c r="G403" s="93">
        <v>18078</v>
      </c>
      <c r="H403" s="94"/>
      <c r="I403" s="93" t="s">
        <v>643</v>
      </c>
      <c r="J403" s="93">
        <v>1</v>
      </c>
      <c r="K403" s="93">
        <v>1700</v>
      </c>
      <c r="L403" s="93">
        <v>160</v>
      </c>
      <c r="M403" s="17"/>
      <c r="N403" s="93" t="s">
        <v>643</v>
      </c>
      <c r="O403" s="93">
        <v>1</v>
      </c>
      <c r="P403" s="93">
        <v>1700</v>
      </c>
      <c r="Q403" s="93">
        <v>160</v>
      </c>
      <c r="R403" s="69"/>
    </row>
    <row r="404" spans="2:18">
      <c r="B404" s="68"/>
      <c r="C404" s="93">
        <v>7</v>
      </c>
      <c r="D404" s="93" t="s">
        <v>1785</v>
      </c>
      <c r="E404" s="93">
        <v>115</v>
      </c>
      <c r="F404" s="93">
        <v>469190</v>
      </c>
      <c r="G404" s="93">
        <v>17918</v>
      </c>
      <c r="H404" s="94"/>
      <c r="I404" s="93" t="s">
        <v>644</v>
      </c>
      <c r="J404" s="93">
        <v>1</v>
      </c>
      <c r="K404" s="93">
        <v>1700</v>
      </c>
      <c r="L404" s="93">
        <v>160</v>
      </c>
      <c r="M404" s="17"/>
      <c r="N404" s="93" t="s">
        <v>644</v>
      </c>
      <c r="O404" s="93">
        <v>1</v>
      </c>
      <c r="P404" s="93">
        <v>1700</v>
      </c>
      <c r="Q404" s="93">
        <v>160</v>
      </c>
      <c r="R404" s="69"/>
    </row>
    <row r="405" spans="2:18">
      <c r="B405" s="68"/>
      <c r="C405" s="93">
        <v>7</v>
      </c>
      <c r="D405" s="93" t="s">
        <v>1785</v>
      </c>
      <c r="E405" s="93">
        <v>114</v>
      </c>
      <c r="F405" s="93">
        <v>467490</v>
      </c>
      <c r="G405" s="93">
        <v>17758</v>
      </c>
      <c r="H405" s="94"/>
      <c r="I405" s="93" t="s">
        <v>645</v>
      </c>
      <c r="J405" s="93">
        <v>1</v>
      </c>
      <c r="K405" s="93">
        <v>1700</v>
      </c>
      <c r="L405" s="93">
        <v>160</v>
      </c>
      <c r="M405" s="17"/>
      <c r="N405" s="93" t="s">
        <v>645</v>
      </c>
      <c r="O405" s="93">
        <v>1</v>
      </c>
      <c r="P405" s="93">
        <v>1700</v>
      </c>
      <c r="Q405" s="93">
        <v>160</v>
      </c>
      <c r="R405" s="69"/>
    </row>
    <row r="406" spans="2:18">
      <c r="B406" s="68"/>
      <c r="C406" s="93">
        <v>7</v>
      </c>
      <c r="D406" s="93" t="s">
        <v>1785</v>
      </c>
      <c r="E406" s="93">
        <v>113</v>
      </c>
      <c r="F406" s="93">
        <v>465790</v>
      </c>
      <c r="G406" s="93">
        <v>17598</v>
      </c>
      <c r="H406" s="94"/>
      <c r="I406" s="93" t="s">
        <v>646</v>
      </c>
      <c r="J406" s="93">
        <v>1</v>
      </c>
      <c r="K406" s="93">
        <v>1700</v>
      </c>
      <c r="L406" s="93">
        <v>160</v>
      </c>
      <c r="M406" s="17"/>
      <c r="N406" s="93" t="s">
        <v>646</v>
      </c>
      <c r="O406" s="93">
        <v>1</v>
      </c>
      <c r="P406" s="93">
        <v>1700</v>
      </c>
      <c r="Q406" s="93">
        <v>160</v>
      </c>
      <c r="R406" s="69"/>
    </row>
    <row r="407" spans="2:18">
      <c r="B407" s="68"/>
      <c r="C407" s="93">
        <v>7</v>
      </c>
      <c r="D407" s="93" t="s">
        <v>1785</v>
      </c>
      <c r="E407" s="93">
        <v>112</v>
      </c>
      <c r="F407" s="93">
        <v>464090</v>
      </c>
      <c r="G407" s="93">
        <v>17438</v>
      </c>
      <c r="H407" s="94"/>
      <c r="I407" s="93" t="s">
        <v>647</v>
      </c>
      <c r="J407" s="93">
        <v>1</v>
      </c>
      <c r="K407" s="93">
        <v>1700</v>
      </c>
      <c r="L407" s="93">
        <v>160</v>
      </c>
      <c r="M407" s="17"/>
      <c r="N407" s="93" t="s">
        <v>647</v>
      </c>
      <c r="O407" s="93">
        <v>1</v>
      </c>
      <c r="P407" s="93">
        <v>1700</v>
      </c>
      <c r="Q407" s="93">
        <v>160</v>
      </c>
      <c r="R407" s="69"/>
    </row>
    <row r="408" spans="2:18">
      <c r="B408" s="68"/>
      <c r="C408" s="93">
        <v>7</v>
      </c>
      <c r="D408" s="93" t="s">
        <v>1785</v>
      </c>
      <c r="E408" s="93">
        <v>111</v>
      </c>
      <c r="F408" s="93">
        <v>460340</v>
      </c>
      <c r="G408" s="93">
        <v>17434</v>
      </c>
      <c r="H408" s="94"/>
      <c r="I408" s="93" t="s">
        <v>648</v>
      </c>
      <c r="J408" s="93">
        <v>1</v>
      </c>
      <c r="K408" s="93">
        <v>3750</v>
      </c>
      <c r="L408" s="93">
        <v>4</v>
      </c>
      <c r="M408" s="17"/>
      <c r="N408" s="93" t="s">
        <v>648</v>
      </c>
      <c r="O408" s="93">
        <v>1</v>
      </c>
      <c r="P408" s="93">
        <v>3750</v>
      </c>
      <c r="Q408" s="93">
        <v>4</v>
      </c>
      <c r="R408" s="69"/>
    </row>
    <row r="409" spans="2:18">
      <c r="B409" s="68"/>
      <c r="C409" s="93">
        <v>7</v>
      </c>
      <c r="D409" s="93" t="s">
        <v>1785</v>
      </c>
      <c r="E409" s="93">
        <v>110</v>
      </c>
      <c r="F409" s="93">
        <v>458640</v>
      </c>
      <c r="G409" s="93">
        <v>17274</v>
      </c>
      <c r="H409" s="94"/>
      <c r="I409" s="93" t="s">
        <v>649</v>
      </c>
      <c r="J409" s="93">
        <v>1</v>
      </c>
      <c r="K409" s="93">
        <v>1700</v>
      </c>
      <c r="L409" s="93">
        <v>160</v>
      </c>
      <c r="M409" s="17"/>
      <c r="N409" s="93" t="s">
        <v>649</v>
      </c>
      <c r="O409" s="93">
        <v>1</v>
      </c>
      <c r="P409" s="93">
        <v>1700</v>
      </c>
      <c r="Q409" s="93">
        <v>160</v>
      </c>
      <c r="R409" s="69"/>
    </row>
    <row r="410" spans="2:18">
      <c r="B410" s="68"/>
      <c r="C410" s="93">
        <v>7</v>
      </c>
      <c r="D410" s="93" t="s">
        <v>1785</v>
      </c>
      <c r="E410" s="93">
        <v>109</v>
      </c>
      <c r="F410" s="93">
        <v>456940</v>
      </c>
      <c r="G410" s="93">
        <v>17114</v>
      </c>
      <c r="H410" s="94"/>
      <c r="I410" s="93" t="s">
        <v>651</v>
      </c>
      <c r="J410" s="93">
        <v>1</v>
      </c>
      <c r="K410" s="93">
        <v>1700</v>
      </c>
      <c r="L410" s="93">
        <v>160</v>
      </c>
      <c r="M410" s="17"/>
      <c r="N410" s="93" t="s">
        <v>651</v>
      </c>
      <c r="O410" s="93">
        <v>1</v>
      </c>
      <c r="P410" s="93">
        <v>1700</v>
      </c>
      <c r="Q410" s="93">
        <v>160</v>
      </c>
      <c r="R410" s="69"/>
    </row>
    <row r="411" spans="2:18">
      <c r="B411" s="68"/>
      <c r="C411" s="93">
        <v>7</v>
      </c>
      <c r="D411" s="93" t="s">
        <v>1785</v>
      </c>
      <c r="E411" s="93">
        <v>105</v>
      </c>
      <c r="F411" s="93">
        <v>441940</v>
      </c>
      <c r="G411" s="93">
        <v>17034</v>
      </c>
      <c r="H411" s="94"/>
      <c r="I411" s="93" t="s">
        <v>652</v>
      </c>
      <c r="J411" s="93">
        <v>4</v>
      </c>
      <c r="K411" s="93">
        <v>15000</v>
      </c>
      <c r="L411" s="93">
        <v>80</v>
      </c>
      <c r="M411" s="17"/>
      <c r="N411" s="93" t="s">
        <v>652</v>
      </c>
      <c r="O411" s="93">
        <v>4</v>
      </c>
      <c r="P411" s="93">
        <v>15000</v>
      </c>
      <c r="Q411" s="93">
        <v>80</v>
      </c>
      <c r="R411" s="69"/>
    </row>
    <row r="412" spans="2:18">
      <c r="B412" s="68"/>
      <c r="C412" s="93">
        <v>7</v>
      </c>
      <c r="D412" s="93" t="s">
        <v>1785</v>
      </c>
      <c r="E412" s="93">
        <v>104</v>
      </c>
      <c r="F412" s="93">
        <v>438190</v>
      </c>
      <c r="G412" s="93">
        <v>16624</v>
      </c>
      <c r="H412" s="94"/>
      <c r="I412" s="93" t="s">
        <v>653</v>
      </c>
      <c r="J412" s="93">
        <v>1</v>
      </c>
      <c r="K412" s="93">
        <v>3750</v>
      </c>
      <c r="L412" s="93">
        <v>410</v>
      </c>
      <c r="M412" s="17"/>
      <c r="N412" s="93" t="s">
        <v>653</v>
      </c>
      <c r="O412" s="93">
        <v>1</v>
      </c>
      <c r="P412" s="93">
        <v>3750</v>
      </c>
      <c r="Q412" s="93">
        <v>410</v>
      </c>
      <c r="R412" s="69"/>
    </row>
    <row r="413" spans="2:18">
      <c r="B413" s="68"/>
      <c r="C413" s="93">
        <v>7</v>
      </c>
      <c r="D413" s="93" t="s">
        <v>1785</v>
      </c>
      <c r="E413" s="93">
        <v>103</v>
      </c>
      <c r="F413" s="93">
        <v>436490</v>
      </c>
      <c r="G413" s="93">
        <v>16464</v>
      </c>
      <c r="H413" s="94"/>
      <c r="I413" s="93" t="s">
        <v>654</v>
      </c>
      <c r="J413" s="93">
        <v>1</v>
      </c>
      <c r="K413" s="93">
        <v>1700</v>
      </c>
      <c r="L413" s="93">
        <v>160</v>
      </c>
      <c r="M413" s="17"/>
      <c r="N413" s="93" t="s">
        <v>654</v>
      </c>
      <c r="O413" s="93">
        <v>1</v>
      </c>
      <c r="P413" s="93">
        <v>1700</v>
      </c>
      <c r="Q413" s="93">
        <v>160</v>
      </c>
      <c r="R413" s="69"/>
    </row>
    <row r="414" spans="2:18">
      <c r="B414" s="68"/>
      <c r="C414" s="93">
        <v>7</v>
      </c>
      <c r="D414" s="93" t="s">
        <v>1785</v>
      </c>
      <c r="E414" s="93">
        <v>102</v>
      </c>
      <c r="F414" s="93">
        <v>434790</v>
      </c>
      <c r="G414" s="93">
        <v>16304</v>
      </c>
      <c r="H414" s="94"/>
      <c r="I414" s="93" t="s">
        <v>655</v>
      </c>
      <c r="J414" s="93">
        <v>1</v>
      </c>
      <c r="K414" s="93">
        <v>1700</v>
      </c>
      <c r="L414" s="93">
        <v>160</v>
      </c>
      <c r="M414" s="17"/>
      <c r="N414" s="93" t="s">
        <v>655</v>
      </c>
      <c r="O414" s="93">
        <v>1</v>
      </c>
      <c r="P414" s="93">
        <v>1700</v>
      </c>
      <c r="Q414" s="93">
        <v>160</v>
      </c>
      <c r="R414" s="69"/>
    </row>
    <row r="415" spans="2:18">
      <c r="B415" s="68"/>
      <c r="C415" s="93">
        <v>7</v>
      </c>
      <c r="D415" s="93" t="s">
        <v>1785</v>
      </c>
      <c r="E415" s="93">
        <v>101</v>
      </c>
      <c r="F415" s="93">
        <v>431040</v>
      </c>
      <c r="G415" s="93">
        <v>15894</v>
      </c>
      <c r="H415" s="94"/>
      <c r="I415" s="93" t="s">
        <v>656</v>
      </c>
      <c r="J415" s="93">
        <v>1</v>
      </c>
      <c r="K415" s="93">
        <v>3750</v>
      </c>
      <c r="L415" s="93">
        <v>410</v>
      </c>
      <c r="M415" s="17"/>
      <c r="N415" s="93" t="s">
        <v>656</v>
      </c>
      <c r="O415" s="93">
        <v>1</v>
      </c>
      <c r="P415" s="93">
        <v>3750</v>
      </c>
      <c r="Q415" s="93">
        <v>410</v>
      </c>
      <c r="R415" s="69"/>
    </row>
    <row r="416" spans="2:18">
      <c r="B416" s="68"/>
      <c r="C416" s="93">
        <v>7</v>
      </c>
      <c r="D416" s="93" t="s">
        <v>1785</v>
      </c>
      <c r="E416" s="93">
        <v>100</v>
      </c>
      <c r="F416" s="93">
        <v>429340</v>
      </c>
      <c r="G416" s="93">
        <v>15734</v>
      </c>
      <c r="H416" s="94"/>
      <c r="I416" s="93" t="s">
        <v>657</v>
      </c>
      <c r="J416" s="93">
        <v>1</v>
      </c>
      <c r="K416" s="93">
        <v>1700</v>
      </c>
      <c r="L416" s="93">
        <v>160</v>
      </c>
      <c r="M416" s="17"/>
      <c r="N416" s="93" t="s">
        <v>657</v>
      </c>
      <c r="O416" s="93">
        <v>1</v>
      </c>
      <c r="P416" s="93">
        <v>1700</v>
      </c>
      <c r="Q416" s="93">
        <v>160</v>
      </c>
      <c r="R416" s="69"/>
    </row>
    <row r="417" spans="2:18">
      <c r="B417" s="68"/>
      <c r="C417" s="93">
        <v>7</v>
      </c>
      <c r="D417" s="93" t="s">
        <v>1785</v>
      </c>
      <c r="E417" s="93">
        <v>99</v>
      </c>
      <c r="F417" s="93">
        <v>427640</v>
      </c>
      <c r="G417" s="93">
        <v>15574</v>
      </c>
      <c r="H417" s="94"/>
      <c r="I417" s="93" t="s">
        <v>658</v>
      </c>
      <c r="J417" s="93">
        <v>1</v>
      </c>
      <c r="K417" s="93">
        <v>1700</v>
      </c>
      <c r="L417" s="93">
        <v>160</v>
      </c>
      <c r="M417" s="17"/>
      <c r="N417" s="93" t="s">
        <v>658</v>
      </c>
      <c r="O417" s="93">
        <v>1</v>
      </c>
      <c r="P417" s="93">
        <v>1700</v>
      </c>
      <c r="Q417" s="93">
        <v>160</v>
      </c>
      <c r="R417" s="69"/>
    </row>
    <row r="418" spans="2:18">
      <c r="B418" s="68"/>
      <c r="C418" s="93">
        <v>7</v>
      </c>
      <c r="D418" s="93" t="s">
        <v>1785</v>
      </c>
      <c r="E418" s="93">
        <v>98</v>
      </c>
      <c r="F418" s="93">
        <v>425940</v>
      </c>
      <c r="G418" s="93">
        <v>15414</v>
      </c>
      <c r="H418" s="94"/>
      <c r="I418" s="93" t="s">
        <v>659</v>
      </c>
      <c r="J418" s="93">
        <v>1</v>
      </c>
      <c r="K418" s="93">
        <v>1700</v>
      </c>
      <c r="L418" s="93">
        <v>160</v>
      </c>
      <c r="M418" s="17"/>
      <c r="N418" s="93" t="s">
        <v>659</v>
      </c>
      <c r="O418" s="93">
        <v>1</v>
      </c>
      <c r="P418" s="93">
        <v>1700</v>
      </c>
      <c r="Q418" s="93">
        <v>160</v>
      </c>
      <c r="R418" s="69"/>
    </row>
    <row r="419" spans="2:18">
      <c r="B419" s="68"/>
      <c r="C419" s="93">
        <v>7</v>
      </c>
      <c r="D419" s="93" t="s">
        <v>1785</v>
      </c>
      <c r="E419" s="93">
        <v>97</v>
      </c>
      <c r="F419" s="93">
        <v>423940</v>
      </c>
      <c r="G419" s="93">
        <v>15414</v>
      </c>
      <c r="H419" s="94"/>
      <c r="I419" s="93" t="s">
        <v>660</v>
      </c>
      <c r="J419" s="93">
        <v>1</v>
      </c>
      <c r="K419" s="93">
        <v>2000</v>
      </c>
      <c r="L419" s="93">
        <v>0</v>
      </c>
      <c r="M419" s="17"/>
      <c r="N419" s="93" t="s">
        <v>660</v>
      </c>
      <c r="O419" s="93">
        <v>1</v>
      </c>
      <c r="P419" s="93">
        <v>2000</v>
      </c>
      <c r="Q419" s="93">
        <v>0</v>
      </c>
      <c r="R419" s="69"/>
    </row>
    <row r="420" spans="2:18">
      <c r="B420" s="68"/>
      <c r="C420" s="93">
        <v>7</v>
      </c>
      <c r="D420" s="93" t="s">
        <v>1785</v>
      </c>
      <c r="E420" s="93">
        <v>96</v>
      </c>
      <c r="F420" s="93">
        <v>423325</v>
      </c>
      <c r="G420" s="93">
        <v>15254</v>
      </c>
      <c r="H420" s="94"/>
      <c r="I420" s="93" t="s">
        <v>662</v>
      </c>
      <c r="J420" s="93">
        <v>1</v>
      </c>
      <c r="K420" s="93">
        <v>615</v>
      </c>
      <c r="L420" s="93">
        <v>160</v>
      </c>
      <c r="M420" s="17"/>
      <c r="N420" s="93" t="s">
        <v>662</v>
      </c>
      <c r="O420" s="93">
        <v>1</v>
      </c>
      <c r="P420" s="93">
        <v>615</v>
      </c>
      <c r="Q420" s="93">
        <v>160</v>
      </c>
      <c r="R420" s="69"/>
    </row>
    <row r="421" spans="2:18">
      <c r="B421" s="68"/>
      <c r="C421" s="93">
        <v>7</v>
      </c>
      <c r="D421" s="93" t="s">
        <v>1785</v>
      </c>
      <c r="E421" s="93">
        <v>95</v>
      </c>
      <c r="F421" s="93">
        <v>421325</v>
      </c>
      <c r="G421" s="93">
        <v>15254</v>
      </c>
      <c r="H421" s="94"/>
      <c r="I421" s="93" t="s">
        <v>663</v>
      </c>
      <c r="J421" s="93">
        <v>1</v>
      </c>
      <c r="K421" s="93">
        <v>2000</v>
      </c>
      <c r="L421" s="93">
        <v>0</v>
      </c>
      <c r="M421" s="17"/>
      <c r="N421" s="93" t="s">
        <v>663</v>
      </c>
      <c r="O421" s="93">
        <v>1</v>
      </c>
      <c r="P421" s="93">
        <v>2000</v>
      </c>
      <c r="Q421" s="93">
        <v>0</v>
      </c>
      <c r="R421" s="69"/>
    </row>
    <row r="422" spans="2:18">
      <c r="B422" s="68"/>
      <c r="C422" s="93">
        <v>7</v>
      </c>
      <c r="D422" s="93" t="s">
        <v>1785</v>
      </c>
      <c r="E422" s="93">
        <v>94</v>
      </c>
      <c r="F422" s="93">
        <v>419625</v>
      </c>
      <c r="G422" s="93">
        <v>15094</v>
      </c>
      <c r="H422" s="94"/>
      <c r="I422" s="93" t="s">
        <v>664</v>
      </c>
      <c r="J422" s="93">
        <v>1</v>
      </c>
      <c r="K422" s="93">
        <v>1700</v>
      </c>
      <c r="L422" s="93">
        <v>160</v>
      </c>
      <c r="M422" s="17"/>
      <c r="N422" s="93" t="s">
        <v>664</v>
      </c>
      <c r="O422" s="93">
        <v>1</v>
      </c>
      <c r="P422" s="93">
        <v>1700</v>
      </c>
      <c r="Q422" s="93">
        <v>160</v>
      </c>
      <c r="R422" s="69"/>
    </row>
    <row r="423" spans="2:18">
      <c r="B423" s="68"/>
      <c r="C423" s="93">
        <v>7</v>
      </c>
      <c r="D423" s="93" t="s">
        <v>1785</v>
      </c>
      <c r="E423" s="93">
        <v>93</v>
      </c>
      <c r="F423" s="93">
        <v>415875</v>
      </c>
      <c r="G423" s="93">
        <v>15090</v>
      </c>
      <c r="H423" s="94"/>
      <c r="I423" s="93" t="s">
        <v>665</v>
      </c>
      <c r="J423" s="93">
        <v>1</v>
      </c>
      <c r="K423" s="93">
        <v>3750</v>
      </c>
      <c r="L423" s="93">
        <v>4</v>
      </c>
      <c r="M423" s="17"/>
      <c r="N423" s="93" t="s">
        <v>665</v>
      </c>
      <c r="O423" s="93">
        <v>1</v>
      </c>
      <c r="P423" s="93">
        <v>3750</v>
      </c>
      <c r="Q423" s="93">
        <v>4</v>
      </c>
      <c r="R423" s="69"/>
    </row>
    <row r="424" spans="2:18">
      <c r="B424" s="68"/>
      <c r="C424" s="93">
        <v>7</v>
      </c>
      <c r="D424" s="93" t="s">
        <v>1785</v>
      </c>
      <c r="E424" s="93">
        <v>92</v>
      </c>
      <c r="F424" s="93">
        <v>414175</v>
      </c>
      <c r="G424" s="93">
        <v>14930</v>
      </c>
      <c r="H424" s="94"/>
      <c r="I424" s="93" t="s">
        <v>666</v>
      </c>
      <c r="J424" s="93">
        <v>1</v>
      </c>
      <c r="K424" s="93">
        <v>1700</v>
      </c>
      <c r="L424" s="93">
        <v>160</v>
      </c>
      <c r="M424" s="17"/>
      <c r="N424" s="93" t="s">
        <v>666</v>
      </c>
      <c r="O424" s="93">
        <v>1</v>
      </c>
      <c r="P424" s="93">
        <v>1700</v>
      </c>
      <c r="Q424" s="93">
        <v>160</v>
      </c>
      <c r="R424" s="69"/>
    </row>
    <row r="425" spans="2:18">
      <c r="B425" s="68"/>
      <c r="C425" s="93">
        <v>7</v>
      </c>
      <c r="D425" s="93" t="s">
        <v>1785</v>
      </c>
      <c r="E425" s="93">
        <v>88</v>
      </c>
      <c r="F425" s="93">
        <v>399175</v>
      </c>
      <c r="G425" s="93">
        <v>14850</v>
      </c>
      <c r="H425" s="94"/>
      <c r="I425" s="93" t="s">
        <v>667</v>
      </c>
      <c r="J425" s="93">
        <v>4</v>
      </c>
      <c r="K425" s="93">
        <v>15000</v>
      </c>
      <c r="L425" s="93">
        <v>80</v>
      </c>
      <c r="M425" s="17"/>
      <c r="N425" s="93" t="s">
        <v>667</v>
      </c>
      <c r="O425" s="93">
        <v>4</v>
      </c>
      <c r="P425" s="93">
        <v>15000</v>
      </c>
      <c r="Q425" s="93">
        <v>80</v>
      </c>
      <c r="R425" s="69"/>
    </row>
    <row r="426" spans="2:18">
      <c r="B426" s="68"/>
      <c r="C426" s="93">
        <v>7</v>
      </c>
      <c r="D426" s="93" t="s">
        <v>1785</v>
      </c>
      <c r="E426" s="93">
        <v>87</v>
      </c>
      <c r="F426" s="93">
        <v>397475</v>
      </c>
      <c r="G426" s="93">
        <v>14690</v>
      </c>
      <c r="H426" s="94"/>
      <c r="I426" s="93" t="s">
        <v>668</v>
      </c>
      <c r="J426" s="93">
        <v>1</v>
      </c>
      <c r="K426" s="93">
        <v>1700</v>
      </c>
      <c r="L426" s="93">
        <v>160</v>
      </c>
      <c r="M426" s="17"/>
      <c r="N426" s="93" t="s">
        <v>668</v>
      </c>
      <c r="O426" s="93">
        <v>1</v>
      </c>
      <c r="P426" s="93">
        <v>1700</v>
      </c>
      <c r="Q426" s="93">
        <v>160</v>
      </c>
      <c r="R426" s="69"/>
    </row>
    <row r="427" spans="2:18">
      <c r="B427" s="68"/>
      <c r="C427" s="93">
        <v>7</v>
      </c>
      <c r="D427" s="93" t="s">
        <v>1785</v>
      </c>
      <c r="E427" s="93">
        <v>85</v>
      </c>
      <c r="F427" s="93">
        <v>393725</v>
      </c>
      <c r="G427" s="93">
        <v>14658</v>
      </c>
      <c r="H427" s="94"/>
      <c r="I427" s="93" t="s">
        <v>669</v>
      </c>
      <c r="J427" s="93">
        <v>2</v>
      </c>
      <c r="K427" s="93">
        <v>3750</v>
      </c>
      <c r="L427" s="93">
        <v>32</v>
      </c>
      <c r="M427" s="17"/>
      <c r="N427" s="93" t="s">
        <v>669</v>
      </c>
      <c r="O427" s="93">
        <v>2</v>
      </c>
      <c r="P427" s="93">
        <v>3750</v>
      </c>
      <c r="Q427" s="93">
        <v>32</v>
      </c>
      <c r="R427" s="69"/>
    </row>
    <row r="428" spans="2:18">
      <c r="B428" s="68"/>
      <c r="C428" s="93">
        <v>7</v>
      </c>
      <c r="D428" s="93" t="s">
        <v>1785</v>
      </c>
      <c r="E428" s="93">
        <v>84</v>
      </c>
      <c r="F428" s="93">
        <v>392025</v>
      </c>
      <c r="G428" s="93">
        <v>14498</v>
      </c>
      <c r="H428" s="94"/>
      <c r="I428" s="93" t="s">
        <v>670</v>
      </c>
      <c r="J428" s="93">
        <v>1</v>
      </c>
      <c r="K428" s="93">
        <v>1700</v>
      </c>
      <c r="L428" s="93">
        <v>160</v>
      </c>
      <c r="M428" s="17"/>
      <c r="N428" s="93" t="s">
        <v>670</v>
      </c>
      <c r="O428" s="93">
        <v>1</v>
      </c>
      <c r="P428" s="93">
        <v>1700</v>
      </c>
      <c r="Q428" s="93">
        <v>160</v>
      </c>
      <c r="R428" s="69"/>
    </row>
    <row r="429" spans="2:18">
      <c r="B429" s="68"/>
      <c r="C429" s="93">
        <v>7</v>
      </c>
      <c r="D429" s="93" t="s">
        <v>1785</v>
      </c>
      <c r="E429" s="93">
        <v>83</v>
      </c>
      <c r="F429" s="93">
        <v>390325</v>
      </c>
      <c r="G429" s="93">
        <v>14338</v>
      </c>
      <c r="H429" s="94"/>
      <c r="I429" s="93" t="s">
        <v>671</v>
      </c>
      <c r="J429" s="93">
        <v>1</v>
      </c>
      <c r="K429" s="93">
        <v>1700</v>
      </c>
      <c r="L429" s="93">
        <v>160</v>
      </c>
      <c r="M429" s="17"/>
      <c r="N429" s="93" t="s">
        <v>671</v>
      </c>
      <c r="O429" s="93">
        <v>1</v>
      </c>
      <c r="P429" s="93">
        <v>1700</v>
      </c>
      <c r="Q429" s="93">
        <v>160</v>
      </c>
      <c r="R429" s="69"/>
    </row>
    <row r="430" spans="2:18">
      <c r="B430" s="68"/>
      <c r="C430" s="93">
        <v>7</v>
      </c>
      <c r="D430" s="93" t="s">
        <v>1785</v>
      </c>
      <c r="E430" s="93">
        <v>81</v>
      </c>
      <c r="F430" s="93">
        <v>386325</v>
      </c>
      <c r="G430" s="93">
        <v>14338</v>
      </c>
      <c r="H430" s="94"/>
      <c r="I430" s="93" t="s">
        <v>672</v>
      </c>
      <c r="J430" s="93">
        <v>2</v>
      </c>
      <c r="K430" s="93">
        <v>4000</v>
      </c>
      <c r="L430" s="93">
        <v>0</v>
      </c>
      <c r="M430" s="17"/>
      <c r="N430" s="93" t="s">
        <v>672</v>
      </c>
      <c r="O430" s="93">
        <v>2</v>
      </c>
      <c r="P430" s="93">
        <v>4000</v>
      </c>
      <c r="Q430" s="93">
        <v>0</v>
      </c>
      <c r="R430" s="69"/>
    </row>
    <row r="431" spans="2:18">
      <c r="B431" s="68"/>
      <c r="C431" s="93">
        <v>7</v>
      </c>
      <c r="D431" s="93" t="s">
        <v>1785</v>
      </c>
      <c r="E431" s="93">
        <v>80</v>
      </c>
      <c r="F431" s="93">
        <v>384625</v>
      </c>
      <c r="G431" s="93">
        <v>14178</v>
      </c>
      <c r="H431" s="94"/>
      <c r="I431" s="93" t="s">
        <v>673</v>
      </c>
      <c r="J431" s="93">
        <v>1</v>
      </c>
      <c r="K431" s="93">
        <v>1700</v>
      </c>
      <c r="L431" s="93">
        <v>160</v>
      </c>
      <c r="M431" s="17"/>
      <c r="N431" s="93" t="s">
        <v>673</v>
      </c>
      <c r="O431" s="93">
        <v>1</v>
      </c>
      <c r="P431" s="93">
        <v>1700</v>
      </c>
      <c r="Q431" s="93">
        <v>160</v>
      </c>
      <c r="R431" s="69"/>
    </row>
    <row r="432" spans="2:18">
      <c r="B432" s="68"/>
      <c r="C432" s="93">
        <v>7</v>
      </c>
      <c r="D432" s="93" t="s">
        <v>1785</v>
      </c>
      <c r="E432" s="93">
        <v>79</v>
      </c>
      <c r="F432" s="93">
        <v>382925</v>
      </c>
      <c r="G432" s="93">
        <v>14018</v>
      </c>
      <c r="H432" s="94"/>
      <c r="I432" s="93" t="s">
        <v>674</v>
      </c>
      <c r="J432" s="93">
        <v>1</v>
      </c>
      <c r="K432" s="93">
        <v>1700</v>
      </c>
      <c r="L432" s="93">
        <v>160</v>
      </c>
      <c r="M432" s="17"/>
      <c r="N432" s="93" t="s">
        <v>674</v>
      </c>
      <c r="O432" s="93">
        <v>1</v>
      </c>
      <c r="P432" s="93">
        <v>1700</v>
      </c>
      <c r="Q432" s="93">
        <v>160</v>
      </c>
      <c r="R432" s="69"/>
    </row>
    <row r="433" spans="2:18">
      <c r="B433" s="68"/>
      <c r="C433" s="93">
        <v>7</v>
      </c>
      <c r="D433" s="93" t="s">
        <v>1785</v>
      </c>
      <c r="E433" s="93">
        <v>77</v>
      </c>
      <c r="F433" s="93">
        <v>379175</v>
      </c>
      <c r="G433" s="93">
        <v>13986</v>
      </c>
      <c r="H433" s="94"/>
      <c r="I433" s="93" t="s">
        <v>675</v>
      </c>
      <c r="J433" s="93">
        <v>2</v>
      </c>
      <c r="K433" s="93">
        <v>3750</v>
      </c>
      <c r="L433" s="93">
        <v>32</v>
      </c>
      <c r="M433" s="17"/>
      <c r="N433" s="93" t="s">
        <v>675</v>
      </c>
      <c r="O433" s="93">
        <v>2</v>
      </c>
      <c r="P433" s="93">
        <v>3750</v>
      </c>
      <c r="Q433" s="93">
        <v>32</v>
      </c>
      <c r="R433" s="69"/>
    </row>
    <row r="434" spans="2:18">
      <c r="B434" s="68"/>
      <c r="C434" s="93">
        <v>7</v>
      </c>
      <c r="D434" s="93" t="s">
        <v>1785</v>
      </c>
      <c r="E434" s="93">
        <v>76</v>
      </c>
      <c r="F434" s="93">
        <v>377475</v>
      </c>
      <c r="G434" s="93">
        <v>13826</v>
      </c>
      <c r="H434" s="94"/>
      <c r="I434" s="93" t="s">
        <v>676</v>
      </c>
      <c r="J434" s="93">
        <v>1</v>
      </c>
      <c r="K434" s="93">
        <v>1700</v>
      </c>
      <c r="L434" s="93">
        <v>160</v>
      </c>
      <c r="M434" s="17"/>
      <c r="N434" s="93" t="s">
        <v>676</v>
      </c>
      <c r="O434" s="93">
        <v>1</v>
      </c>
      <c r="P434" s="93">
        <v>1700</v>
      </c>
      <c r="Q434" s="93">
        <v>160</v>
      </c>
      <c r="R434" s="69"/>
    </row>
    <row r="435" spans="2:18">
      <c r="B435" s="68"/>
      <c r="C435" s="93">
        <v>7</v>
      </c>
      <c r="D435" s="93" t="s">
        <v>1785</v>
      </c>
      <c r="E435" s="93">
        <v>75</v>
      </c>
      <c r="F435" s="93">
        <v>375775</v>
      </c>
      <c r="G435" s="93">
        <v>13666</v>
      </c>
      <c r="H435" s="94"/>
      <c r="I435" s="93" t="s">
        <v>677</v>
      </c>
      <c r="J435" s="93">
        <v>1</v>
      </c>
      <c r="K435" s="93">
        <v>1700</v>
      </c>
      <c r="L435" s="93">
        <v>160</v>
      </c>
      <c r="M435" s="17"/>
      <c r="N435" s="93" t="s">
        <v>677</v>
      </c>
      <c r="O435" s="93">
        <v>1</v>
      </c>
      <c r="P435" s="93">
        <v>1700</v>
      </c>
      <c r="Q435" s="93">
        <v>160</v>
      </c>
      <c r="R435" s="69"/>
    </row>
    <row r="436" spans="2:18">
      <c r="B436" s="68"/>
      <c r="C436" s="93">
        <v>7</v>
      </c>
      <c r="D436" s="93" t="s">
        <v>1785</v>
      </c>
      <c r="E436" s="93">
        <v>74</v>
      </c>
      <c r="F436" s="93">
        <v>374075</v>
      </c>
      <c r="G436" s="93">
        <v>13506</v>
      </c>
      <c r="H436" s="94"/>
      <c r="I436" s="93" t="s">
        <v>678</v>
      </c>
      <c r="J436" s="93">
        <v>1</v>
      </c>
      <c r="K436" s="93">
        <v>1700</v>
      </c>
      <c r="L436" s="93">
        <v>160</v>
      </c>
      <c r="M436" s="17"/>
      <c r="N436" s="93" t="s">
        <v>678</v>
      </c>
      <c r="O436" s="93">
        <v>1</v>
      </c>
      <c r="P436" s="93">
        <v>1700</v>
      </c>
      <c r="Q436" s="93">
        <v>160</v>
      </c>
      <c r="R436" s="69"/>
    </row>
    <row r="437" spans="2:18">
      <c r="B437" s="68"/>
      <c r="C437" s="93">
        <v>7</v>
      </c>
      <c r="D437" s="93" t="s">
        <v>1785</v>
      </c>
      <c r="E437" s="93">
        <v>73</v>
      </c>
      <c r="F437" s="93">
        <v>372375</v>
      </c>
      <c r="G437" s="93">
        <v>13346</v>
      </c>
      <c r="H437" s="94"/>
      <c r="I437" s="93" t="s">
        <v>679</v>
      </c>
      <c r="J437" s="93">
        <v>1</v>
      </c>
      <c r="K437" s="93">
        <v>1700</v>
      </c>
      <c r="L437" s="93">
        <v>160</v>
      </c>
      <c r="M437" s="17"/>
      <c r="N437" s="93" t="s">
        <v>679</v>
      </c>
      <c r="O437" s="93">
        <v>1</v>
      </c>
      <c r="P437" s="93">
        <v>1700</v>
      </c>
      <c r="Q437" s="93">
        <v>160</v>
      </c>
      <c r="R437" s="69"/>
    </row>
    <row r="438" spans="2:18">
      <c r="B438" s="68"/>
      <c r="C438" s="93">
        <v>7</v>
      </c>
      <c r="D438" s="93" t="s">
        <v>1785</v>
      </c>
      <c r="E438" s="93">
        <v>72</v>
      </c>
      <c r="F438" s="93">
        <v>370675</v>
      </c>
      <c r="G438" s="93">
        <v>13186</v>
      </c>
      <c r="H438" s="94"/>
      <c r="I438" s="93" t="s">
        <v>680</v>
      </c>
      <c r="J438" s="93">
        <v>1</v>
      </c>
      <c r="K438" s="93">
        <v>1700</v>
      </c>
      <c r="L438" s="93">
        <v>160</v>
      </c>
      <c r="M438" s="17"/>
      <c r="N438" s="93" t="s">
        <v>680</v>
      </c>
      <c r="O438" s="93">
        <v>1</v>
      </c>
      <c r="P438" s="93">
        <v>1700</v>
      </c>
      <c r="Q438" s="93">
        <v>160</v>
      </c>
      <c r="R438" s="69"/>
    </row>
    <row r="439" spans="2:18">
      <c r="B439" s="68"/>
      <c r="C439" s="93">
        <v>7</v>
      </c>
      <c r="D439" s="93" t="s">
        <v>1785</v>
      </c>
      <c r="E439" s="93">
        <v>71</v>
      </c>
      <c r="F439" s="93">
        <v>368975</v>
      </c>
      <c r="G439" s="93">
        <v>13026</v>
      </c>
      <c r="H439" s="94"/>
      <c r="I439" s="93" t="s">
        <v>681</v>
      </c>
      <c r="J439" s="93">
        <v>1</v>
      </c>
      <c r="K439" s="93">
        <v>1700</v>
      </c>
      <c r="L439" s="93">
        <v>160</v>
      </c>
      <c r="M439" s="17"/>
      <c r="N439" s="93" t="s">
        <v>681</v>
      </c>
      <c r="O439" s="93">
        <v>1</v>
      </c>
      <c r="P439" s="93">
        <v>1700</v>
      </c>
      <c r="Q439" s="93">
        <v>160</v>
      </c>
      <c r="R439" s="69"/>
    </row>
    <row r="440" spans="2:18">
      <c r="B440" s="68"/>
      <c r="C440" s="93">
        <v>7</v>
      </c>
      <c r="D440" s="93" t="s">
        <v>1785</v>
      </c>
      <c r="E440" s="93">
        <v>70</v>
      </c>
      <c r="F440" s="93">
        <v>367275</v>
      </c>
      <c r="G440" s="93">
        <v>12866</v>
      </c>
      <c r="H440" s="94"/>
      <c r="I440" s="93" t="s">
        <v>682</v>
      </c>
      <c r="J440" s="93">
        <v>1</v>
      </c>
      <c r="K440" s="93">
        <v>1700</v>
      </c>
      <c r="L440" s="93">
        <v>160</v>
      </c>
      <c r="M440" s="17"/>
      <c r="N440" s="93" t="s">
        <v>682</v>
      </c>
      <c r="O440" s="93">
        <v>1</v>
      </c>
      <c r="P440" s="93">
        <v>1700</v>
      </c>
      <c r="Q440" s="93">
        <v>160</v>
      </c>
      <c r="R440" s="69"/>
    </row>
    <row r="441" spans="2:18">
      <c r="B441" s="68"/>
      <c r="C441" s="93">
        <v>7</v>
      </c>
      <c r="D441" s="93" t="s">
        <v>1785</v>
      </c>
      <c r="E441" s="93">
        <v>69</v>
      </c>
      <c r="F441" s="93">
        <v>365575</v>
      </c>
      <c r="G441" s="93">
        <v>12706</v>
      </c>
      <c r="H441" s="94"/>
      <c r="I441" s="93" t="s">
        <v>683</v>
      </c>
      <c r="J441" s="93">
        <v>1</v>
      </c>
      <c r="K441" s="93">
        <v>1700</v>
      </c>
      <c r="L441" s="93">
        <v>160</v>
      </c>
      <c r="M441" s="17"/>
      <c r="N441" s="93" t="s">
        <v>683</v>
      </c>
      <c r="O441" s="93">
        <v>1</v>
      </c>
      <c r="P441" s="93">
        <v>1700</v>
      </c>
      <c r="Q441" s="93">
        <v>160</v>
      </c>
      <c r="R441" s="69"/>
    </row>
    <row r="442" spans="2:18">
      <c r="B442" s="68"/>
      <c r="C442" s="93">
        <v>7</v>
      </c>
      <c r="D442" s="93" t="s">
        <v>1785</v>
      </c>
      <c r="E442" s="93">
        <v>37</v>
      </c>
      <c r="F442" s="93">
        <v>305575</v>
      </c>
      <c r="G442" s="93">
        <v>12066</v>
      </c>
      <c r="H442" s="94"/>
      <c r="I442" s="93" t="s">
        <v>684</v>
      </c>
      <c r="J442" s="93">
        <v>32</v>
      </c>
      <c r="K442" s="93">
        <v>60000</v>
      </c>
      <c r="L442" s="93">
        <v>640</v>
      </c>
      <c r="M442" s="17"/>
      <c r="N442" s="93" t="s">
        <v>684</v>
      </c>
      <c r="O442" s="93">
        <v>32</v>
      </c>
      <c r="P442" s="93">
        <v>60000</v>
      </c>
      <c r="Q442" s="93">
        <v>640</v>
      </c>
      <c r="R442" s="69"/>
    </row>
    <row r="443" spans="2:18">
      <c r="B443" s="68"/>
      <c r="C443" s="93">
        <v>7</v>
      </c>
      <c r="D443" s="93" t="s">
        <v>1785</v>
      </c>
      <c r="E443" s="93">
        <v>29</v>
      </c>
      <c r="F443" s="93">
        <v>275575</v>
      </c>
      <c r="G443" s="93">
        <v>11906</v>
      </c>
      <c r="H443" s="94"/>
      <c r="I443" s="93" t="s">
        <v>685</v>
      </c>
      <c r="J443" s="93">
        <v>8</v>
      </c>
      <c r="K443" s="93">
        <v>30000</v>
      </c>
      <c r="L443" s="93">
        <v>160</v>
      </c>
      <c r="M443" s="17"/>
      <c r="N443" s="93" t="s">
        <v>685</v>
      </c>
      <c r="O443" s="93">
        <v>8</v>
      </c>
      <c r="P443" s="93">
        <v>30000</v>
      </c>
      <c r="Q443" s="93">
        <v>160</v>
      </c>
      <c r="R443" s="69"/>
    </row>
    <row r="444" spans="2:18">
      <c r="B444" s="68"/>
      <c r="C444" s="93">
        <v>7</v>
      </c>
      <c r="D444" s="93" t="s">
        <v>1785</v>
      </c>
      <c r="E444" s="93">
        <v>27</v>
      </c>
      <c r="F444" s="93">
        <v>268075</v>
      </c>
      <c r="G444" s="93">
        <v>11874</v>
      </c>
      <c r="H444" s="94"/>
      <c r="I444" s="93" t="s">
        <v>686</v>
      </c>
      <c r="J444" s="93">
        <v>2</v>
      </c>
      <c r="K444" s="93">
        <v>7500</v>
      </c>
      <c r="L444" s="93">
        <v>32</v>
      </c>
      <c r="M444" s="17"/>
      <c r="N444" s="93" t="s">
        <v>686</v>
      </c>
      <c r="O444" s="93">
        <v>2</v>
      </c>
      <c r="P444" s="93">
        <v>7500</v>
      </c>
      <c r="Q444" s="93">
        <v>32</v>
      </c>
      <c r="R444" s="69"/>
    </row>
    <row r="445" spans="2:18">
      <c r="B445" s="68"/>
      <c r="C445" s="93">
        <v>7</v>
      </c>
      <c r="D445" s="93" t="s">
        <v>1785</v>
      </c>
      <c r="E445" s="93">
        <v>25</v>
      </c>
      <c r="F445" s="93">
        <v>260575</v>
      </c>
      <c r="G445" s="93">
        <v>11842</v>
      </c>
      <c r="H445" s="94"/>
      <c r="I445" s="93" t="s">
        <v>687</v>
      </c>
      <c r="J445" s="93">
        <v>2</v>
      </c>
      <c r="K445" s="93">
        <v>7500</v>
      </c>
      <c r="L445" s="93">
        <v>32</v>
      </c>
      <c r="M445" s="17"/>
      <c r="N445" s="93" t="s">
        <v>687</v>
      </c>
      <c r="O445" s="93">
        <v>2</v>
      </c>
      <c r="P445" s="93">
        <v>7500</v>
      </c>
      <c r="Q445" s="93">
        <v>32</v>
      </c>
      <c r="R445" s="69"/>
    </row>
    <row r="446" spans="2:18">
      <c r="B446" s="68"/>
      <c r="C446" s="93">
        <v>7</v>
      </c>
      <c r="D446" s="93" t="s">
        <v>1785</v>
      </c>
      <c r="E446" s="93">
        <v>24</v>
      </c>
      <c r="F446" s="93">
        <v>258875</v>
      </c>
      <c r="G446" s="93">
        <v>11682</v>
      </c>
      <c r="H446" s="94"/>
      <c r="I446" s="93" t="s">
        <v>688</v>
      </c>
      <c r="J446" s="93">
        <v>1</v>
      </c>
      <c r="K446" s="93">
        <v>1700</v>
      </c>
      <c r="L446" s="93">
        <v>160</v>
      </c>
      <c r="M446" s="17"/>
      <c r="N446" s="93" t="s">
        <v>688</v>
      </c>
      <c r="O446" s="93">
        <v>1</v>
      </c>
      <c r="P446" s="93">
        <v>1700</v>
      </c>
      <c r="Q446" s="93">
        <v>160</v>
      </c>
      <c r="R446" s="69"/>
    </row>
    <row r="447" spans="2:18">
      <c r="B447" s="68"/>
      <c r="C447" s="93">
        <v>7</v>
      </c>
      <c r="D447" s="93" t="s">
        <v>1785</v>
      </c>
      <c r="E447" s="93">
        <v>23</v>
      </c>
      <c r="F447" s="93">
        <v>257175</v>
      </c>
      <c r="G447" s="93">
        <v>11522</v>
      </c>
      <c r="H447" s="94"/>
      <c r="I447" s="93" t="s">
        <v>689</v>
      </c>
      <c r="J447" s="93">
        <v>1</v>
      </c>
      <c r="K447" s="93">
        <v>1700</v>
      </c>
      <c r="L447" s="93">
        <v>160</v>
      </c>
      <c r="M447" s="17"/>
      <c r="N447" s="93" t="s">
        <v>689</v>
      </c>
      <c r="O447" s="93">
        <v>1</v>
      </c>
      <c r="P447" s="93">
        <v>1700</v>
      </c>
      <c r="Q447" s="93">
        <v>160</v>
      </c>
      <c r="R447" s="69"/>
    </row>
    <row r="448" spans="2:18">
      <c r="B448" s="68"/>
      <c r="C448" s="93">
        <v>7</v>
      </c>
      <c r="D448" s="93" t="s">
        <v>1785</v>
      </c>
      <c r="E448" s="93">
        <v>22</v>
      </c>
      <c r="F448" s="93">
        <v>255175</v>
      </c>
      <c r="G448" s="93">
        <v>11522</v>
      </c>
      <c r="H448" s="94"/>
      <c r="I448" s="93" t="s">
        <v>690</v>
      </c>
      <c r="J448" s="93">
        <v>1</v>
      </c>
      <c r="K448" s="93">
        <v>2000</v>
      </c>
      <c r="L448" s="93">
        <v>0</v>
      </c>
      <c r="M448" s="17"/>
      <c r="N448" s="93" t="s">
        <v>690</v>
      </c>
      <c r="O448" s="93">
        <v>1</v>
      </c>
      <c r="P448" s="93">
        <v>2000</v>
      </c>
      <c r="Q448" s="93">
        <v>0</v>
      </c>
      <c r="R448" s="69"/>
    </row>
    <row r="449" spans="2:18">
      <c r="B449" s="68"/>
      <c r="C449" s="93">
        <v>7</v>
      </c>
      <c r="D449" s="93" t="s">
        <v>1785</v>
      </c>
      <c r="E449" s="93">
        <v>21</v>
      </c>
      <c r="F449" s="93">
        <v>253175</v>
      </c>
      <c r="G449" s="93">
        <v>11522</v>
      </c>
      <c r="H449" s="94"/>
      <c r="I449" s="93" t="s">
        <v>691</v>
      </c>
      <c r="J449" s="93">
        <v>1</v>
      </c>
      <c r="K449" s="93">
        <v>2000</v>
      </c>
      <c r="L449" s="93">
        <v>0</v>
      </c>
      <c r="M449" s="17"/>
      <c r="N449" s="93" t="s">
        <v>691</v>
      </c>
      <c r="O449" s="93">
        <v>1</v>
      </c>
      <c r="P449" s="93">
        <v>2000</v>
      </c>
      <c r="Q449" s="93">
        <v>0</v>
      </c>
      <c r="R449" s="69"/>
    </row>
    <row r="450" spans="2:18">
      <c r="B450" s="68"/>
      <c r="C450" s="93">
        <v>7</v>
      </c>
      <c r="D450" s="93" t="s">
        <v>1785</v>
      </c>
      <c r="E450" s="93">
        <v>20</v>
      </c>
      <c r="F450" s="93">
        <v>251475</v>
      </c>
      <c r="G450" s="93">
        <v>11362</v>
      </c>
      <c r="H450" s="94"/>
      <c r="I450" s="93" t="s">
        <v>692</v>
      </c>
      <c r="J450" s="93">
        <v>1</v>
      </c>
      <c r="K450" s="93">
        <v>1700</v>
      </c>
      <c r="L450" s="93">
        <v>160</v>
      </c>
      <c r="M450" s="17"/>
      <c r="N450" s="93" t="s">
        <v>692</v>
      </c>
      <c r="O450" s="93">
        <v>1</v>
      </c>
      <c r="P450" s="93">
        <v>1700</v>
      </c>
      <c r="Q450" s="93">
        <v>160</v>
      </c>
      <c r="R450" s="69"/>
    </row>
    <row r="451" spans="2:18">
      <c r="B451" s="68"/>
      <c r="C451" s="93">
        <v>7</v>
      </c>
      <c r="D451" s="93" t="s">
        <v>1785</v>
      </c>
      <c r="E451" s="93">
        <v>19</v>
      </c>
      <c r="F451" s="93">
        <v>249775</v>
      </c>
      <c r="G451" s="93">
        <v>11202</v>
      </c>
      <c r="H451" s="94"/>
      <c r="I451" s="93" t="s">
        <v>693</v>
      </c>
      <c r="J451" s="93">
        <v>1</v>
      </c>
      <c r="K451" s="93">
        <v>1700</v>
      </c>
      <c r="L451" s="93">
        <v>160</v>
      </c>
      <c r="M451" s="17"/>
      <c r="N451" s="93" t="s">
        <v>693</v>
      </c>
      <c r="O451" s="93">
        <v>1</v>
      </c>
      <c r="P451" s="93">
        <v>1700</v>
      </c>
      <c r="Q451" s="93">
        <v>160</v>
      </c>
      <c r="R451" s="69"/>
    </row>
    <row r="452" spans="2:18">
      <c r="B452" s="68"/>
      <c r="C452" s="93">
        <v>7</v>
      </c>
      <c r="D452" s="93" t="s">
        <v>1785</v>
      </c>
      <c r="E452" s="93">
        <v>15</v>
      </c>
      <c r="F452" s="93">
        <v>234775</v>
      </c>
      <c r="G452" s="93">
        <v>11122</v>
      </c>
      <c r="H452" s="94"/>
      <c r="I452" s="93" t="s">
        <v>694</v>
      </c>
      <c r="J452" s="93">
        <v>4</v>
      </c>
      <c r="K452" s="93">
        <v>15000</v>
      </c>
      <c r="L452" s="93">
        <v>80</v>
      </c>
      <c r="M452" s="17"/>
      <c r="N452" s="93" t="s">
        <v>694</v>
      </c>
      <c r="O452" s="93">
        <v>4</v>
      </c>
      <c r="P452" s="93">
        <v>15000</v>
      </c>
      <c r="Q452" s="93">
        <v>80</v>
      </c>
      <c r="R452" s="69"/>
    </row>
    <row r="453" spans="2:18">
      <c r="B453" s="68"/>
      <c r="C453" s="93">
        <v>7</v>
      </c>
      <c r="D453" s="93" t="s">
        <v>1785</v>
      </c>
      <c r="E453" s="93">
        <v>14</v>
      </c>
      <c r="F453" s="93">
        <v>233075</v>
      </c>
      <c r="G453" s="93">
        <v>10962</v>
      </c>
      <c r="H453" s="94"/>
      <c r="I453" s="93" t="s">
        <v>695</v>
      </c>
      <c r="J453" s="93">
        <v>1</v>
      </c>
      <c r="K453" s="93">
        <v>1700</v>
      </c>
      <c r="L453" s="93">
        <v>160</v>
      </c>
      <c r="M453" s="17"/>
      <c r="N453" s="93" t="s">
        <v>695</v>
      </c>
      <c r="O453" s="93">
        <v>1</v>
      </c>
      <c r="P453" s="93">
        <v>1700</v>
      </c>
      <c r="Q453" s="93">
        <v>160</v>
      </c>
      <c r="R453" s="69"/>
    </row>
    <row r="454" spans="2:18">
      <c r="B454" s="68"/>
      <c r="C454" s="93">
        <v>7</v>
      </c>
      <c r="D454" s="93" t="s">
        <v>1785</v>
      </c>
      <c r="E454" s="93">
        <v>10</v>
      </c>
      <c r="F454" s="93">
        <v>225575</v>
      </c>
      <c r="G454" s="93">
        <v>10882</v>
      </c>
      <c r="H454" s="94"/>
      <c r="I454" s="93" t="s">
        <v>696</v>
      </c>
      <c r="J454" s="93">
        <v>4</v>
      </c>
      <c r="K454" s="93">
        <v>7500</v>
      </c>
      <c r="L454" s="93">
        <v>80</v>
      </c>
      <c r="M454" s="17"/>
      <c r="N454" s="93" t="s">
        <v>696</v>
      </c>
      <c r="O454" s="93">
        <v>4</v>
      </c>
      <c r="P454" s="93">
        <v>7500</v>
      </c>
      <c r="Q454" s="93">
        <v>80</v>
      </c>
      <c r="R454" s="69"/>
    </row>
    <row r="455" spans="2:18">
      <c r="B455" s="68"/>
      <c r="C455" s="93">
        <v>7</v>
      </c>
      <c r="D455" s="93" t="s">
        <v>1785</v>
      </c>
      <c r="E455" s="93">
        <v>9</v>
      </c>
      <c r="F455" s="93">
        <v>223575</v>
      </c>
      <c r="G455" s="93">
        <v>10882</v>
      </c>
      <c r="H455" s="94"/>
      <c r="I455" s="93" t="s">
        <v>697</v>
      </c>
      <c r="J455" s="93">
        <v>1</v>
      </c>
      <c r="K455" s="93">
        <v>2000</v>
      </c>
      <c r="L455" s="93">
        <v>0</v>
      </c>
      <c r="M455" s="17"/>
      <c r="N455" s="93" t="s">
        <v>697</v>
      </c>
      <c r="O455" s="93">
        <v>1</v>
      </c>
      <c r="P455" s="93">
        <v>2000</v>
      </c>
      <c r="Q455" s="93">
        <v>0</v>
      </c>
      <c r="R455" s="69"/>
    </row>
    <row r="456" spans="2:18">
      <c r="B456" s="68"/>
      <c r="C456" s="93">
        <v>7</v>
      </c>
      <c r="D456" s="93" t="s">
        <v>1785</v>
      </c>
      <c r="E456" s="93">
        <v>5</v>
      </c>
      <c r="F456" s="93">
        <v>208575</v>
      </c>
      <c r="G456" s="93">
        <v>10802</v>
      </c>
      <c r="H456" s="94"/>
      <c r="I456" s="93" t="s">
        <v>698</v>
      </c>
      <c r="J456" s="93">
        <v>4</v>
      </c>
      <c r="K456" s="93">
        <v>15000</v>
      </c>
      <c r="L456" s="93">
        <v>80</v>
      </c>
      <c r="M456" s="17"/>
      <c r="N456" s="93" t="s">
        <v>698</v>
      </c>
      <c r="O456" s="93">
        <v>4</v>
      </c>
      <c r="P456" s="93">
        <v>15000</v>
      </c>
      <c r="Q456" s="93">
        <v>80</v>
      </c>
      <c r="R456" s="69"/>
    </row>
    <row r="457" spans="2:18">
      <c r="B457" s="68"/>
      <c r="C457" s="93">
        <v>7</v>
      </c>
      <c r="D457" s="93" t="s">
        <v>1785</v>
      </c>
      <c r="E457" s="93">
        <v>3</v>
      </c>
      <c r="F457" s="93">
        <v>204825</v>
      </c>
      <c r="G457" s="93">
        <v>10770</v>
      </c>
      <c r="H457" s="94"/>
      <c r="I457" s="93" t="s">
        <v>699</v>
      </c>
      <c r="J457" s="93">
        <v>2</v>
      </c>
      <c r="K457" s="93">
        <v>3750</v>
      </c>
      <c r="L457" s="93">
        <v>32</v>
      </c>
      <c r="M457" s="17"/>
      <c r="N457" s="93" t="s">
        <v>699</v>
      </c>
      <c r="O457" s="93">
        <v>2</v>
      </c>
      <c r="P457" s="93">
        <v>3750</v>
      </c>
      <c r="Q457" s="93">
        <v>32</v>
      </c>
      <c r="R457" s="69"/>
    </row>
    <row r="458" spans="2:18">
      <c r="B458" s="68"/>
      <c r="C458" s="93">
        <v>8</v>
      </c>
      <c r="D458" s="93" t="s">
        <v>1786</v>
      </c>
      <c r="E458" s="93">
        <v>132</v>
      </c>
      <c r="F458" s="93">
        <v>492240</v>
      </c>
      <c r="G458" s="93">
        <v>19470</v>
      </c>
      <c r="H458" s="94"/>
      <c r="I458" s="93" t="s">
        <v>700</v>
      </c>
      <c r="J458" s="93">
        <v>8</v>
      </c>
      <c r="K458" s="93">
        <v>30000</v>
      </c>
      <c r="L458" s="93">
        <v>160</v>
      </c>
      <c r="M458" s="17"/>
      <c r="N458" s="93" t="s">
        <v>700</v>
      </c>
      <c r="O458" s="93">
        <v>8</v>
      </c>
      <c r="P458" s="93">
        <v>30000</v>
      </c>
      <c r="Q458" s="93">
        <v>160</v>
      </c>
      <c r="R458" s="69"/>
    </row>
    <row r="459" spans="2:18">
      <c r="B459" s="68"/>
      <c r="C459" s="93">
        <v>7</v>
      </c>
      <c r="D459" s="93" t="s">
        <v>1785</v>
      </c>
      <c r="E459" s="93">
        <v>2</v>
      </c>
      <c r="F459" s="93">
        <v>202825</v>
      </c>
      <c r="G459" s="93">
        <v>10770</v>
      </c>
      <c r="H459" s="94"/>
      <c r="I459" s="93" t="s">
        <v>701</v>
      </c>
      <c r="J459" s="93">
        <v>1</v>
      </c>
      <c r="K459" s="93">
        <v>2000</v>
      </c>
      <c r="L459" s="93">
        <v>0</v>
      </c>
      <c r="M459" s="17"/>
      <c r="N459" s="93" t="s">
        <v>701</v>
      </c>
      <c r="O459" s="93">
        <v>1</v>
      </c>
      <c r="P459" s="93">
        <v>2000</v>
      </c>
      <c r="Q459" s="93">
        <v>0</v>
      </c>
      <c r="R459" s="69"/>
    </row>
    <row r="460" spans="2:18">
      <c r="B460" s="68"/>
      <c r="C460" s="93">
        <v>7</v>
      </c>
      <c r="D460" s="93" t="s">
        <v>1785</v>
      </c>
      <c r="E460" s="93">
        <v>1</v>
      </c>
      <c r="F460" s="93">
        <v>201125</v>
      </c>
      <c r="G460" s="93">
        <v>10610</v>
      </c>
      <c r="H460" s="94"/>
      <c r="I460" s="93" t="s">
        <v>702</v>
      </c>
      <c r="J460" s="93">
        <v>1</v>
      </c>
      <c r="K460" s="93">
        <v>1700</v>
      </c>
      <c r="L460" s="93">
        <v>160</v>
      </c>
      <c r="M460" s="17"/>
      <c r="N460" s="93" t="s">
        <v>702</v>
      </c>
      <c r="O460" s="93">
        <v>1</v>
      </c>
      <c r="P460" s="93">
        <v>1700</v>
      </c>
      <c r="Q460" s="93">
        <v>160</v>
      </c>
      <c r="R460" s="69"/>
    </row>
    <row r="461" spans="2:18">
      <c r="B461" s="68"/>
      <c r="C461" s="93">
        <v>8</v>
      </c>
      <c r="D461" s="93" t="s">
        <v>1786</v>
      </c>
      <c r="E461" s="93">
        <v>131</v>
      </c>
      <c r="F461" s="93">
        <v>490540</v>
      </c>
      <c r="G461" s="93">
        <v>19310</v>
      </c>
      <c r="H461" s="94"/>
      <c r="I461" s="93" t="s">
        <v>703</v>
      </c>
      <c r="J461" s="93">
        <v>1</v>
      </c>
      <c r="K461" s="93">
        <v>1700</v>
      </c>
      <c r="L461" s="93">
        <v>160</v>
      </c>
      <c r="M461" s="17"/>
      <c r="N461" s="93" t="s">
        <v>703</v>
      </c>
      <c r="O461" s="93">
        <v>1</v>
      </c>
      <c r="P461" s="93">
        <v>1700</v>
      </c>
      <c r="Q461" s="93">
        <v>160</v>
      </c>
      <c r="R461" s="69"/>
    </row>
    <row r="462" spans="2:18">
      <c r="B462" s="68"/>
      <c r="C462" s="93">
        <v>8</v>
      </c>
      <c r="D462" s="93" t="s">
        <v>1786</v>
      </c>
      <c r="E462" s="93">
        <v>130</v>
      </c>
      <c r="F462" s="93">
        <v>488840</v>
      </c>
      <c r="G462" s="93">
        <v>19150</v>
      </c>
      <c r="H462" s="94"/>
      <c r="I462" s="93" t="s">
        <v>704</v>
      </c>
      <c r="J462" s="93">
        <v>1</v>
      </c>
      <c r="K462" s="93">
        <v>1700</v>
      </c>
      <c r="L462" s="93">
        <v>160</v>
      </c>
      <c r="M462" s="17"/>
      <c r="N462" s="93" t="s">
        <v>704</v>
      </c>
      <c r="O462" s="93">
        <v>1</v>
      </c>
      <c r="P462" s="93">
        <v>1700</v>
      </c>
      <c r="Q462" s="93">
        <v>160</v>
      </c>
      <c r="R462" s="69"/>
    </row>
    <row r="463" spans="2:18">
      <c r="B463" s="68"/>
      <c r="C463" s="93">
        <v>8</v>
      </c>
      <c r="D463" s="93" t="s">
        <v>1786</v>
      </c>
      <c r="E463" s="93">
        <v>129</v>
      </c>
      <c r="F463" s="93">
        <v>487140</v>
      </c>
      <c r="G463" s="93">
        <v>18990</v>
      </c>
      <c r="H463" s="94"/>
      <c r="I463" s="93" t="s">
        <v>705</v>
      </c>
      <c r="J463" s="93">
        <v>1</v>
      </c>
      <c r="K463" s="93">
        <v>1700</v>
      </c>
      <c r="L463" s="93">
        <v>160</v>
      </c>
      <c r="M463" s="17"/>
      <c r="N463" s="93" t="s">
        <v>705</v>
      </c>
      <c r="O463" s="93">
        <v>1</v>
      </c>
      <c r="P463" s="93">
        <v>1700</v>
      </c>
      <c r="Q463" s="93">
        <v>160</v>
      </c>
      <c r="R463" s="69"/>
    </row>
    <row r="464" spans="2:18">
      <c r="B464" s="68"/>
      <c r="C464" s="93">
        <v>8</v>
      </c>
      <c r="D464" s="93" t="s">
        <v>1786</v>
      </c>
      <c r="E464" s="93">
        <v>128</v>
      </c>
      <c r="F464" s="93">
        <v>485440</v>
      </c>
      <c r="G464" s="93">
        <v>18830</v>
      </c>
      <c r="H464" s="94"/>
      <c r="I464" s="93" t="s">
        <v>706</v>
      </c>
      <c r="J464" s="93">
        <v>1</v>
      </c>
      <c r="K464" s="93">
        <v>1700</v>
      </c>
      <c r="L464" s="93">
        <v>160</v>
      </c>
      <c r="M464" s="17"/>
      <c r="N464" s="93" t="s">
        <v>706</v>
      </c>
      <c r="O464" s="93">
        <v>1</v>
      </c>
      <c r="P464" s="93">
        <v>1700</v>
      </c>
      <c r="Q464" s="93">
        <v>160</v>
      </c>
      <c r="R464" s="69"/>
    </row>
    <row r="465" spans="2:18">
      <c r="B465" s="68"/>
      <c r="C465" s="93">
        <v>8</v>
      </c>
      <c r="D465" s="93" t="s">
        <v>1786</v>
      </c>
      <c r="E465" s="93">
        <v>127</v>
      </c>
      <c r="F465" s="93">
        <v>483740</v>
      </c>
      <c r="G465" s="93">
        <v>18670</v>
      </c>
      <c r="H465" s="94"/>
      <c r="I465" s="93" t="s">
        <v>707</v>
      </c>
      <c r="J465" s="93">
        <v>1</v>
      </c>
      <c r="K465" s="93">
        <v>1700</v>
      </c>
      <c r="L465" s="93">
        <v>160</v>
      </c>
      <c r="M465" s="17"/>
      <c r="N465" s="93" t="s">
        <v>707</v>
      </c>
      <c r="O465" s="93">
        <v>1</v>
      </c>
      <c r="P465" s="93">
        <v>1700</v>
      </c>
      <c r="Q465" s="93">
        <v>160</v>
      </c>
      <c r="R465" s="69"/>
    </row>
    <row r="466" spans="2:18">
      <c r="B466" s="68"/>
      <c r="C466" s="93">
        <v>8</v>
      </c>
      <c r="D466" s="93" t="s">
        <v>1786</v>
      </c>
      <c r="E466" s="93">
        <v>126</v>
      </c>
      <c r="F466" s="93">
        <v>481740</v>
      </c>
      <c r="G466" s="93">
        <v>18670</v>
      </c>
      <c r="H466" s="94"/>
      <c r="I466" s="93" t="s">
        <v>708</v>
      </c>
      <c r="J466" s="93">
        <v>1</v>
      </c>
      <c r="K466" s="93">
        <v>2000</v>
      </c>
      <c r="L466" s="93">
        <v>0</v>
      </c>
      <c r="M466" s="17"/>
      <c r="N466" s="93" t="s">
        <v>708</v>
      </c>
      <c r="O466" s="93">
        <v>1</v>
      </c>
      <c r="P466" s="93">
        <v>2000</v>
      </c>
      <c r="Q466" s="93">
        <v>0</v>
      </c>
      <c r="R466" s="69"/>
    </row>
    <row r="467" spans="2:18">
      <c r="B467" s="68"/>
      <c r="C467" s="93">
        <v>8</v>
      </c>
      <c r="D467" s="93" t="s">
        <v>1786</v>
      </c>
      <c r="E467" s="93">
        <v>118</v>
      </c>
      <c r="F467" s="93">
        <v>451740</v>
      </c>
      <c r="G467" s="93">
        <v>18510</v>
      </c>
      <c r="H467" s="94"/>
      <c r="I467" s="93" t="s">
        <v>709</v>
      </c>
      <c r="J467" s="93">
        <v>8</v>
      </c>
      <c r="K467" s="93">
        <v>30000</v>
      </c>
      <c r="L467" s="93">
        <v>160</v>
      </c>
      <c r="M467" s="17"/>
      <c r="N467" s="93" t="s">
        <v>709</v>
      </c>
      <c r="O467" s="93">
        <v>8</v>
      </c>
      <c r="P467" s="93">
        <v>30000</v>
      </c>
      <c r="Q467" s="93">
        <v>160</v>
      </c>
      <c r="R467" s="69"/>
    </row>
    <row r="468" spans="2:18">
      <c r="B468" s="68"/>
      <c r="C468" s="93">
        <v>8</v>
      </c>
      <c r="D468" s="93" t="s">
        <v>1786</v>
      </c>
      <c r="E468" s="93">
        <v>117</v>
      </c>
      <c r="F468" s="93">
        <v>450040</v>
      </c>
      <c r="G468" s="93">
        <v>18350</v>
      </c>
      <c r="H468" s="94"/>
      <c r="I468" s="93" t="s">
        <v>710</v>
      </c>
      <c r="J468" s="93">
        <v>1</v>
      </c>
      <c r="K468" s="93">
        <v>1700</v>
      </c>
      <c r="L468" s="93">
        <v>160</v>
      </c>
      <c r="M468" s="17"/>
      <c r="N468" s="93" t="s">
        <v>710</v>
      </c>
      <c r="O468" s="93">
        <v>1</v>
      </c>
      <c r="P468" s="93">
        <v>1700</v>
      </c>
      <c r="Q468" s="93">
        <v>160</v>
      </c>
      <c r="R468" s="69"/>
    </row>
    <row r="469" spans="2:18">
      <c r="B469" s="68"/>
      <c r="C469" s="93">
        <v>8</v>
      </c>
      <c r="D469" s="93" t="s">
        <v>1786</v>
      </c>
      <c r="E469" s="93">
        <v>116</v>
      </c>
      <c r="F469" s="93">
        <v>448040</v>
      </c>
      <c r="G469" s="93">
        <v>18350</v>
      </c>
      <c r="H469" s="94"/>
      <c r="I469" s="93" t="s">
        <v>711</v>
      </c>
      <c r="J469" s="93">
        <v>1</v>
      </c>
      <c r="K469" s="93">
        <v>2000</v>
      </c>
      <c r="L469" s="93">
        <v>0</v>
      </c>
      <c r="M469" s="17"/>
      <c r="N469" s="93" t="s">
        <v>711</v>
      </c>
      <c r="O469" s="93">
        <v>1</v>
      </c>
      <c r="P469" s="93">
        <v>2000</v>
      </c>
      <c r="Q469" s="93">
        <v>0</v>
      </c>
      <c r="R469" s="69"/>
    </row>
    <row r="470" spans="2:18">
      <c r="B470" s="68"/>
      <c r="C470" s="93">
        <v>8</v>
      </c>
      <c r="D470" s="93" t="s">
        <v>1786</v>
      </c>
      <c r="E470" s="93">
        <v>112</v>
      </c>
      <c r="F470" s="93">
        <v>433040</v>
      </c>
      <c r="G470" s="93">
        <v>18270</v>
      </c>
      <c r="H470" s="94"/>
      <c r="I470" s="93" t="s">
        <v>712</v>
      </c>
      <c r="J470" s="93">
        <v>4</v>
      </c>
      <c r="K470" s="93">
        <v>15000</v>
      </c>
      <c r="L470" s="93">
        <v>80</v>
      </c>
      <c r="M470" s="17"/>
      <c r="N470" s="93" t="s">
        <v>712</v>
      </c>
      <c r="O470" s="93">
        <v>4</v>
      </c>
      <c r="P470" s="93">
        <v>15000</v>
      </c>
      <c r="Q470" s="93">
        <v>80</v>
      </c>
      <c r="R470" s="69"/>
    </row>
    <row r="471" spans="2:18">
      <c r="B471" s="68"/>
      <c r="C471" s="93">
        <v>8</v>
      </c>
      <c r="D471" s="93" t="s">
        <v>1786</v>
      </c>
      <c r="E471" s="93">
        <v>111</v>
      </c>
      <c r="F471" s="93">
        <v>431340</v>
      </c>
      <c r="G471" s="93">
        <v>18110</v>
      </c>
      <c r="H471" s="94"/>
      <c r="I471" s="93" t="s">
        <v>713</v>
      </c>
      <c r="J471" s="93">
        <v>1</v>
      </c>
      <c r="K471" s="93">
        <v>1700</v>
      </c>
      <c r="L471" s="93">
        <v>160</v>
      </c>
      <c r="M471" s="17"/>
      <c r="N471" s="93" t="s">
        <v>713</v>
      </c>
      <c r="O471" s="93">
        <v>1</v>
      </c>
      <c r="P471" s="93">
        <v>1700</v>
      </c>
      <c r="Q471" s="93">
        <v>160</v>
      </c>
      <c r="R471" s="69"/>
    </row>
    <row r="472" spans="2:18">
      <c r="B472" s="68"/>
      <c r="C472" s="93">
        <v>8</v>
      </c>
      <c r="D472" s="93" t="s">
        <v>1786</v>
      </c>
      <c r="E472" s="93">
        <v>110</v>
      </c>
      <c r="F472" s="93">
        <v>429640</v>
      </c>
      <c r="G472" s="93">
        <v>17950</v>
      </c>
      <c r="H472" s="94"/>
      <c r="I472" s="93" t="s">
        <v>714</v>
      </c>
      <c r="J472" s="93">
        <v>1</v>
      </c>
      <c r="K472" s="93">
        <v>1700</v>
      </c>
      <c r="L472" s="93">
        <v>160</v>
      </c>
      <c r="M472" s="17"/>
      <c r="N472" s="93" t="s">
        <v>714</v>
      </c>
      <c r="O472" s="93">
        <v>1</v>
      </c>
      <c r="P472" s="93">
        <v>1700</v>
      </c>
      <c r="Q472" s="93">
        <v>160</v>
      </c>
      <c r="R472" s="69"/>
    </row>
    <row r="473" spans="2:18">
      <c r="B473" s="68"/>
      <c r="C473" s="93">
        <v>8</v>
      </c>
      <c r="D473" s="93" t="s">
        <v>1786</v>
      </c>
      <c r="E473" s="93">
        <v>109</v>
      </c>
      <c r="F473" s="93">
        <v>425890</v>
      </c>
      <c r="G473" s="93">
        <v>17946</v>
      </c>
      <c r="H473" s="94"/>
      <c r="I473" s="93" t="s">
        <v>715</v>
      </c>
      <c r="J473" s="93">
        <v>1</v>
      </c>
      <c r="K473" s="93">
        <v>3750</v>
      </c>
      <c r="L473" s="93">
        <v>4</v>
      </c>
      <c r="M473" s="17"/>
      <c r="N473" s="93" t="s">
        <v>715</v>
      </c>
      <c r="O473" s="93">
        <v>1</v>
      </c>
      <c r="P473" s="93">
        <v>3750</v>
      </c>
      <c r="Q473" s="93">
        <v>4</v>
      </c>
      <c r="R473" s="69"/>
    </row>
    <row r="474" spans="2:18">
      <c r="B474" s="68"/>
      <c r="C474" s="93">
        <v>8</v>
      </c>
      <c r="D474" s="93" t="s">
        <v>1786</v>
      </c>
      <c r="E474" s="93">
        <v>108</v>
      </c>
      <c r="F474" s="93">
        <v>423890</v>
      </c>
      <c r="G474" s="93">
        <v>17946</v>
      </c>
      <c r="H474" s="94"/>
      <c r="I474" s="93" t="s">
        <v>716</v>
      </c>
      <c r="J474" s="93">
        <v>1</v>
      </c>
      <c r="K474" s="93">
        <v>2000</v>
      </c>
      <c r="L474" s="93">
        <v>0</v>
      </c>
      <c r="M474" s="17"/>
      <c r="N474" s="93" t="s">
        <v>716</v>
      </c>
      <c r="O474" s="93">
        <v>1</v>
      </c>
      <c r="P474" s="93">
        <v>2000</v>
      </c>
      <c r="Q474" s="93">
        <v>0</v>
      </c>
      <c r="R474" s="69"/>
    </row>
    <row r="475" spans="2:18">
      <c r="B475" s="68"/>
      <c r="C475" s="93">
        <v>8</v>
      </c>
      <c r="D475" s="93" t="s">
        <v>1786</v>
      </c>
      <c r="E475" s="93">
        <v>100</v>
      </c>
      <c r="F475" s="93">
        <v>408890</v>
      </c>
      <c r="G475" s="93">
        <v>17786</v>
      </c>
      <c r="H475" s="94"/>
      <c r="I475" s="93" t="s">
        <v>717</v>
      </c>
      <c r="J475" s="93">
        <v>8</v>
      </c>
      <c r="K475" s="93">
        <v>15000</v>
      </c>
      <c r="L475" s="93">
        <v>160</v>
      </c>
      <c r="M475" s="17"/>
      <c r="N475" s="93" t="s">
        <v>717</v>
      </c>
      <c r="O475" s="93">
        <v>8</v>
      </c>
      <c r="P475" s="93">
        <v>15000</v>
      </c>
      <c r="Q475" s="93">
        <v>160</v>
      </c>
      <c r="R475" s="69"/>
    </row>
    <row r="476" spans="2:18">
      <c r="B476" s="68"/>
      <c r="C476" s="93">
        <v>8</v>
      </c>
      <c r="D476" s="93" t="s">
        <v>1786</v>
      </c>
      <c r="E476" s="93">
        <v>99</v>
      </c>
      <c r="F476" s="93">
        <v>407190</v>
      </c>
      <c r="G476" s="93">
        <v>17626</v>
      </c>
      <c r="H476" s="94"/>
      <c r="I476" s="93" t="s">
        <v>718</v>
      </c>
      <c r="J476" s="93">
        <v>1</v>
      </c>
      <c r="K476" s="93">
        <v>1700</v>
      </c>
      <c r="L476" s="93">
        <v>160</v>
      </c>
      <c r="M476" s="17"/>
      <c r="N476" s="93" t="s">
        <v>718</v>
      </c>
      <c r="O476" s="93">
        <v>1</v>
      </c>
      <c r="P476" s="93">
        <v>1700</v>
      </c>
      <c r="Q476" s="93">
        <v>160</v>
      </c>
      <c r="R476" s="69"/>
    </row>
    <row r="477" spans="2:18">
      <c r="B477" s="68"/>
      <c r="C477" s="93">
        <v>8</v>
      </c>
      <c r="D477" s="93" t="s">
        <v>1786</v>
      </c>
      <c r="E477" s="93">
        <v>95</v>
      </c>
      <c r="F477" s="93">
        <v>392190</v>
      </c>
      <c r="G477" s="93">
        <v>17546</v>
      </c>
      <c r="H477" s="94"/>
      <c r="I477" s="93" t="s">
        <v>719</v>
      </c>
      <c r="J477" s="93">
        <v>4</v>
      </c>
      <c r="K477" s="93">
        <v>15000</v>
      </c>
      <c r="L477" s="93">
        <v>80</v>
      </c>
      <c r="M477" s="17"/>
      <c r="N477" s="93" t="s">
        <v>719</v>
      </c>
      <c r="O477" s="93">
        <v>4</v>
      </c>
      <c r="P477" s="93">
        <v>15000</v>
      </c>
      <c r="Q477" s="93">
        <v>80</v>
      </c>
      <c r="R477" s="69"/>
    </row>
    <row r="478" spans="2:18">
      <c r="B478" s="68"/>
      <c r="C478" s="93">
        <v>8</v>
      </c>
      <c r="D478" s="93" t="s">
        <v>1786</v>
      </c>
      <c r="E478" s="93">
        <v>94</v>
      </c>
      <c r="F478" s="93">
        <v>390190</v>
      </c>
      <c r="G478" s="93">
        <v>17546</v>
      </c>
      <c r="H478" s="94"/>
      <c r="I478" s="93" t="s">
        <v>720</v>
      </c>
      <c r="J478" s="93">
        <v>1</v>
      </c>
      <c r="K478" s="93">
        <v>2000</v>
      </c>
      <c r="L478" s="93">
        <v>0</v>
      </c>
      <c r="M478" s="17"/>
      <c r="N478" s="93" t="s">
        <v>720</v>
      </c>
      <c r="O478" s="93">
        <v>1</v>
      </c>
      <c r="P478" s="93">
        <v>2000</v>
      </c>
      <c r="Q478" s="93">
        <v>0</v>
      </c>
      <c r="R478" s="69"/>
    </row>
    <row r="479" spans="2:18">
      <c r="B479" s="68"/>
      <c r="C479" s="93">
        <v>8</v>
      </c>
      <c r="D479" s="93" t="s">
        <v>1786</v>
      </c>
      <c r="E479" s="93">
        <v>93</v>
      </c>
      <c r="F479" s="93">
        <v>388490</v>
      </c>
      <c r="G479" s="93">
        <v>17386</v>
      </c>
      <c r="H479" s="94"/>
      <c r="I479" s="93" t="s">
        <v>721</v>
      </c>
      <c r="J479" s="93">
        <v>1</v>
      </c>
      <c r="K479" s="93">
        <v>1700</v>
      </c>
      <c r="L479" s="93">
        <v>160</v>
      </c>
      <c r="M479" s="17"/>
      <c r="N479" s="93" t="s">
        <v>721</v>
      </c>
      <c r="O479" s="93">
        <v>1</v>
      </c>
      <c r="P479" s="93">
        <v>1700</v>
      </c>
      <c r="Q479" s="93">
        <v>160</v>
      </c>
      <c r="R479" s="69"/>
    </row>
    <row r="480" spans="2:18">
      <c r="B480" s="68"/>
      <c r="C480" s="93">
        <v>8</v>
      </c>
      <c r="D480" s="93" t="s">
        <v>1786</v>
      </c>
      <c r="E480" s="93">
        <v>92</v>
      </c>
      <c r="F480" s="93">
        <v>386490</v>
      </c>
      <c r="G480" s="93">
        <v>17386</v>
      </c>
      <c r="H480" s="94"/>
      <c r="I480" s="93" t="s">
        <v>722</v>
      </c>
      <c r="J480" s="93">
        <v>1</v>
      </c>
      <c r="K480" s="93">
        <v>2000</v>
      </c>
      <c r="L480" s="93">
        <v>0</v>
      </c>
      <c r="M480" s="17"/>
      <c r="N480" s="93" t="s">
        <v>722</v>
      </c>
      <c r="O480" s="93">
        <v>1</v>
      </c>
      <c r="P480" s="93">
        <v>2000</v>
      </c>
      <c r="Q480" s="93">
        <v>0</v>
      </c>
      <c r="R480" s="69"/>
    </row>
    <row r="481" spans="2:18">
      <c r="B481" s="68"/>
      <c r="C481" s="93">
        <v>8</v>
      </c>
      <c r="D481" s="93" t="s">
        <v>1786</v>
      </c>
      <c r="E481" s="93">
        <v>88</v>
      </c>
      <c r="F481" s="93">
        <v>378990</v>
      </c>
      <c r="G481" s="93">
        <v>17306</v>
      </c>
      <c r="H481" s="94"/>
      <c r="I481" s="93" t="s">
        <v>723</v>
      </c>
      <c r="J481" s="93">
        <v>4</v>
      </c>
      <c r="K481" s="93">
        <v>7500</v>
      </c>
      <c r="L481" s="93">
        <v>80</v>
      </c>
      <c r="M481" s="17"/>
      <c r="N481" s="93" t="s">
        <v>723</v>
      </c>
      <c r="O481" s="93">
        <v>4</v>
      </c>
      <c r="P481" s="93">
        <v>7500</v>
      </c>
      <c r="Q481" s="93">
        <v>80</v>
      </c>
      <c r="R481" s="69"/>
    </row>
    <row r="482" spans="2:18">
      <c r="B482" s="68"/>
      <c r="C482" s="93">
        <v>8</v>
      </c>
      <c r="D482" s="93" t="s">
        <v>1786</v>
      </c>
      <c r="E482" s="93">
        <v>87</v>
      </c>
      <c r="F482" s="93">
        <v>377290</v>
      </c>
      <c r="G482" s="93">
        <v>17146</v>
      </c>
      <c r="H482" s="94"/>
      <c r="I482" s="93" t="s">
        <v>724</v>
      </c>
      <c r="J482" s="93">
        <v>1</v>
      </c>
      <c r="K482" s="93">
        <v>1700</v>
      </c>
      <c r="L482" s="93">
        <v>160</v>
      </c>
      <c r="M482" s="17"/>
      <c r="N482" s="93" t="s">
        <v>724</v>
      </c>
      <c r="O482" s="93">
        <v>1</v>
      </c>
      <c r="P482" s="93">
        <v>1700</v>
      </c>
      <c r="Q482" s="93">
        <v>160</v>
      </c>
      <c r="R482" s="69"/>
    </row>
    <row r="483" spans="2:18">
      <c r="B483" s="68"/>
      <c r="C483" s="93">
        <v>8</v>
      </c>
      <c r="D483" s="93" t="s">
        <v>1786</v>
      </c>
      <c r="E483" s="93">
        <v>86</v>
      </c>
      <c r="F483" s="93">
        <v>375590</v>
      </c>
      <c r="G483" s="93">
        <v>16986</v>
      </c>
      <c r="H483" s="94"/>
      <c r="I483" s="93" t="s">
        <v>725</v>
      </c>
      <c r="J483" s="93">
        <v>1</v>
      </c>
      <c r="K483" s="93">
        <v>1700</v>
      </c>
      <c r="L483" s="93">
        <v>160</v>
      </c>
      <c r="M483" s="17"/>
      <c r="N483" s="93" t="s">
        <v>725</v>
      </c>
      <c r="O483" s="93">
        <v>1</v>
      </c>
      <c r="P483" s="93">
        <v>1700</v>
      </c>
      <c r="Q483" s="93">
        <v>160</v>
      </c>
      <c r="R483" s="69"/>
    </row>
    <row r="484" spans="2:18">
      <c r="B484" s="68"/>
      <c r="C484" s="93">
        <v>8</v>
      </c>
      <c r="D484" s="93" t="s">
        <v>1786</v>
      </c>
      <c r="E484" s="93">
        <v>85</v>
      </c>
      <c r="F484" s="93">
        <v>373590</v>
      </c>
      <c r="G484" s="93">
        <v>16986</v>
      </c>
      <c r="H484" s="94"/>
      <c r="I484" s="93" t="s">
        <v>726</v>
      </c>
      <c r="J484" s="93">
        <v>1</v>
      </c>
      <c r="K484" s="93">
        <v>2000</v>
      </c>
      <c r="L484" s="93">
        <v>0</v>
      </c>
      <c r="M484" s="17"/>
      <c r="N484" s="93" t="s">
        <v>726</v>
      </c>
      <c r="O484" s="93">
        <v>1</v>
      </c>
      <c r="P484" s="93">
        <v>2000</v>
      </c>
      <c r="Q484" s="93">
        <v>0</v>
      </c>
      <c r="R484" s="69"/>
    </row>
    <row r="485" spans="2:18">
      <c r="B485" s="68"/>
      <c r="C485" s="93">
        <v>8</v>
      </c>
      <c r="D485" s="93" t="s">
        <v>1786</v>
      </c>
      <c r="E485" s="93">
        <v>84</v>
      </c>
      <c r="F485" s="93">
        <v>371890</v>
      </c>
      <c r="G485" s="93">
        <v>16826</v>
      </c>
      <c r="H485" s="94"/>
      <c r="I485" s="93" t="s">
        <v>727</v>
      </c>
      <c r="J485" s="93">
        <v>1</v>
      </c>
      <c r="K485" s="93">
        <v>1700</v>
      </c>
      <c r="L485" s="93">
        <v>160</v>
      </c>
      <c r="M485" s="17"/>
      <c r="N485" s="93" t="s">
        <v>727</v>
      </c>
      <c r="O485" s="93">
        <v>1</v>
      </c>
      <c r="P485" s="93">
        <v>1700</v>
      </c>
      <c r="Q485" s="93">
        <v>160</v>
      </c>
      <c r="R485" s="69"/>
    </row>
    <row r="486" spans="2:18">
      <c r="B486" s="68"/>
      <c r="C486" s="93">
        <v>8</v>
      </c>
      <c r="D486" s="93" t="s">
        <v>1786</v>
      </c>
      <c r="E486" s="93">
        <v>82</v>
      </c>
      <c r="F486" s="93">
        <v>368140</v>
      </c>
      <c r="G486" s="93">
        <v>16794</v>
      </c>
      <c r="H486" s="94"/>
      <c r="I486" s="93" t="s">
        <v>728</v>
      </c>
      <c r="J486" s="93">
        <v>2</v>
      </c>
      <c r="K486" s="93">
        <v>3750</v>
      </c>
      <c r="L486" s="93">
        <v>32</v>
      </c>
      <c r="M486" s="17"/>
      <c r="N486" s="93" t="s">
        <v>728</v>
      </c>
      <c r="O486" s="93">
        <v>2</v>
      </c>
      <c r="P486" s="93">
        <v>3750</v>
      </c>
      <c r="Q486" s="93">
        <v>32</v>
      </c>
      <c r="R486" s="69"/>
    </row>
    <row r="487" spans="2:18">
      <c r="B487" s="68"/>
      <c r="C487" s="93">
        <v>8</v>
      </c>
      <c r="D487" s="93" t="s">
        <v>1786</v>
      </c>
      <c r="E487" s="93">
        <v>81</v>
      </c>
      <c r="F487" s="93">
        <v>367525</v>
      </c>
      <c r="G487" s="93">
        <v>16634</v>
      </c>
      <c r="H487" s="94"/>
      <c r="I487" s="93" t="s">
        <v>729</v>
      </c>
      <c r="J487" s="93">
        <v>1</v>
      </c>
      <c r="K487" s="93">
        <v>615</v>
      </c>
      <c r="L487" s="93">
        <v>160</v>
      </c>
      <c r="M487" s="17"/>
      <c r="N487" s="93" t="s">
        <v>729</v>
      </c>
      <c r="O487" s="93">
        <v>1</v>
      </c>
      <c r="P487" s="93">
        <v>615</v>
      </c>
      <c r="Q487" s="93">
        <v>160</v>
      </c>
      <c r="R487" s="69"/>
    </row>
    <row r="488" spans="2:18">
      <c r="B488" s="68"/>
      <c r="C488" s="93">
        <v>8</v>
      </c>
      <c r="D488" s="93" t="s">
        <v>1786</v>
      </c>
      <c r="E488" s="93">
        <v>79</v>
      </c>
      <c r="F488" s="93">
        <v>363525</v>
      </c>
      <c r="G488" s="93">
        <v>16634</v>
      </c>
      <c r="H488" s="94"/>
      <c r="I488" s="93" t="s">
        <v>730</v>
      </c>
      <c r="J488" s="93">
        <v>2</v>
      </c>
      <c r="K488" s="93">
        <v>4000</v>
      </c>
      <c r="L488" s="93">
        <v>0</v>
      </c>
      <c r="M488" s="17"/>
      <c r="N488" s="93" t="s">
        <v>730</v>
      </c>
      <c r="O488" s="93">
        <v>2</v>
      </c>
      <c r="P488" s="93">
        <v>4000</v>
      </c>
      <c r="Q488" s="93">
        <v>0</v>
      </c>
      <c r="R488" s="69"/>
    </row>
    <row r="489" spans="2:18">
      <c r="B489" s="68"/>
      <c r="C489" s="93">
        <v>8</v>
      </c>
      <c r="D489" s="93" t="s">
        <v>1786</v>
      </c>
      <c r="E489" s="93">
        <v>78</v>
      </c>
      <c r="F489" s="93">
        <v>359775</v>
      </c>
      <c r="G489" s="93">
        <v>16630</v>
      </c>
      <c r="H489" s="94"/>
      <c r="I489" s="93" t="s">
        <v>731</v>
      </c>
      <c r="J489" s="93">
        <v>1</v>
      </c>
      <c r="K489" s="93">
        <v>3750</v>
      </c>
      <c r="L489" s="93">
        <v>4</v>
      </c>
      <c r="M489" s="17"/>
      <c r="N489" s="93" t="s">
        <v>731</v>
      </c>
      <c r="O489" s="93">
        <v>1</v>
      </c>
      <c r="P489" s="93">
        <v>3750</v>
      </c>
      <c r="Q489" s="93">
        <v>4</v>
      </c>
      <c r="R489" s="69"/>
    </row>
    <row r="490" spans="2:18">
      <c r="B490" s="68"/>
      <c r="C490" s="93">
        <v>8</v>
      </c>
      <c r="D490" s="93" t="s">
        <v>1786</v>
      </c>
      <c r="E490" s="93">
        <v>77</v>
      </c>
      <c r="F490" s="93">
        <v>358075</v>
      </c>
      <c r="G490" s="93">
        <v>16470</v>
      </c>
      <c r="H490" s="94"/>
      <c r="I490" s="93" t="s">
        <v>732</v>
      </c>
      <c r="J490" s="93">
        <v>1</v>
      </c>
      <c r="K490" s="93">
        <v>1700</v>
      </c>
      <c r="L490" s="93">
        <v>160</v>
      </c>
      <c r="M490" s="17"/>
      <c r="N490" s="93" t="s">
        <v>732</v>
      </c>
      <c r="O490" s="93">
        <v>1</v>
      </c>
      <c r="P490" s="93">
        <v>1700</v>
      </c>
      <c r="Q490" s="93">
        <v>160</v>
      </c>
      <c r="R490" s="69"/>
    </row>
    <row r="491" spans="2:18">
      <c r="B491" s="68"/>
      <c r="C491" s="93">
        <v>8</v>
      </c>
      <c r="D491" s="93" t="s">
        <v>1786</v>
      </c>
      <c r="E491" s="93">
        <v>76</v>
      </c>
      <c r="F491" s="93">
        <v>356075</v>
      </c>
      <c r="G491" s="93">
        <v>16470</v>
      </c>
      <c r="H491" s="94"/>
      <c r="I491" s="93" t="s">
        <v>733</v>
      </c>
      <c r="J491" s="93">
        <v>1</v>
      </c>
      <c r="K491" s="93">
        <v>2000</v>
      </c>
      <c r="L491" s="93">
        <v>0</v>
      </c>
      <c r="M491" s="17"/>
      <c r="N491" s="93" t="s">
        <v>733</v>
      </c>
      <c r="O491" s="93">
        <v>1</v>
      </c>
      <c r="P491" s="93">
        <v>2000</v>
      </c>
      <c r="Q491" s="93">
        <v>0</v>
      </c>
      <c r="R491" s="69"/>
    </row>
    <row r="492" spans="2:18">
      <c r="B492" s="68"/>
      <c r="C492" s="93">
        <v>8</v>
      </c>
      <c r="D492" s="93" t="s">
        <v>1786</v>
      </c>
      <c r="E492" s="93">
        <v>75</v>
      </c>
      <c r="F492" s="93">
        <v>354375</v>
      </c>
      <c r="G492" s="93">
        <v>16310</v>
      </c>
      <c r="H492" s="94"/>
      <c r="I492" s="93" t="s">
        <v>734</v>
      </c>
      <c r="J492" s="93">
        <v>1</v>
      </c>
      <c r="K492" s="93">
        <v>1700</v>
      </c>
      <c r="L492" s="93">
        <v>160</v>
      </c>
      <c r="M492" s="17"/>
      <c r="N492" s="93" t="s">
        <v>734</v>
      </c>
      <c r="O492" s="93">
        <v>1</v>
      </c>
      <c r="P492" s="93">
        <v>1700</v>
      </c>
      <c r="Q492" s="93">
        <v>160</v>
      </c>
      <c r="R492" s="69"/>
    </row>
    <row r="493" spans="2:18">
      <c r="B493" s="68"/>
      <c r="C493" s="93">
        <v>8</v>
      </c>
      <c r="D493" s="93" t="s">
        <v>1786</v>
      </c>
      <c r="E493" s="93">
        <v>73</v>
      </c>
      <c r="F493" s="93">
        <v>350625</v>
      </c>
      <c r="G493" s="93">
        <v>16278</v>
      </c>
      <c r="H493" s="94"/>
      <c r="I493" s="93" t="s">
        <v>735</v>
      </c>
      <c r="J493" s="93">
        <v>2</v>
      </c>
      <c r="K493" s="93">
        <v>3750</v>
      </c>
      <c r="L493" s="93">
        <v>32</v>
      </c>
      <c r="M493" s="17"/>
      <c r="N493" s="93" t="s">
        <v>735</v>
      </c>
      <c r="O493" s="93">
        <v>2</v>
      </c>
      <c r="P493" s="93">
        <v>3750</v>
      </c>
      <c r="Q493" s="93">
        <v>32</v>
      </c>
      <c r="R493" s="69"/>
    </row>
    <row r="494" spans="2:18">
      <c r="B494" s="68"/>
      <c r="C494" s="93">
        <v>8</v>
      </c>
      <c r="D494" s="93" t="s">
        <v>1786</v>
      </c>
      <c r="E494" s="93">
        <v>69</v>
      </c>
      <c r="F494" s="93">
        <v>335625</v>
      </c>
      <c r="G494" s="93">
        <v>16198</v>
      </c>
      <c r="H494" s="94"/>
      <c r="I494" s="93" t="s">
        <v>736</v>
      </c>
      <c r="J494" s="93">
        <v>4</v>
      </c>
      <c r="K494" s="93">
        <v>15000</v>
      </c>
      <c r="L494" s="93">
        <v>80</v>
      </c>
      <c r="M494" s="17"/>
      <c r="N494" s="93" t="s">
        <v>736</v>
      </c>
      <c r="O494" s="93">
        <v>4</v>
      </c>
      <c r="P494" s="93">
        <v>15000</v>
      </c>
      <c r="Q494" s="93">
        <v>80</v>
      </c>
      <c r="R494" s="69"/>
    </row>
    <row r="495" spans="2:18">
      <c r="B495" s="68"/>
      <c r="C495" s="93">
        <v>8</v>
      </c>
      <c r="D495" s="93" t="s">
        <v>1786</v>
      </c>
      <c r="E495" s="93">
        <v>65</v>
      </c>
      <c r="F495" s="93">
        <v>320625</v>
      </c>
      <c r="G495" s="93">
        <v>16118</v>
      </c>
      <c r="H495" s="94"/>
      <c r="I495" s="93" t="s">
        <v>737</v>
      </c>
      <c r="J495" s="93">
        <v>4</v>
      </c>
      <c r="K495" s="93">
        <v>15000</v>
      </c>
      <c r="L495" s="93">
        <v>80</v>
      </c>
      <c r="M495" s="17"/>
      <c r="N495" s="93" t="s">
        <v>737</v>
      </c>
      <c r="O495" s="93">
        <v>4</v>
      </c>
      <c r="P495" s="93">
        <v>15000</v>
      </c>
      <c r="Q495" s="93">
        <v>80</v>
      </c>
      <c r="R495" s="69"/>
    </row>
    <row r="496" spans="2:18">
      <c r="B496" s="68"/>
      <c r="C496" s="93">
        <v>8</v>
      </c>
      <c r="D496" s="93" t="s">
        <v>1786</v>
      </c>
      <c r="E496" s="93">
        <v>64</v>
      </c>
      <c r="F496" s="93">
        <v>318925</v>
      </c>
      <c r="G496" s="93">
        <v>15958</v>
      </c>
      <c r="H496" s="94"/>
      <c r="I496" s="93" t="s">
        <v>738</v>
      </c>
      <c r="J496" s="93">
        <v>1</v>
      </c>
      <c r="K496" s="93">
        <v>1700</v>
      </c>
      <c r="L496" s="93">
        <v>160</v>
      </c>
      <c r="M496" s="17"/>
      <c r="N496" s="93" t="s">
        <v>738</v>
      </c>
      <c r="O496" s="93">
        <v>1</v>
      </c>
      <c r="P496" s="93">
        <v>1700</v>
      </c>
      <c r="Q496" s="93">
        <v>160</v>
      </c>
      <c r="R496" s="69"/>
    </row>
    <row r="497" spans="2:18">
      <c r="B497" s="68"/>
      <c r="C497" s="93">
        <v>8</v>
      </c>
      <c r="D497" s="93" t="s">
        <v>1786</v>
      </c>
      <c r="E497" s="93">
        <v>63</v>
      </c>
      <c r="F497" s="93">
        <v>317225</v>
      </c>
      <c r="G497" s="93">
        <v>15798</v>
      </c>
      <c r="H497" s="94"/>
      <c r="I497" s="93" t="s">
        <v>739</v>
      </c>
      <c r="J497" s="93">
        <v>1</v>
      </c>
      <c r="K497" s="93">
        <v>1700</v>
      </c>
      <c r="L497" s="93">
        <v>160</v>
      </c>
      <c r="M497" s="17"/>
      <c r="N497" s="93" t="s">
        <v>739</v>
      </c>
      <c r="O497" s="93">
        <v>1</v>
      </c>
      <c r="P497" s="93">
        <v>1700</v>
      </c>
      <c r="Q497" s="93">
        <v>160</v>
      </c>
      <c r="R497" s="69"/>
    </row>
    <row r="498" spans="2:18">
      <c r="B498" s="68"/>
      <c r="C498" s="93">
        <v>8</v>
      </c>
      <c r="D498" s="93" t="s">
        <v>1786</v>
      </c>
      <c r="E498" s="93">
        <v>62</v>
      </c>
      <c r="F498" s="93">
        <v>315225</v>
      </c>
      <c r="G498" s="93">
        <v>15798</v>
      </c>
      <c r="H498" s="94"/>
      <c r="I498" s="93" t="s">
        <v>740</v>
      </c>
      <c r="J498" s="93">
        <v>1</v>
      </c>
      <c r="K498" s="93">
        <v>2000</v>
      </c>
      <c r="L498" s="93">
        <v>0</v>
      </c>
      <c r="M498" s="17"/>
      <c r="N498" s="93" t="s">
        <v>740</v>
      </c>
      <c r="O498" s="93">
        <v>1</v>
      </c>
      <c r="P498" s="93">
        <v>2000</v>
      </c>
      <c r="Q498" s="93">
        <v>0</v>
      </c>
      <c r="R498" s="69"/>
    </row>
    <row r="499" spans="2:18">
      <c r="B499" s="68"/>
      <c r="C499" s="93">
        <v>8</v>
      </c>
      <c r="D499" s="93" t="s">
        <v>1786</v>
      </c>
      <c r="E499" s="93">
        <v>61</v>
      </c>
      <c r="F499" s="93">
        <v>313525</v>
      </c>
      <c r="G499" s="93">
        <v>15638</v>
      </c>
      <c r="H499" s="94"/>
      <c r="I499" s="93" t="s">
        <v>741</v>
      </c>
      <c r="J499" s="93">
        <v>1</v>
      </c>
      <c r="K499" s="93">
        <v>1700</v>
      </c>
      <c r="L499" s="93">
        <v>160</v>
      </c>
      <c r="M499" s="17"/>
      <c r="N499" s="93" t="s">
        <v>741</v>
      </c>
      <c r="O499" s="93">
        <v>1</v>
      </c>
      <c r="P499" s="93">
        <v>1700</v>
      </c>
      <c r="Q499" s="93">
        <v>160</v>
      </c>
      <c r="R499" s="69"/>
    </row>
    <row r="500" spans="2:18">
      <c r="B500" s="68"/>
      <c r="C500" s="93">
        <v>8</v>
      </c>
      <c r="D500" s="93" t="s">
        <v>1786</v>
      </c>
      <c r="E500" s="93">
        <v>60</v>
      </c>
      <c r="F500" s="93">
        <v>311525</v>
      </c>
      <c r="G500" s="93">
        <v>15638</v>
      </c>
      <c r="H500" s="94"/>
      <c r="I500" s="93" t="s">
        <v>743</v>
      </c>
      <c r="J500" s="93">
        <v>1</v>
      </c>
      <c r="K500" s="93">
        <v>2000</v>
      </c>
      <c r="L500" s="93">
        <v>0</v>
      </c>
      <c r="M500" s="17"/>
      <c r="N500" s="93" t="s">
        <v>743</v>
      </c>
      <c r="O500" s="93">
        <v>1</v>
      </c>
      <c r="P500" s="93">
        <v>2000</v>
      </c>
      <c r="Q500" s="93">
        <v>0</v>
      </c>
      <c r="R500" s="69"/>
    </row>
    <row r="501" spans="2:18">
      <c r="B501" s="68"/>
      <c r="C501" s="93">
        <v>8</v>
      </c>
      <c r="D501" s="93" t="s">
        <v>1786</v>
      </c>
      <c r="E501" s="93">
        <v>59</v>
      </c>
      <c r="F501" s="93">
        <v>309825</v>
      </c>
      <c r="G501" s="93">
        <v>15478</v>
      </c>
      <c r="H501" s="94"/>
      <c r="I501" s="93" t="s">
        <v>744</v>
      </c>
      <c r="J501" s="93">
        <v>1</v>
      </c>
      <c r="K501" s="93">
        <v>1700</v>
      </c>
      <c r="L501" s="93">
        <v>160</v>
      </c>
      <c r="M501" s="17"/>
      <c r="N501" s="93" t="s">
        <v>744</v>
      </c>
      <c r="O501" s="93">
        <v>1</v>
      </c>
      <c r="P501" s="93">
        <v>1700</v>
      </c>
      <c r="Q501" s="93">
        <v>160</v>
      </c>
      <c r="R501" s="69"/>
    </row>
    <row r="502" spans="2:18">
      <c r="B502" s="68"/>
      <c r="C502" s="93">
        <v>8</v>
      </c>
      <c r="D502" s="93" t="s">
        <v>1786</v>
      </c>
      <c r="E502" s="93">
        <v>58</v>
      </c>
      <c r="F502" s="93">
        <v>308125</v>
      </c>
      <c r="G502" s="93">
        <v>15318</v>
      </c>
      <c r="H502" s="94"/>
      <c r="I502" s="93" t="s">
        <v>745</v>
      </c>
      <c r="J502" s="93">
        <v>1</v>
      </c>
      <c r="K502" s="93">
        <v>1700</v>
      </c>
      <c r="L502" s="93">
        <v>160</v>
      </c>
      <c r="M502" s="17"/>
      <c r="N502" s="93" t="s">
        <v>745</v>
      </c>
      <c r="O502" s="93">
        <v>1</v>
      </c>
      <c r="P502" s="93">
        <v>1700</v>
      </c>
      <c r="Q502" s="93">
        <v>160</v>
      </c>
      <c r="R502" s="69"/>
    </row>
    <row r="503" spans="2:18">
      <c r="B503" s="68"/>
      <c r="C503" s="93">
        <v>8</v>
      </c>
      <c r="D503" s="93" t="s">
        <v>1786</v>
      </c>
      <c r="E503" s="93">
        <v>57</v>
      </c>
      <c r="F503" s="93">
        <v>306425</v>
      </c>
      <c r="G503" s="93">
        <v>15158</v>
      </c>
      <c r="H503" s="94"/>
      <c r="I503" s="93" t="s">
        <v>746</v>
      </c>
      <c r="J503" s="93">
        <v>1</v>
      </c>
      <c r="K503" s="93">
        <v>1700</v>
      </c>
      <c r="L503" s="93">
        <v>160</v>
      </c>
      <c r="M503" s="17"/>
      <c r="N503" s="93" t="s">
        <v>746</v>
      </c>
      <c r="O503" s="93">
        <v>1</v>
      </c>
      <c r="P503" s="93">
        <v>1700</v>
      </c>
      <c r="Q503" s="93">
        <v>160</v>
      </c>
      <c r="R503" s="69"/>
    </row>
    <row r="504" spans="2:18">
      <c r="B504" s="68"/>
      <c r="C504" s="93">
        <v>8</v>
      </c>
      <c r="D504" s="93" t="s">
        <v>1786</v>
      </c>
      <c r="E504" s="93">
        <v>56</v>
      </c>
      <c r="F504" s="93">
        <v>304725</v>
      </c>
      <c r="G504" s="93">
        <v>14998</v>
      </c>
      <c r="H504" s="94"/>
      <c r="I504" s="93" t="s">
        <v>748</v>
      </c>
      <c r="J504" s="93">
        <v>1</v>
      </c>
      <c r="K504" s="93">
        <v>1700</v>
      </c>
      <c r="L504" s="93">
        <v>160</v>
      </c>
      <c r="M504" s="17"/>
      <c r="N504" s="93" t="s">
        <v>748</v>
      </c>
      <c r="O504" s="93">
        <v>1</v>
      </c>
      <c r="P504" s="93">
        <v>1700</v>
      </c>
      <c r="Q504" s="93">
        <v>160</v>
      </c>
      <c r="R504" s="69"/>
    </row>
    <row r="505" spans="2:18">
      <c r="B505" s="68"/>
      <c r="C505" s="93">
        <v>8</v>
      </c>
      <c r="D505" s="93" t="s">
        <v>1786</v>
      </c>
      <c r="E505" s="93">
        <v>55</v>
      </c>
      <c r="F505" s="93">
        <v>303025</v>
      </c>
      <c r="G505" s="93">
        <v>14838</v>
      </c>
      <c r="H505" s="94"/>
      <c r="I505" s="93" t="s">
        <v>750</v>
      </c>
      <c r="J505" s="93">
        <v>1</v>
      </c>
      <c r="K505" s="93">
        <v>1700</v>
      </c>
      <c r="L505" s="93">
        <v>160</v>
      </c>
      <c r="M505" s="17"/>
      <c r="N505" s="93" t="s">
        <v>750</v>
      </c>
      <c r="O505" s="93">
        <v>1</v>
      </c>
      <c r="P505" s="93">
        <v>1700</v>
      </c>
      <c r="Q505" s="93">
        <v>160</v>
      </c>
      <c r="R505" s="69"/>
    </row>
    <row r="506" spans="2:18">
      <c r="B506" s="68"/>
      <c r="C506" s="93">
        <v>8</v>
      </c>
      <c r="D506" s="93" t="s">
        <v>1786</v>
      </c>
      <c r="E506" s="93">
        <v>54</v>
      </c>
      <c r="F506" s="93">
        <v>299275</v>
      </c>
      <c r="G506" s="93">
        <v>14834</v>
      </c>
      <c r="H506" s="94"/>
      <c r="I506" s="93" t="s">
        <v>751</v>
      </c>
      <c r="J506" s="93">
        <v>1</v>
      </c>
      <c r="K506" s="93">
        <v>3750</v>
      </c>
      <c r="L506" s="93">
        <v>4</v>
      </c>
      <c r="M506" s="17"/>
      <c r="N506" s="93" t="s">
        <v>751</v>
      </c>
      <c r="O506" s="93">
        <v>1</v>
      </c>
      <c r="P506" s="93">
        <v>3750</v>
      </c>
      <c r="Q506" s="93">
        <v>4</v>
      </c>
      <c r="R506" s="69"/>
    </row>
    <row r="507" spans="2:18">
      <c r="B507" s="68"/>
      <c r="C507" s="93">
        <v>8</v>
      </c>
      <c r="D507" s="93" t="s">
        <v>1786</v>
      </c>
      <c r="E507" s="93">
        <v>53</v>
      </c>
      <c r="F507" s="93">
        <v>295525</v>
      </c>
      <c r="G507" s="93">
        <v>14830</v>
      </c>
      <c r="H507" s="94"/>
      <c r="I507" s="93" t="s">
        <v>753</v>
      </c>
      <c r="J507" s="93">
        <v>1</v>
      </c>
      <c r="K507" s="93">
        <v>3750</v>
      </c>
      <c r="L507" s="93">
        <v>4</v>
      </c>
      <c r="M507" s="17"/>
      <c r="N507" s="93" t="s">
        <v>753</v>
      </c>
      <c r="O507" s="93">
        <v>1</v>
      </c>
      <c r="P507" s="93">
        <v>3750</v>
      </c>
      <c r="Q507" s="93">
        <v>4</v>
      </c>
      <c r="R507" s="69"/>
    </row>
    <row r="508" spans="2:18">
      <c r="B508" s="68"/>
      <c r="C508" s="93">
        <v>8</v>
      </c>
      <c r="D508" s="93" t="s">
        <v>1786</v>
      </c>
      <c r="E508" s="93">
        <v>52</v>
      </c>
      <c r="F508" s="93">
        <v>293525</v>
      </c>
      <c r="G508" s="93">
        <v>14830</v>
      </c>
      <c r="H508" s="94"/>
      <c r="I508" s="93" t="s">
        <v>755</v>
      </c>
      <c r="J508" s="93">
        <v>1</v>
      </c>
      <c r="K508" s="93">
        <v>2000</v>
      </c>
      <c r="L508" s="93">
        <v>0</v>
      </c>
      <c r="M508" s="17"/>
      <c r="N508" s="93" t="s">
        <v>755</v>
      </c>
      <c r="O508" s="93">
        <v>1</v>
      </c>
      <c r="P508" s="93">
        <v>2000</v>
      </c>
      <c r="Q508" s="93">
        <v>0</v>
      </c>
      <c r="R508" s="69"/>
    </row>
    <row r="509" spans="2:18">
      <c r="B509" s="68"/>
      <c r="C509" s="93">
        <v>8</v>
      </c>
      <c r="D509" s="93" t="s">
        <v>1786</v>
      </c>
      <c r="E509" s="93">
        <v>51</v>
      </c>
      <c r="F509" s="93">
        <v>291525</v>
      </c>
      <c r="G509" s="93">
        <v>14830</v>
      </c>
      <c r="H509" s="94"/>
      <c r="I509" s="93" t="s">
        <v>757</v>
      </c>
      <c r="J509" s="93">
        <v>1</v>
      </c>
      <c r="K509" s="93">
        <v>2000</v>
      </c>
      <c r="L509" s="93">
        <v>0</v>
      </c>
      <c r="M509" s="17"/>
      <c r="N509" s="93" t="s">
        <v>757</v>
      </c>
      <c r="O509" s="93">
        <v>1</v>
      </c>
      <c r="P509" s="93">
        <v>2000</v>
      </c>
      <c r="Q509" s="93">
        <v>0</v>
      </c>
      <c r="R509" s="69"/>
    </row>
    <row r="510" spans="2:18">
      <c r="B510" s="68"/>
      <c r="C510" s="93">
        <v>8</v>
      </c>
      <c r="D510" s="93" t="s">
        <v>1786</v>
      </c>
      <c r="E510" s="93">
        <v>50</v>
      </c>
      <c r="F510" s="93">
        <v>289525</v>
      </c>
      <c r="G510" s="93">
        <v>14830</v>
      </c>
      <c r="H510" s="94"/>
      <c r="I510" s="93" t="s">
        <v>758</v>
      </c>
      <c r="J510" s="93">
        <v>1</v>
      </c>
      <c r="K510" s="93">
        <v>2000</v>
      </c>
      <c r="L510" s="93">
        <v>0</v>
      </c>
      <c r="M510" s="17"/>
      <c r="N510" s="93" t="s">
        <v>758</v>
      </c>
      <c r="O510" s="93">
        <v>1</v>
      </c>
      <c r="P510" s="93">
        <v>2000</v>
      </c>
      <c r="Q510" s="93">
        <v>0</v>
      </c>
      <c r="R510" s="69"/>
    </row>
    <row r="511" spans="2:18">
      <c r="B511" s="68"/>
      <c r="C511" s="93">
        <v>8</v>
      </c>
      <c r="D511" s="93" t="s">
        <v>1786</v>
      </c>
      <c r="E511" s="93">
        <v>49</v>
      </c>
      <c r="F511" s="93">
        <v>287525</v>
      </c>
      <c r="G511" s="93">
        <v>14830</v>
      </c>
      <c r="H511" s="94"/>
      <c r="I511" s="93" t="s">
        <v>759</v>
      </c>
      <c r="J511" s="93">
        <v>1</v>
      </c>
      <c r="K511" s="93">
        <v>2000</v>
      </c>
      <c r="L511" s="93">
        <v>0</v>
      </c>
      <c r="M511" s="17"/>
      <c r="N511" s="93" t="s">
        <v>759</v>
      </c>
      <c r="O511" s="93">
        <v>1</v>
      </c>
      <c r="P511" s="93">
        <v>2000</v>
      </c>
      <c r="Q511" s="93">
        <v>0</v>
      </c>
      <c r="R511" s="69"/>
    </row>
    <row r="512" spans="2:18">
      <c r="B512" s="68"/>
      <c r="C512" s="93">
        <v>8</v>
      </c>
      <c r="D512" s="93" t="s">
        <v>1786</v>
      </c>
      <c r="E512" s="93">
        <v>48</v>
      </c>
      <c r="F512" s="93">
        <v>285825</v>
      </c>
      <c r="G512" s="93">
        <v>14670</v>
      </c>
      <c r="H512" s="94"/>
      <c r="I512" s="93" t="s">
        <v>760</v>
      </c>
      <c r="J512" s="93">
        <v>1</v>
      </c>
      <c r="K512" s="93">
        <v>1700</v>
      </c>
      <c r="L512" s="93">
        <v>160</v>
      </c>
      <c r="M512" s="17"/>
      <c r="N512" s="93" t="s">
        <v>760</v>
      </c>
      <c r="O512" s="93">
        <v>1</v>
      </c>
      <c r="P512" s="93">
        <v>1700</v>
      </c>
      <c r="Q512" s="93">
        <v>160</v>
      </c>
      <c r="R512" s="69"/>
    </row>
    <row r="513" spans="2:18">
      <c r="B513" s="68"/>
      <c r="C513" s="93">
        <v>8</v>
      </c>
      <c r="D513" s="93" t="s">
        <v>1786</v>
      </c>
      <c r="E513" s="93">
        <v>46</v>
      </c>
      <c r="F513" s="93">
        <v>281825</v>
      </c>
      <c r="G513" s="93">
        <v>14670</v>
      </c>
      <c r="H513" s="94"/>
      <c r="I513" s="93" t="s">
        <v>761</v>
      </c>
      <c r="J513" s="93">
        <v>2</v>
      </c>
      <c r="K513" s="93">
        <v>4000</v>
      </c>
      <c r="L513" s="93">
        <v>0</v>
      </c>
      <c r="M513" s="17"/>
      <c r="N513" s="93" t="s">
        <v>761</v>
      </c>
      <c r="O513" s="93">
        <v>2</v>
      </c>
      <c r="P513" s="93">
        <v>4000</v>
      </c>
      <c r="Q513" s="93">
        <v>0</v>
      </c>
      <c r="R513" s="69"/>
    </row>
    <row r="514" spans="2:18">
      <c r="B514" s="68"/>
      <c r="C514" s="93">
        <v>8</v>
      </c>
      <c r="D514" s="93" t="s">
        <v>1786</v>
      </c>
      <c r="E514" s="93">
        <v>44</v>
      </c>
      <c r="F514" s="93">
        <v>277825</v>
      </c>
      <c r="G514" s="93">
        <v>14670</v>
      </c>
      <c r="H514" s="94"/>
      <c r="I514" s="93" t="s">
        <v>762</v>
      </c>
      <c r="J514" s="93">
        <v>2</v>
      </c>
      <c r="K514" s="93">
        <v>4000</v>
      </c>
      <c r="L514" s="93">
        <v>0</v>
      </c>
      <c r="M514" s="17"/>
      <c r="N514" s="93" t="s">
        <v>762</v>
      </c>
      <c r="O514" s="93">
        <v>2</v>
      </c>
      <c r="P514" s="93">
        <v>4000</v>
      </c>
      <c r="Q514" s="93">
        <v>0</v>
      </c>
      <c r="R514" s="69"/>
    </row>
    <row r="515" spans="2:18">
      <c r="B515" s="68"/>
      <c r="C515" s="93">
        <v>8</v>
      </c>
      <c r="D515" s="93" t="s">
        <v>1786</v>
      </c>
      <c r="E515" s="93">
        <v>42</v>
      </c>
      <c r="F515" s="93">
        <v>273825</v>
      </c>
      <c r="G515" s="93">
        <v>14670</v>
      </c>
      <c r="H515" s="94"/>
      <c r="I515" s="93" t="s">
        <v>763</v>
      </c>
      <c r="J515" s="93">
        <v>2</v>
      </c>
      <c r="K515" s="93">
        <v>4000</v>
      </c>
      <c r="L515" s="93">
        <v>0</v>
      </c>
      <c r="M515" s="17"/>
      <c r="N515" s="93" t="s">
        <v>763</v>
      </c>
      <c r="O515" s="93">
        <v>2</v>
      </c>
      <c r="P515" s="93">
        <v>4000</v>
      </c>
      <c r="Q515" s="93">
        <v>0</v>
      </c>
      <c r="R515" s="69"/>
    </row>
    <row r="516" spans="2:18">
      <c r="B516" s="68"/>
      <c r="C516" s="93">
        <v>8</v>
      </c>
      <c r="D516" s="93" t="s">
        <v>1786</v>
      </c>
      <c r="E516" s="93">
        <v>41</v>
      </c>
      <c r="F516" s="93">
        <v>273210</v>
      </c>
      <c r="G516" s="93">
        <v>14510</v>
      </c>
      <c r="H516" s="94"/>
      <c r="I516" s="93" t="s">
        <v>764</v>
      </c>
      <c r="J516" s="93">
        <v>1</v>
      </c>
      <c r="K516" s="93">
        <v>615</v>
      </c>
      <c r="L516" s="93">
        <v>160</v>
      </c>
      <c r="M516" s="17"/>
      <c r="N516" s="93" t="s">
        <v>764</v>
      </c>
      <c r="O516" s="93">
        <v>1</v>
      </c>
      <c r="P516" s="93">
        <v>615</v>
      </c>
      <c r="Q516" s="93">
        <v>160</v>
      </c>
      <c r="R516" s="69"/>
    </row>
    <row r="517" spans="2:18">
      <c r="B517" s="68"/>
      <c r="C517" s="93">
        <v>8</v>
      </c>
      <c r="D517" s="93" t="s">
        <v>1786</v>
      </c>
      <c r="E517" s="93">
        <v>40</v>
      </c>
      <c r="F517" s="93">
        <v>271210</v>
      </c>
      <c r="G517" s="93">
        <v>14510</v>
      </c>
      <c r="H517" s="94"/>
      <c r="I517" s="93" t="s">
        <v>765</v>
      </c>
      <c r="J517" s="93">
        <v>1</v>
      </c>
      <c r="K517" s="93">
        <v>2000</v>
      </c>
      <c r="L517" s="93">
        <v>0</v>
      </c>
      <c r="M517" s="17"/>
      <c r="N517" s="93" t="s">
        <v>765</v>
      </c>
      <c r="O517" s="93">
        <v>1</v>
      </c>
      <c r="P517" s="93">
        <v>2000</v>
      </c>
      <c r="Q517" s="93">
        <v>0</v>
      </c>
      <c r="R517" s="69"/>
    </row>
    <row r="518" spans="2:18">
      <c r="B518" s="68"/>
      <c r="C518" s="93">
        <v>8</v>
      </c>
      <c r="D518" s="93" t="s">
        <v>1786</v>
      </c>
      <c r="E518" s="93">
        <v>32</v>
      </c>
      <c r="F518" s="93">
        <v>256210</v>
      </c>
      <c r="G518" s="93">
        <v>14350</v>
      </c>
      <c r="H518" s="94"/>
      <c r="I518" s="93" t="s">
        <v>767</v>
      </c>
      <c r="J518" s="93">
        <v>8</v>
      </c>
      <c r="K518" s="93">
        <v>15000</v>
      </c>
      <c r="L518" s="93">
        <v>160</v>
      </c>
      <c r="M518" s="17"/>
      <c r="N518" s="93" t="s">
        <v>767</v>
      </c>
      <c r="O518" s="93">
        <v>8</v>
      </c>
      <c r="P518" s="93">
        <v>15000</v>
      </c>
      <c r="Q518" s="93">
        <v>160</v>
      </c>
      <c r="R518" s="69"/>
    </row>
    <row r="519" spans="2:18">
      <c r="B519" s="68"/>
      <c r="C519" s="93">
        <v>8</v>
      </c>
      <c r="D519" s="93" t="s">
        <v>1786</v>
      </c>
      <c r="E519" s="93">
        <v>31</v>
      </c>
      <c r="F519" s="93">
        <v>255595</v>
      </c>
      <c r="G519" s="93">
        <v>14190</v>
      </c>
      <c r="H519" s="94"/>
      <c r="I519" s="93" t="s">
        <v>768</v>
      </c>
      <c r="J519" s="93">
        <v>1</v>
      </c>
      <c r="K519" s="93">
        <v>615</v>
      </c>
      <c r="L519" s="93">
        <v>160</v>
      </c>
      <c r="M519" s="17"/>
      <c r="N519" s="93" t="s">
        <v>768</v>
      </c>
      <c r="O519" s="93">
        <v>1</v>
      </c>
      <c r="P519" s="93">
        <v>615</v>
      </c>
      <c r="Q519" s="93">
        <v>160</v>
      </c>
      <c r="R519" s="69"/>
    </row>
    <row r="520" spans="2:18">
      <c r="B520" s="68"/>
      <c r="C520" s="93">
        <v>8</v>
      </c>
      <c r="D520" s="93" t="s">
        <v>1786</v>
      </c>
      <c r="E520" s="93">
        <v>29</v>
      </c>
      <c r="F520" s="93">
        <v>251845</v>
      </c>
      <c r="G520" s="93">
        <v>14158</v>
      </c>
      <c r="H520" s="94"/>
      <c r="I520" s="93" t="s">
        <v>769</v>
      </c>
      <c r="J520" s="93">
        <v>2</v>
      </c>
      <c r="K520" s="93">
        <v>3750</v>
      </c>
      <c r="L520" s="93">
        <v>32</v>
      </c>
      <c r="M520" s="17"/>
      <c r="N520" s="93" t="s">
        <v>769</v>
      </c>
      <c r="O520" s="93">
        <v>2</v>
      </c>
      <c r="P520" s="93">
        <v>3750</v>
      </c>
      <c r="Q520" s="93">
        <v>32</v>
      </c>
      <c r="R520" s="69"/>
    </row>
    <row r="521" spans="2:18">
      <c r="B521" s="68"/>
      <c r="C521" s="93">
        <v>8</v>
      </c>
      <c r="D521" s="93" t="s">
        <v>1786</v>
      </c>
      <c r="E521" s="93">
        <v>27</v>
      </c>
      <c r="F521" s="93">
        <v>247845</v>
      </c>
      <c r="G521" s="93">
        <v>14158</v>
      </c>
      <c r="H521" s="94"/>
      <c r="I521" s="93" t="s">
        <v>771</v>
      </c>
      <c r="J521" s="93">
        <v>2</v>
      </c>
      <c r="K521" s="93">
        <v>4000</v>
      </c>
      <c r="L521" s="93">
        <v>0</v>
      </c>
      <c r="M521" s="17"/>
      <c r="N521" s="93" t="s">
        <v>771</v>
      </c>
      <c r="O521" s="93">
        <v>2</v>
      </c>
      <c r="P521" s="93">
        <v>4000</v>
      </c>
      <c r="Q521" s="93">
        <v>0</v>
      </c>
      <c r="R521" s="69"/>
    </row>
    <row r="522" spans="2:18">
      <c r="B522" s="68"/>
      <c r="C522" s="93">
        <v>8</v>
      </c>
      <c r="D522" s="93" t="s">
        <v>1786</v>
      </c>
      <c r="E522" s="93">
        <v>26</v>
      </c>
      <c r="F522" s="93">
        <v>245845</v>
      </c>
      <c r="G522" s="93">
        <v>14158</v>
      </c>
      <c r="H522" s="94"/>
      <c r="I522" s="93" t="s">
        <v>772</v>
      </c>
      <c r="J522" s="93">
        <v>1</v>
      </c>
      <c r="K522" s="93">
        <v>2000</v>
      </c>
      <c r="L522" s="93">
        <v>0</v>
      </c>
      <c r="M522" s="17"/>
      <c r="N522" s="93" t="s">
        <v>772</v>
      </c>
      <c r="O522" s="93">
        <v>1</v>
      </c>
      <c r="P522" s="93">
        <v>2000</v>
      </c>
      <c r="Q522" s="93">
        <v>0</v>
      </c>
      <c r="R522" s="69"/>
    </row>
    <row r="523" spans="2:18">
      <c r="B523" s="68"/>
      <c r="C523" s="93">
        <v>8</v>
      </c>
      <c r="D523" s="93" t="s">
        <v>1786</v>
      </c>
      <c r="E523" s="93">
        <v>25</v>
      </c>
      <c r="F523" s="93">
        <v>243845</v>
      </c>
      <c r="G523" s="93">
        <v>14158</v>
      </c>
      <c r="H523" s="94"/>
      <c r="I523" s="93" t="s">
        <v>774</v>
      </c>
      <c r="J523" s="93">
        <v>1</v>
      </c>
      <c r="K523" s="93">
        <v>2000</v>
      </c>
      <c r="L523" s="93">
        <v>0</v>
      </c>
      <c r="M523" s="17"/>
      <c r="N523" s="93" t="s">
        <v>774</v>
      </c>
      <c r="O523" s="93">
        <v>1</v>
      </c>
      <c r="P523" s="93">
        <v>2000</v>
      </c>
      <c r="Q523" s="93">
        <v>0</v>
      </c>
      <c r="R523" s="69"/>
    </row>
    <row r="524" spans="2:18">
      <c r="B524" s="68"/>
      <c r="C524" s="93">
        <v>8</v>
      </c>
      <c r="D524" s="93" t="s">
        <v>1786</v>
      </c>
      <c r="E524" s="93">
        <v>24</v>
      </c>
      <c r="F524" s="93">
        <v>240095</v>
      </c>
      <c r="G524" s="93">
        <v>14154</v>
      </c>
      <c r="H524" s="94"/>
      <c r="I524" s="93" t="s">
        <v>775</v>
      </c>
      <c r="J524" s="93">
        <v>1</v>
      </c>
      <c r="K524" s="93">
        <v>3750</v>
      </c>
      <c r="L524" s="93">
        <v>4</v>
      </c>
      <c r="M524" s="17"/>
      <c r="N524" s="93" t="s">
        <v>775</v>
      </c>
      <c r="O524" s="93">
        <v>1</v>
      </c>
      <c r="P524" s="93">
        <v>3750</v>
      </c>
      <c r="Q524" s="93">
        <v>4</v>
      </c>
      <c r="R524" s="69"/>
    </row>
    <row r="525" spans="2:18">
      <c r="B525" s="68"/>
      <c r="C525" s="93">
        <v>8</v>
      </c>
      <c r="D525" s="93" t="s">
        <v>1786</v>
      </c>
      <c r="E525" s="93">
        <v>23</v>
      </c>
      <c r="F525" s="93">
        <v>238095</v>
      </c>
      <c r="G525" s="93">
        <v>14154</v>
      </c>
      <c r="H525" s="94"/>
      <c r="I525" s="93" t="s">
        <v>776</v>
      </c>
      <c r="J525" s="93">
        <v>1</v>
      </c>
      <c r="K525" s="93">
        <v>2000</v>
      </c>
      <c r="L525" s="93">
        <v>0</v>
      </c>
      <c r="M525" s="17"/>
      <c r="N525" s="93" t="s">
        <v>776</v>
      </c>
      <c r="O525" s="93">
        <v>1</v>
      </c>
      <c r="P525" s="93">
        <v>2000</v>
      </c>
      <c r="Q525" s="93">
        <v>0</v>
      </c>
      <c r="R525" s="69"/>
    </row>
    <row r="526" spans="2:18">
      <c r="B526" s="68"/>
      <c r="C526" s="93">
        <v>8</v>
      </c>
      <c r="D526" s="93" t="s">
        <v>1786</v>
      </c>
      <c r="E526" s="93">
        <v>22</v>
      </c>
      <c r="F526" s="93">
        <v>236095</v>
      </c>
      <c r="G526" s="93">
        <v>14154</v>
      </c>
      <c r="H526" s="94"/>
      <c r="I526" s="93" t="s">
        <v>777</v>
      </c>
      <c r="J526" s="93">
        <v>1</v>
      </c>
      <c r="K526" s="93">
        <v>2000</v>
      </c>
      <c r="L526" s="93">
        <v>0</v>
      </c>
      <c r="M526" s="17"/>
      <c r="N526" s="93" t="s">
        <v>777</v>
      </c>
      <c r="O526" s="93">
        <v>1</v>
      </c>
      <c r="P526" s="93">
        <v>2000</v>
      </c>
      <c r="Q526" s="93">
        <v>0</v>
      </c>
      <c r="R526" s="69"/>
    </row>
    <row r="527" spans="2:18">
      <c r="B527" s="68"/>
      <c r="C527" s="93">
        <v>8</v>
      </c>
      <c r="D527" s="93" t="s">
        <v>1786</v>
      </c>
      <c r="E527" s="93">
        <v>20</v>
      </c>
      <c r="F527" s="93">
        <v>232095</v>
      </c>
      <c r="G527" s="93">
        <v>14154</v>
      </c>
      <c r="H527" s="94"/>
      <c r="I527" s="93" t="s">
        <v>779</v>
      </c>
      <c r="J527" s="93">
        <v>2</v>
      </c>
      <c r="K527" s="93">
        <v>4000</v>
      </c>
      <c r="L527" s="93">
        <v>0</v>
      </c>
      <c r="M527" s="17"/>
      <c r="N527" s="93" t="s">
        <v>779</v>
      </c>
      <c r="O527" s="93">
        <v>2</v>
      </c>
      <c r="P527" s="93">
        <v>4000</v>
      </c>
      <c r="Q527" s="93">
        <v>0</v>
      </c>
      <c r="R527" s="69"/>
    </row>
    <row r="528" spans="2:18">
      <c r="B528" s="68"/>
      <c r="C528" s="93">
        <v>8</v>
      </c>
      <c r="D528" s="93" t="s">
        <v>1786</v>
      </c>
      <c r="E528" s="93">
        <v>19</v>
      </c>
      <c r="F528" s="93">
        <v>230095</v>
      </c>
      <c r="G528" s="93">
        <v>14154</v>
      </c>
      <c r="H528" s="94"/>
      <c r="I528" s="93" t="s">
        <v>780</v>
      </c>
      <c r="J528" s="93">
        <v>1</v>
      </c>
      <c r="K528" s="93">
        <v>2000</v>
      </c>
      <c r="L528" s="93">
        <v>0</v>
      </c>
      <c r="M528" s="17"/>
      <c r="N528" s="93" t="s">
        <v>780</v>
      </c>
      <c r="O528" s="93">
        <v>1</v>
      </c>
      <c r="P528" s="93">
        <v>2000</v>
      </c>
      <c r="Q528" s="93">
        <v>0</v>
      </c>
      <c r="R528" s="69"/>
    </row>
    <row r="529" spans="2:18">
      <c r="B529" s="68"/>
      <c r="C529" s="93">
        <v>8</v>
      </c>
      <c r="D529" s="93" t="s">
        <v>1786</v>
      </c>
      <c r="E529" s="93">
        <v>18</v>
      </c>
      <c r="F529" s="93">
        <v>228095</v>
      </c>
      <c r="G529" s="93">
        <v>14154</v>
      </c>
      <c r="H529" s="94"/>
      <c r="I529" s="93" t="s">
        <v>783</v>
      </c>
      <c r="J529" s="93">
        <v>1</v>
      </c>
      <c r="K529" s="93">
        <v>2000</v>
      </c>
      <c r="L529" s="93">
        <v>0</v>
      </c>
      <c r="M529" s="17"/>
      <c r="N529" s="93" t="s">
        <v>783</v>
      </c>
      <c r="O529" s="93">
        <v>1</v>
      </c>
      <c r="P529" s="93">
        <v>2000</v>
      </c>
      <c r="Q529" s="93">
        <v>0</v>
      </c>
      <c r="R529" s="69"/>
    </row>
    <row r="530" spans="2:18">
      <c r="B530" s="68"/>
      <c r="C530" s="93">
        <v>8</v>
      </c>
      <c r="D530" s="93" t="s">
        <v>1786</v>
      </c>
      <c r="E530" s="93">
        <v>16</v>
      </c>
      <c r="F530" s="93">
        <v>224095</v>
      </c>
      <c r="G530" s="93">
        <v>14154</v>
      </c>
      <c r="H530" s="94"/>
      <c r="I530" s="93" t="s">
        <v>784</v>
      </c>
      <c r="J530" s="93">
        <v>2</v>
      </c>
      <c r="K530" s="93">
        <v>4000</v>
      </c>
      <c r="L530" s="93">
        <v>0</v>
      </c>
      <c r="M530" s="17"/>
      <c r="N530" s="93" t="s">
        <v>784</v>
      </c>
      <c r="O530" s="93">
        <v>2</v>
      </c>
      <c r="P530" s="93">
        <v>4000</v>
      </c>
      <c r="Q530" s="93">
        <v>0</v>
      </c>
      <c r="R530" s="69"/>
    </row>
    <row r="531" spans="2:18">
      <c r="B531" s="68"/>
      <c r="C531" s="93">
        <v>8</v>
      </c>
      <c r="D531" s="93" t="s">
        <v>1786</v>
      </c>
      <c r="E531" s="93">
        <v>15</v>
      </c>
      <c r="F531" s="93">
        <v>222095</v>
      </c>
      <c r="G531" s="93">
        <v>14154</v>
      </c>
      <c r="H531" s="94"/>
      <c r="I531" s="93" t="s">
        <v>786</v>
      </c>
      <c r="J531" s="93">
        <v>1</v>
      </c>
      <c r="K531" s="93">
        <v>2000</v>
      </c>
      <c r="L531" s="93">
        <v>0</v>
      </c>
      <c r="M531" s="17"/>
      <c r="N531" s="93" t="s">
        <v>786</v>
      </c>
      <c r="O531" s="93">
        <v>1</v>
      </c>
      <c r="P531" s="93">
        <v>2000</v>
      </c>
      <c r="Q531" s="93">
        <v>0</v>
      </c>
      <c r="R531" s="69"/>
    </row>
    <row r="532" spans="2:18">
      <c r="B532" s="68"/>
      <c r="C532" s="93">
        <v>8</v>
      </c>
      <c r="D532" s="93" t="s">
        <v>1786</v>
      </c>
      <c r="E532" s="93">
        <v>14</v>
      </c>
      <c r="F532" s="93">
        <v>220095</v>
      </c>
      <c r="G532" s="93">
        <v>14154</v>
      </c>
      <c r="H532" s="94"/>
      <c r="I532" s="93" t="s">
        <v>787</v>
      </c>
      <c r="J532" s="93">
        <v>1</v>
      </c>
      <c r="K532" s="93">
        <v>2000</v>
      </c>
      <c r="L532" s="93">
        <v>0</v>
      </c>
      <c r="M532" s="17"/>
      <c r="N532" s="93" t="s">
        <v>787</v>
      </c>
      <c r="O532" s="93">
        <v>1</v>
      </c>
      <c r="P532" s="93">
        <v>2000</v>
      </c>
      <c r="Q532" s="93">
        <v>0</v>
      </c>
      <c r="R532" s="69"/>
    </row>
    <row r="533" spans="2:18">
      <c r="B533" s="68"/>
      <c r="C533" s="93">
        <v>8</v>
      </c>
      <c r="D533" s="93" t="s">
        <v>1786</v>
      </c>
      <c r="E533" s="93">
        <v>13</v>
      </c>
      <c r="F533" s="93">
        <v>218095</v>
      </c>
      <c r="G533" s="93">
        <v>14154</v>
      </c>
      <c r="H533" s="94"/>
      <c r="I533" s="93" t="s">
        <v>788</v>
      </c>
      <c r="J533" s="93">
        <v>1</v>
      </c>
      <c r="K533" s="93">
        <v>2000</v>
      </c>
      <c r="L533" s="93">
        <v>0</v>
      </c>
      <c r="M533" s="17"/>
      <c r="N533" s="93" t="s">
        <v>788</v>
      </c>
      <c r="O533" s="93">
        <v>1</v>
      </c>
      <c r="P533" s="93">
        <v>2000</v>
      </c>
      <c r="Q533" s="93">
        <v>0</v>
      </c>
      <c r="R533" s="69"/>
    </row>
    <row r="534" spans="2:18">
      <c r="B534" s="68"/>
      <c r="C534" s="93">
        <v>8</v>
      </c>
      <c r="D534" s="93" t="s">
        <v>1786</v>
      </c>
      <c r="E534" s="93">
        <v>12</v>
      </c>
      <c r="F534" s="93">
        <v>216095</v>
      </c>
      <c r="G534" s="93">
        <v>14154</v>
      </c>
      <c r="H534" s="94"/>
      <c r="I534" s="93" t="s">
        <v>790</v>
      </c>
      <c r="J534" s="93">
        <v>1</v>
      </c>
      <c r="K534" s="93">
        <v>2000</v>
      </c>
      <c r="L534" s="93">
        <v>0</v>
      </c>
      <c r="M534" s="17"/>
      <c r="N534" s="93" t="s">
        <v>790</v>
      </c>
      <c r="O534" s="93">
        <v>1</v>
      </c>
      <c r="P534" s="93">
        <v>2000</v>
      </c>
      <c r="Q534" s="93">
        <v>0</v>
      </c>
      <c r="R534" s="69"/>
    </row>
    <row r="535" spans="2:18">
      <c r="B535" s="68"/>
      <c r="C535" s="93">
        <v>8</v>
      </c>
      <c r="D535" s="93" t="s">
        <v>1786</v>
      </c>
      <c r="E535" s="93">
        <v>8</v>
      </c>
      <c r="F535" s="93">
        <v>201095</v>
      </c>
      <c r="G535" s="93">
        <v>12464</v>
      </c>
      <c r="H535" s="94"/>
      <c r="I535" s="93" t="s">
        <v>792</v>
      </c>
      <c r="J535" s="93">
        <v>4</v>
      </c>
      <c r="K535" s="93">
        <v>15000</v>
      </c>
      <c r="L535" s="93">
        <v>1690</v>
      </c>
      <c r="M535" s="17"/>
      <c r="N535" s="93" t="s">
        <v>792</v>
      </c>
      <c r="O535" s="93">
        <v>4</v>
      </c>
      <c r="P535" s="93">
        <v>15000</v>
      </c>
      <c r="Q535" s="93">
        <v>1690</v>
      </c>
      <c r="R535" s="69"/>
    </row>
    <row r="536" spans="2:18">
      <c r="B536" s="68"/>
      <c r="C536" s="93">
        <v>8</v>
      </c>
      <c r="D536" s="93" t="s">
        <v>1786</v>
      </c>
      <c r="E536" s="93">
        <v>7</v>
      </c>
      <c r="F536" s="93">
        <v>199395</v>
      </c>
      <c r="G536" s="93">
        <v>12304</v>
      </c>
      <c r="H536" s="94"/>
      <c r="I536" s="93" t="s">
        <v>794</v>
      </c>
      <c r="J536" s="93">
        <v>1</v>
      </c>
      <c r="K536" s="93">
        <v>1700</v>
      </c>
      <c r="L536" s="93">
        <v>160</v>
      </c>
      <c r="M536" s="17"/>
      <c r="N536" s="93" t="s">
        <v>794</v>
      </c>
      <c r="O536" s="93">
        <v>1</v>
      </c>
      <c r="P536" s="93">
        <v>1700</v>
      </c>
      <c r="Q536" s="93">
        <v>160</v>
      </c>
      <c r="R536" s="69"/>
    </row>
    <row r="537" spans="2:18">
      <c r="B537" s="68"/>
      <c r="C537" s="93">
        <v>8</v>
      </c>
      <c r="D537" s="93" t="s">
        <v>1786</v>
      </c>
      <c r="E537" s="93">
        <v>6</v>
      </c>
      <c r="F537" s="93">
        <v>195645</v>
      </c>
      <c r="G537" s="93">
        <v>12300</v>
      </c>
      <c r="H537" s="94"/>
      <c r="I537" s="93" t="s">
        <v>795</v>
      </c>
      <c r="J537" s="93">
        <v>1</v>
      </c>
      <c r="K537" s="93">
        <v>3750</v>
      </c>
      <c r="L537" s="93">
        <v>4</v>
      </c>
      <c r="M537" s="17"/>
      <c r="N537" s="93" t="s">
        <v>795</v>
      </c>
      <c r="O537" s="93">
        <v>1</v>
      </c>
      <c r="P537" s="93">
        <v>3750</v>
      </c>
      <c r="Q537" s="93">
        <v>4</v>
      </c>
      <c r="R537" s="69"/>
    </row>
    <row r="538" spans="2:18">
      <c r="B538" s="68"/>
      <c r="C538" s="93">
        <v>8</v>
      </c>
      <c r="D538" s="93" t="s">
        <v>1786</v>
      </c>
      <c r="E538" s="93">
        <v>5</v>
      </c>
      <c r="F538" s="93">
        <v>191895</v>
      </c>
      <c r="G538" s="93">
        <v>12296</v>
      </c>
      <c r="H538" s="94"/>
      <c r="I538" s="93" t="s">
        <v>796</v>
      </c>
      <c r="J538" s="93">
        <v>1</v>
      </c>
      <c r="K538" s="93">
        <v>3750</v>
      </c>
      <c r="L538" s="93">
        <v>4</v>
      </c>
      <c r="M538" s="17"/>
      <c r="N538" s="93" t="s">
        <v>796</v>
      </c>
      <c r="O538" s="93">
        <v>1</v>
      </c>
      <c r="P538" s="93">
        <v>3750</v>
      </c>
      <c r="Q538" s="93">
        <v>4</v>
      </c>
      <c r="R538" s="69"/>
    </row>
    <row r="539" spans="2:18">
      <c r="B539" s="68"/>
      <c r="C539" s="93">
        <v>8</v>
      </c>
      <c r="D539" s="93" t="s">
        <v>1786</v>
      </c>
      <c r="E539" s="93">
        <v>4</v>
      </c>
      <c r="F539" s="93">
        <v>188145</v>
      </c>
      <c r="G539" s="93">
        <v>12292</v>
      </c>
      <c r="H539" s="94"/>
      <c r="I539" s="93" t="s">
        <v>797</v>
      </c>
      <c r="J539" s="93">
        <v>1</v>
      </c>
      <c r="K539" s="93">
        <v>3750</v>
      </c>
      <c r="L539" s="93">
        <v>4</v>
      </c>
      <c r="M539" s="17"/>
      <c r="N539" s="93" t="s">
        <v>797</v>
      </c>
      <c r="O539" s="93">
        <v>1</v>
      </c>
      <c r="P539" s="93">
        <v>3750</v>
      </c>
      <c r="Q539" s="93">
        <v>4</v>
      </c>
      <c r="R539" s="69"/>
    </row>
    <row r="540" spans="2:18">
      <c r="B540" s="68"/>
      <c r="C540" s="93">
        <v>8</v>
      </c>
      <c r="D540" s="93" t="s">
        <v>1786</v>
      </c>
      <c r="E540" s="93">
        <v>3</v>
      </c>
      <c r="F540" s="93">
        <v>184395</v>
      </c>
      <c r="G540" s="93">
        <v>12288</v>
      </c>
      <c r="H540" s="94"/>
      <c r="I540" s="93" t="s">
        <v>798</v>
      </c>
      <c r="J540" s="93">
        <v>1</v>
      </c>
      <c r="K540" s="93">
        <v>3750</v>
      </c>
      <c r="L540" s="93">
        <v>4</v>
      </c>
      <c r="M540" s="17"/>
      <c r="N540" s="93" t="s">
        <v>798</v>
      </c>
      <c r="O540" s="93">
        <v>1</v>
      </c>
      <c r="P540" s="93">
        <v>3750</v>
      </c>
      <c r="Q540" s="93">
        <v>4</v>
      </c>
      <c r="R540" s="69"/>
    </row>
    <row r="541" spans="2:18">
      <c r="B541" s="68"/>
      <c r="C541" s="93">
        <v>8</v>
      </c>
      <c r="D541" s="93" t="s">
        <v>1786</v>
      </c>
      <c r="E541" s="93">
        <v>2</v>
      </c>
      <c r="F541" s="93">
        <v>180645</v>
      </c>
      <c r="G541" s="93">
        <v>12284</v>
      </c>
      <c r="H541" s="94"/>
      <c r="I541" s="93" t="s">
        <v>799</v>
      </c>
      <c r="J541" s="93">
        <v>1</v>
      </c>
      <c r="K541" s="93">
        <v>3750</v>
      </c>
      <c r="L541" s="93">
        <v>4</v>
      </c>
      <c r="M541" s="17"/>
      <c r="N541" s="93" t="s">
        <v>799</v>
      </c>
      <c r="O541" s="93">
        <v>1</v>
      </c>
      <c r="P541" s="93">
        <v>3750</v>
      </c>
      <c r="Q541" s="93">
        <v>4</v>
      </c>
      <c r="R541" s="69"/>
    </row>
    <row r="542" spans="2:18">
      <c r="B542" s="68"/>
      <c r="C542" s="93">
        <v>8</v>
      </c>
      <c r="D542" s="93" t="s">
        <v>1786</v>
      </c>
      <c r="E542" s="93">
        <v>1</v>
      </c>
      <c r="F542" s="93">
        <v>176895</v>
      </c>
      <c r="G542" s="93">
        <v>12280</v>
      </c>
      <c r="H542" s="94"/>
      <c r="I542" s="93" t="s">
        <v>800</v>
      </c>
      <c r="J542" s="93">
        <v>1</v>
      </c>
      <c r="K542" s="93">
        <v>3750</v>
      </c>
      <c r="L542" s="93">
        <v>4</v>
      </c>
      <c r="M542" s="17"/>
      <c r="N542" s="93" t="s">
        <v>800</v>
      </c>
      <c r="O542" s="93">
        <v>1</v>
      </c>
      <c r="P542" s="93">
        <v>3750</v>
      </c>
      <c r="Q542" s="93">
        <v>4</v>
      </c>
      <c r="R542" s="69"/>
    </row>
    <row r="543" spans="2:18">
      <c r="B543" s="68"/>
      <c r="C543" s="93">
        <v>9</v>
      </c>
      <c r="D543" s="93" t="s">
        <v>1787</v>
      </c>
      <c r="E543" s="93">
        <v>139</v>
      </c>
      <c r="F543" s="93">
        <v>518490</v>
      </c>
      <c r="G543" s="93">
        <v>19626</v>
      </c>
      <c r="H543" s="94"/>
      <c r="I543" s="93" t="s">
        <v>801</v>
      </c>
      <c r="J543" s="93">
        <v>1</v>
      </c>
      <c r="K543" s="93">
        <v>3750</v>
      </c>
      <c r="L543" s="93">
        <v>4</v>
      </c>
      <c r="M543" s="17"/>
      <c r="N543" s="93" t="s">
        <v>801</v>
      </c>
      <c r="O543" s="93">
        <v>1</v>
      </c>
      <c r="P543" s="93">
        <v>3750</v>
      </c>
      <c r="Q543" s="93">
        <v>4</v>
      </c>
      <c r="R543" s="69"/>
    </row>
    <row r="544" spans="2:18">
      <c r="B544" s="68"/>
      <c r="C544" s="93">
        <v>9</v>
      </c>
      <c r="D544" s="93" t="s">
        <v>1787</v>
      </c>
      <c r="E544" s="93">
        <v>138</v>
      </c>
      <c r="F544" s="93">
        <v>516490</v>
      </c>
      <c r="G544" s="93">
        <v>19626</v>
      </c>
      <c r="H544" s="94"/>
      <c r="I544" s="93" t="s">
        <v>802</v>
      </c>
      <c r="J544" s="93">
        <v>1</v>
      </c>
      <c r="K544" s="93">
        <v>2000</v>
      </c>
      <c r="L544" s="93">
        <v>0</v>
      </c>
      <c r="M544" s="17"/>
      <c r="N544" s="93" t="s">
        <v>802</v>
      </c>
      <c r="O544" s="93">
        <v>1</v>
      </c>
      <c r="P544" s="93">
        <v>2000</v>
      </c>
      <c r="Q544" s="93">
        <v>0</v>
      </c>
      <c r="R544" s="69"/>
    </row>
    <row r="545" spans="2:18">
      <c r="B545" s="68"/>
      <c r="C545" s="93">
        <v>9</v>
      </c>
      <c r="D545" s="93" t="s">
        <v>1787</v>
      </c>
      <c r="E545" s="93">
        <v>137</v>
      </c>
      <c r="F545" s="93">
        <v>514790</v>
      </c>
      <c r="G545" s="93">
        <v>19466</v>
      </c>
      <c r="H545" s="94"/>
      <c r="I545" s="93" t="s">
        <v>803</v>
      </c>
      <c r="J545" s="93">
        <v>1</v>
      </c>
      <c r="K545" s="93">
        <v>1700</v>
      </c>
      <c r="L545" s="93">
        <v>160</v>
      </c>
      <c r="M545" s="17"/>
      <c r="N545" s="93" t="s">
        <v>803</v>
      </c>
      <c r="O545" s="93">
        <v>1</v>
      </c>
      <c r="P545" s="93">
        <v>1700</v>
      </c>
      <c r="Q545" s="93">
        <v>160</v>
      </c>
      <c r="R545" s="69"/>
    </row>
    <row r="546" spans="2:18">
      <c r="B546" s="68"/>
      <c r="C546" s="93">
        <v>9</v>
      </c>
      <c r="D546" s="93" t="s">
        <v>1787</v>
      </c>
      <c r="E546" s="93">
        <v>136</v>
      </c>
      <c r="F546" s="93">
        <v>513090</v>
      </c>
      <c r="G546" s="93">
        <v>19306</v>
      </c>
      <c r="H546" s="94"/>
      <c r="I546" s="93" t="s">
        <v>804</v>
      </c>
      <c r="J546" s="93">
        <v>1</v>
      </c>
      <c r="K546" s="93">
        <v>1700</v>
      </c>
      <c r="L546" s="93">
        <v>160</v>
      </c>
      <c r="M546" s="17"/>
      <c r="N546" s="93" t="s">
        <v>804</v>
      </c>
      <c r="O546" s="93">
        <v>1</v>
      </c>
      <c r="P546" s="93">
        <v>1700</v>
      </c>
      <c r="Q546" s="93">
        <v>160</v>
      </c>
      <c r="R546" s="69"/>
    </row>
    <row r="547" spans="2:18">
      <c r="B547" s="68"/>
      <c r="C547" s="93">
        <v>9</v>
      </c>
      <c r="D547" s="93" t="s">
        <v>1787</v>
      </c>
      <c r="E547" s="93">
        <v>135</v>
      </c>
      <c r="F547" s="93">
        <v>511090</v>
      </c>
      <c r="G547" s="93">
        <v>19306</v>
      </c>
      <c r="H547" s="94"/>
      <c r="I547" s="93" t="s">
        <v>805</v>
      </c>
      <c r="J547" s="93">
        <v>1</v>
      </c>
      <c r="K547" s="93">
        <v>2000</v>
      </c>
      <c r="L547" s="93">
        <v>0</v>
      </c>
      <c r="M547" s="17"/>
      <c r="N547" s="93" t="s">
        <v>805</v>
      </c>
      <c r="O547" s="93">
        <v>1</v>
      </c>
      <c r="P547" s="93">
        <v>2000</v>
      </c>
      <c r="Q547" s="93">
        <v>0</v>
      </c>
      <c r="R547" s="69"/>
    </row>
    <row r="548" spans="2:18">
      <c r="B548" s="68"/>
      <c r="C548" s="93">
        <v>9</v>
      </c>
      <c r="D548" s="93" t="s">
        <v>1787</v>
      </c>
      <c r="E548" s="93">
        <v>134</v>
      </c>
      <c r="F548" s="93">
        <v>509390</v>
      </c>
      <c r="G548" s="93">
        <v>19146</v>
      </c>
      <c r="H548" s="94"/>
      <c r="I548" s="93" t="s">
        <v>806</v>
      </c>
      <c r="J548" s="93">
        <v>1</v>
      </c>
      <c r="K548" s="93">
        <v>1700</v>
      </c>
      <c r="L548" s="93">
        <v>160</v>
      </c>
      <c r="M548" s="17"/>
      <c r="N548" s="93" t="s">
        <v>806</v>
      </c>
      <c r="O548" s="93">
        <v>1</v>
      </c>
      <c r="P548" s="93">
        <v>1700</v>
      </c>
      <c r="Q548" s="93">
        <v>160</v>
      </c>
      <c r="R548" s="69"/>
    </row>
    <row r="549" spans="2:18">
      <c r="B549" s="68"/>
      <c r="C549" s="93">
        <v>9</v>
      </c>
      <c r="D549" s="93" t="s">
        <v>1787</v>
      </c>
      <c r="E549" s="93">
        <v>126</v>
      </c>
      <c r="F549" s="93">
        <v>494390</v>
      </c>
      <c r="G549" s="93">
        <v>18986</v>
      </c>
      <c r="H549" s="94"/>
      <c r="I549" s="93" t="s">
        <v>807</v>
      </c>
      <c r="J549" s="93">
        <v>8</v>
      </c>
      <c r="K549" s="93">
        <v>15000</v>
      </c>
      <c r="L549" s="93">
        <v>160</v>
      </c>
      <c r="M549" s="17"/>
      <c r="N549" s="93" t="s">
        <v>807</v>
      </c>
      <c r="O549" s="93">
        <v>8</v>
      </c>
      <c r="P549" s="93">
        <v>15000</v>
      </c>
      <c r="Q549" s="93">
        <v>160</v>
      </c>
      <c r="R549" s="69"/>
    </row>
    <row r="550" spans="2:18">
      <c r="B550" s="68"/>
      <c r="C550" s="93">
        <v>9</v>
      </c>
      <c r="D550" s="93" t="s">
        <v>1787</v>
      </c>
      <c r="E550" s="93">
        <v>118</v>
      </c>
      <c r="F550" s="93">
        <v>479390</v>
      </c>
      <c r="G550" s="93">
        <v>18826</v>
      </c>
      <c r="H550" s="94"/>
      <c r="I550" s="93" t="s">
        <v>808</v>
      </c>
      <c r="J550" s="93">
        <v>8</v>
      </c>
      <c r="K550" s="93">
        <v>15000</v>
      </c>
      <c r="L550" s="93">
        <v>160</v>
      </c>
      <c r="M550" s="17"/>
      <c r="N550" s="93" t="s">
        <v>808</v>
      </c>
      <c r="O550" s="93">
        <v>8</v>
      </c>
      <c r="P550" s="93">
        <v>15000</v>
      </c>
      <c r="Q550" s="93">
        <v>160</v>
      </c>
      <c r="R550" s="69"/>
    </row>
    <row r="551" spans="2:18">
      <c r="B551" s="68"/>
      <c r="C551" s="93">
        <v>9</v>
      </c>
      <c r="D551" s="93" t="s">
        <v>1787</v>
      </c>
      <c r="E551" s="93">
        <v>114</v>
      </c>
      <c r="F551" s="93">
        <v>448890</v>
      </c>
      <c r="G551" s="93">
        <v>18106</v>
      </c>
      <c r="H551" s="94"/>
      <c r="I551" s="93" t="s">
        <v>810</v>
      </c>
      <c r="J551" s="93">
        <v>4</v>
      </c>
      <c r="K551" s="93">
        <v>30500</v>
      </c>
      <c r="L551" s="93">
        <v>720</v>
      </c>
      <c r="M551" s="17"/>
      <c r="N551" s="93" t="s">
        <v>810</v>
      </c>
      <c r="O551" s="93">
        <v>4</v>
      </c>
      <c r="P551" s="93">
        <v>30500</v>
      </c>
      <c r="Q551" s="93">
        <v>720</v>
      </c>
      <c r="R551" s="69"/>
    </row>
    <row r="552" spans="2:18">
      <c r="B552" s="68"/>
      <c r="C552" s="93">
        <v>9</v>
      </c>
      <c r="D552" s="93" t="s">
        <v>1787</v>
      </c>
      <c r="E552" s="93">
        <v>110</v>
      </c>
      <c r="F552" s="93">
        <v>418390</v>
      </c>
      <c r="G552" s="93">
        <v>17386</v>
      </c>
      <c r="H552" s="94"/>
      <c r="I552" s="93" t="s">
        <v>811</v>
      </c>
      <c r="J552" s="93">
        <v>4</v>
      </c>
      <c r="K552" s="93">
        <v>30500</v>
      </c>
      <c r="L552" s="93">
        <v>720</v>
      </c>
      <c r="M552" s="17"/>
      <c r="N552" s="93" t="s">
        <v>811</v>
      </c>
      <c r="O552" s="93">
        <v>4</v>
      </c>
      <c r="P552" s="93">
        <v>30500</v>
      </c>
      <c r="Q552" s="93">
        <v>720</v>
      </c>
      <c r="R552" s="69"/>
    </row>
    <row r="553" spans="2:18">
      <c r="B553" s="68"/>
      <c r="C553" s="93">
        <v>9</v>
      </c>
      <c r="D553" s="93" t="s">
        <v>1787</v>
      </c>
      <c r="E553" s="93">
        <v>106</v>
      </c>
      <c r="F553" s="93">
        <v>387890</v>
      </c>
      <c r="G553" s="93">
        <v>16666</v>
      </c>
      <c r="H553" s="94"/>
      <c r="I553" s="93" t="s">
        <v>812</v>
      </c>
      <c r="J553" s="93">
        <v>4</v>
      </c>
      <c r="K553" s="93">
        <v>30500</v>
      </c>
      <c r="L553" s="93">
        <v>720</v>
      </c>
      <c r="M553" s="17"/>
      <c r="N553" s="93" t="s">
        <v>812</v>
      </c>
      <c r="O553" s="93">
        <v>4</v>
      </c>
      <c r="P553" s="93">
        <v>30500</v>
      </c>
      <c r="Q553" s="93">
        <v>720</v>
      </c>
      <c r="R553" s="69"/>
    </row>
    <row r="554" spans="2:18">
      <c r="B554" s="68"/>
      <c r="C554" s="93">
        <v>9</v>
      </c>
      <c r="D554" s="93" t="s">
        <v>1787</v>
      </c>
      <c r="E554" s="93">
        <v>102</v>
      </c>
      <c r="F554" s="93">
        <v>357390</v>
      </c>
      <c r="G554" s="93">
        <v>15946</v>
      </c>
      <c r="H554" s="94"/>
      <c r="I554" s="93" t="s">
        <v>813</v>
      </c>
      <c r="J554" s="93">
        <v>4</v>
      </c>
      <c r="K554" s="93">
        <v>30500</v>
      </c>
      <c r="L554" s="93">
        <v>720</v>
      </c>
      <c r="M554" s="17"/>
      <c r="N554" s="93" t="s">
        <v>813</v>
      </c>
      <c r="O554" s="93">
        <v>4</v>
      </c>
      <c r="P554" s="93">
        <v>30500</v>
      </c>
      <c r="Q554" s="93">
        <v>720</v>
      </c>
      <c r="R554" s="69"/>
    </row>
    <row r="555" spans="2:18">
      <c r="B555" s="68"/>
      <c r="C555" s="93">
        <v>9</v>
      </c>
      <c r="D555" s="93" t="s">
        <v>1787</v>
      </c>
      <c r="E555" s="93">
        <v>100</v>
      </c>
      <c r="F555" s="93">
        <v>353390</v>
      </c>
      <c r="G555" s="93">
        <v>15946</v>
      </c>
      <c r="H555" s="94"/>
      <c r="I555" s="93" t="s">
        <v>814</v>
      </c>
      <c r="J555" s="93">
        <v>2</v>
      </c>
      <c r="K555" s="93">
        <v>4000</v>
      </c>
      <c r="L555" s="93">
        <v>0</v>
      </c>
      <c r="M555" s="17"/>
      <c r="N555" s="93" t="s">
        <v>814</v>
      </c>
      <c r="O555" s="93">
        <v>2</v>
      </c>
      <c r="P555" s="93">
        <v>4000</v>
      </c>
      <c r="Q555" s="93">
        <v>0</v>
      </c>
      <c r="R555" s="69"/>
    </row>
    <row r="556" spans="2:18">
      <c r="B556" s="68"/>
      <c r="C556" s="93">
        <v>9</v>
      </c>
      <c r="D556" s="93" t="s">
        <v>1787</v>
      </c>
      <c r="E556" s="93">
        <v>99</v>
      </c>
      <c r="F556" s="93">
        <v>352775</v>
      </c>
      <c r="G556" s="93">
        <v>15786</v>
      </c>
      <c r="H556" s="94"/>
      <c r="I556" s="93" t="s">
        <v>815</v>
      </c>
      <c r="J556" s="93">
        <v>1</v>
      </c>
      <c r="K556" s="93">
        <v>615</v>
      </c>
      <c r="L556" s="93">
        <v>160</v>
      </c>
      <c r="M556" s="17"/>
      <c r="N556" s="93" t="s">
        <v>815</v>
      </c>
      <c r="O556" s="93">
        <v>1</v>
      </c>
      <c r="P556" s="93">
        <v>615</v>
      </c>
      <c r="Q556" s="93">
        <v>160</v>
      </c>
      <c r="R556" s="69"/>
    </row>
    <row r="557" spans="2:18">
      <c r="B557" s="68"/>
      <c r="C557" s="93">
        <v>9</v>
      </c>
      <c r="D557" s="93" t="s">
        <v>1787</v>
      </c>
      <c r="E557" s="93">
        <v>95</v>
      </c>
      <c r="F557" s="93">
        <v>337775</v>
      </c>
      <c r="G557" s="93">
        <v>15706</v>
      </c>
      <c r="H557" s="94"/>
      <c r="I557" s="93" t="s">
        <v>816</v>
      </c>
      <c r="J557" s="93">
        <v>4</v>
      </c>
      <c r="K557" s="93">
        <v>15000</v>
      </c>
      <c r="L557" s="93">
        <v>80</v>
      </c>
      <c r="M557" s="17"/>
      <c r="N557" s="93" t="s">
        <v>816</v>
      </c>
      <c r="O557" s="93">
        <v>4</v>
      </c>
      <c r="P557" s="93">
        <v>15000</v>
      </c>
      <c r="Q557" s="93">
        <v>80</v>
      </c>
      <c r="R557" s="69"/>
    </row>
    <row r="558" spans="2:18">
      <c r="B558" s="68"/>
      <c r="C558" s="93">
        <v>9</v>
      </c>
      <c r="D558" s="93" t="s">
        <v>1787</v>
      </c>
      <c r="E558" s="93">
        <v>93</v>
      </c>
      <c r="F558" s="93">
        <v>333775</v>
      </c>
      <c r="G558" s="93">
        <v>15706</v>
      </c>
      <c r="H558" s="94"/>
      <c r="I558" s="93" t="s">
        <v>817</v>
      </c>
      <c r="J558" s="93">
        <v>2</v>
      </c>
      <c r="K558" s="93">
        <v>4000</v>
      </c>
      <c r="L558" s="93">
        <v>0</v>
      </c>
      <c r="M558" s="17"/>
      <c r="N558" s="93" t="s">
        <v>817</v>
      </c>
      <c r="O558" s="93">
        <v>2</v>
      </c>
      <c r="P558" s="93">
        <v>4000</v>
      </c>
      <c r="Q558" s="93">
        <v>0</v>
      </c>
      <c r="R558" s="69"/>
    </row>
    <row r="559" spans="2:18">
      <c r="B559" s="68"/>
      <c r="C559" s="93">
        <v>9</v>
      </c>
      <c r="D559" s="93" t="s">
        <v>1787</v>
      </c>
      <c r="E559" s="93">
        <v>91</v>
      </c>
      <c r="F559" s="93">
        <v>326275</v>
      </c>
      <c r="G559" s="93">
        <v>15674</v>
      </c>
      <c r="H559" s="94"/>
      <c r="I559" s="93" t="s">
        <v>818</v>
      </c>
      <c r="J559" s="93">
        <v>2</v>
      </c>
      <c r="K559" s="93">
        <v>7500</v>
      </c>
      <c r="L559" s="93">
        <v>32</v>
      </c>
      <c r="M559" s="17"/>
      <c r="N559" s="93" t="s">
        <v>818</v>
      </c>
      <c r="O559" s="93">
        <v>2</v>
      </c>
      <c r="P559" s="93">
        <v>7500</v>
      </c>
      <c r="Q559" s="93">
        <v>32</v>
      </c>
      <c r="R559" s="69"/>
    </row>
    <row r="560" spans="2:18">
      <c r="B560" s="68"/>
      <c r="C560" s="93">
        <v>9</v>
      </c>
      <c r="D560" s="93" t="s">
        <v>1787</v>
      </c>
      <c r="E560" s="93">
        <v>89</v>
      </c>
      <c r="F560" s="93">
        <v>318775</v>
      </c>
      <c r="G560" s="93">
        <v>15642</v>
      </c>
      <c r="H560" s="94"/>
      <c r="I560" s="93" t="s">
        <v>819</v>
      </c>
      <c r="J560" s="93">
        <v>2</v>
      </c>
      <c r="K560" s="93">
        <v>7500</v>
      </c>
      <c r="L560" s="93">
        <v>32</v>
      </c>
      <c r="M560" s="17"/>
      <c r="N560" s="93" t="s">
        <v>819</v>
      </c>
      <c r="O560" s="93">
        <v>2</v>
      </c>
      <c r="P560" s="93">
        <v>7500</v>
      </c>
      <c r="Q560" s="93">
        <v>32</v>
      </c>
      <c r="R560" s="69"/>
    </row>
    <row r="561" spans="2:18">
      <c r="B561" s="68"/>
      <c r="C561" s="93">
        <v>9</v>
      </c>
      <c r="D561" s="93" t="s">
        <v>1787</v>
      </c>
      <c r="E561" s="93">
        <v>87</v>
      </c>
      <c r="F561" s="93">
        <v>311275</v>
      </c>
      <c r="G561" s="93">
        <v>15610</v>
      </c>
      <c r="H561" s="94"/>
      <c r="I561" s="93" t="s">
        <v>820</v>
      </c>
      <c r="J561" s="93">
        <v>2</v>
      </c>
      <c r="K561" s="93">
        <v>7500</v>
      </c>
      <c r="L561" s="93">
        <v>32</v>
      </c>
      <c r="M561" s="17"/>
      <c r="N561" s="93" t="s">
        <v>820</v>
      </c>
      <c r="O561" s="93">
        <v>2</v>
      </c>
      <c r="P561" s="93">
        <v>7500</v>
      </c>
      <c r="Q561" s="93">
        <v>32</v>
      </c>
      <c r="R561" s="69"/>
    </row>
    <row r="562" spans="2:18">
      <c r="B562" s="68"/>
      <c r="C562" s="93">
        <v>9</v>
      </c>
      <c r="D562" s="93" t="s">
        <v>1787</v>
      </c>
      <c r="E562" s="93">
        <v>85</v>
      </c>
      <c r="F562" s="93">
        <v>307275</v>
      </c>
      <c r="G562" s="93">
        <v>15610</v>
      </c>
      <c r="H562" s="94"/>
      <c r="I562" s="93" t="s">
        <v>821</v>
      </c>
      <c r="J562" s="93">
        <v>2</v>
      </c>
      <c r="K562" s="93">
        <v>4000</v>
      </c>
      <c r="L562" s="93">
        <v>0</v>
      </c>
      <c r="M562" s="17"/>
      <c r="N562" s="93" t="s">
        <v>821</v>
      </c>
      <c r="O562" s="93">
        <v>2</v>
      </c>
      <c r="P562" s="93">
        <v>4000</v>
      </c>
      <c r="Q562" s="93">
        <v>0</v>
      </c>
      <c r="R562" s="69"/>
    </row>
    <row r="563" spans="2:18">
      <c r="B563" s="68"/>
      <c r="C563" s="93">
        <v>9</v>
      </c>
      <c r="D563" s="93" t="s">
        <v>1787</v>
      </c>
      <c r="E563" s="93">
        <v>83</v>
      </c>
      <c r="F563" s="93">
        <v>299775</v>
      </c>
      <c r="G563" s="93">
        <v>15578</v>
      </c>
      <c r="H563" s="94"/>
      <c r="I563" s="93" t="s">
        <v>822</v>
      </c>
      <c r="J563" s="93">
        <v>2</v>
      </c>
      <c r="K563" s="93">
        <v>7500</v>
      </c>
      <c r="L563" s="93">
        <v>32</v>
      </c>
      <c r="M563" s="17"/>
      <c r="N563" s="93" t="s">
        <v>822</v>
      </c>
      <c r="O563" s="93">
        <v>2</v>
      </c>
      <c r="P563" s="93">
        <v>7500</v>
      </c>
      <c r="Q563" s="93">
        <v>32</v>
      </c>
      <c r="R563" s="69"/>
    </row>
    <row r="564" spans="2:18">
      <c r="B564" s="68"/>
      <c r="C564" s="93">
        <v>9</v>
      </c>
      <c r="D564" s="93" t="s">
        <v>1787</v>
      </c>
      <c r="E564" s="93">
        <v>82</v>
      </c>
      <c r="F564" s="93">
        <v>296025</v>
      </c>
      <c r="G564" s="93">
        <v>15168</v>
      </c>
      <c r="H564" s="94"/>
      <c r="I564" s="93" t="s">
        <v>823</v>
      </c>
      <c r="J564" s="93">
        <v>1</v>
      </c>
      <c r="K564" s="93">
        <v>3750</v>
      </c>
      <c r="L564" s="93">
        <v>410</v>
      </c>
      <c r="M564" s="17"/>
      <c r="N564" s="93" t="s">
        <v>823</v>
      </c>
      <c r="O564" s="93">
        <v>1</v>
      </c>
      <c r="P564" s="93">
        <v>3750</v>
      </c>
      <c r="Q564" s="93">
        <v>410</v>
      </c>
      <c r="R564" s="69"/>
    </row>
    <row r="565" spans="2:18">
      <c r="B565" s="68"/>
      <c r="C565" s="93">
        <v>9</v>
      </c>
      <c r="D565" s="93" t="s">
        <v>1787</v>
      </c>
      <c r="E565" s="93">
        <v>80</v>
      </c>
      <c r="F565" s="93">
        <v>292025</v>
      </c>
      <c r="G565" s="93">
        <v>15168</v>
      </c>
      <c r="H565" s="94"/>
      <c r="I565" s="93" t="s">
        <v>824</v>
      </c>
      <c r="J565" s="93">
        <v>2</v>
      </c>
      <c r="K565" s="93">
        <v>4000</v>
      </c>
      <c r="L565" s="93">
        <v>0</v>
      </c>
      <c r="M565" s="17"/>
      <c r="N565" s="93" t="s">
        <v>824</v>
      </c>
      <c r="O565" s="93">
        <v>2</v>
      </c>
      <c r="P565" s="93">
        <v>4000</v>
      </c>
      <c r="Q565" s="93">
        <v>0</v>
      </c>
      <c r="R565" s="69"/>
    </row>
    <row r="566" spans="2:18">
      <c r="B566" s="68"/>
      <c r="C566" s="93">
        <v>9</v>
      </c>
      <c r="D566" s="93" t="s">
        <v>1787</v>
      </c>
      <c r="E566" s="93">
        <v>79</v>
      </c>
      <c r="F566" s="93">
        <v>290025</v>
      </c>
      <c r="G566" s="93">
        <v>15168</v>
      </c>
      <c r="H566" s="94"/>
      <c r="I566" s="93" t="s">
        <v>825</v>
      </c>
      <c r="J566" s="93">
        <v>1</v>
      </c>
      <c r="K566" s="93">
        <v>2000</v>
      </c>
      <c r="L566" s="93">
        <v>0</v>
      </c>
      <c r="M566" s="17"/>
      <c r="N566" s="93" t="s">
        <v>825</v>
      </c>
      <c r="O566" s="93">
        <v>1</v>
      </c>
      <c r="P566" s="93">
        <v>2000</v>
      </c>
      <c r="Q566" s="93">
        <v>0</v>
      </c>
      <c r="R566" s="69"/>
    </row>
    <row r="567" spans="2:18">
      <c r="B567" s="68"/>
      <c r="C567" s="93">
        <v>9</v>
      </c>
      <c r="D567" s="93" t="s">
        <v>1787</v>
      </c>
      <c r="E567" s="93">
        <v>78</v>
      </c>
      <c r="F567" s="93">
        <v>288325</v>
      </c>
      <c r="G567" s="93">
        <v>15008</v>
      </c>
      <c r="H567" s="94"/>
      <c r="I567" s="93" t="s">
        <v>826</v>
      </c>
      <c r="J567" s="93">
        <v>1</v>
      </c>
      <c r="K567" s="93">
        <v>1700</v>
      </c>
      <c r="L567" s="93">
        <v>160</v>
      </c>
      <c r="M567" s="17"/>
      <c r="N567" s="93" t="s">
        <v>826</v>
      </c>
      <c r="O567" s="93">
        <v>1</v>
      </c>
      <c r="P567" s="93">
        <v>1700</v>
      </c>
      <c r="Q567" s="93">
        <v>160</v>
      </c>
      <c r="R567" s="69"/>
    </row>
    <row r="568" spans="2:18">
      <c r="B568" s="68"/>
      <c r="C568" s="93">
        <v>9</v>
      </c>
      <c r="D568" s="93" t="s">
        <v>1787</v>
      </c>
      <c r="E568" s="93">
        <v>77</v>
      </c>
      <c r="F568" s="93">
        <v>286325</v>
      </c>
      <c r="G568" s="93">
        <v>15008</v>
      </c>
      <c r="H568" s="94"/>
      <c r="I568" s="93" t="s">
        <v>827</v>
      </c>
      <c r="J568" s="93">
        <v>1</v>
      </c>
      <c r="K568" s="93">
        <v>2000</v>
      </c>
      <c r="L568" s="93">
        <v>0</v>
      </c>
      <c r="M568" s="17"/>
      <c r="N568" s="93" t="s">
        <v>827</v>
      </c>
      <c r="O568" s="93">
        <v>1</v>
      </c>
      <c r="P568" s="93">
        <v>2000</v>
      </c>
      <c r="Q568" s="93">
        <v>0</v>
      </c>
      <c r="R568" s="69"/>
    </row>
    <row r="569" spans="2:18">
      <c r="B569" s="68"/>
      <c r="C569" s="93">
        <v>9</v>
      </c>
      <c r="D569" s="93" t="s">
        <v>1787</v>
      </c>
      <c r="E569" s="93">
        <v>76</v>
      </c>
      <c r="F569" s="93">
        <v>284325</v>
      </c>
      <c r="G569" s="93">
        <v>15008</v>
      </c>
      <c r="H569" s="94"/>
      <c r="I569" s="93" t="s">
        <v>829</v>
      </c>
      <c r="J569" s="93">
        <v>1</v>
      </c>
      <c r="K569" s="93">
        <v>2000</v>
      </c>
      <c r="L569" s="93">
        <v>0</v>
      </c>
      <c r="M569" s="17"/>
      <c r="N569" s="93" t="s">
        <v>829</v>
      </c>
      <c r="O569" s="93">
        <v>1</v>
      </c>
      <c r="P569" s="93">
        <v>2000</v>
      </c>
      <c r="Q569" s="93">
        <v>0</v>
      </c>
      <c r="R569" s="69"/>
    </row>
    <row r="570" spans="2:18">
      <c r="B570" s="68"/>
      <c r="C570" s="93">
        <v>9</v>
      </c>
      <c r="D570" s="93" t="s">
        <v>1787</v>
      </c>
      <c r="E570" s="93">
        <v>60</v>
      </c>
      <c r="F570" s="93">
        <v>254325</v>
      </c>
      <c r="G570" s="93">
        <v>14688</v>
      </c>
      <c r="H570" s="94"/>
      <c r="I570" s="93" t="s">
        <v>830</v>
      </c>
      <c r="J570" s="93">
        <v>16</v>
      </c>
      <c r="K570" s="93">
        <v>30000</v>
      </c>
      <c r="L570" s="93">
        <v>320</v>
      </c>
      <c r="M570" s="17"/>
      <c r="N570" s="93" t="s">
        <v>830</v>
      </c>
      <c r="O570" s="93">
        <v>16</v>
      </c>
      <c r="P570" s="93">
        <v>30000</v>
      </c>
      <c r="Q570" s="93">
        <v>320</v>
      </c>
      <c r="R570" s="69"/>
    </row>
    <row r="571" spans="2:18">
      <c r="B571" s="68"/>
      <c r="C571" s="93">
        <v>9</v>
      </c>
      <c r="D571" s="93" t="s">
        <v>1787</v>
      </c>
      <c r="E571" s="93">
        <v>59</v>
      </c>
      <c r="F571" s="93">
        <v>252625</v>
      </c>
      <c r="G571" s="93">
        <v>14528</v>
      </c>
      <c r="H571" s="94"/>
      <c r="I571" s="93" t="s">
        <v>831</v>
      </c>
      <c r="J571" s="93">
        <v>1</v>
      </c>
      <c r="K571" s="93">
        <v>1700</v>
      </c>
      <c r="L571" s="93">
        <v>160</v>
      </c>
      <c r="M571" s="17"/>
      <c r="N571" s="93" t="s">
        <v>831</v>
      </c>
      <c r="O571" s="93">
        <v>1</v>
      </c>
      <c r="P571" s="93">
        <v>1700</v>
      </c>
      <c r="Q571" s="93">
        <v>160</v>
      </c>
      <c r="R571" s="69"/>
    </row>
    <row r="572" spans="2:18">
      <c r="B572" s="68"/>
      <c r="C572" s="93">
        <v>9</v>
      </c>
      <c r="D572" s="93" t="s">
        <v>1787</v>
      </c>
      <c r="E572" s="93">
        <v>57</v>
      </c>
      <c r="F572" s="93">
        <v>248875</v>
      </c>
      <c r="G572" s="93">
        <v>14496</v>
      </c>
      <c r="H572" s="94"/>
      <c r="I572" s="93" t="s">
        <v>832</v>
      </c>
      <c r="J572" s="93">
        <v>2</v>
      </c>
      <c r="K572" s="93">
        <v>3750</v>
      </c>
      <c r="L572" s="93">
        <v>32</v>
      </c>
      <c r="M572" s="17"/>
      <c r="N572" s="93" t="s">
        <v>832</v>
      </c>
      <c r="O572" s="93">
        <v>2</v>
      </c>
      <c r="P572" s="93">
        <v>3750</v>
      </c>
      <c r="Q572" s="93">
        <v>32</v>
      </c>
      <c r="R572" s="69"/>
    </row>
    <row r="573" spans="2:18">
      <c r="B573" s="68"/>
      <c r="C573" s="93">
        <v>9</v>
      </c>
      <c r="D573" s="93" t="s">
        <v>1787</v>
      </c>
      <c r="E573" s="93">
        <v>56</v>
      </c>
      <c r="F573" s="93">
        <v>247875</v>
      </c>
      <c r="G573" s="93">
        <v>14496</v>
      </c>
      <c r="H573" s="94"/>
      <c r="I573" s="93" t="s">
        <v>833</v>
      </c>
      <c r="J573" s="93">
        <v>1</v>
      </c>
      <c r="K573" s="93">
        <v>1000</v>
      </c>
      <c r="L573" s="93">
        <v>0</v>
      </c>
      <c r="M573" s="17"/>
      <c r="N573" s="93" t="s">
        <v>833</v>
      </c>
      <c r="O573" s="93">
        <v>1</v>
      </c>
      <c r="P573" s="93">
        <v>1000</v>
      </c>
      <c r="Q573" s="93">
        <v>0</v>
      </c>
      <c r="R573" s="69"/>
    </row>
    <row r="574" spans="2:18">
      <c r="B574" s="68"/>
      <c r="C574" s="93">
        <v>9</v>
      </c>
      <c r="D574" s="93" t="s">
        <v>1787</v>
      </c>
      <c r="E574" s="93">
        <v>55</v>
      </c>
      <c r="F574" s="93">
        <v>245875</v>
      </c>
      <c r="G574" s="93">
        <v>14496</v>
      </c>
      <c r="H574" s="94"/>
      <c r="I574" s="93" t="s">
        <v>834</v>
      </c>
      <c r="J574" s="93">
        <v>1</v>
      </c>
      <c r="K574" s="93">
        <v>2000</v>
      </c>
      <c r="L574" s="93">
        <v>0</v>
      </c>
      <c r="M574" s="17"/>
      <c r="N574" s="93" t="s">
        <v>834</v>
      </c>
      <c r="O574" s="93">
        <v>1</v>
      </c>
      <c r="P574" s="93">
        <v>2000</v>
      </c>
      <c r="Q574" s="93">
        <v>0</v>
      </c>
      <c r="R574" s="69"/>
    </row>
    <row r="575" spans="2:18">
      <c r="B575" s="68"/>
      <c r="C575" s="93">
        <v>9</v>
      </c>
      <c r="D575" s="93" t="s">
        <v>1787</v>
      </c>
      <c r="E575" s="93">
        <v>54</v>
      </c>
      <c r="F575" s="93">
        <v>243875</v>
      </c>
      <c r="G575" s="93">
        <v>14496</v>
      </c>
      <c r="H575" s="94"/>
      <c r="I575" s="93" t="s">
        <v>837</v>
      </c>
      <c r="J575" s="93">
        <v>1</v>
      </c>
      <c r="K575" s="93">
        <v>2000</v>
      </c>
      <c r="L575" s="93">
        <v>0</v>
      </c>
      <c r="M575" s="17"/>
      <c r="N575" s="93" t="s">
        <v>837</v>
      </c>
      <c r="O575" s="93">
        <v>1</v>
      </c>
      <c r="P575" s="93">
        <v>2000</v>
      </c>
      <c r="Q575" s="93">
        <v>0</v>
      </c>
      <c r="R575" s="69"/>
    </row>
    <row r="576" spans="2:18">
      <c r="B576" s="68"/>
      <c r="C576" s="93">
        <v>9</v>
      </c>
      <c r="D576" s="93" t="s">
        <v>1787</v>
      </c>
      <c r="E576" s="93">
        <v>53</v>
      </c>
      <c r="F576" s="93">
        <v>241875</v>
      </c>
      <c r="G576" s="93">
        <v>14496</v>
      </c>
      <c r="H576" s="94"/>
      <c r="I576" s="93" t="s">
        <v>838</v>
      </c>
      <c r="J576" s="93">
        <v>1</v>
      </c>
      <c r="K576" s="93">
        <v>2000</v>
      </c>
      <c r="L576" s="93">
        <v>0</v>
      </c>
      <c r="M576" s="17"/>
      <c r="N576" s="93" t="s">
        <v>838</v>
      </c>
      <c r="O576" s="93">
        <v>1</v>
      </c>
      <c r="P576" s="93">
        <v>2000</v>
      </c>
      <c r="Q576" s="93">
        <v>0</v>
      </c>
      <c r="R576" s="69"/>
    </row>
    <row r="577" spans="2:18">
      <c r="B577" s="68"/>
      <c r="C577" s="93">
        <v>9</v>
      </c>
      <c r="D577" s="93" t="s">
        <v>1787</v>
      </c>
      <c r="E577" s="93">
        <v>52</v>
      </c>
      <c r="F577" s="93">
        <v>239875</v>
      </c>
      <c r="G577" s="93">
        <v>14496</v>
      </c>
      <c r="H577" s="94"/>
      <c r="I577" s="93" t="s">
        <v>839</v>
      </c>
      <c r="J577" s="93">
        <v>1</v>
      </c>
      <c r="K577" s="93">
        <v>2000</v>
      </c>
      <c r="L577" s="93">
        <v>0</v>
      </c>
      <c r="M577" s="17"/>
      <c r="N577" s="93" t="s">
        <v>839</v>
      </c>
      <c r="O577" s="93">
        <v>1</v>
      </c>
      <c r="P577" s="93">
        <v>2000</v>
      </c>
      <c r="Q577" s="93">
        <v>0</v>
      </c>
      <c r="R577" s="69"/>
    </row>
    <row r="578" spans="2:18">
      <c r="B578" s="68"/>
      <c r="C578" s="93">
        <v>9</v>
      </c>
      <c r="D578" s="93" t="s">
        <v>1787</v>
      </c>
      <c r="E578" s="93">
        <v>51</v>
      </c>
      <c r="F578" s="93">
        <v>237875</v>
      </c>
      <c r="G578" s="93">
        <v>14496</v>
      </c>
      <c r="H578" s="94"/>
      <c r="I578" s="93" t="s">
        <v>840</v>
      </c>
      <c r="J578" s="93">
        <v>1</v>
      </c>
      <c r="K578" s="93">
        <v>2000</v>
      </c>
      <c r="L578" s="93">
        <v>0</v>
      </c>
      <c r="M578" s="17"/>
      <c r="N578" s="93" t="s">
        <v>840</v>
      </c>
      <c r="O578" s="93">
        <v>1</v>
      </c>
      <c r="P578" s="93">
        <v>2000</v>
      </c>
      <c r="Q578" s="93">
        <v>0</v>
      </c>
      <c r="R578" s="69"/>
    </row>
    <row r="579" spans="2:18">
      <c r="B579" s="68"/>
      <c r="C579" s="93">
        <v>9</v>
      </c>
      <c r="D579" s="93" t="s">
        <v>1787</v>
      </c>
      <c r="E579" s="93">
        <v>43</v>
      </c>
      <c r="F579" s="93">
        <v>222875</v>
      </c>
      <c r="G579" s="93">
        <v>14336</v>
      </c>
      <c r="H579" s="94"/>
      <c r="I579" s="93" t="s">
        <v>841</v>
      </c>
      <c r="J579" s="93">
        <v>8</v>
      </c>
      <c r="K579" s="93">
        <v>15000</v>
      </c>
      <c r="L579" s="93">
        <v>160</v>
      </c>
      <c r="M579" s="17"/>
      <c r="N579" s="93" t="s">
        <v>841</v>
      </c>
      <c r="O579" s="93">
        <v>8</v>
      </c>
      <c r="P579" s="93">
        <v>15000</v>
      </c>
      <c r="Q579" s="93">
        <v>160</v>
      </c>
      <c r="R579" s="69"/>
    </row>
    <row r="580" spans="2:18">
      <c r="B580" s="68"/>
      <c r="C580" s="93">
        <v>9</v>
      </c>
      <c r="D580" s="93" t="s">
        <v>1787</v>
      </c>
      <c r="E580" s="93">
        <v>35</v>
      </c>
      <c r="F580" s="93">
        <v>207875</v>
      </c>
      <c r="G580" s="93">
        <v>14176</v>
      </c>
      <c r="H580" s="94"/>
      <c r="I580" s="93" t="s">
        <v>842</v>
      </c>
      <c r="J580" s="93">
        <v>8</v>
      </c>
      <c r="K580" s="93">
        <v>15000</v>
      </c>
      <c r="L580" s="93">
        <v>160</v>
      </c>
      <c r="M580" s="17"/>
      <c r="N580" s="93" t="s">
        <v>842</v>
      </c>
      <c r="O580" s="93">
        <v>8</v>
      </c>
      <c r="P580" s="93">
        <v>15000</v>
      </c>
      <c r="Q580" s="93">
        <v>160</v>
      </c>
      <c r="R580" s="69"/>
    </row>
    <row r="581" spans="2:18">
      <c r="B581" s="68"/>
      <c r="C581" s="93">
        <v>9</v>
      </c>
      <c r="D581" s="93" t="s">
        <v>1787</v>
      </c>
      <c r="E581" s="93">
        <v>27</v>
      </c>
      <c r="F581" s="93">
        <v>192875</v>
      </c>
      <c r="G581" s="93">
        <v>14016</v>
      </c>
      <c r="H581" s="94"/>
      <c r="I581" s="93" t="s">
        <v>843</v>
      </c>
      <c r="J581" s="93">
        <v>8</v>
      </c>
      <c r="K581" s="93">
        <v>15000</v>
      </c>
      <c r="L581" s="93">
        <v>160</v>
      </c>
      <c r="M581" s="17"/>
      <c r="N581" s="93" t="s">
        <v>843</v>
      </c>
      <c r="O581" s="93">
        <v>8</v>
      </c>
      <c r="P581" s="93">
        <v>15000</v>
      </c>
      <c r="Q581" s="93">
        <v>160</v>
      </c>
      <c r="R581" s="69"/>
    </row>
    <row r="582" spans="2:18">
      <c r="B582" s="68"/>
      <c r="C582" s="93">
        <v>9</v>
      </c>
      <c r="D582" s="93" t="s">
        <v>1787</v>
      </c>
      <c r="E582" s="93">
        <v>26</v>
      </c>
      <c r="F582" s="93">
        <v>190875</v>
      </c>
      <c r="G582" s="93">
        <v>14016</v>
      </c>
      <c r="H582" s="94"/>
      <c r="I582" s="93" t="s">
        <v>844</v>
      </c>
      <c r="J582" s="93">
        <v>1</v>
      </c>
      <c r="K582" s="93">
        <v>2000</v>
      </c>
      <c r="L582" s="93">
        <v>0</v>
      </c>
      <c r="M582" s="17"/>
      <c r="N582" s="93" t="s">
        <v>844</v>
      </c>
      <c r="O582" s="93">
        <v>1</v>
      </c>
      <c r="P582" s="93">
        <v>2000</v>
      </c>
      <c r="Q582" s="93">
        <v>0</v>
      </c>
      <c r="R582" s="69"/>
    </row>
    <row r="583" spans="2:18">
      <c r="B583" s="68"/>
      <c r="C583" s="93">
        <v>9</v>
      </c>
      <c r="D583" s="93" t="s">
        <v>1787</v>
      </c>
      <c r="E583" s="93">
        <v>24</v>
      </c>
      <c r="F583" s="93">
        <v>187125</v>
      </c>
      <c r="G583" s="93">
        <v>13984</v>
      </c>
      <c r="H583" s="94"/>
      <c r="I583" s="93" t="s">
        <v>846</v>
      </c>
      <c r="J583" s="93">
        <v>2</v>
      </c>
      <c r="K583" s="93">
        <v>3750</v>
      </c>
      <c r="L583" s="93">
        <v>32</v>
      </c>
      <c r="M583" s="17"/>
      <c r="N583" s="93" t="s">
        <v>846</v>
      </c>
      <c r="O583" s="93">
        <v>2</v>
      </c>
      <c r="P583" s="93">
        <v>3750</v>
      </c>
      <c r="Q583" s="93">
        <v>32</v>
      </c>
      <c r="R583" s="69"/>
    </row>
    <row r="584" spans="2:18">
      <c r="B584" s="68"/>
      <c r="C584" s="93">
        <v>9</v>
      </c>
      <c r="D584" s="93" t="s">
        <v>1787</v>
      </c>
      <c r="E584" s="93">
        <v>22</v>
      </c>
      <c r="F584" s="93">
        <v>183375</v>
      </c>
      <c r="G584" s="93">
        <v>13952</v>
      </c>
      <c r="H584" s="94"/>
      <c r="I584" s="93" t="s">
        <v>847</v>
      </c>
      <c r="J584" s="93">
        <v>2</v>
      </c>
      <c r="K584" s="93">
        <v>3750</v>
      </c>
      <c r="L584" s="93">
        <v>32</v>
      </c>
      <c r="M584" s="17"/>
      <c r="N584" s="93" t="s">
        <v>847</v>
      </c>
      <c r="O584" s="93">
        <v>2</v>
      </c>
      <c r="P584" s="93">
        <v>3750</v>
      </c>
      <c r="Q584" s="93">
        <v>32</v>
      </c>
      <c r="R584" s="69"/>
    </row>
    <row r="585" spans="2:18">
      <c r="B585" s="68"/>
      <c r="C585" s="93">
        <v>9</v>
      </c>
      <c r="D585" s="93" t="s">
        <v>1787</v>
      </c>
      <c r="E585" s="93">
        <v>20</v>
      </c>
      <c r="F585" s="93">
        <v>179625</v>
      </c>
      <c r="G585" s="93">
        <v>13920</v>
      </c>
      <c r="H585" s="94"/>
      <c r="I585" s="93" t="s">
        <v>848</v>
      </c>
      <c r="J585" s="93">
        <v>2</v>
      </c>
      <c r="K585" s="93">
        <v>3750</v>
      </c>
      <c r="L585" s="93">
        <v>32</v>
      </c>
      <c r="M585" s="17"/>
      <c r="N585" s="93" t="s">
        <v>848</v>
      </c>
      <c r="O585" s="93">
        <v>2</v>
      </c>
      <c r="P585" s="93">
        <v>3750</v>
      </c>
      <c r="Q585" s="93">
        <v>32</v>
      </c>
      <c r="R585" s="69"/>
    </row>
    <row r="586" spans="2:18">
      <c r="B586" s="68"/>
      <c r="C586" s="93">
        <v>9</v>
      </c>
      <c r="D586" s="93" t="s">
        <v>1787</v>
      </c>
      <c r="E586" s="93">
        <v>18</v>
      </c>
      <c r="F586" s="93">
        <v>175875</v>
      </c>
      <c r="G586" s="93">
        <v>13888</v>
      </c>
      <c r="H586" s="94"/>
      <c r="I586" s="93" t="s">
        <v>849</v>
      </c>
      <c r="J586" s="93">
        <v>2</v>
      </c>
      <c r="K586" s="93">
        <v>3750</v>
      </c>
      <c r="L586" s="93">
        <v>32</v>
      </c>
      <c r="M586" s="17"/>
      <c r="N586" s="93" t="s">
        <v>849</v>
      </c>
      <c r="O586" s="93">
        <v>2</v>
      </c>
      <c r="P586" s="93">
        <v>3750</v>
      </c>
      <c r="Q586" s="93">
        <v>32</v>
      </c>
      <c r="R586" s="69"/>
    </row>
    <row r="587" spans="2:18">
      <c r="B587" s="68"/>
      <c r="C587" s="93">
        <v>9</v>
      </c>
      <c r="D587" s="93" t="s">
        <v>1787</v>
      </c>
      <c r="E587" s="93">
        <v>16</v>
      </c>
      <c r="F587" s="93">
        <v>172125</v>
      </c>
      <c r="G587" s="93">
        <v>13856</v>
      </c>
      <c r="H587" s="94"/>
      <c r="I587" s="93" t="s">
        <v>850</v>
      </c>
      <c r="J587" s="93">
        <v>2</v>
      </c>
      <c r="K587" s="93">
        <v>3750</v>
      </c>
      <c r="L587" s="93">
        <v>32</v>
      </c>
      <c r="M587" s="17"/>
      <c r="N587" s="93" t="s">
        <v>850</v>
      </c>
      <c r="O587" s="93">
        <v>2</v>
      </c>
      <c r="P587" s="93">
        <v>3750</v>
      </c>
      <c r="Q587" s="93">
        <v>32</v>
      </c>
      <c r="R587" s="69"/>
    </row>
    <row r="588" spans="2:18">
      <c r="B588" s="68"/>
      <c r="C588" s="93">
        <v>9</v>
      </c>
      <c r="D588" s="93" t="s">
        <v>1787</v>
      </c>
      <c r="E588" s="93">
        <v>14</v>
      </c>
      <c r="F588" s="93">
        <v>168375</v>
      </c>
      <c r="G588" s="93">
        <v>13824</v>
      </c>
      <c r="H588" s="94"/>
      <c r="I588" s="93" t="s">
        <v>851</v>
      </c>
      <c r="J588" s="93">
        <v>2</v>
      </c>
      <c r="K588" s="93">
        <v>3750</v>
      </c>
      <c r="L588" s="93">
        <v>32</v>
      </c>
      <c r="M588" s="17"/>
      <c r="N588" s="93" t="s">
        <v>851</v>
      </c>
      <c r="O588" s="93">
        <v>2</v>
      </c>
      <c r="P588" s="93">
        <v>3750</v>
      </c>
      <c r="Q588" s="93">
        <v>32</v>
      </c>
      <c r="R588" s="69"/>
    </row>
    <row r="589" spans="2:18">
      <c r="B589" s="68"/>
      <c r="C589" s="93">
        <v>9</v>
      </c>
      <c r="D589" s="93" t="s">
        <v>1787</v>
      </c>
      <c r="E589" s="93">
        <v>12</v>
      </c>
      <c r="F589" s="93">
        <v>164625</v>
      </c>
      <c r="G589" s="93">
        <v>13792</v>
      </c>
      <c r="H589" s="94"/>
      <c r="I589" s="93" t="s">
        <v>852</v>
      </c>
      <c r="J589" s="93">
        <v>2</v>
      </c>
      <c r="K589" s="93">
        <v>3750</v>
      </c>
      <c r="L589" s="93">
        <v>32</v>
      </c>
      <c r="M589" s="17"/>
      <c r="N589" s="93" t="s">
        <v>852</v>
      </c>
      <c r="O589" s="93">
        <v>2</v>
      </c>
      <c r="P589" s="93">
        <v>3750</v>
      </c>
      <c r="Q589" s="93">
        <v>32</v>
      </c>
      <c r="R589" s="69"/>
    </row>
    <row r="590" spans="2:18">
      <c r="B590" s="68"/>
      <c r="C590" s="93">
        <v>9</v>
      </c>
      <c r="D590" s="93" t="s">
        <v>1787</v>
      </c>
      <c r="E590" s="93">
        <v>10</v>
      </c>
      <c r="F590" s="93">
        <v>160875</v>
      </c>
      <c r="G590" s="93">
        <v>13760</v>
      </c>
      <c r="H590" s="94"/>
      <c r="I590" s="93" t="s">
        <v>853</v>
      </c>
      <c r="J590" s="93">
        <v>2</v>
      </c>
      <c r="K590" s="93">
        <v>3750</v>
      </c>
      <c r="L590" s="93">
        <v>32</v>
      </c>
      <c r="M590" s="17"/>
      <c r="N590" s="93" t="s">
        <v>853</v>
      </c>
      <c r="O590" s="93">
        <v>2</v>
      </c>
      <c r="P590" s="93">
        <v>3750</v>
      </c>
      <c r="Q590" s="93">
        <v>32</v>
      </c>
      <c r="R590" s="69"/>
    </row>
    <row r="591" spans="2:18">
      <c r="B591" s="68"/>
      <c r="C591" s="93">
        <v>9</v>
      </c>
      <c r="D591" s="93" t="s">
        <v>1787</v>
      </c>
      <c r="E591" s="93">
        <v>8</v>
      </c>
      <c r="F591" s="93">
        <v>157125</v>
      </c>
      <c r="G591" s="93">
        <v>13728</v>
      </c>
      <c r="H591" s="94"/>
      <c r="I591" s="93" t="s">
        <v>854</v>
      </c>
      <c r="J591" s="93">
        <v>2</v>
      </c>
      <c r="K591" s="93">
        <v>3750</v>
      </c>
      <c r="L591" s="93">
        <v>32</v>
      </c>
      <c r="M591" s="17"/>
      <c r="N591" s="93" t="s">
        <v>854</v>
      </c>
      <c r="O591" s="93">
        <v>2</v>
      </c>
      <c r="P591" s="93">
        <v>3750</v>
      </c>
      <c r="Q591" s="93">
        <v>32</v>
      </c>
      <c r="R591" s="69"/>
    </row>
    <row r="592" spans="2:18">
      <c r="B592" s="68"/>
      <c r="C592" s="93">
        <v>9</v>
      </c>
      <c r="D592" s="93" t="s">
        <v>1787</v>
      </c>
      <c r="E592" s="93">
        <v>6</v>
      </c>
      <c r="F592" s="93">
        <v>153375</v>
      </c>
      <c r="G592" s="93">
        <v>13696</v>
      </c>
      <c r="H592" s="94"/>
      <c r="I592" s="93" t="s">
        <v>855</v>
      </c>
      <c r="J592" s="93">
        <v>2</v>
      </c>
      <c r="K592" s="93">
        <v>3750</v>
      </c>
      <c r="L592" s="93">
        <v>32</v>
      </c>
      <c r="M592" s="17"/>
      <c r="N592" s="93" t="s">
        <v>855</v>
      </c>
      <c r="O592" s="93">
        <v>2</v>
      </c>
      <c r="P592" s="93">
        <v>3750</v>
      </c>
      <c r="Q592" s="93">
        <v>32</v>
      </c>
      <c r="R592" s="69"/>
    </row>
    <row r="593" spans="2:18">
      <c r="B593" s="68"/>
      <c r="C593" s="93">
        <v>9</v>
      </c>
      <c r="D593" s="93" t="s">
        <v>1787</v>
      </c>
      <c r="E593" s="93">
        <v>4</v>
      </c>
      <c r="F593" s="93">
        <v>149625</v>
      </c>
      <c r="G593" s="93">
        <v>13664</v>
      </c>
      <c r="H593" s="94"/>
      <c r="I593" s="93" t="s">
        <v>856</v>
      </c>
      <c r="J593" s="93">
        <v>2</v>
      </c>
      <c r="K593" s="93">
        <v>3750</v>
      </c>
      <c r="L593" s="93">
        <v>32</v>
      </c>
      <c r="M593" s="17"/>
      <c r="N593" s="93" t="s">
        <v>856</v>
      </c>
      <c r="O593" s="93">
        <v>2</v>
      </c>
      <c r="P593" s="93">
        <v>3750</v>
      </c>
      <c r="Q593" s="93">
        <v>32</v>
      </c>
      <c r="R593" s="69"/>
    </row>
    <row r="594" spans="2:18">
      <c r="B594" s="68"/>
      <c r="C594" s="93">
        <v>9</v>
      </c>
      <c r="D594" s="93" t="s">
        <v>1787</v>
      </c>
      <c r="E594" s="93">
        <v>2</v>
      </c>
      <c r="F594" s="93">
        <v>145875</v>
      </c>
      <c r="G594" s="93">
        <v>13632</v>
      </c>
      <c r="H594" s="94"/>
      <c r="I594" s="93" t="s">
        <v>857</v>
      </c>
      <c r="J594" s="93">
        <v>2</v>
      </c>
      <c r="K594" s="93">
        <v>3750</v>
      </c>
      <c r="L594" s="93">
        <v>32</v>
      </c>
      <c r="M594" s="17"/>
      <c r="N594" s="93" t="s">
        <v>857</v>
      </c>
      <c r="O594" s="93">
        <v>2</v>
      </c>
      <c r="P594" s="93">
        <v>3750</v>
      </c>
      <c r="Q594" s="93">
        <v>32</v>
      </c>
      <c r="R594" s="69"/>
    </row>
    <row r="595" spans="2:18">
      <c r="B595" s="68"/>
      <c r="C595" s="93">
        <v>10</v>
      </c>
      <c r="D595" s="93" t="s">
        <v>1788</v>
      </c>
      <c r="E595" s="93">
        <v>138</v>
      </c>
      <c r="F595" s="93">
        <v>518490</v>
      </c>
      <c r="G595" s="93">
        <v>19598</v>
      </c>
      <c r="H595" s="94"/>
      <c r="I595" s="93" t="s">
        <v>858</v>
      </c>
      <c r="J595" s="93">
        <v>2</v>
      </c>
      <c r="K595" s="93">
        <v>3750</v>
      </c>
      <c r="L595" s="93">
        <v>32</v>
      </c>
      <c r="M595" s="17"/>
      <c r="N595" s="93" t="s">
        <v>858</v>
      </c>
      <c r="O595" s="93">
        <v>2</v>
      </c>
      <c r="P595" s="93">
        <v>3750</v>
      </c>
      <c r="Q595" s="93">
        <v>32</v>
      </c>
      <c r="R595" s="69"/>
    </row>
    <row r="596" spans="2:18">
      <c r="B596" s="68"/>
      <c r="C596" s="93">
        <v>10</v>
      </c>
      <c r="D596" s="93" t="s">
        <v>1788</v>
      </c>
      <c r="E596" s="93">
        <v>136</v>
      </c>
      <c r="F596" s="93">
        <v>514740</v>
      </c>
      <c r="G596" s="93">
        <v>19566</v>
      </c>
      <c r="H596" s="94"/>
      <c r="I596" s="93" t="s">
        <v>859</v>
      </c>
      <c r="J596" s="93">
        <v>2</v>
      </c>
      <c r="K596" s="93">
        <v>3750</v>
      </c>
      <c r="L596" s="93">
        <v>32</v>
      </c>
      <c r="M596" s="17"/>
      <c r="N596" s="93" t="s">
        <v>859</v>
      </c>
      <c r="O596" s="93">
        <v>2</v>
      </c>
      <c r="P596" s="93">
        <v>3750</v>
      </c>
      <c r="Q596" s="93">
        <v>32</v>
      </c>
      <c r="R596" s="69"/>
    </row>
    <row r="597" spans="2:18">
      <c r="B597" s="68"/>
      <c r="C597" s="93">
        <v>10</v>
      </c>
      <c r="D597" s="93" t="s">
        <v>1788</v>
      </c>
      <c r="E597" s="93">
        <v>134</v>
      </c>
      <c r="F597" s="93">
        <v>510990</v>
      </c>
      <c r="G597" s="93">
        <v>19534</v>
      </c>
      <c r="H597" s="94"/>
      <c r="I597" s="93" t="s">
        <v>860</v>
      </c>
      <c r="J597" s="93">
        <v>2</v>
      </c>
      <c r="K597" s="93">
        <v>3750</v>
      </c>
      <c r="L597" s="93">
        <v>32</v>
      </c>
      <c r="M597" s="17"/>
      <c r="N597" s="93" t="s">
        <v>860</v>
      </c>
      <c r="O597" s="93">
        <v>2</v>
      </c>
      <c r="P597" s="93">
        <v>3750</v>
      </c>
      <c r="Q597" s="93">
        <v>32</v>
      </c>
      <c r="R597" s="69"/>
    </row>
    <row r="598" spans="2:18">
      <c r="B598" s="68"/>
      <c r="C598" s="93">
        <v>10</v>
      </c>
      <c r="D598" s="93" t="s">
        <v>1788</v>
      </c>
      <c r="E598" s="93">
        <v>132</v>
      </c>
      <c r="F598" s="93">
        <v>507240</v>
      </c>
      <c r="G598" s="93">
        <v>19502</v>
      </c>
      <c r="H598" s="94"/>
      <c r="I598" s="93" t="s">
        <v>861</v>
      </c>
      <c r="J598" s="93">
        <v>2</v>
      </c>
      <c r="K598" s="93">
        <v>3750</v>
      </c>
      <c r="L598" s="93">
        <v>32</v>
      </c>
      <c r="M598" s="17"/>
      <c r="N598" s="93" t="s">
        <v>861</v>
      </c>
      <c r="O598" s="93">
        <v>2</v>
      </c>
      <c r="P598" s="93">
        <v>3750</v>
      </c>
      <c r="Q598" s="93">
        <v>32</v>
      </c>
      <c r="R598" s="69"/>
    </row>
    <row r="599" spans="2:18">
      <c r="B599" s="68"/>
      <c r="C599" s="93">
        <v>10</v>
      </c>
      <c r="D599" s="93" t="s">
        <v>1788</v>
      </c>
      <c r="E599" s="93">
        <v>130</v>
      </c>
      <c r="F599" s="93">
        <v>503490</v>
      </c>
      <c r="G599" s="93">
        <v>19470</v>
      </c>
      <c r="H599" s="94"/>
      <c r="I599" s="93" t="s">
        <v>862</v>
      </c>
      <c r="J599" s="93">
        <v>2</v>
      </c>
      <c r="K599" s="93">
        <v>3750</v>
      </c>
      <c r="L599" s="93">
        <v>32</v>
      </c>
      <c r="M599" s="17"/>
      <c r="N599" s="93" t="s">
        <v>862</v>
      </c>
      <c r="O599" s="93">
        <v>2</v>
      </c>
      <c r="P599" s="93">
        <v>3750</v>
      </c>
      <c r="Q599" s="93">
        <v>32</v>
      </c>
      <c r="R599" s="69"/>
    </row>
    <row r="600" spans="2:18">
      <c r="B600" s="68"/>
      <c r="C600" s="93">
        <v>9</v>
      </c>
      <c r="D600" s="93" t="s">
        <v>1787</v>
      </c>
      <c r="E600" s="93">
        <v>1</v>
      </c>
      <c r="F600" s="93">
        <v>143875</v>
      </c>
      <c r="G600" s="93">
        <v>13632</v>
      </c>
      <c r="H600" s="94"/>
      <c r="I600" s="93" t="s">
        <v>863</v>
      </c>
      <c r="J600" s="93">
        <v>1</v>
      </c>
      <c r="K600" s="93">
        <v>2000</v>
      </c>
      <c r="L600" s="93">
        <v>0</v>
      </c>
      <c r="M600" s="17"/>
      <c r="N600" s="93" t="s">
        <v>863</v>
      </c>
      <c r="O600" s="93">
        <v>1</v>
      </c>
      <c r="P600" s="93">
        <v>2000</v>
      </c>
      <c r="Q600" s="93">
        <v>0</v>
      </c>
      <c r="R600" s="69"/>
    </row>
    <row r="601" spans="2:18">
      <c r="B601" s="68"/>
      <c r="C601" s="93">
        <v>10</v>
      </c>
      <c r="D601" s="93" t="s">
        <v>1788</v>
      </c>
      <c r="E601" s="93">
        <v>128</v>
      </c>
      <c r="F601" s="93">
        <v>499740</v>
      </c>
      <c r="G601" s="93">
        <v>19438</v>
      </c>
      <c r="H601" s="94"/>
      <c r="I601" s="93" t="s">
        <v>864</v>
      </c>
      <c r="J601" s="93">
        <v>2</v>
      </c>
      <c r="K601" s="93">
        <v>3750</v>
      </c>
      <c r="L601" s="93">
        <v>32</v>
      </c>
      <c r="M601" s="17"/>
      <c r="N601" s="93" t="s">
        <v>864</v>
      </c>
      <c r="O601" s="93">
        <v>2</v>
      </c>
      <c r="P601" s="93">
        <v>3750</v>
      </c>
      <c r="Q601" s="93">
        <v>32</v>
      </c>
      <c r="R601" s="69"/>
    </row>
    <row r="602" spans="2:18">
      <c r="B602" s="68"/>
      <c r="C602" s="93">
        <v>10</v>
      </c>
      <c r="D602" s="93" t="s">
        <v>1788</v>
      </c>
      <c r="E602" s="93">
        <v>127</v>
      </c>
      <c r="F602" s="93">
        <v>497740</v>
      </c>
      <c r="G602" s="93">
        <v>19438</v>
      </c>
      <c r="H602" s="94"/>
      <c r="I602" s="93" t="s">
        <v>865</v>
      </c>
      <c r="J602" s="93">
        <v>1</v>
      </c>
      <c r="K602" s="93">
        <v>2000</v>
      </c>
      <c r="L602" s="93">
        <v>0</v>
      </c>
      <c r="M602" s="17"/>
      <c r="N602" s="93" t="s">
        <v>865</v>
      </c>
      <c r="O602" s="93">
        <v>1</v>
      </c>
      <c r="P602" s="93">
        <v>2000</v>
      </c>
      <c r="Q602" s="93">
        <v>0</v>
      </c>
      <c r="R602" s="69"/>
    </row>
    <row r="603" spans="2:18">
      <c r="B603" s="68"/>
      <c r="C603" s="93">
        <v>10</v>
      </c>
      <c r="D603" s="93" t="s">
        <v>1788</v>
      </c>
      <c r="E603" s="93">
        <v>126</v>
      </c>
      <c r="F603" s="93">
        <v>495740</v>
      </c>
      <c r="G603" s="93">
        <v>19438</v>
      </c>
      <c r="H603" s="94"/>
      <c r="I603" s="93" t="s">
        <v>866</v>
      </c>
      <c r="J603" s="93">
        <v>1</v>
      </c>
      <c r="K603" s="93">
        <v>2000</v>
      </c>
      <c r="L603" s="93">
        <v>0</v>
      </c>
      <c r="M603" s="17"/>
      <c r="N603" s="93" t="s">
        <v>866</v>
      </c>
      <c r="O603" s="93">
        <v>1</v>
      </c>
      <c r="P603" s="93">
        <v>2000</v>
      </c>
      <c r="Q603" s="93">
        <v>0</v>
      </c>
      <c r="R603" s="69"/>
    </row>
    <row r="604" spans="2:18">
      <c r="B604" s="68"/>
      <c r="C604" s="93">
        <v>10</v>
      </c>
      <c r="D604" s="93" t="s">
        <v>1788</v>
      </c>
      <c r="E604" s="93">
        <v>124</v>
      </c>
      <c r="F604" s="93">
        <v>491990</v>
      </c>
      <c r="G604" s="93">
        <v>19406</v>
      </c>
      <c r="H604" s="94"/>
      <c r="I604" s="93" t="s">
        <v>867</v>
      </c>
      <c r="J604" s="93">
        <v>2</v>
      </c>
      <c r="K604" s="93">
        <v>3750</v>
      </c>
      <c r="L604" s="93">
        <v>32</v>
      </c>
      <c r="M604" s="17"/>
      <c r="N604" s="93" t="s">
        <v>867</v>
      </c>
      <c r="O604" s="93">
        <v>2</v>
      </c>
      <c r="P604" s="93">
        <v>3750</v>
      </c>
      <c r="Q604" s="93">
        <v>32</v>
      </c>
      <c r="R604" s="69"/>
    </row>
    <row r="605" spans="2:18">
      <c r="B605" s="68"/>
      <c r="C605" s="93">
        <v>10</v>
      </c>
      <c r="D605" s="93" t="s">
        <v>1788</v>
      </c>
      <c r="E605" s="93">
        <v>122</v>
      </c>
      <c r="F605" s="93">
        <v>488240</v>
      </c>
      <c r="G605" s="93">
        <v>19374</v>
      </c>
      <c r="H605" s="94"/>
      <c r="I605" s="93" t="s">
        <v>868</v>
      </c>
      <c r="J605" s="93">
        <v>2</v>
      </c>
      <c r="K605" s="93">
        <v>3750</v>
      </c>
      <c r="L605" s="93">
        <v>32</v>
      </c>
      <c r="M605" s="17"/>
      <c r="N605" s="93" t="s">
        <v>868</v>
      </c>
      <c r="O605" s="93">
        <v>2</v>
      </c>
      <c r="P605" s="93">
        <v>3750</v>
      </c>
      <c r="Q605" s="93">
        <v>32</v>
      </c>
      <c r="R605" s="69"/>
    </row>
    <row r="606" spans="2:18">
      <c r="B606" s="68"/>
      <c r="C606" s="93">
        <v>10</v>
      </c>
      <c r="D606" s="93" t="s">
        <v>1788</v>
      </c>
      <c r="E606" s="93">
        <v>120</v>
      </c>
      <c r="F606" s="93">
        <v>484490</v>
      </c>
      <c r="G606" s="93">
        <v>19342</v>
      </c>
      <c r="H606" s="94"/>
      <c r="I606" s="93" t="s">
        <v>869</v>
      </c>
      <c r="J606" s="93">
        <v>2</v>
      </c>
      <c r="K606" s="93">
        <v>3750</v>
      </c>
      <c r="L606" s="93">
        <v>32</v>
      </c>
      <c r="M606" s="17"/>
      <c r="N606" s="93" t="s">
        <v>869</v>
      </c>
      <c r="O606" s="93">
        <v>2</v>
      </c>
      <c r="P606" s="93">
        <v>3750</v>
      </c>
      <c r="Q606" s="93">
        <v>32</v>
      </c>
      <c r="R606" s="69"/>
    </row>
    <row r="607" spans="2:18">
      <c r="B607" s="68"/>
      <c r="C607" s="93">
        <v>10</v>
      </c>
      <c r="D607" s="93" t="s">
        <v>1788</v>
      </c>
      <c r="E607" s="93">
        <v>118</v>
      </c>
      <c r="F607" s="93">
        <v>480740</v>
      </c>
      <c r="G607" s="93">
        <v>19310</v>
      </c>
      <c r="H607" s="94"/>
      <c r="I607" s="93" t="s">
        <v>870</v>
      </c>
      <c r="J607" s="93">
        <v>2</v>
      </c>
      <c r="K607" s="93">
        <v>3750</v>
      </c>
      <c r="L607" s="93">
        <v>32</v>
      </c>
      <c r="M607" s="17"/>
      <c r="N607" s="93" t="s">
        <v>870</v>
      </c>
      <c r="O607" s="93">
        <v>2</v>
      </c>
      <c r="P607" s="93">
        <v>3750</v>
      </c>
      <c r="Q607" s="93">
        <v>32</v>
      </c>
      <c r="R607" s="69"/>
    </row>
    <row r="608" spans="2:18">
      <c r="B608" s="68"/>
      <c r="C608" s="93">
        <v>10</v>
      </c>
      <c r="D608" s="93" t="s">
        <v>1788</v>
      </c>
      <c r="E608" s="93">
        <v>116</v>
      </c>
      <c r="F608" s="93">
        <v>476990</v>
      </c>
      <c r="G608" s="93">
        <v>19278</v>
      </c>
      <c r="H608" s="94"/>
      <c r="I608" s="93" t="s">
        <v>871</v>
      </c>
      <c r="J608" s="93">
        <v>2</v>
      </c>
      <c r="K608" s="93">
        <v>3750</v>
      </c>
      <c r="L608" s="93">
        <v>32</v>
      </c>
      <c r="M608" s="17"/>
      <c r="N608" s="93" t="s">
        <v>871</v>
      </c>
      <c r="O608" s="93">
        <v>2</v>
      </c>
      <c r="P608" s="93">
        <v>3750</v>
      </c>
      <c r="Q608" s="93">
        <v>32</v>
      </c>
      <c r="R608" s="69"/>
    </row>
    <row r="609" spans="2:18">
      <c r="B609" s="68"/>
      <c r="C609" s="93">
        <v>10</v>
      </c>
      <c r="D609" s="93" t="s">
        <v>1788</v>
      </c>
      <c r="E609" s="93">
        <v>114</v>
      </c>
      <c r="F609" s="93">
        <v>473240</v>
      </c>
      <c r="G609" s="93">
        <v>19246</v>
      </c>
      <c r="H609" s="94"/>
      <c r="I609" s="93" t="s">
        <v>872</v>
      </c>
      <c r="J609" s="93">
        <v>2</v>
      </c>
      <c r="K609" s="93">
        <v>3750</v>
      </c>
      <c r="L609" s="93">
        <v>32</v>
      </c>
      <c r="M609" s="17"/>
      <c r="N609" s="93" t="s">
        <v>872</v>
      </c>
      <c r="O609" s="93">
        <v>2</v>
      </c>
      <c r="P609" s="93">
        <v>3750</v>
      </c>
      <c r="Q609" s="93">
        <v>32</v>
      </c>
      <c r="R609" s="69"/>
    </row>
    <row r="610" spans="2:18">
      <c r="B610" s="68"/>
      <c r="C610" s="93">
        <v>10</v>
      </c>
      <c r="D610" s="93" t="s">
        <v>1788</v>
      </c>
      <c r="E610" s="93">
        <v>112</v>
      </c>
      <c r="F610" s="93">
        <v>469490</v>
      </c>
      <c r="G610" s="93">
        <v>19214</v>
      </c>
      <c r="H610" s="94"/>
      <c r="I610" s="93" t="s">
        <v>873</v>
      </c>
      <c r="J610" s="93">
        <v>2</v>
      </c>
      <c r="K610" s="93">
        <v>3750</v>
      </c>
      <c r="L610" s="93">
        <v>32</v>
      </c>
      <c r="M610" s="17"/>
      <c r="N610" s="93" t="s">
        <v>873</v>
      </c>
      <c r="O610" s="93">
        <v>2</v>
      </c>
      <c r="P610" s="93">
        <v>3750</v>
      </c>
      <c r="Q610" s="93">
        <v>32</v>
      </c>
      <c r="R610" s="69"/>
    </row>
    <row r="611" spans="2:18">
      <c r="B611" s="68"/>
      <c r="C611" s="93">
        <v>10</v>
      </c>
      <c r="D611" s="93" t="s">
        <v>1788</v>
      </c>
      <c r="E611" s="93">
        <v>110</v>
      </c>
      <c r="F611" s="93">
        <v>465740</v>
      </c>
      <c r="G611" s="93">
        <v>19182</v>
      </c>
      <c r="H611" s="94"/>
      <c r="I611" s="93" t="s">
        <v>874</v>
      </c>
      <c r="J611" s="93">
        <v>2</v>
      </c>
      <c r="K611" s="93">
        <v>3750</v>
      </c>
      <c r="L611" s="93">
        <v>32</v>
      </c>
      <c r="M611" s="17"/>
      <c r="N611" s="93" t="s">
        <v>874</v>
      </c>
      <c r="O611" s="93">
        <v>2</v>
      </c>
      <c r="P611" s="93">
        <v>3750</v>
      </c>
      <c r="Q611" s="93">
        <v>32</v>
      </c>
      <c r="R611" s="69"/>
    </row>
    <row r="612" spans="2:18">
      <c r="B612" s="68"/>
      <c r="C612" s="93">
        <v>10</v>
      </c>
      <c r="D612" s="93" t="s">
        <v>1788</v>
      </c>
      <c r="E612" s="93">
        <v>109</v>
      </c>
      <c r="F612" s="93">
        <v>464040</v>
      </c>
      <c r="G612" s="93">
        <v>19022</v>
      </c>
      <c r="H612" s="94"/>
      <c r="I612" s="93" t="s">
        <v>875</v>
      </c>
      <c r="J612" s="93">
        <v>1</v>
      </c>
      <c r="K612" s="93">
        <v>1700</v>
      </c>
      <c r="L612" s="93">
        <v>160</v>
      </c>
      <c r="M612" s="17"/>
      <c r="N612" s="93" t="s">
        <v>875</v>
      </c>
      <c r="O612" s="93">
        <v>1</v>
      </c>
      <c r="P612" s="93">
        <v>1700</v>
      </c>
      <c r="Q612" s="93">
        <v>160</v>
      </c>
      <c r="R612" s="69"/>
    </row>
    <row r="613" spans="2:18">
      <c r="B613" s="68"/>
      <c r="C613" s="93">
        <v>10</v>
      </c>
      <c r="D613" s="93" t="s">
        <v>1788</v>
      </c>
      <c r="E613" s="93">
        <v>107</v>
      </c>
      <c r="F613" s="93">
        <v>460290</v>
      </c>
      <c r="G613" s="93">
        <v>18990</v>
      </c>
      <c r="H613" s="94"/>
      <c r="I613" s="93" t="s">
        <v>876</v>
      </c>
      <c r="J613" s="93">
        <v>2</v>
      </c>
      <c r="K613" s="93">
        <v>3750</v>
      </c>
      <c r="L613" s="93">
        <v>32</v>
      </c>
      <c r="M613" s="17"/>
      <c r="N613" s="93" t="s">
        <v>876</v>
      </c>
      <c r="O613" s="93">
        <v>2</v>
      </c>
      <c r="P613" s="93">
        <v>3750</v>
      </c>
      <c r="Q613" s="93">
        <v>32</v>
      </c>
      <c r="R613" s="69"/>
    </row>
    <row r="614" spans="2:18">
      <c r="B614" s="68"/>
      <c r="C614" s="93">
        <v>10</v>
      </c>
      <c r="D614" s="93" t="s">
        <v>1788</v>
      </c>
      <c r="E614" s="93">
        <v>105</v>
      </c>
      <c r="F614" s="93">
        <v>456540</v>
      </c>
      <c r="G614" s="93">
        <v>18958</v>
      </c>
      <c r="H614" s="94"/>
      <c r="I614" s="93" t="s">
        <v>877</v>
      </c>
      <c r="J614" s="93">
        <v>2</v>
      </c>
      <c r="K614" s="93">
        <v>3750</v>
      </c>
      <c r="L614" s="93">
        <v>32</v>
      </c>
      <c r="M614" s="17"/>
      <c r="N614" s="93" t="s">
        <v>877</v>
      </c>
      <c r="O614" s="93">
        <v>2</v>
      </c>
      <c r="P614" s="93">
        <v>3750</v>
      </c>
      <c r="Q614" s="93">
        <v>32</v>
      </c>
      <c r="R614" s="69"/>
    </row>
    <row r="615" spans="2:18">
      <c r="B615" s="68"/>
      <c r="C615" s="93">
        <v>10</v>
      </c>
      <c r="D615" s="93" t="s">
        <v>1788</v>
      </c>
      <c r="E615" s="93">
        <v>103</v>
      </c>
      <c r="F615" s="93">
        <v>452790</v>
      </c>
      <c r="G615" s="93">
        <v>18926</v>
      </c>
      <c r="H615" s="94"/>
      <c r="I615" s="93" t="s">
        <v>878</v>
      </c>
      <c r="J615" s="93">
        <v>2</v>
      </c>
      <c r="K615" s="93">
        <v>3750</v>
      </c>
      <c r="L615" s="93">
        <v>32</v>
      </c>
      <c r="M615" s="17"/>
      <c r="N615" s="93" t="s">
        <v>878</v>
      </c>
      <c r="O615" s="93">
        <v>2</v>
      </c>
      <c r="P615" s="93">
        <v>3750</v>
      </c>
      <c r="Q615" s="93">
        <v>32</v>
      </c>
      <c r="R615" s="69"/>
    </row>
    <row r="616" spans="2:18">
      <c r="B616" s="68"/>
      <c r="C616" s="93">
        <v>10</v>
      </c>
      <c r="D616" s="93" t="s">
        <v>1788</v>
      </c>
      <c r="E616" s="93">
        <v>101</v>
      </c>
      <c r="F616" s="93">
        <v>449040</v>
      </c>
      <c r="G616" s="93">
        <v>18894</v>
      </c>
      <c r="H616" s="94"/>
      <c r="I616" s="93" t="s">
        <v>879</v>
      </c>
      <c r="J616" s="93">
        <v>2</v>
      </c>
      <c r="K616" s="93">
        <v>3750</v>
      </c>
      <c r="L616" s="93">
        <v>32</v>
      </c>
      <c r="M616" s="17"/>
      <c r="N616" s="93" t="s">
        <v>879</v>
      </c>
      <c r="O616" s="93">
        <v>2</v>
      </c>
      <c r="P616" s="93">
        <v>3750</v>
      </c>
      <c r="Q616" s="93">
        <v>32</v>
      </c>
      <c r="R616" s="69"/>
    </row>
    <row r="617" spans="2:18">
      <c r="B617" s="68"/>
      <c r="C617" s="93">
        <v>10</v>
      </c>
      <c r="D617" s="93" t="s">
        <v>1788</v>
      </c>
      <c r="E617" s="93">
        <v>99</v>
      </c>
      <c r="F617" s="93">
        <v>445290</v>
      </c>
      <c r="G617" s="93">
        <v>18862</v>
      </c>
      <c r="H617" s="94"/>
      <c r="I617" s="93" t="s">
        <v>880</v>
      </c>
      <c r="J617" s="93">
        <v>2</v>
      </c>
      <c r="K617" s="93">
        <v>3750</v>
      </c>
      <c r="L617" s="93">
        <v>32</v>
      </c>
      <c r="M617" s="17"/>
      <c r="N617" s="93" t="s">
        <v>880</v>
      </c>
      <c r="O617" s="93">
        <v>2</v>
      </c>
      <c r="P617" s="93">
        <v>3750</v>
      </c>
      <c r="Q617" s="93">
        <v>32</v>
      </c>
      <c r="R617" s="69"/>
    </row>
    <row r="618" spans="2:18">
      <c r="B618" s="68"/>
      <c r="C618" s="93">
        <v>10</v>
      </c>
      <c r="D618" s="93" t="s">
        <v>1788</v>
      </c>
      <c r="E618" s="93">
        <v>97</v>
      </c>
      <c r="F618" s="93">
        <v>441540</v>
      </c>
      <c r="G618" s="93">
        <v>18830</v>
      </c>
      <c r="H618" s="94"/>
      <c r="I618" s="93" t="s">
        <v>881</v>
      </c>
      <c r="J618" s="93">
        <v>2</v>
      </c>
      <c r="K618" s="93">
        <v>3750</v>
      </c>
      <c r="L618" s="93">
        <v>32</v>
      </c>
      <c r="M618" s="17"/>
      <c r="N618" s="93" t="s">
        <v>881</v>
      </c>
      <c r="O618" s="93">
        <v>2</v>
      </c>
      <c r="P618" s="93">
        <v>3750</v>
      </c>
      <c r="Q618" s="93">
        <v>32</v>
      </c>
      <c r="R618" s="69"/>
    </row>
    <row r="619" spans="2:18">
      <c r="B619" s="68"/>
      <c r="C619" s="93">
        <v>10</v>
      </c>
      <c r="D619" s="93" t="s">
        <v>1788</v>
      </c>
      <c r="E619" s="93">
        <v>95</v>
      </c>
      <c r="F619" s="93">
        <v>437790</v>
      </c>
      <c r="G619" s="93">
        <v>18798</v>
      </c>
      <c r="H619" s="94"/>
      <c r="I619" s="93" t="s">
        <v>882</v>
      </c>
      <c r="J619" s="93">
        <v>2</v>
      </c>
      <c r="K619" s="93">
        <v>3750</v>
      </c>
      <c r="L619" s="93">
        <v>32</v>
      </c>
      <c r="M619" s="17"/>
      <c r="N619" s="93" t="s">
        <v>882</v>
      </c>
      <c r="O619" s="93">
        <v>2</v>
      </c>
      <c r="P619" s="93">
        <v>3750</v>
      </c>
      <c r="Q619" s="93">
        <v>32</v>
      </c>
      <c r="R619" s="69"/>
    </row>
    <row r="620" spans="2:18">
      <c r="B620" s="68"/>
      <c r="C620" s="93">
        <v>10</v>
      </c>
      <c r="D620" s="93" t="s">
        <v>1788</v>
      </c>
      <c r="E620" s="93">
        <v>93</v>
      </c>
      <c r="F620" s="93">
        <v>434040</v>
      </c>
      <c r="G620" s="93">
        <v>18766</v>
      </c>
      <c r="H620" s="94"/>
      <c r="I620" s="93" t="s">
        <v>883</v>
      </c>
      <c r="J620" s="93">
        <v>2</v>
      </c>
      <c r="K620" s="93">
        <v>3750</v>
      </c>
      <c r="L620" s="93">
        <v>32</v>
      </c>
      <c r="M620" s="17"/>
      <c r="N620" s="93" t="s">
        <v>883</v>
      </c>
      <c r="O620" s="93">
        <v>2</v>
      </c>
      <c r="P620" s="93">
        <v>3750</v>
      </c>
      <c r="Q620" s="93">
        <v>32</v>
      </c>
      <c r="R620" s="69"/>
    </row>
    <row r="621" spans="2:18">
      <c r="B621" s="68"/>
      <c r="C621" s="93">
        <v>10</v>
      </c>
      <c r="D621" s="93" t="s">
        <v>1788</v>
      </c>
      <c r="E621" s="93">
        <v>91</v>
      </c>
      <c r="F621" s="93">
        <v>430290</v>
      </c>
      <c r="G621" s="93">
        <v>18734</v>
      </c>
      <c r="H621" s="94"/>
      <c r="I621" s="93" t="s">
        <v>884</v>
      </c>
      <c r="J621" s="93">
        <v>2</v>
      </c>
      <c r="K621" s="93">
        <v>3750</v>
      </c>
      <c r="L621" s="93">
        <v>32</v>
      </c>
      <c r="M621" s="17"/>
      <c r="N621" s="93" t="s">
        <v>884</v>
      </c>
      <c r="O621" s="93">
        <v>2</v>
      </c>
      <c r="P621" s="93">
        <v>3750</v>
      </c>
      <c r="Q621" s="93">
        <v>32</v>
      </c>
      <c r="R621" s="69"/>
    </row>
    <row r="622" spans="2:18">
      <c r="B622" s="68"/>
      <c r="C622" s="93">
        <v>10</v>
      </c>
      <c r="D622" s="93" t="s">
        <v>1788</v>
      </c>
      <c r="E622" s="93">
        <v>89</v>
      </c>
      <c r="F622" s="93">
        <v>426540</v>
      </c>
      <c r="G622" s="93">
        <v>18702</v>
      </c>
      <c r="H622" s="94"/>
      <c r="I622" s="93" t="s">
        <v>885</v>
      </c>
      <c r="J622" s="93">
        <v>2</v>
      </c>
      <c r="K622" s="93">
        <v>3750</v>
      </c>
      <c r="L622" s="93">
        <v>32</v>
      </c>
      <c r="M622" s="17"/>
      <c r="N622" s="93" t="s">
        <v>885</v>
      </c>
      <c r="O622" s="93">
        <v>2</v>
      </c>
      <c r="P622" s="93">
        <v>3750</v>
      </c>
      <c r="Q622" s="93">
        <v>32</v>
      </c>
      <c r="R622" s="69"/>
    </row>
    <row r="623" spans="2:18">
      <c r="B623" s="68"/>
      <c r="C623" s="93">
        <v>10</v>
      </c>
      <c r="D623" s="93" t="s">
        <v>1788</v>
      </c>
      <c r="E623" s="93">
        <v>87</v>
      </c>
      <c r="F623" s="93">
        <v>422790</v>
      </c>
      <c r="G623" s="93">
        <v>18670</v>
      </c>
      <c r="H623" s="94"/>
      <c r="I623" s="93" t="s">
        <v>886</v>
      </c>
      <c r="J623" s="93">
        <v>2</v>
      </c>
      <c r="K623" s="93">
        <v>3750</v>
      </c>
      <c r="L623" s="93">
        <v>32</v>
      </c>
      <c r="M623" s="17"/>
      <c r="N623" s="93" t="s">
        <v>886</v>
      </c>
      <c r="O623" s="93">
        <v>2</v>
      </c>
      <c r="P623" s="93">
        <v>3750</v>
      </c>
      <c r="Q623" s="93">
        <v>32</v>
      </c>
      <c r="R623" s="69"/>
    </row>
    <row r="624" spans="2:18">
      <c r="B624" s="68"/>
      <c r="C624" s="93">
        <v>10</v>
      </c>
      <c r="D624" s="93" t="s">
        <v>1788</v>
      </c>
      <c r="E624" s="93">
        <v>85</v>
      </c>
      <c r="F624" s="93">
        <v>419040</v>
      </c>
      <c r="G624" s="93">
        <v>18638</v>
      </c>
      <c r="H624" s="94"/>
      <c r="I624" s="93" t="s">
        <v>887</v>
      </c>
      <c r="J624" s="93">
        <v>2</v>
      </c>
      <c r="K624" s="93">
        <v>3750</v>
      </c>
      <c r="L624" s="93">
        <v>32</v>
      </c>
      <c r="M624" s="17"/>
      <c r="N624" s="93" t="s">
        <v>887</v>
      </c>
      <c r="O624" s="93">
        <v>2</v>
      </c>
      <c r="P624" s="93">
        <v>3750</v>
      </c>
      <c r="Q624" s="93">
        <v>32</v>
      </c>
      <c r="R624" s="69"/>
    </row>
    <row r="625" spans="2:18">
      <c r="B625" s="68"/>
      <c r="C625" s="93">
        <v>10</v>
      </c>
      <c r="D625" s="93" t="s">
        <v>1788</v>
      </c>
      <c r="E625" s="93">
        <v>83</v>
      </c>
      <c r="F625" s="93">
        <v>415290</v>
      </c>
      <c r="G625" s="93">
        <v>18606</v>
      </c>
      <c r="H625" s="94"/>
      <c r="I625" s="93" t="s">
        <v>888</v>
      </c>
      <c r="J625" s="93">
        <v>2</v>
      </c>
      <c r="K625" s="93">
        <v>3750</v>
      </c>
      <c r="L625" s="93">
        <v>32</v>
      </c>
      <c r="M625" s="17"/>
      <c r="N625" s="93" t="s">
        <v>888</v>
      </c>
      <c r="O625" s="93">
        <v>2</v>
      </c>
      <c r="P625" s="93">
        <v>3750</v>
      </c>
      <c r="Q625" s="93">
        <v>32</v>
      </c>
      <c r="R625" s="69"/>
    </row>
    <row r="626" spans="2:18">
      <c r="B626" s="68"/>
      <c r="C626" s="93">
        <v>10</v>
      </c>
      <c r="D626" s="93" t="s">
        <v>1788</v>
      </c>
      <c r="E626" s="93">
        <v>81</v>
      </c>
      <c r="F626" s="93">
        <v>411540</v>
      </c>
      <c r="G626" s="93">
        <v>18574</v>
      </c>
      <c r="H626" s="94"/>
      <c r="I626" s="93" t="s">
        <v>889</v>
      </c>
      <c r="J626" s="93">
        <v>2</v>
      </c>
      <c r="K626" s="93">
        <v>3750</v>
      </c>
      <c r="L626" s="93">
        <v>32</v>
      </c>
      <c r="M626" s="17"/>
      <c r="N626" s="93" t="s">
        <v>889</v>
      </c>
      <c r="O626" s="93">
        <v>2</v>
      </c>
      <c r="P626" s="93">
        <v>3750</v>
      </c>
      <c r="Q626" s="93">
        <v>32</v>
      </c>
      <c r="R626" s="69"/>
    </row>
    <row r="627" spans="2:18">
      <c r="B627" s="68"/>
      <c r="C627" s="93">
        <v>10</v>
      </c>
      <c r="D627" s="93" t="s">
        <v>1788</v>
      </c>
      <c r="E627" s="93">
        <v>79</v>
      </c>
      <c r="F627" s="93">
        <v>407790</v>
      </c>
      <c r="G627" s="93">
        <v>18542</v>
      </c>
      <c r="H627" s="94"/>
      <c r="I627" s="93" t="s">
        <v>890</v>
      </c>
      <c r="J627" s="93">
        <v>2</v>
      </c>
      <c r="K627" s="93">
        <v>3750</v>
      </c>
      <c r="L627" s="93">
        <v>32</v>
      </c>
      <c r="M627" s="17"/>
      <c r="N627" s="93" t="s">
        <v>890</v>
      </c>
      <c r="O627" s="93">
        <v>2</v>
      </c>
      <c r="P627" s="93">
        <v>3750</v>
      </c>
      <c r="Q627" s="93">
        <v>32</v>
      </c>
      <c r="R627" s="69"/>
    </row>
    <row r="628" spans="2:18">
      <c r="B628" s="68"/>
      <c r="C628" s="93">
        <v>10</v>
      </c>
      <c r="D628" s="93" t="s">
        <v>1788</v>
      </c>
      <c r="E628" s="93">
        <v>77</v>
      </c>
      <c r="F628" s="93">
        <v>404040</v>
      </c>
      <c r="G628" s="93">
        <v>18510</v>
      </c>
      <c r="H628" s="94"/>
      <c r="I628" s="93" t="s">
        <v>891</v>
      </c>
      <c r="J628" s="93">
        <v>2</v>
      </c>
      <c r="K628" s="93">
        <v>3750</v>
      </c>
      <c r="L628" s="93">
        <v>32</v>
      </c>
      <c r="M628" s="17"/>
      <c r="N628" s="93" t="s">
        <v>891</v>
      </c>
      <c r="O628" s="93">
        <v>2</v>
      </c>
      <c r="P628" s="93">
        <v>3750</v>
      </c>
      <c r="Q628" s="93">
        <v>32</v>
      </c>
      <c r="R628" s="69"/>
    </row>
    <row r="629" spans="2:18">
      <c r="B629" s="68"/>
      <c r="C629" s="93">
        <v>10</v>
      </c>
      <c r="D629" s="93" t="s">
        <v>1788</v>
      </c>
      <c r="E629" s="93">
        <v>75</v>
      </c>
      <c r="F629" s="93">
        <v>396540</v>
      </c>
      <c r="G629" s="93">
        <v>18478</v>
      </c>
      <c r="H629" s="94"/>
      <c r="I629" s="93" t="s">
        <v>892</v>
      </c>
      <c r="J629" s="93">
        <v>2</v>
      </c>
      <c r="K629" s="93">
        <v>7500</v>
      </c>
      <c r="L629" s="93">
        <v>32</v>
      </c>
      <c r="M629" s="17"/>
      <c r="N629" s="93" t="s">
        <v>892</v>
      </c>
      <c r="O629" s="93">
        <v>2</v>
      </c>
      <c r="P629" s="93">
        <v>7500</v>
      </c>
      <c r="Q629" s="93">
        <v>32</v>
      </c>
      <c r="R629" s="69"/>
    </row>
    <row r="630" spans="2:18">
      <c r="B630" s="68"/>
      <c r="C630" s="93">
        <v>10</v>
      </c>
      <c r="D630" s="93" t="s">
        <v>1788</v>
      </c>
      <c r="E630" s="93">
        <v>73</v>
      </c>
      <c r="F630" s="93">
        <v>389040</v>
      </c>
      <c r="G630" s="93">
        <v>18446</v>
      </c>
      <c r="H630" s="94"/>
      <c r="I630" s="93" t="s">
        <v>893</v>
      </c>
      <c r="J630" s="93">
        <v>2</v>
      </c>
      <c r="K630" s="93">
        <v>7500</v>
      </c>
      <c r="L630" s="93">
        <v>32</v>
      </c>
      <c r="M630" s="17"/>
      <c r="N630" s="93" t="s">
        <v>893</v>
      </c>
      <c r="O630" s="93">
        <v>2</v>
      </c>
      <c r="P630" s="93">
        <v>7500</v>
      </c>
      <c r="Q630" s="93">
        <v>32</v>
      </c>
      <c r="R630" s="69"/>
    </row>
    <row r="631" spans="2:18">
      <c r="B631" s="68"/>
      <c r="C631" s="93">
        <v>10</v>
      </c>
      <c r="D631" s="93" t="s">
        <v>1788</v>
      </c>
      <c r="E631" s="93">
        <v>71</v>
      </c>
      <c r="F631" s="93">
        <v>381540</v>
      </c>
      <c r="G631" s="93">
        <v>18414</v>
      </c>
      <c r="H631" s="94"/>
      <c r="I631" s="93" t="s">
        <v>894</v>
      </c>
      <c r="J631" s="93">
        <v>2</v>
      </c>
      <c r="K631" s="93">
        <v>7500</v>
      </c>
      <c r="L631" s="93">
        <v>32</v>
      </c>
      <c r="M631" s="17"/>
      <c r="N631" s="93" t="s">
        <v>894</v>
      </c>
      <c r="O631" s="93">
        <v>2</v>
      </c>
      <c r="P631" s="93">
        <v>7500</v>
      </c>
      <c r="Q631" s="93">
        <v>32</v>
      </c>
      <c r="R631" s="69"/>
    </row>
    <row r="632" spans="2:18">
      <c r="B632" s="68"/>
      <c r="C632" s="93">
        <v>10</v>
      </c>
      <c r="D632" s="93" t="s">
        <v>1788</v>
      </c>
      <c r="E632" s="93">
        <v>69</v>
      </c>
      <c r="F632" s="93">
        <v>377540</v>
      </c>
      <c r="G632" s="93">
        <v>18414</v>
      </c>
      <c r="H632" s="94"/>
      <c r="I632" s="93" t="s">
        <v>895</v>
      </c>
      <c r="J632" s="93">
        <v>2</v>
      </c>
      <c r="K632" s="93">
        <v>4000</v>
      </c>
      <c r="L632" s="93">
        <v>0</v>
      </c>
      <c r="M632" s="17"/>
      <c r="N632" s="93" t="s">
        <v>895</v>
      </c>
      <c r="O632" s="93">
        <v>2</v>
      </c>
      <c r="P632" s="93">
        <v>4000</v>
      </c>
      <c r="Q632" s="93">
        <v>0</v>
      </c>
      <c r="R632" s="69"/>
    </row>
    <row r="633" spans="2:18">
      <c r="B633" s="68"/>
      <c r="C633" s="93">
        <v>10</v>
      </c>
      <c r="D633" s="93" t="s">
        <v>1788</v>
      </c>
      <c r="E633" s="93">
        <v>67</v>
      </c>
      <c r="F633" s="93">
        <v>370040</v>
      </c>
      <c r="G633" s="93">
        <v>18382</v>
      </c>
      <c r="H633" s="94"/>
      <c r="I633" s="93" t="s">
        <v>896</v>
      </c>
      <c r="J633" s="93">
        <v>2</v>
      </c>
      <c r="K633" s="93">
        <v>7500</v>
      </c>
      <c r="L633" s="93">
        <v>32</v>
      </c>
      <c r="M633" s="17"/>
      <c r="N633" s="93" t="s">
        <v>896</v>
      </c>
      <c r="O633" s="93">
        <v>2</v>
      </c>
      <c r="P633" s="93">
        <v>7500</v>
      </c>
      <c r="Q633" s="93">
        <v>32</v>
      </c>
      <c r="R633" s="69"/>
    </row>
    <row r="634" spans="2:18">
      <c r="B634" s="68"/>
      <c r="C634" s="93">
        <v>10</v>
      </c>
      <c r="D634" s="93" t="s">
        <v>1788</v>
      </c>
      <c r="E634" s="93">
        <v>65</v>
      </c>
      <c r="F634" s="93">
        <v>366290</v>
      </c>
      <c r="G634" s="93">
        <v>18350</v>
      </c>
      <c r="H634" s="94"/>
      <c r="I634" s="93" t="s">
        <v>897</v>
      </c>
      <c r="J634" s="93">
        <v>2</v>
      </c>
      <c r="K634" s="93">
        <v>3750</v>
      </c>
      <c r="L634" s="93">
        <v>32</v>
      </c>
      <c r="M634" s="17"/>
      <c r="N634" s="93" t="s">
        <v>897</v>
      </c>
      <c r="O634" s="93">
        <v>2</v>
      </c>
      <c r="P634" s="93">
        <v>3750</v>
      </c>
      <c r="Q634" s="93">
        <v>32</v>
      </c>
      <c r="R634" s="69"/>
    </row>
    <row r="635" spans="2:18">
      <c r="B635" s="68"/>
      <c r="C635" s="93">
        <v>10</v>
      </c>
      <c r="D635" s="93" t="s">
        <v>1788</v>
      </c>
      <c r="E635" s="93">
        <v>63</v>
      </c>
      <c r="F635" s="93">
        <v>358790</v>
      </c>
      <c r="G635" s="93">
        <v>18318</v>
      </c>
      <c r="H635" s="94"/>
      <c r="I635" s="93" t="s">
        <v>898</v>
      </c>
      <c r="J635" s="93">
        <v>2</v>
      </c>
      <c r="K635" s="93">
        <v>7500</v>
      </c>
      <c r="L635" s="93">
        <v>32</v>
      </c>
      <c r="M635" s="17"/>
      <c r="N635" s="93" t="s">
        <v>898</v>
      </c>
      <c r="O635" s="93">
        <v>2</v>
      </c>
      <c r="P635" s="93">
        <v>7500</v>
      </c>
      <c r="Q635" s="93">
        <v>32</v>
      </c>
      <c r="R635" s="69"/>
    </row>
    <row r="636" spans="2:18">
      <c r="B636" s="68"/>
      <c r="C636" s="93">
        <v>10</v>
      </c>
      <c r="D636" s="93" t="s">
        <v>1788</v>
      </c>
      <c r="E636" s="93">
        <v>61</v>
      </c>
      <c r="F636" s="93">
        <v>351290</v>
      </c>
      <c r="G636" s="93">
        <v>18286</v>
      </c>
      <c r="H636" s="94"/>
      <c r="I636" s="93" t="s">
        <v>899</v>
      </c>
      <c r="J636" s="93">
        <v>2</v>
      </c>
      <c r="K636" s="93">
        <v>7500</v>
      </c>
      <c r="L636" s="93">
        <v>32</v>
      </c>
      <c r="M636" s="17"/>
      <c r="N636" s="93" t="s">
        <v>899</v>
      </c>
      <c r="O636" s="93">
        <v>2</v>
      </c>
      <c r="P636" s="93">
        <v>7500</v>
      </c>
      <c r="Q636" s="93">
        <v>32</v>
      </c>
      <c r="R636" s="69"/>
    </row>
    <row r="637" spans="2:18">
      <c r="B637" s="68"/>
      <c r="C637" s="93">
        <v>10</v>
      </c>
      <c r="D637" s="93" t="s">
        <v>1788</v>
      </c>
      <c r="E637" s="93">
        <v>59</v>
      </c>
      <c r="F637" s="93">
        <v>343790</v>
      </c>
      <c r="G637" s="93">
        <v>18254</v>
      </c>
      <c r="H637" s="94"/>
      <c r="I637" s="93" t="s">
        <v>900</v>
      </c>
      <c r="J637" s="93">
        <v>2</v>
      </c>
      <c r="K637" s="93">
        <v>7500</v>
      </c>
      <c r="L637" s="93">
        <v>32</v>
      </c>
      <c r="M637" s="17"/>
      <c r="N637" s="93" t="s">
        <v>900</v>
      </c>
      <c r="O637" s="93">
        <v>2</v>
      </c>
      <c r="P637" s="93">
        <v>7500</v>
      </c>
      <c r="Q637" s="93">
        <v>32</v>
      </c>
      <c r="R637" s="69"/>
    </row>
    <row r="638" spans="2:18">
      <c r="B638" s="68"/>
      <c r="C638" s="93">
        <v>10</v>
      </c>
      <c r="D638" s="93" t="s">
        <v>1788</v>
      </c>
      <c r="E638" s="93">
        <v>57</v>
      </c>
      <c r="F638" s="93">
        <v>336290</v>
      </c>
      <c r="G638" s="93">
        <v>18222</v>
      </c>
      <c r="H638" s="94"/>
      <c r="I638" s="93" t="s">
        <v>901</v>
      </c>
      <c r="J638" s="93">
        <v>2</v>
      </c>
      <c r="K638" s="93">
        <v>7500</v>
      </c>
      <c r="L638" s="93">
        <v>32</v>
      </c>
      <c r="M638" s="17"/>
      <c r="N638" s="93" t="s">
        <v>901</v>
      </c>
      <c r="O638" s="93">
        <v>2</v>
      </c>
      <c r="P638" s="93">
        <v>7500</v>
      </c>
      <c r="Q638" s="93">
        <v>32</v>
      </c>
      <c r="R638" s="69"/>
    </row>
    <row r="639" spans="2:18">
      <c r="B639" s="68"/>
      <c r="C639" s="93">
        <v>10</v>
      </c>
      <c r="D639" s="93" t="s">
        <v>1788</v>
      </c>
      <c r="E639" s="93">
        <v>55</v>
      </c>
      <c r="F639" s="93">
        <v>332540</v>
      </c>
      <c r="G639" s="93">
        <v>18190</v>
      </c>
      <c r="H639" s="94"/>
      <c r="I639" s="93" t="s">
        <v>902</v>
      </c>
      <c r="J639" s="93">
        <v>2</v>
      </c>
      <c r="K639" s="93">
        <v>3750</v>
      </c>
      <c r="L639" s="93">
        <v>32</v>
      </c>
      <c r="M639" s="17"/>
      <c r="N639" s="93" t="s">
        <v>902</v>
      </c>
      <c r="O639" s="93">
        <v>2</v>
      </c>
      <c r="P639" s="93">
        <v>3750</v>
      </c>
      <c r="Q639" s="93">
        <v>32</v>
      </c>
      <c r="R639" s="69"/>
    </row>
    <row r="640" spans="2:18">
      <c r="B640" s="68"/>
      <c r="C640" s="93">
        <v>10</v>
      </c>
      <c r="D640" s="93" t="s">
        <v>1788</v>
      </c>
      <c r="E640" s="93">
        <v>53</v>
      </c>
      <c r="F640" s="93">
        <v>328790</v>
      </c>
      <c r="G640" s="93">
        <v>18158</v>
      </c>
      <c r="H640" s="94"/>
      <c r="I640" s="93" t="s">
        <v>903</v>
      </c>
      <c r="J640" s="93">
        <v>2</v>
      </c>
      <c r="K640" s="93">
        <v>3750</v>
      </c>
      <c r="L640" s="93">
        <v>32</v>
      </c>
      <c r="M640" s="17"/>
      <c r="N640" s="93" t="s">
        <v>903</v>
      </c>
      <c r="O640" s="93">
        <v>2</v>
      </c>
      <c r="P640" s="93">
        <v>3750</v>
      </c>
      <c r="Q640" s="93">
        <v>32</v>
      </c>
      <c r="R640" s="69"/>
    </row>
    <row r="641" spans="2:18">
      <c r="B641" s="68"/>
      <c r="C641" s="93">
        <v>10</v>
      </c>
      <c r="D641" s="93" t="s">
        <v>1788</v>
      </c>
      <c r="E641" s="93">
        <v>51</v>
      </c>
      <c r="F641" s="93">
        <v>325040</v>
      </c>
      <c r="G641" s="93">
        <v>18126</v>
      </c>
      <c r="H641" s="94"/>
      <c r="I641" s="93" t="s">
        <v>904</v>
      </c>
      <c r="J641" s="93">
        <v>2</v>
      </c>
      <c r="K641" s="93">
        <v>3750</v>
      </c>
      <c r="L641" s="93">
        <v>32</v>
      </c>
      <c r="M641" s="17"/>
      <c r="N641" s="93" t="s">
        <v>904</v>
      </c>
      <c r="O641" s="93">
        <v>2</v>
      </c>
      <c r="P641" s="93">
        <v>3750</v>
      </c>
      <c r="Q641" s="93">
        <v>32</v>
      </c>
      <c r="R641" s="69"/>
    </row>
    <row r="642" spans="2:18">
      <c r="B642" s="68"/>
      <c r="C642" s="93">
        <v>10</v>
      </c>
      <c r="D642" s="93" t="s">
        <v>1788</v>
      </c>
      <c r="E642" s="93">
        <v>49</v>
      </c>
      <c r="F642" s="93">
        <v>321290</v>
      </c>
      <c r="G642" s="93">
        <v>18094</v>
      </c>
      <c r="H642" s="94"/>
      <c r="I642" s="93" t="s">
        <v>905</v>
      </c>
      <c r="J642" s="93">
        <v>2</v>
      </c>
      <c r="K642" s="93">
        <v>3750</v>
      </c>
      <c r="L642" s="93">
        <v>32</v>
      </c>
      <c r="M642" s="17"/>
      <c r="N642" s="93" t="s">
        <v>905</v>
      </c>
      <c r="O642" s="93">
        <v>2</v>
      </c>
      <c r="P642" s="93">
        <v>3750</v>
      </c>
      <c r="Q642" s="93">
        <v>32</v>
      </c>
      <c r="R642" s="69"/>
    </row>
    <row r="643" spans="2:18">
      <c r="B643" s="68"/>
      <c r="C643" s="93">
        <v>10</v>
      </c>
      <c r="D643" s="93" t="s">
        <v>1788</v>
      </c>
      <c r="E643" s="93">
        <v>47</v>
      </c>
      <c r="F643" s="93">
        <v>317540</v>
      </c>
      <c r="G643" s="93">
        <v>18062</v>
      </c>
      <c r="H643" s="94"/>
      <c r="I643" s="93" t="s">
        <v>906</v>
      </c>
      <c r="J643" s="93">
        <v>2</v>
      </c>
      <c r="K643" s="93">
        <v>3750</v>
      </c>
      <c r="L643" s="93">
        <v>32</v>
      </c>
      <c r="M643" s="17"/>
      <c r="N643" s="93" t="s">
        <v>906</v>
      </c>
      <c r="O643" s="93">
        <v>2</v>
      </c>
      <c r="P643" s="93">
        <v>3750</v>
      </c>
      <c r="Q643" s="93">
        <v>32</v>
      </c>
      <c r="R643" s="69"/>
    </row>
    <row r="644" spans="2:18">
      <c r="B644" s="68"/>
      <c r="C644" s="93">
        <v>10</v>
      </c>
      <c r="D644" s="93" t="s">
        <v>1788</v>
      </c>
      <c r="E644" s="93">
        <v>46</v>
      </c>
      <c r="F644" s="93">
        <v>315540</v>
      </c>
      <c r="G644" s="93">
        <v>18062</v>
      </c>
      <c r="H644" s="94"/>
      <c r="I644" s="93" t="s">
        <v>907</v>
      </c>
      <c r="J644" s="93">
        <v>1</v>
      </c>
      <c r="K644" s="93">
        <v>2000</v>
      </c>
      <c r="L644" s="93">
        <v>0</v>
      </c>
      <c r="M644" s="17"/>
      <c r="N644" s="93" t="s">
        <v>907</v>
      </c>
      <c r="O644" s="93">
        <v>1</v>
      </c>
      <c r="P644" s="93">
        <v>2000</v>
      </c>
      <c r="Q644" s="93">
        <v>0</v>
      </c>
      <c r="R644" s="69"/>
    </row>
    <row r="645" spans="2:18">
      <c r="B645" s="68"/>
      <c r="C645" s="93">
        <v>10</v>
      </c>
      <c r="D645" s="93" t="s">
        <v>1788</v>
      </c>
      <c r="E645" s="93">
        <v>45</v>
      </c>
      <c r="F645" s="93">
        <v>313540</v>
      </c>
      <c r="G645" s="93">
        <v>18062</v>
      </c>
      <c r="H645" s="94"/>
      <c r="I645" s="93" t="s">
        <v>908</v>
      </c>
      <c r="J645" s="93">
        <v>1</v>
      </c>
      <c r="K645" s="93">
        <v>2000</v>
      </c>
      <c r="L645" s="93">
        <v>0</v>
      </c>
      <c r="M645" s="17"/>
      <c r="N645" s="93" t="s">
        <v>908</v>
      </c>
      <c r="O645" s="93">
        <v>1</v>
      </c>
      <c r="P645" s="93">
        <v>2000</v>
      </c>
      <c r="Q645" s="93">
        <v>0</v>
      </c>
      <c r="R645" s="69"/>
    </row>
    <row r="646" spans="2:18">
      <c r="B646" s="68"/>
      <c r="C646" s="93">
        <v>10</v>
      </c>
      <c r="D646" s="93" t="s">
        <v>1788</v>
      </c>
      <c r="E646" s="93">
        <v>43</v>
      </c>
      <c r="F646" s="93">
        <v>309790</v>
      </c>
      <c r="G646" s="93">
        <v>18030</v>
      </c>
      <c r="H646" s="94"/>
      <c r="I646" s="93" t="s">
        <v>909</v>
      </c>
      <c r="J646" s="93">
        <v>2</v>
      </c>
      <c r="K646" s="93">
        <v>3750</v>
      </c>
      <c r="L646" s="93">
        <v>32</v>
      </c>
      <c r="M646" s="17"/>
      <c r="N646" s="93" t="s">
        <v>909</v>
      </c>
      <c r="O646" s="93">
        <v>2</v>
      </c>
      <c r="P646" s="93">
        <v>3750</v>
      </c>
      <c r="Q646" s="93">
        <v>32</v>
      </c>
      <c r="R646" s="69"/>
    </row>
    <row r="647" spans="2:18">
      <c r="B647" s="68"/>
      <c r="C647" s="93">
        <v>10</v>
      </c>
      <c r="D647" s="93" t="s">
        <v>1788</v>
      </c>
      <c r="E647" s="93">
        <v>42</v>
      </c>
      <c r="F647" s="93">
        <v>306040</v>
      </c>
      <c r="G647" s="93">
        <v>18026</v>
      </c>
      <c r="H647" s="94"/>
      <c r="I647" s="93" t="s">
        <v>910</v>
      </c>
      <c r="J647" s="93">
        <v>1</v>
      </c>
      <c r="K647" s="93">
        <v>3750</v>
      </c>
      <c r="L647" s="93">
        <v>4</v>
      </c>
      <c r="M647" s="17"/>
      <c r="N647" s="93" t="s">
        <v>910</v>
      </c>
      <c r="O647" s="93">
        <v>1</v>
      </c>
      <c r="P647" s="93">
        <v>3750</v>
      </c>
      <c r="Q647" s="93">
        <v>4</v>
      </c>
      <c r="R647" s="69"/>
    </row>
    <row r="648" spans="2:18">
      <c r="B648" s="68"/>
      <c r="C648" s="93">
        <v>10</v>
      </c>
      <c r="D648" s="93" t="s">
        <v>1788</v>
      </c>
      <c r="E648" s="93">
        <v>40</v>
      </c>
      <c r="F648" s="93">
        <v>302290</v>
      </c>
      <c r="G648" s="93">
        <v>17994</v>
      </c>
      <c r="H648" s="94"/>
      <c r="I648" s="93" t="s">
        <v>911</v>
      </c>
      <c r="J648" s="93">
        <v>2</v>
      </c>
      <c r="K648" s="93">
        <v>3750</v>
      </c>
      <c r="L648" s="93">
        <v>32</v>
      </c>
      <c r="M648" s="17"/>
      <c r="N648" s="93" t="s">
        <v>911</v>
      </c>
      <c r="O648" s="93">
        <v>2</v>
      </c>
      <c r="P648" s="93">
        <v>3750</v>
      </c>
      <c r="Q648" s="93">
        <v>32</v>
      </c>
      <c r="R648" s="69"/>
    </row>
    <row r="649" spans="2:18">
      <c r="B649" s="68"/>
      <c r="C649" s="93">
        <v>10</v>
      </c>
      <c r="D649" s="93" t="s">
        <v>1788</v>
      </c>
      <c r="E649" s="93">
        <v>39</v>
      </c>
      <c r="F649" s="93">
        <v>300290</v>
      </c>
      <c r="G649" s="93">
        <v>17994</v>
      </c>
      <c r="H649" s="94"/>
      <c r="I649" s="93" t="s">
        <v>912</v>
      </c>
      <c r="J649" s="93">
        <v>1</v>
      </c>
      <c r="K649" s="93">
        <v>2000</v>
      </c>
      <c r="L649" s="93">
        <v>0</v>
      </c>
      <c r="M649" s="17"/>
      <c r="N649" s="93" t="s">
        <v>912</v>
      </c>
      <c r="O649" s="93">
        <v>1</v>
      </c>
      <c r="P649" s="93">
        <v>2000</v>
      </c>
      <c r="Q649" s="93">
        <v>0</v>
      </c>
      <c r="R649" s="69"/>
    </row>
    <row r="650" spans="2:18">
      <c r="B650" s="68"/>
      <c r="C650" s="93">
        <v>10</v>
      </c>
      <c r="D650" s="93" t="s">
        <v>1788</v>
      </c>
      <c r="E650" s="93">
        <v>38</v>
      </c>
      <c r="F650" s="93">
        <v>298290</v>
      </c>
      <c r="G650" s="93">
        <v>17994</v>
      </c>
      <c r="H650" s="94"/>
      <c r="I650" s="93" t="s">
        <v>913</v>
      </c>
      <c r="J650" s="93">
        <v>1</v>
      </c>
      <c r="K650" s="93">
        <v>2000</v>
      </c>
      <c r="L650" s="93">
        <v>0</v>
      </c>
      <c r="M650" s="17"/>
      <c r="N650" s="93" t="s">
        <v>913</v>
      </c>
      <c r="O650" s="93">
        <v>1</v>
      </c>
      <c r="P650" s="93">
        <v>2000</v>
      </c>
      <c r="Q650" s="93">
        <v>0</v>
      </c>
      <c r="R650" s="69"/>
    </row>
    <row r="651" spans="2:18">
      <c r="B651" s="68"/>
      <c r="C651" s="93">
        <v>10</v>
      </c>
      <c r="D651" s="93" t="s">
        <v>1788</v>
      </c>
      <c r="E651" s="93">
        <v>37</v>
      </c>
      <c r="F651" s="93">
        <v>296290</v>
      </c>
      <c r="G651" s="93">
        <v>17994</v>
      </c>
      <c r="H651" s="94"/>
      <c r="I651" s="93" t="s">
        <v>914</v>
      </c>
      <c r="J651" s="93">
        <v>1</v>
      </c>
      <c r="K651" s="93">
        <v>2000</v>
      </c>
      <c r="L651" s="93">
        <v>0</v>
      </c>
      <c r="M651" s="17"/>
      <c r="N651" s="93" t="s">
        <v>914</v>
      </c>
      <c r="O651" s="93">
        <v>1</v>
      </c>
      <c r="P651" s="93">
        <v>2000</v>
      </c>
      <c r="Q651" s="93">
        <v>0</v>
      </c>
      <c r="R651" s="69"/>
    </row>
    <row r="652" spans="2:18">
      <c r="B652" s="68"/>
      <c r="C652" s="93">
        <v>10</v>
      </c>
      <c r="D652" s="93" t="s">
        <v>1788</v>
      </c>
      <c r="E652" s="93">
        <v>35</v>
      </c>
      <c r="F652" s="93">
        <v>292540</v>
      </c>
      <c r="G652" s="93">
        <v>17962</v>
      </c>
      <c r="H652" s="94"/>
      <c r="I652" s="93" t="s">
        <v>915</v>
      </c>
      <c r="J652" s="93">
        <v>2</v>
      </c>
      <c r="K652" s="93">
        <v>3750</v>
      </c>
      <c r="L652" s="93">
        <v>32</v>
      </c>
      <c r="M652" s="17"/>
      <c r="N652" s="93" t="s">
        <v>915</v>
      </c>
      <c r="O652" s="93">
        <v>2</v>
      </c>
      <c r="P652" s="93">
        <v>3750</v>
      </c>
      <c r="Q652" s="93">
        <v>32</v>
      </c>
      <c r="R652" s="69"/>
    </row>
    <row r="653" spans="2:18">
      <c r="B653" s="68"/>
      <c r="C653" s="93">
        <v>10</v>
      </c>
      <c r="D653" s="93" t="s">
        <v>1788</v>
      </c>
      <c r="E653" s="93">
        <v>33</v>
      </c>
      <c r="F653" s="93">
        <v>288790</v>
      </c>
      <c r="G653" s="93">
        <v>17930</v>
      </c>
      <c r="H653" s="94"/>
      <c r="I653" s="93" t="s">
        <v>916</v>
      </c>
      <c r="J653" s="93">
        <v>2</v>
      </c>
      <c r="K653" s="93">
        <v>3750</v>
      </c>
      <c r="L653" s="93">
        <v>32</v>
      </c>
      <c r="M653" s="17"/>
      <c r="N653" s="93" t="s">
        <v>916</v>
      </c>
      <c r="O653" s="93">
        <v>2</v>
      </c>
      <c r="P653" s="93">
        <v>3750</v>
      </c>
      <c r="Q653" s="93">
        <v>32</v>
      </c>
      <c r="R653" s="69"/>
    </row>
    <row r="654" spans="2:18">
      <c r="B654" s="68"/>
      <c r="C654" s="93">
        <v>10</v>
      </c>
      <c r="D654" s="93" t="s">
        <v>1788</v>
      </c>
      <c r="E654" s="93">
        <v>31</v>
      </c>
      <c r="F654" s="93">
        <v>285040</v>
      </c>
      <c r="G654" s="93">
        <v>17898</v>
      </c>
      <c r="H654" s="94"/>
      <c r="I654" s="93" t="s">
        <v>917</v>
      </c>
      <c r="J654" s="93">
        <v>2</v>
      </c>
      <c r="K654" s="93">
        <v>3750</v>
      </c>
      <c r="L654" s="93">
        <v>32</v>
      </c>
      <c r="M654" s="17"/>
      <c r="N654" s="93" t="s">
        <v>917</v>
      </c>
      <c r="O654" s="93">
        <v>2</v>
      </c>
      <c r="P654" s="93">
        <v>3750</v>
      </c>
      <c r="Q654" s="93">
        <v>32</v>
      </c>
      <c r="R654" s="69"/>
    </row>
    <row r="655" spans="2:18">
      <c r="B655" s="68"/>
      <c r="C655" s="93">
        <v>10</v>
      </c>
      <c r="D655" s="93" t="s">
        <v>1788</v>
      </c>
      <c r="E655" s="93">
        <v>29</v>
      </c>
      <c r="F655" s="93">
        <v>281290</v>
      </c>
      <c r="G655" s="93">
        <v>17866</v>
      </c>
      <c r="H655" s="94"/>
      <c r="I655" s="93" t="s">
        <v>918</v>
      </c>
      <c r="J655" s="93">
        <v>2</v>
      </c>
      <c r="K655" s="93">
        <v>3750</v>
      </c>
      <c r="L655" s="93">
        <v>32</v>
      </c>
      <c r="M655" s="17"/>
      <c r="N655" s="93" t="s">
        <v>918</v>
      </c>
      <c r="O655" s="93">
        <v>2</v>
      </c>
      <c r="P655" s="93">
        <v>3750</v>
      </c>
      <c r="Q655" s="93">
        <v>32</v>
      </c>
      <c r="R655" s="69"/>
    </row>
    <row r="656" spans="2:18">
      <c r="B656" s="68"/>
      <c r="C656" s="93">
        <v>10</v>
      </c>
      <c r="D656" s="93" t="s">
        <v>1788</v>
      </c>
      <c r="E656" s="93">
        <v>28</v>
      </c>
      <c r="F656" s="93">
        <v>279290</v>
      </c>
      <c r="G656" s="93">
        <v>17866</v>
      </c>
      <c r="H656" s="94"/>
      <c r="I656" s="93" t="s">
        <v>919</v>
      </c>
      <c r="J656" s="93">
        <v>1</v>
      </c>
      <c r="K656" s="93">
        <v>2000</v>
      </c>
      <c r="L656" s="93">
        <v>0</v>
      </c>
      <c r="M656" s="17"/>
      <c r="N656" s="93" t="s">
        <v>919</v>
      </c>
      <c r="O656" s="93">
        <v>1</v>
      </c>
      <c r="P656" s="93">
        <v>2000</v>
      </c>
      <c r="Q656" s="93">
        <v>0</v>
      </c>
      <c r="R656" s="69"/>
    </row>
    <row r="657" spans="2:18">
      <c r="B657" s="68"/>
      <c r="C657" s="93">
        <v>10</v>
      </c>
      <c r="D657" s="93" t="s">
        <v>1788</v>
      </c>
      <c r="E657" s="93">
        <v>26</v>
      </c>
      <c r="F657" s="93">
        <v>275540</v>
      </c>
      <c r="G657" s="93">
        <v>17834</v>
      </c>
      <c r="H657" s="94"/>
      <c r="I657" s="93" t="s">
        <v>920</v>
      </c>
      <c r="J657" s="93">
        <v>2</v>
      </c>
      <c r="K657" s="93">
        <v>3750</v>
      </c>
      <c r="L657" s="93">
        <v>32</v>
      </c>
      <c r="M657" s="17"/>
      <c r="N657" s="93" t="s">
        <v>920</v>
      </c>
      <c r="O657" s="93">
        <v>2</v>
      </c>
      <c r="P657" s="93">
        <v>3750</v>
      </c>
      <c r="Q657" s="93">
        <v>32</v>
      </c>
      <c r="R657" s="69"/>
    </row>
    <row r="658" spans="2:18">
      <c r="B658" s="68"/>
      <c r="C658" s="93">
        <v>10</v>
      </c>
      <c r="D658" s="93" t="s">
        <v>1788</v>
      </c>
      <c r="E658" s="93">
        <v>24</v>
      </c>
      <c r="F658" s="93">
        <v>271790</v>
      </c>
      <c r="G658" s="93">
        <v>17802</v>
      </c>
      <c r="H658" s="94"/>
      <c r="I658" s="93" t="s">
        <v>921</v>
      </c>
      <c r="J658" s="93">
        <v>2</v>
      </c>
      <c r="K658" s="93">
        <v>3750</v>
      </c>
      <c r="L658" s="93">
        <v>32</v>
      </c>
      <c r="M658" s="17"/>
      <c r="N658" s="93" t="s">
        <v>921</v>
      </c>
      <c r="O658" s="93">
        <v>2</v>
      </c>
      <c r="P658" s="93">
        <v>3750</v>
      </c>
      <c r="Q658" s="93">
        <v>32</v>
      </c>
      <c r="R658" s="69"/>
    </row>
    <row r="659" spans="2:18">
      <c r="B659" s="68"/>
      <c r="C659" s="93">
        <v>10</v>
      </c>
      <c r="D659" s="93" t="s">
        <v>1788</v>
      </c>
      <c r="E659" s="93">
        <v>22</v>
      </c>
      <c r="F659" s="93">
        <v>268040</v>
      </c>
      <c r="G659" s="93">
        <v>17770</v>
      </c>
      <c r="H659" s="94"/>
      <c r="I659" s="93" t="s">
        <v>922</v>
      </c>
      <c r="J659" s="93">
        <v>2</v>
      </c>
      <c r="K659" s="93">
        <v>3750</v>
      </c>
      <c r="L659" s="93">
        <v>32</v>
      </c>
      <c r="M659" s="17"/>
      <c r="N659" s="93" t="s">
        <v>922</v>
      </c>
      <c r="O659" s="93">
        <v>2</v>
      </c>
      <c r="P659" s="93">
        <v>3750</v>
      </c>
      <c r="Q659" s="93">
        <v>32</v>
      </c>
      <c r="R659" s="69"/>
    </row>
    <row r="660" spans="2:18">
      <c r="B660" s="68"/>
      <c r="C660" s="93">
        <v>10</v>
      </c>
      <c r="D660" s="93" t="s">
        <v>1788</v>
      </c>
      <c r="E660" s="93">
        <v>20</v>
      </c>
      <c r="F660" s="93">
        <v>264290</v>
      </c>
      <c r="G660" s="93">
        <v>17738</v>
      </c>
      <c r="H660" s="94"/>
      <c r="I660" s="93" t="s">
        <v>924</v>
      </c>
      <c r="J660" s="93">
        <v>2</v>
      </c>
      <c r="K660" s="93">
        <v>3750</v>
      </c>
      <c r="L660" s="93">
        <v>32</v>
      </c>
      <c r="M660" s="17"/>
      <c r="N660" s="93" t="s">
        <v>924</v>
      </c>
      <c r="O660" s="93">
        <v>2</v>
      </c>
      <c r="P660" s="93">
        <v>3750</v>
      </c>
      <c r="Q660" s="93">
        <v>32</v>
      </c>
      <c r="R660" s="69"/>
    </row>
    <row r="661" spans="2:18">
      <c r="B661" s="68"/>
      <c r="C661" s="93">
        <v>10</v>
      </c>
      <c r="D661" s="93" t="s">
        <v>1788</v>
      </c>
      <c r="E661" s="93">
        <v>18</v>
      </c>
      <c r="F661" s="93">
        <v>260540</v>
      </c>
      <c r="G661" s="93">
        <v>17706</v>
      </c>
      <c r="H661" s="94"/>
      <c r="I661" s="93" t="s">
        <v>925</v>
      </c>
      <c r="J661" s="93">
        <v>2</v>
      </c>
      <c r="K661" s="93">
        <v>3750</v>
      </c>
      <c r="L661" s="93">
        <v>32</v>
      </c>
      <c r="M661" s="17"/>
      <c r="N661" s="93" t="s">
        <v>925</v>
      </c>
      <c r="O661" s="93">
        <v>2</v>
      </c>
      <c r="P661" s="93">
        <v>3750</v>
      </c>
      <c r="Q661" s="93">
        <v>32</v>
      </c>
      <c r="R661" s="69"/>
    </row>
    <row r="662" spans="2:18">
      <c r="B662" s="68"/>
      <c r="C662" s="93">
        <v>10</v>
      </c>
      <c r="D662" s="93" t="s">
        <v>1788</v>
      </c>
      <c r="E662" s="93">
        <v>16</v>
      </c>
      <c r="F662" s="93">
        <v>256790</v>
      </c>
      <c r="G662" s="93">
        <v>17674</v>
      </c>
      <c r="H662" s="94"/>
      <c r="I662" s="93" t="s">
        <v>926</v>
      </c>
      <c r="J662" s="93">
        <v>2</v>
      </c>
      <c r="K662" s="93">
        <v>3750</v>
      </c>
      <c r="L662" s="93">
        <v>32</v>
      </c>
      <c r="M662" s="17"/>
      <c r="N662" s="93" t="s">
        <v>926</v>
      </c>
      <c r="O662" s="93">
        <v>2</v>
      </c>
      <c r="P662" s="93">
        <v>3750</v>
      </c>
      <c r="Q662" s="93">
        <v>32</v>
      </c>
      <c r="R662" s="69"/>
    </row>
    <row r="663" spans="2:18">
      <c r="B663" s="68"/>
      <c r="C663" s="93">
        <v>10</v>
      </c>
      <c r="D663" s="93" t="s">
        <v>1788</v>
      </c>
      <c r="E663" s="93">
        <v>14</v>
      </c>
      <c r="F663" s="93">
        <v>253040</v>
      </c>
      <c r="G663" s="93">
        <v>17642</v>
      </c>
      <c r="H663" s="94"/>
      <c r="I663" s="93" t="s">
        <v>927</v>
      </c>
      <c r="J663" s="93">
        <v>2</v>
      </c>
      <c r="K663" s="93">
        <v>3750</v>
      </c>
      <c r="L663" s="93">
        <v>32</v>
      </c>
      <c r="M663" s="17"/>
      <c r="N663" s="93" t="s">
        <v>927</v>
      </c>
      <c r="O663" s="93">
        <v>2</v>
      </c>
      <c r="P663" s="93">
        <v>3750</v>
      </c>
      <c r="Q663" s="93">
        <v>32</v>
      </c>
      <c r="R663" s="69"/>
    </row>
    <row r="664" spans="2:18">
      <c r="B664" s="68"/>
      <c r="C664" s="93">
        <v>10</v>
      </c>
      <c r="D664" s="93" t="s">
        <v>1788</v>
      </c>
      <c r="E664" s="93">
        <v>12</v>
      </c>
      <c r="F664" s="93">
        <v>249290</v>
      </c>
      <c r="G664" s="93">
        <v>17610</v>
      </c>
      <c r="H664" s="94"/>
      <c r="I664" s="93" t="s">
        <v>928</v>
      </c>
      <c r="J664" s="93">
        <v>2</v>
      </c>
      <c r="K664" s="93">
        <v>3750</v>
      </c>
      <c r="L664" s="93">
        <v>32</v>
      </c>
      <c r="M664" s="17"/>
      <c r="N664" s="93" t="s">
        <v>928</v>
      </c>
      <c r="O664" s="93">
        <v>2</v>
      </c>
      <c r="P664" s="93">
        <v>3750</v>
      </c>
      <c r="Q664" s="93">
        <v>32</v>
      </c>
      <c r="R664" s="69"/>
    </row>
    <row r="665" spans="2:18">
      <c r="B665" s="68"/>
      <c r="C665" s="93">
        <v>10</v>
      </c>
      <c r="D665" s="93" t="s">
        <v>1788</v>
      </c>
      <c r="E665" s="93">
        <v>10</v>
      </c>
      <c r="F665" s="93">
        <v>245540</v>
      </c>
      <c r="G665" s="93">
        <v>17578</v>
      </c>
      <c r="H665" s="94"/>
      <c r="I665" s="93" t="s">
        <v>929</v>
      </c>
      <c r="J665" s="93">
        <v>2</v>
      </c>
      <c r="K665" s="93">
        <v>3750</v>
      </c>
      <c r="L665" s="93">
        <v>32</v>
      </c>
      <c r="M665" s="17"/>
      <c r="N665" s="93" t="s">
        <v>929</v>
      </c>
      <c r="O665" s="93">
        <v>2</v>
      </c>
      <c r="P665" s="93">
        <v>3750</v>
      </c>
      <c r="Q665" s="93">
        <v>32</v>
      </c>
      <c r="R665" s="69"/>
    </row>
    <row r="666" spans="2:18">
      <c r="B666" s="68"/>
      <c r="C666" s="93">
        <v>10</v>
      </c>
      <c r="D666" s="93" t="s">
        <v>1788</v>
      </c>
      <c r="E666" s="93">
        <v>8</v>
      </c>
      <c r="F666" s="93">
        <v>241790</v>
      </c>
      <c r="G666" s="93">
        <v>17546</v>
      </c>
      <c r="H666" s="94"/>
      <c r="I666" s="93" t="s">
        <v>930</v>
      </c>
      <c r="J666" s="93">
        <v>2</v>
      </c>
      <c r="K666" s="93">
        <v>3750</v>
      </c>
      <c r="L666" s="93">
        <v>32</v>
      </c>
      <c r="M666" s="17"/>
      <c r="N666" s="93" t="s">
        <v>930</v>
      </c>
      <c r="O666" s="93">
        <v>2</v>
      </c>
      <c r="P666" s="93">
        <v>3750</v>
      </c>
      <c r="Q666" s="93">
        <v>32</v>
      </c>
      <c r="R666" s="69"/>
    </row>
    <row r="667" spans="2:18">
      <c r="B667" s="68"/>
      <c r="C667" s="93">
        <v>10</v>
      </c>
      <c r="D667" s="93" t="s">
        <v>1788</v>
      </c>
      <c r="E667" s="93">
        <v>6</v>
      </c>
      <c r="F667" s="93">
        <v>238040</v>
      </c>
      <c r="G667" s="93">
        <v>17514</v>
      </c>
      <c r="H667" s="94"/>
      <c r="I667" s="93" t="s">
        <v>931</v>
      </c>
      <c r="J667" s="93">
        <v>2</v>
      </c>
      <c r="K667" s="93">
        <v>3750</v>
      </c>
      <c r="L667" s="93">
        <v>32</v>
      </c>
      <c r="M667" s="17"/>
      <c r="N667" s="93" t="s">
        <v>931</v>
      </c>
      <c r="O667" s="93">
        <v>2</v>
      </c>
      <c r="P667" s="93">
        <v>3750</v>
      </c>
      <c r="Q667" s="93">
        <v>32</v>
      </c>
      <c r="R667" s="69"/>
    </row>
    <row r="668" spans="2:18">
      <c r="B668" s="68"/>
      <c r="C668" s="93">
        <v>10</v>
      </c>
      <c r="D668" s="93" t="s">
        <v>1788</v>
      </c>
      <c r="E668" s="93">
        <v>4</v>
      </c>
      <c r="F668" s="93">
        <v>234290</v>
      </c>
      <c r="G668" s="93">
        <v>17482</v>
      </c>
      <c r="H668" s="94"/>
      <c r="I668" s="93" t="s">
        <v>932</v>
      </c>
      <c r="J668" s="93">
        <v>2</v>
      </c>
      <c r="K668" s="93">
        <v>3750</v>
      </c>
      <c r="L668" s="93">
        <v>32</v>
      </c>
      <c r="M668" s="17"/>
      <c r="N668" s="93" t="s">
        <v>932</v>
      </c>
      <c r="O668" s="93">
        <v>2</v>
      </c>
      <c r="P668" s="93">
        <v>3750</v>
      </c>
      <c r="Q668" s="93">
        <v>32</v>
      </c>
      <c r="R668" s="69"/>
    </row>
    <row r="669" spans="2:18">
      <c r="B669" s="68"/>
      <c r="C669" s="93">
        <v>10</v>
      </c>
      <c r="D669" s="93" t="s">
        <v>1788</v>
      </c>
      <c r="E669" s="93">
        <v>2</v>
      </c>
      <c r="F669" s="93">
        <v>230540</v>
      </c>
      <c r="G669" s="93">
        <v>17450</v>
      </c>
      <c r="H669" s="94"/>
      <c r="I669" s="93" t="s">
        <v>933</v>
      </c>
      <c r="J669" s="93">
        <v>2</v>
      </c>
      <c r="K669" s="93">
        <v>3750</v>
      </c>
      <c r="L669" s="93">
        <v>32</v>
      </c>
      <c r="M669" s="17"/>
      <c r="N669" s="93" t="s">
        <v>933</v>
      </c>
      <c r="O669" s="93">
        <v>2</v>
      </c>
      <c r="P669" s="93">
        <v>3750</v>
      </c>
      <c r="Q669" s="93">
        <v>32</v>
      </c>
      <c r="R669" s="69"/>
    </row>
    <row r="670" spans="2:18">
      <c r="B670" s="68"/>
      <c r="C670" s="93">
        <v>11</v>
      </c>
      <c r="D670" s="93" t="s">
        <v>1789</v>
      </c>
      <c r="E670" s="93">
        <v>138</v>
      </c>
      <c r="F670" s="93">
        <v>518490</v>
      </c>
      <c r="G670" s="93">
        <v>19598</v>
      </c>
      <c r="H670" s="94"/>
      <c r="I670" s="93" t="s">
        <v>934</v>
      </c>
      <c r="J670" s="93">
        <v>2</v>
      </c>
      <c r="K670" s="93">
        <v>3750</v>
      </c>
      <c r="L670" s="93">
        <v>32</v>
      </c>
      <c r="M670" s="17"/>
      <c r="N670" s="93" t="s">
        <v>934</v>
      </c>
      <c r="O670" s="93">
        <v>2</v>
      </c>
      <c r="P670" s="93">
        <v>3750</v>
      </c>
      <c r="Q670" s="93">
        <v>32</v>
      </c>
      <c r="R670" s="69"/>
    </row>
    <row r="671" spans="2:18">
      <c r="B671" s="68"/>
      <c r="C671" s="93">
        <v>11</v>
      </c>
      <c r="D671" s="93" t="s">
        <v>1789</v>
      </c>
      <c r="E671" s="93">
        <v>136</v>
      </c>
      <c r="F671" s="93">
        <v>514740</v>
      </c>
      <c r="G671" s="93">
        <v>19566</v>
      </c>
      <c r="H671" s="94"/>
      <c r="I671" s="93" t="s">
        <v>935</v>
      </c>
      <c r="J671" s="93">
        <v>2</v>
      </c>
      <c r="K671" s="93">
        <v>3750</v>
      </c>
      <c r="L671" s="93">
        <v>32</v>
      </c>
      <c r="M671" s="17"/>
      <c r="N671" s="93" t="s">
        <v>935</v>
      </c>
      <c r="O671" s="93">
        <v>2</v>
      </c>
      <c r="P671" s="93">
        <v>3750</v>
      </c>
      <c r="Q671" s="93">
        <v>32</v>
      </c>
      <c r="R671" s="69"/>
    </row>
    <row r="672" spans="2:18">
      <c r="B672" s="68"/>
      <c r="C672" s="93">
        <v>11</v>
      </c>
      <c r="D672" s="93" t="s">
        <v>1789</v>
      </c>
      <c r="E672" s="93">
        <v>134</v>
      </c>
      <c r="F672" s="93">
        <v>510990</v>
      </c>
      <c r="G672" s="93">
        <v>19534</v>
      </c>
      <c r="H672" s="94"/>
      <c r="I672" s="93" t="s">
        <v>936</v>
      </c>
      <c r="J672" s="93">
        <v>2</v>
      </c>
      <c r="K672" s="93">
        <v>3750</v>
      </c>
      <c r="L672" s="93">
        <v>32</v>
      </c>
      <c r="M672" s="17"/>
      <c r="N672" s="93" t="s">
        <v>936</v>
      </c>
      <c r="O672" s="93">
        <v>2</v>
      </c>
      <c r="P672" s="93">
        <v>3750</v>
      </c>
      <c r="Q672" s="93">
        <v>32</v>
      </c>
      <c r="R672" s="69"/>
    </row>
    <row r="673" spans="2:18">
      <c r="B673" s="68"/>
      <c r="C673" s="93">
        <v>11</v>
      </c>
      <c r="D673" s="93" t="s">
        <v>1789</v>
      </c>
      <c r="E673" s="93">
        <v>132</v>
      </c>
      <c r="F673" s="93">
        <v>507240</v>
      </c>
      <c r="G673" s="93">
        <v>19502</v>
      </c>
      <c r="H673" s="94"/>
      <c r="I673" s="93" t="s">
        <v>937</v>
      </c>
      <c r="J673" s="93">
        <v>2</v>
      </c>
      <c r="K673" s="93">
        <v>3750</v>
      </c>
      <c r="L673" s="93">
        <v>32</v>
      </c>
      <c r="M673" s="17"/>
      <c r="N673" s="93" t="s">
        <v>937</v>
      </c>
      <c r="O673" s="93">
        <v>2</v>
      </c>
      <c r="P673" s="93">
        <v>3750</v>
      </c>
      <c r="Q673" s="93">
        <v>32</v>
      </c>
      <c r="R673" s="69"/>
    </row>
    <row r="674" spans="2:18">
      <c r="B674" s="68"/>
      <c r="C674" s="93">
        <v>11</v>
      </c>
      <c r="D674" s="93" t="s">
        <v>1789</v>
      </c>
      <c r="E674" s="93">
        <v>130</v>
      </c>
      <c r="F674" s="93">
        <v>503490</v>
      </c>
      <c r="G674" s="93">
        <v>19470</v>
      </c>
      <c r="H674" s="94"/>
      <c r="I674" s="93" t="s">
        <v>938</v>
      </c>
      <c r="J674" s="93">
        <v>2</v>
      </c>
      <c r="K674" s="93">
        <v>3750</v>
      </c>
      <c r="L674" s="93">
        <v>32</v>
      </c>
      <c r="M674" s="17"/>
      <c r="N674" s="93" t="s">
        <v>938</v>
      </c>
      <c r="O674" s="93">
        <v>2</v>
      </c>
      <c r="P674" s="93">
        <v>3750</v>
      </c>
      <c r="Q674" s="93">
        <v>32</v>
      </c>
      <c r="R674" s="69"/>
    </row>
    <row r="675" spans="2:18">
      <c r="B675" s="68"/>
      <c r="C675" s="93">
        <v>11</v>
      </c>
      <c r="D675" s="93" t="s">
        <v>1789</v>
      </c>
      <c r="E675" s="93">
        <v>128</v>
      </c>
      <c r="F675" s="93">
        <v>499740</v>
      </c>
      <c r="G675" s="93">
        <v>19438</v>
      </c>
      <c r="H675" s="94"/>
      <c r="I675" s="93" t="s">
        <v>939</v>
      </c>
      <c r="J675" s="93">
        <v>2</v>
      </c>
      <c r="K675" s="93">
        <v>3750</v>
      </c>
      <c r="L675" s="93">
        <v>32</v>
      </c>
      <c r="M675" s="17"/>
      <c r="N675" s="93" t="s">
        <v>939</v>
      </c>
      <c r="O675" s="93">
        <v>2</v>
      </c>
      <c r="P675" s="93">
        <v>3750</v>
      </c>
      <c r="Q675" s="93">
        <v>32</v>
      </c>
      <c r="R675" s="69"/>
    </row>
    <row r="676" spans="2:18">
      <c r="B676" s="68"/>
      <c r="C676" s="93">
        <v>11</v>
      </c>
      <c r="D676" s="93" t="s">
        <v>1789</v>
      </c>
      <c r="E676" s="93">
        <v>126</v>
      </c>
      <c r="F676" s="93">
        <v>495990</v>
      </c>
      <c r="G676" s="93">
        <v>19406</v>
      </c>
      <c r="H676" s="94"/>
      <c r="I676" s="93" t="s">
        <v>940</v>
      </c>
      <c r="J676" s="93">
        <v>2</v>
      </c>
      <c r="K676" s="93">
        <v>3750</v>
      </c>
      <c r="L676" s="93">
        <v>32</v>
      </c>
      <c r="M676" s="17"/>
      <c r="N676" s="93" t="s">
        <v>940</v>
      </c>
      <c r="O676" s="93">
        <v>2</v>
      </c>
      <c r="P676" s="93">
        <v>3750</v>
      </c>
      <c r="Q676" s="93">
        <v>32</v>
      </c>
      <c r="R676" s="69"/>
    </row>
    <row r="677" spans="2:18">
      <c r="B677" s="68"/>
      <c r="C677" s="93">
        <v>11</v>
      </c>
      <c r="D677" s="93" t="s">
        <v>1789</v>
      </c>
      <c r="E677" s="93">
        <v>124</v>
      </c>
      <c r="F677" s="93">
        <v>492240</v>
      </c>
      <c r="G677" s="93">
        <v>19374</v>
      </c>
      <c r="H677" s="94"/>
      <c r="I677" s="93" t="s">
        <v>941</v>
      </c>
      <c r="J677" s="93">
        <v>2</v>
      </c>
      <c r="K677" s="93">
        <v>3750</v>
      </c>
      <c r="L677" s="93">
        <v>32</v>
      </c>
      <c r="M677" s="17"/>
      <c r="N677" s="93" t="s">
        <v>941</v>
      </c>
      <c r="O677" s="93">
        <v>2</v>
      </c>
      <c r="P677" s="93">
        <v>3750</v>
      </c>
      <c r="Q677" s="93">
        <v>32</v>
      </c>
      <c r="R677" s="69"/>
    </row>
    <row r="678" spans="2:18">
      <c r="B678" s="68"/>
      <c r="C678" s="93">
        <v>11</v>
      </c>
      <c r="D678" s="93" t="s">
        <v>1789</v>
      </c>
      <c r="E678" s="93">
        <v>122</v>
      </c>
      <c r="F678" s="93">
        <v>488490</v>
      </c>
      <c r="G678" s="93">
        <v>19342</v>
      </c>
      <c r="H678" s="94"/>
      <c r="I678" s="93" t="s">
        <v>942</v>
      </c>
      <c r="J678" s="93">
        <v>2</v>
      </c>
      <c r="K678" s="93">
        <v>3750</v>
      </c>
      <c r="L678" s="93">
        <v>32</v>
      </c>
      <c r="M678" s="17"/>
      <c r="N678" s="93" t="s">
        <v>942</v>
      </c>
      <c r="O678" s="93">
        <v>2</v>
      </c>
      <c r="P678" s="93">
        <v>3750</v>
      </c>
      <c r="Q678" s="93">
        <v>32</v>
      </c>
      <c r="R678" s="69"/>
    </row>
    <row r="679" spans="2:18">
      <c r="B679" s="68"/>
      <c r="C679" s="93">
        <v>11</v>
      </c>
      <c r="D679" s="93" t="s">
        <v>1789</v>
      </c>
      <c r="E679" s="93">
        <v>120</v>
      </c>
      <c r="F679" s="93">
        <v>484740</v>
      </c>
      <c r="G679" s="93">
        <v>19310</v>
      </c>
      <c r="H679" s="94"/>
      <c r="I679" s="93" t="s">
        <v>943</v>
      </c>
      <c r="J679" s="93">
        <v>2</v>
      </c>
      <c r="K679" s="93">
        <v>3750</v>
      </c>
      <c r="L679" s="93">
        <v>32</v>
      </c>
      <c r="M679" s="17"/>
      <c r="N679" s="93" t="s">
        <v>943</v>
      </c>
      <c r="O679" s="93">
        <v>2</v>
      </c>
      <c r="P679" s="93">
        <v>3750</v>
      </c>
      <c r="Q679" s="93">
        <v>32</v>
      </c>
      <c r="R679" s="69"/>
    </row>
    <row r="680" spans="2:18">
      <c r="B680" s="68"/>
      <c r="C680" s="93">
        <v>11</v>
      </c>
      <c r="D680" s="93" t="s">
        <v>1789</v>
      </c>
      <c r="E680" s="93">
        <v>118</v>
      </c>
      <c r="F680" s="93">
        <v>480990</v>
      </c>
      <c r="G680" s="93">
        <v>19278</v>
      </c>
      <c r="H680" s="94"/>
      <c r="I680" s="93" t="s">
        <v>944</v>
      </c>
      <c r="J680" s="93">
        <v>2</v>
      </c>
      <c r="K680" s="93">
        <v>3750</v>
      </c>
      <c r="L680" s="93">
        <v>32</v>
      </c>
      <c r="M680" s="17"/>
      <c r="N680" s="93" t="s">
        <v>944</v>
      </c>
      <c r="O680" s="93">
        <v>2</v>
      </c>
      <c r="P680" s="93">
        <v>3750</v>
      </c>
      <c r="Q680" s="93">
        <v>32</v>
      </c>
      <c r="R680" s="69"/>
    </row>
    <row r="681" spans="2:18">
      <c r="B681" s="68"/>
      <c r="C681" s="93">
        <v>11</v>
      </c>
      <c r="D681" s="93" t="s">
        <v>1789</v>
      </c>
      <c r="E681" s="93">
        <v>116</v>
      </c>
      <c r="F681" s="93">
        <v>477240</v>
      </c>
      <c r="G681" s="93">
        <v>19246</v>
      </c>
      <c r="H681" s="94"/>
      <c r="I681" s="93" t="s">
        <v>945</v>
      </c>
      <c r="J681" s="93">
        <v>2</v>
      </c>
      <c r="K681" s="93">
        <v>3750</v>
      </c>
      <c r="L681" s="93">
        <v>32</v>
      </c>
      <c r="M681" s="17"/>
      <c r="N681" s="93" t="s">
        <v>945</v>
      </c>
      <c r="O681" s="93">
        <v>2</v>
      </c>
      <c r="P681" s="93">
        <v>3750</v>
      </c>
      <c r="Q681" s="93">
        <v>32</v>
      </c>
      <c r="R681" s="69"/>
    </row>
    <row r="682" spans="2:18">
      <c r="B682" s="68"/>
      <c r="C682" s="93">
        <v>11</v>
      </c>
      <c r="D682" s="93" t="s">
        <v>1789</v>
      </c>
      <c r="E682" s="93">
        <v>114</v>
      </c>
      <c r="F682" s="93">
        <v>473490</v>
      </c>
      <c r="G682" s="93">
        <v>19214</v>
      </c>
      <c r="H682" s="94"/>
      <c r="I682" s="93" t="s">
        <v>946</v>
      </c>
      <c r="J682" s="93">
        <v>2</v>
      </c>
      <c r="K682" s="93">
        <v>3750</v>
      </c>
      <c r="L682" s="93">
        <v>32</v>
      </c>
      <c r="M682" s="17"/>
      <c r="N682" s="93" t="s">
        <v>946</v>
      </c>
      <c r="O682" s="93">
        <v>2</v>
      </c>
      <c r="P682" s="93">
        <v>3750</v>
      </c>
      <c r="Q682" s="93">
        <v>32</v>
      </c>
      <c r="R682" s="69"/>
    </row>
    <row r="683" spans="2:18">
      <c r="B683" s="68"/>
      <c r="C683" s="93">
        <v>11</v>
      </c>
      <c r="D683" s="93" t="s">
        <v>1789</v>
      </c>
      <c r="E683" s="93">
        <v>112</v>
      </c>
      <c r="F683" s="93">
        <v>469740</v>
      </c>
      <c r="G683" s="93">
        <v>19182</v>
      </c>
      <c r="H683" s="94"/>
      <c r="I683" s="93" t="s">
        <v>947</v>
      </c>
      <c r="J683" s="93">
        <v>2</v>
      </c>
      <c r="K683" s="93">
        <v>3750</v>
      </c>
      <c r="L683" s="93">
        <v>32</v>
      </c>
      <c r="M683" s="17"/>
      <c r="N683" s="93" t="s">
        <v>947</v>
      </c>
      <c r="O683" s="93">
        <v>2</v>
      </c>
      <c r="P683" s="93">
        <v>3750</v>
      </c>
      <c r="Q683" s="93">
        <v>32</v>
      </c>
      <c r="R683" s="69"/>
    </row>
    <row r="684" spans="2:18">
      <c r="B684" s="68"/>
      <c r="C684" s="93">
        <v>11</v>
      </c>
      <c r="D684" s="93" t="s">
        <v>1789</v>
      </c>
      <c r="E684" s="93">
        <v>110</v>
      </c>
      <c r="F684" s="93">
        <v>465990</v>
      </c>
      <c r="G684" s="93">
        <v>19150</v>
      </c>
      <c r="H684" s="94"/>
      <c r="I684" s="93" t="s">
        <v>948</v>
      </c>
      <c r="J684" s="93">
        <v>2</v>
      </c>
      <c r="K684" s="93">
        <v>3750</v>
      </c>
      <c r="L684" s="93">
        <v>32</v>
      </c>
      <c r="M684" s="17"/>
      <c r="N684" s="93" t="s">
        <v>948</v>
      </c>
      <c r="O684" s="93">
        <v>2</v>
      </c>
      <c r="P684" s="93">
        <v>3750</v>
      </c>
      <c r="Q684" s="93">
        <v>32</v>
      </c>
      <c r="R684" s="69"/>
    </row>
    <row r="685" spans="2:18">
      <c r="B685" s="68"/>
      <c r="C685" s="93">
        <v>11</v>
      </c>
      <c r="D685" s="93" t="s">
        <v>1789</v>
      </c>
      <c r="E685" s="93">
        <v>108</v>
      </c>
      <c r="F685" s="93">
        <v>462240</v>
      </c>
      <c r="G685" s="93">
        <v>19118</v>
      </c>
      <c r="H685" s="94"/>
      <c r="I685" s="93" t="s">
        <v>949</v>
      </c>
      <c r="J685" s="93">
        <v>2</v>
      </c>
      <c r="K685" s="93">
        <v>3750</v>
      </c>
      <c r="L685" s="93">
        <v>32</v>
      </c>
      <c r="M685" s="17"/>
      <c r="N685" s="93" t="s">
        <v>949</v>
      </c>
      <c r="O685" s="93">
        <v>2</v>
      </c>
      <c r="P685" s="93">
        <v>3750</v>
      </c>
      <c r="Q685" s="93">
        <v>32</v>
      </c>
      <c r="R685" s="69"/>
    </row>
    <row r="686" spans="2:18">
      <c r="B686" s="68"/>
      <c r="C686" s="93">
        <v>11</v>
      </c>
      <c r="D686" s="93" t="s">
        <v>1789</v>
      </c>
      <c r="E686" s="93">
        <v>106</v>
      </c>
      <c r="F686" s="93">
        <v>458490</v>
      </c>
      <c r="G686" s="93">
        <v>19086</v>
      </c>
      <c r="H686" s="94"/>
      <c r="I686" s="93" t="s">
        <v>950</v>
      </c>
      <c r="J686" s="93">
        <v>2</v>
      </c>
      <c r="K686" s="93">
        <v>3750</v>
      </c>
      <c r="L686" s="93">
        <v>32</v>
      </c>
      <c r="M686" s="17"/>
      <c r="N686" s="93" t="s">
        <v>950</v>
      </c>
      <c r="O686" s="93">
        <v>2</v>
      </c>
      <c r="P686" s="93">
        <v>3750</v>
      </c>
      <c r="Q686" s="93">
        <v>32</v>
      </c>
      <c r="R686" s="69"/>
    </row>
    <row r="687" spans="2:18">
      <c r="B687" s="68"/>
      <c r="C687" s="93">
        <v>11</v>
      </c>
      <c r="D687" s="93" t="s">
        <v>1789</v>
      </c>
      <c r="E687" s="93">
        <v>104</v>
      </c>
      <c r="F687" s="93">
        <v>454740</v>
      </c>
      <c r="G687" s="93">
        <v>19054</v>
      </c>
      <c r="H687" s="94"/>
      <c r="I687" s="93" t="s">
        <v>951</v>
      </c>
      <c r="J687" s="93">
        <v>2</v>
      </c>
      <c r="K687" s="93">
        <v>3750</v>
      </c>
      <c r="L687" s="93">
        <v>32</v>
      </c>
      <c r="M687" s="17"/>
      <c r="N687" s="93" t="s">
        <v>951</v>
      </c>
      <c r="O687" s="93">
        <v>2</v>
      </c>
      <c r="P687" s="93">
        <v>3750</v>
      </c>
      <c r="Q687" s="93">
        <v>32</v>
      </c>
      <c r="R687" s="69"/>
    </row>
    <row r="688" spans="2:18">
      <c r="B688" s="68"/>
      <c r="C688" s="93">
        <v>11</v>
      </c>
      <c r="D688" s="93" t="s">
        <v>1789</v>
      </c>
      <c r="E688" s="93">
        <v>102</v>
      </c>
      <c r="F688" s="93">
        <v>450990</v>
      </c>
      <c r="G688" s="93">
        <v>19022</v>
      </c>
      <c r="H688" s="94"/>
      <c r="I688" s="93" t="s">
        <v>952</v>
      </c>
      <c r="J688" s="93">
        <v>2</v>
      </c>
      <c r="K688" s="93">
        <v>3750</v>
      </c>
      <c r="L688" s="93">
        <v>32</v>
      </c>
      <c r="M688" s="17"/>
      <c r="N688" s="93" t="s">
        <v>952</v>
      </c>
      <c r="O688" s="93">
        <v>2</v>
      </c>
      <c r="P688" s="93">
        <v>3750</v>
      </c>
      <c r="Q688" s="93">
        <v>32</v>
      </c>
      <c r="R688" s="69"/>
    </row>
    <row r="689" spans="2:18">
      <c r="B689" s="68"/>
      <c r="C689" s="93">
        <v>11</v>
      </c>
      <c r="D689" s="93" t="s">
        <v>1789</v>
      </c>
      <c r="E689" s="93">
        <v>100</v>
      </c>
      <c r="F689" s="93">
        <v>447240</v>
      </c>
      <c r="G689" s="93">
        <v>18990</v>
      </c>
      <c r="H689" s="94"/>
      <c r="I689" s="93" t="s">
        <v>953</v>
      </c>
      <c r="J689" s="93">
        <v>2</v>
      </c>
      <c r="K689" s="93">
        <v>3750</v>
      </c>
      <c r="L689" s="93">
        <v>32</v>
      </c>
      <c r="M689" s="17"/>
      <c r="N689" s="93" t="s">
        <v>953</v>
      </c>
      <c r="O689" s="93">
        <v>2</v>
      </c>
      <c r="P689" s="93">
        <v>3750</v>
      </c>
      <c r="Q689" s="93">
        <v>32</v>
      </c>
      <c r="R689" s="69"/>
    </row>
    <row r="690" spans="2:18">
      <c r="B690" s="68"/>
      <c r="C690" s="93">
        <v>11</v>
      </c>
      <c r="D690" s="93" t="s">
        <v>1789</v>
      </c>
      <c r="E690" s="93">
        <v>98</v>
      </c>
      <c r="F690" s="93">
        <v>443490</v>
      </c>
      <c r="G690" s="93">
        <v>18958</v>
      </c>
      <c r="H690" s="94"/>
      <c r="I690" s="93" t="s">
        <v>954</v>
      </c>
      <c r="J690" s="93">
        <v>2</v>
      </c>
      <c r="K690" s="93">
        <v>3750</v>
      </c>
      <c r="L690" s="93">
        <v>32</v>
      </c>
      <c r="M690" s="17"/>
      <c r="N690" s="93" t="s">
        <v>954</v>
      </c>
      <c r="O690" s="93">
        <v>2</v>
      </c>
      <c r="P690" s="93">
        <v>3750</v>
      </c>
      <c r="Q690" s="93">
        <v>32</v>
      </c>
      <c r="R690" s="69"/>
    </row>
    <row r="691" spans="2:18">
      <c r="B691" s="68"/>
      <c r="C691" s="93">
        <v>11</v>
      </c>
      <c r="D691" s="93" t="s">
        <v>1789</v>
      </c>
      <c r="E691" s="93">
        <v>96</v>
      </c>
      <c r="F691" s="93">
        <v>439740</v>
      </c>
      <c r="G691" s="93">
        <v>18926</v>
      </c>
      <c r="H691" s="94"/>
      <c r="I691" s="93" t="s">
        <v>955</v>
      </c>
      <c r="J691" s="93">
        <v>2</v>
      </c>
      <c r="K691" s="93">
        <v>3750</v>
      </c>
      <c r="L691" s="93">
        <v>32</v>
      </c>
      <c r="M691" s="17"/>
      <c r="N691" s="93" t="s">
        <v>955</v>
      </c>
      <c r="O691" s="93">
        <v>2</v>
      </c>
      <c r="P691" s="93">
        <v>3750</v>
      </c>
      <c r="Q691" s="93">
        <v>32</v>
      </c>
      <c r="R691" s="69"/>
    </row>
    <row r="692" spans="2:18">
      <c r="B692" s="68"/>
      <c r="C692" s="93">
        <v>11</v>
      </c>
      <c r="D692" s="93" t="s">
        <v>1789</v>
      </c>
      <c r="E692" s="93">
        <v>94</v>
      </c>
      <c r="F692" s="93">
        <v>435990</v>
      </c>
      <c r="G692" s="93">
        <v>18894</v>
      </c>
      <c r="H692" s="94"/>
      <c r="I692" s="93" t="s">
        <v>956</v>
      </c>
      <c r="J692" s="93">
        <v>2</v>
      </c>
      <c r="K692" s="93">
        <v>3750</v>
      </c>
      <c r="L692" s="93">
        <v>32</v>
      </c>
      <c r="M692" s="17"/>
      <c r="N692" s="93" t="s">
        <v>956</v>
      </c>
      <c r="O692" s="93">
        <v>2</v>
      </c>
      <c r="P692" s="93">
        <v>3750</v>
      </c>
      <c r="Q692" s="93">
        <v>32</v>
      </c>
      <c r="R692" s="69"/>
    </row>
    <row r="693" spans="2:18">
      <c r="B693" s="68"/>
      <c r="C693" s="93">
        <v>11</v>
      </c>
      <c r="D693" s="93" t="s">
        <v>1789</v>
      </c>
      <c r="E693" s="93">
        <v>92</v>
      </c>
      <c r="F693" s="93">
        <v>432240</v>
      </c>
      <c r="G693" s="93">
        <v>18862</v>
      </c>
      <c r="H693" s="94"/>
      <c r="I693" s="93" t="s">
        <v>957</v>
      </c>
      <c r="J693" s="93">
        <v>2</v>
      </c>
      <c r="K693" s="93">
        <v>3750</v>
      </c>
      <c r="L693" s="93">
        <v>32</v>
      </c>
      <c r="M693" s="17"/>
      <c r="N693" s="93" t="s">
        <v>957</v>
      </c>
      <c r="O693" s="93">
        <v>2</v>
      </c>
      <c r="P693" s="93">
        <v>3750</v>
      </c>
      <c r="Q693" s="93">
        <v>32</v>
      </c>
      <c r="R693" s="69"/>
    </row>
    <row r="694" spans="2:18">
      <c r="B694" s="68"/>
      <c r="C694" s="93">
        <v>11</v>
      </c>
      <c r="D694" s="93" t="s">
        <v>1789</v>
      </c>
      <c r="E694" s="93">
        <v>90</v>
      </c>
      <c r="F694" s="93">
        <v>428490</v>
      </c>
      <c r="G694" s="93">
        <v>18830</v>
      </c>
      <c r="H694" s="94"/>
      <c r="I694" s="93" t="s">
        <v>958</v>
      </c>
      <c r="J694" s="93">
        <v>2</v>
      </c>
      <c r="K694" s="93">
        <v>3750</v>
      </c>
      <c r="L694" s="93">
        <v>32</v>
      </c>
      <c r="M694" s="17"/>
      <c r="N694" s="93" t="s">
        <v>958</v>
      </c>
      <c r="O694" s="93">
        <v>2</v>
      </c>
      <c r="P694" s="93">
        <v>3750</v>
      </c>
      <c r="Q694" s="93">
        <v>32</v>
      </c>
      <c r="R694" s="69"/>
    </row>
    <row r="695" spans="2:18">
      <c r="B695" s="68"/>
      <c r="C695" s="93">
        <v>11</v>
      </c>
      <c r="D695" s="93" t="s">
        <v>1789</v>
      </c>
      <c r="E695" s="93">
        <v>88</v>
      </c>
      <c r="F695" s="93">
        <v>424740</v>
      </c>
      <c r="G695" s="93">
        <v>18798</v>
      </c>
      <c r="H695" s="94"/>
      <c r="I695" s="93" t="s">
        <v>959</v>
      </c>
      <c r="J695" s="93">
        <v>2</v>
      </c>
      <c r="K695" s="93">
        <v>3750</v>
      </c>
      <c r="L695" s="93">
        <v>32</v>
      </c>
      <c r="M695" s="17"/>
      <c r="N695" s="93" t="s">
        <v>959</v>
      </c>
      <c r="O695" s="93">
        <v>2</v>
      </c>
      <c r="P695" s="93">
        <v>3750</v>
      </c>
      <c r="Q695" s="93">
        <v>32</v>
      </c>
      <c r="R695" s="69"/>
    </row>
    <row r="696" spans="2:18">
      <c r="B696" s="68"/>
      <c r="C696" s="93">
        <v>10</v>
      </c>
      <c r="D696" s="93" t="s">
        <v>1788</v>
      </c>
      <c r="E696" s="93">
        <v>1</v>
      </c>
      <c r="F696" s="93">
        <v>228540</v>
      </c>
      <c r="G696" s="93">
        <v>17450</v>
      </c>
      <c r="H696" s="94"/>
      <c r="I696" s="93" t="s">
        <v>960</v>
      </c>
      <c r="J696" s="93">
        <v>1</v>
      </c>
      <c r="K696" s="93">
        <v>2000</v>
      </c>
      <c r="L696" s="93">
        <v>0</v>
      </c>
      <c r="M696" s="17"/>
      <c r="N696" s="93" t="s">
        <v>960</v>
      </c>
      <c r="O696" s="93">
        <v>1</v>
      </c>
      <c r="P696" s="93">
        <v>2000</v>
      </c>
      <c r="Q696" s="93">
        <v>0</v>
      </c>
      <c r="R696" s="69"/>
    </row>
    <row r="697" spans="2:18">
      <c r="B697" s="68"/>
      <c r="C697" s="93">
        <v>11</v>
      </c>
      <c r="D697" s="93" t="s">
        <v>1789</v>
      </c>
      <c r="E697" s="93">
        <v>87</v>
      </c>
      <c r="F697" s="93">
        <v>422740</v>
      </c>
      <c r="G697" s="93">
        <v>18798</v>
      </c>
      <c r="H697" s="94"/>
      <c r="I697" s="93" t="s">
        <v>961</v>
      </c>
      <c r="J697" s="93">
        <v>1</v>
      </c>
      <c r="K697" s="93">
        <v>2000</v>
      </c>
      <c r="L697" s="93">
        <v>0</v>
      </c>
      <c r="M697" s="17"/>
      <c r="N697" s="93" t="s">
        <v>961</v>
      </c>
      <c r="O697" s="93">
        <v>1</v>
      </c>
      <c r="P697" s="93">
        <v>2000</v>
      </c>
      <c r="Q697" s="93">
        <v>0</v>
      </c>
      <c r="R697" s="69"/>
    </row>
    <row r="698" spans="2:18">
      <c r="B698" s="68"/>
      <c r="C698" s="93">
        <v>11</v>
      </c>
      <c r="D698" s="93" t="s">
        <v>1789</v>
      </c>
      <c r="E698" s="93">
        <v>86</v>
      </c>
      <c r="F698" s="93">
        <v>420740</v>
      </c>
      <c r="G698" s="93">
        <v>18798</v>
      </c>
      <c r="H698" s="94"/>
      <c r="I698" s="93" t="s">
        <v>962</v>
      </c>
      <c r="J698" s="93">
        <v>1</v>
      </c>
      <c r="K698" s="93">
        <v>2000</v>
      </c>
      <c r="L698" s="93">
        <v>0</v>
      </c>
      <c r="M698" s="17"/>
      <c r="N698" s="93" t="s">
        <v>962</v>
      </c>
      <c r="O698" s="93">
        <v>1</v>
      </c>
      <c r="P698" s="93">
        <v>2000</v>
      </c>
      <c r="Q698" s="93">
        <v>0</v>
      </c>
      <c r="R698" s="69"/>
    </row>
    <row r="699" spans="2:18">
      <c r="B699" s="68"/>
      <c r="C699" s="93">
        <v>11</v>
      </c>
      <c r="D699" s="93" t="s">
        <v>1789</v>
      </c>
      <c r="E699" s="93">
        <v>84</v>
      </c>
      <c r="F699" s="93">
        <v>416990</v>
      </c>
      <c r="G699" s="93">
        <v>18766</v>
      </c>
      <c r="H699" s="94"/>
      <c r="I699" s="93" t="s">
        <v>963</v>
      </c>
      <c r="J699" s="93">
        <v>2</v>
      </c>
      <c r="K699" s="93">
        <v>3750</v>
      </c>
      <c r="L699" s="93">
        <v>32</v>
      </c>
      <c r="M699" s="17"/>
      <c r="N699" s="93" t="s">
        <v>963</v>
      </c>
      <c r="O699" s="93">
        <v>2</v>
      </c>
      <c r="P699" s="93">
        <v>3750</v>
      </c>
      <c r="Q699" s="93">
        <v>32</v>
      </c>
      <c r="R699" s="69"/>
    </row>
    <row r="700" spans="2:18">
      <c r="B700" s="68"/>
      <c r="C700" s="93">
        <v>11</v>
      </c>
      <c r="D700" s="93" t="s">
        <v>1789</v>
      </c>
      <c r="E700" s="93">
        <v>82</v>
      </c>
      <c r="F700" s="93">
        <v>413240</v>
      </c>
      <c r="G700" s="93">
        <v>18734</v>
      </c>
      <c r="H700" s="94"/>
      <c r="I700" s="93" t="s">
        <v>964</v>
      </c>
      <c r="J700" s="93">
        <v>2</v>
      </c>
      <c r="K700" s="93">
        <v>3750</v>
      </c>
      <c r="L700" s="93">
        <v>32</v>
      </c>
      <c r="M700" s="17"/>
      <c r="N700" s="93" t="s">
        <v>964</v>
      </c>
      <c r="O700" s="93">
        <v>2</v>
      </c>
      <c r="P700" s="93">
        <v>3750</v>
      </c>
      <c r="Q700" s="93">
        <v>32</v>
      </c>
      <c r="R700" s="69"/>
    </row>
    <row r="701" spans="2:18">
      <c r="B701" s="68"/>
      <c r="C701" s="93">
        <v>11</v>
      </c>
      <c r="D701" s="93" t="s">
        <v>1789</v>
      </c>
      <c r="E701" s="93">
        <v>80</v>
      </c>
      <c r="F701" s="93">
        <v>409490</v>
      </c>
      <c r="G701" s="93">
        <v>18702</v>
      </c>
      <c r="H701" s="94"/>
      <c r="I701" s="93" t="s">
        <v>965</v>
      </c>
      <c r="J701" s="93">
        <v>2</v>
      </c>
      <c r="K701" s="93">
        <v>3750</v>
      </c>
      <c r="L701" s="93">
        <v>32</v>
      </c>
      <c r="M701" s="17"/>
      <c r="N701" s="93" t="s">
        <v>965</v>
      </c>
      <c r="O701" s="93">
        <v>2</v>
      </c>
      <c r="P701" s="93">
        <v>3750</v>
      </c>
      <c r="Q701" s="93">
        <v>32</v>
      </c>
      <c r="R701" s="69"/>
    </row>
    <row r="702" spans="2:18">
      <c r="B702" s="68"/>
      <c r="C702" s="93">
        <v>11</v>
      </c>
      <c r="D702" s="93" t="s">
        <v>1789</v>
      </c>
      <c r="E702" s="93">
        <v>78</v>
      </c>
      <c r="F702" s="93">
        <v>405740</v>
      </c>
      <c r="G702" s="93">
        <v>18670</v>
      </c>
      <c r="H702" s="94"/>
      <c r="I702" s="93" t="s">
        <v>966</v>
      </c>
      <c r="J702" s="93">
        <v>2</v>
      </c>
      <c r="K702" s="93">
        <v>3750</v>
      </c>
      <c r="L702" s="93">
        <v>32</v>
      </c>
      <c r="M702" s="17"/>
      <c r="N702" s="93" t="s">
        <v>966</v>
      </c>
      <c r="O702" s="93">
        <v>2</v>
      </c>
      <c r="P702" s="93">
        <v>3750</v>
      </c>
      <c r="Q702" s="93">
        <v>32</v>
      </c>
      <c r="R702" s="69"/>
    </row>
    <row r="703" spans="2:18">
      <c r="B703" s="68"/>
      <c r="C703" s="93">
        <v>11</v>
      </c>
      <c r="D703" s="93" t="s">
        <v>1789</v>
      </c>
      <c r="E703" s="93">
        <v>76</v>
      </c>
      <c r="F703" s="93">
        <v>401990</v>
      </c>
      <c r="G703" s="93">
        <v>18638</v>
      </c>
      <c r="H703" s="94"/>
      <c r="I703" s="93" t="s">
        <v>967</v>
      </c>
      <c r="J703" s="93">
        <v>2</v>
      </c>
      <c r="K703" s="93">
        <v>3750</v>
      </c>
      <c r="L703" s="93">
        <v>32</v>
      </c>
      <c r="M703" s="17"/>
      <c r="N703" s="93" t="s">
        <v>967</v>
      </c>
      <c r="O703" s="93">
        <v>2</v>
      </c>
      <c r="P703" s="93">
        <v>3750</v>
      </c>
      <c r="Q703" s="93">
        <v>32</v>
      </c>
      <c r="R703" s="69"/>
    </row>
    <row r="704" spans="2:18">
      <c r="B704" s="68"/>
      <c r="C704" s="93">
        <v>11</v>
      </c>
      <c r="D704" s="93" t="s">
        <v>1789</v>
      </c>
      <c r="E704" s="93">
        <v>74</v>
      </c>
      <c r="F704" s="93">
        <v>398240</v>
      </c>
      <c r="G704" s="93">
        <v>18606</v>
      </c>
      <c r="H704" s="94"/>
      <c r="I704" s="93" t="s">
        <v>968</v>
      </c>
      <c r="J704" s="93">
        <v>2</v>
      </c>
      <c r="K704" s="93">
        <v>3750</v>
      </c>
      <c r="L704" s="93">
        <v>32</v>
      </c>
      <c r="M704" s="17"/>
      <c r="N704" s="93" t="s">
        <v>968</v>
      </c>
      <c r="O704" s="93">
        <v>2</v>
      </c>
      <c r="P704" s="93">
        <v>3750</v>
      </c>
      <c r="Q704" s="93">
        <v>32</v>
      </c>
      <c r="R704" s="69"/>
    </row>
    <row r="705" spans="2:18">
      <c r="B705" s="68"/>
      <c r="C705" s="93">
        <v>11</v>
      </c>
      <c r="D705" s="93" t="s">
        <v>1789</v>
      </c>
      <c r="E705" s="93">
        <v>72</v>
      </c>
      <c r="F705" s="93">
        <v>394490</v>
      </c>
      <c r="G705" s="93">
        <v>18574</v>
      </c>
      <c r="H705" s="94"/>
      <c r="I705" s="93" t="s">
        <v>969</v>
      </c>
      <c r="J705" s="93">
        <v>2</v>
      </c>
      <c r="K705" s="93">
        <v>3750</v>
      </c>
      <c r="L705" s="93">
        <v>32</v>
      </c>
      <c r="M705" s="17"/>
      <c r="N705" s="93" t="s">
        <v>969</v>
      </c>
      <c r="O705" s="93">
        <v>2</v>
      </c>
      <c r="P705" s="93">
        <v>3750</v>
      </c>
      <c r="Q705" s="93">
        <v>32</v>
      </c>
      <c r="R705" s="69"/>
    </row>
    <row r="706" spans="2:18">
      <c r="B706" s="68"/>
      <c r="C706" s="93">
        <v>11</v>
      </c>
      <c r="D706" s="93" t="s">
        <v>1789</v>
      </c>
      <c r="E706" s="93">
        <v>70</v>
      </c>
      <c r="F706" s="93">
        <v>390740</v>
      </c>
      <c r="G706" s="93">
        <v>18542</v>
      </c>
      <c r="H706" s="94"/>
      <c r="I706" s="93" t="s">
        <v>970</v>
      </c>
      <c r="J706" s="93">
        <v>2</v>
      </c>
      <c r="K706" s="93">
        <v>3750</v>
      </c>
      <c r="L706" s="93">
        <v>32</v>
      </c>
      <c r="M706" s="17"/>
      <c r="N706" s="93" t="s">
        <v>970</v>
      </c>
      <c r="O706" s="93">
        <v>2</v>
      </c>
      <c r="P706" s="93">
        <v>3750</v>
      </c>
      <c r="Q706" s="93">
        <v>32</v>
      </c>
      <c r="R706" s="69"/>
    </row>
    <row r="707" spans="2:18">
      <c r="B707" s="68"/>
      <c r="C707" s="93">
        <v>11</v>
      </c>
      <c r="D707" s="93" t="s">
        <v>1789</v>
      </c>
      <c r="E707" s="93">
        <v>68</v>
      </c>
      <c r="F707" s="93">
        <v>386990</v>
      </c>
      <c r="G707" s="93">
        <v>18510</v>
      </c>
      <c r="H707" s="94"/>
      <c r="I707" s="93" t="s">
        <v>971</v>
      </c>
      <c r="J707" s="93">
        <v>2</v>
      </c>
      <c r="K707" s="93">
        <v>3750</v>
      </c>
      <c r="L707" s="93">
        <v>32</v>
      </c>
      <c r="M707" s="17"/>
      <c r="N707" s="93" t="s">
        <v>971</v>
      </c>
      <c r="O707" s="93">
        <v>2</v>
      </c>
      <c r="P707" s="93">
        <v>3750</v>
      </c>
      <c r="Q707" s="93">
        <v>32</v>
      </c>
      <c r="R707" s="69"/>
    </row>
    <row r="708" spans="2:18">
      <c r="B708" s="68"/>
      <c r="C708" s="93">
        <v>11</v>
      </c>
      <c r="D708" s="93" t="s">
        <v>1789</v>
      </c>
      <c r="E708" s="93">
        <v>66</v>
      </c>
      <c r="F708" s="93">
        <v>383240</v>
      </c>
      <c r="G708" s="93">
        <v>18478</v>
      </c>
      <c r="H708" s="94"/>
      <c r="I708" s="93" t="s">
        <v>972</v>
      </c>
      <c r="J708" s="93">
        <v>2</v>
      </c>
      <c r="K708" s="93">
        <v>3750</v>
      </c>
      <c r="L708" s="93">
        <v>32</v>
      </c>
      <c r="M708" s="17"/>
      <c r="N708" s="93" t="s">
        <v>972</v>
      </c>
      <c r="O708" s="93">
        <v>2</v>
      </c>
      <c r="P708" s="93">
        <v>3750</v>
      </c>
      <c r="Q708" s="93">
        <v>32</v>
      </c>
      <c r="R708" s="69"/>
    </row>
    <row r="709" spans="2:18">
      <c r="B709" s="68"/>
      <c r="C709" s="93">
        <v>11</v>
      </c>
      <c r="D709" s="93" t="s">
        <v>1789</v>
      </c>
      <c r="E709" s="93">
        <v>64</v>
      </c>
      <c r="F709" s="93">
        <v>379490</v>
      </c>
      <c r="G709" s="93">
        <v>18446</v>
      </c>
      <c r="H709" s="94"/>
      <c r="I709" s="93" t="s">
        <v>973</v>
      </c>
      <c r="J709" s="93">
        <v>2</v>
      </c>
      <c r="K709" s="93">
        <v>3750</v>
      </c>
      <c r="L709" s="93">
        <v>32</v>
      </c>
      <c r="M709" s="17"/>
      <c r="N709" s="93" t="s">
        <v>973</v>
      </c>
      <c r="O709" s="93">
        <v>2</v>
      </c>
      <c r="P709" s="93">
        <v>3750</v>
      </c>
      <c r="Q709" s="93">
        <v>32</v>
      </c>
      <c r="R709" s="69"/>
    </row>
    <row r="710" spans="2:18">
      <c r="B710" s="68"/>
      <c r="C710" s="93">
        <v>11</v>
      </c>
      <c r="D710" s="93" t="s">
        <v>1789</v>
      </c>
      <c r="E710" s="93">
        <v>62</v>
      </c>
      <c r="F710" s="93">
        <v>375490</v>
      </c>
      <c r="G710" s="93">
        <v>18446</v>
      </c>
      <c r="H710" s="94"/>
      <c r="I710" s="93" t="s">
        <v>974</v>
      </c>
      <c r="J710" s="93">
        <v>2</v>
      </c>
      <c r="K710" s="93">
        <v>4000</v>
      </c>
      <c r="L710" s="93">
        <v>0</v>
      </c>
      <c r="M710" s="17"/>
      <c r="N710" s="93" t="s">
        <v>974</v>
      </c>
      <c r="O710" s="93">
        <v>2</v>
      </c>
      <c r="P710" s="93">
        <v>4000</v>
      </c>
      <c r="Q710" s="93">
        <v>0</v>
      </c>
      <c r="R710" s="69"/>
    </row>
    <row r="711" spans="2:18">
      <c r="B711" s="68"/>
      <c r="C711" s="93">
        <v>11</v>
      </c>
      <c r="D711" s="93" t="s">
        <v>1789</v>
      </c>
      <c r="E711" s="93">
        <v>61</v>
      </c>
      <c r="F711" s="93">
        <v>373490</v>
      </c>
      <c r="G711" s="93">
        <v>18446</v>
      </c>
      <c r="H711" s="94"/>
      <c r="I711" s="93" t="s">
        <v>975</v>
      </c>
      <c r="J711" s="93">
        <v>1</v>
      </c>
      <c r="K711" s="93">
        <v>2000</v>
      </c>
      <c r="L711" s="93">
        <v>0</v>
      </c>
      <c r="M711" s="17"/>
      <c r="N711" s="93" t="s">
        <v>975</v>
      </c>
      <c r="O711" s="93">
        <v>1</v>
      </c>
      <c r="P711" s="93">
        <v>2000</v>
      </c>
      <c r="Q711" s="93">
        <v>0</v>
      </c>
      <c r="R711" s="69"/>
    </row>
    <row r="712" spans="2:18">
      <c r="B712" s="68"/>
      <c r="C712" s="93">
        <v>11</v>
      </c>
      <c r="D712" s="93" t="s">
        <v>1789</v>
      </c>
      <c r="E712" s="93">
        <v>60</v>
      </c>
      <c r="F712" s="93">
        <v>371490</v>
      </c>
      <c r="G712" s="93">
        <v>18446</v>
      </c>
      <c r="H712" s="94"/>
      <c r="I712" s="93" t="s">
        <v>976</v>
      </c>
      <c r="J712" s="93">
        <v>1</v>
      </c>
      <c r="K712" s="93">
        <v>2000</v>
      </c>
      <c r="L712" s="93">
        <v>0</v>
      </c>
      <c r="M712" s="17"/>
      <c r="N712" s="93" t="s">
        <v>976</v>
      </c>
      <c r="O712" s="93">
        <v>1</v>
      </c>
      <c r="P712" s="93">
        <v>2000</v>
      </c>
      <c r="Q712" s="93">
        <v>0</v>
      </c>
      <c r="R712" s="69"/>
    </row>
    <row r="713" spans="2:18">
      <c r="B713" s="68"/>
      <c r="C713" s="93">
        <v>11</v>
      </c>
      <c r="D713" s="93" t="s">
        <v>1789</v>
      </c>
      <c r="E713" s="93">
        <v>52</v>
      </c>
      <c r="F713" s="93">
        <v>356490</v>
      </c>
      <c r="G713" s="93">
        <v>18286</v>
      </c>
      <c r="H713" s="94"/>
      <c r="I713" s="93" t="s">
        <v>977</v>
      </c>
      <c r="J713" s="93">
        <v>8</v>
      </c>
      <c r="K713" s="93">
        <v>15000</v>
      </c>
      <c r="L713" s="93">
        <v>160</v>
      </c>
      <c r="M713" s="17"/>
      <c r="N713" s="93" t="s">
        <v>977</v>
      </c>
      <c r="O713" s="93">
        <v>8</v>
      </c>
      <c r="P713" s="93">
        <v>15000</v>
      </c>
      <c r="Q713" s="93">
        <v>160</v>
      </c>
      <c r="R713" s="69"/>
    </row>
    <row r="714" spans="2:18">
      <c r="B714" s="68"/>
      <c r="C714" s="93">
        <v>11</v>
      </c>
      <c r="D714" s="93" t="s">
        <v>1789</v>
      </c>
      <c r="E714" s="93">
        <v>44</v>
      </c>
      <c r="F714" s="93">
        <v>341490</v>
      </c>
      <c r="G714" s="93">
        <v>18126</v>
      </c>
      <c r="H714" s="94"/>
      <c r="I714" s="93" t="s">
        <v>979</v>
      </c>
      <c r="J714" s="93">
        <v>8</v>
      </c>
      <c r="K714" s="93">
        <v>15000</v>
      </c>
      <c r="L714" s="93">
        <v>160</v>
      </c>
      <c r="M714" s="17"/>
      <c r="N714" s="93" t="s">
        <v>979</v>
      </c>
      <c r="O714" s="93">
        <v>8</v>
      </c>
      <c r="P714" s="93">
        <v>15000</v>
      </c>
      <c r="Q714" s="93">
        <v>160</v>
      </c>
      <c r="R714" s="69"/>
    </row>
    <row r="715" spans="2:18">
      <c r="B715" s="68"/>
      <c r="C715" s="93">
        <v>11</v>
      </c>
      <c r="D715" s="93" t="s">
        <v>1789</v>
      </c>
      <c r="E715" s="93">
        <v>36</v>
      </c>
      <c r="F715" s="93">
        <v>326490</v>
      </c>
      <c r="G715" s="93">
        <v>17966</v>
      </c>
      <c r="H715" s="94"/>
      <c r="I715" s="93" t="s">
        <v>980</v>
      </c>
      <c r="J715" s="93">
        <v>8</v>
      </c>
      <c r="K715" s="93">
        <v>15000</v>
      </c>
      <c r="L715" s="93">
        <v>160</v>
      </c>
      <c r="M715" s="17"/>
      <c r="N715" s="93" t="s">
        <v>980</v>
      </c>
      <c r="O715" s="93">
        <v>8</v>
      </c>
      <c r="P715" s="93">
        <v>15000</v>
      </c>
      <c r="Q715" s="93">
        <v>160</v>
      </c>
      <c r="R715" s="69"/>
    </row>
    <row r="716" spans="2:18">
      <c r="B716" s="68"/>
      <c r="C716" s="93">
        <v>11</v>
      </c>
      <c r="D716" s="93" t="s">
        <v>1789</v>
      </c>
      <c r="E716" s="93">
        <v>28</v>
      </c>
      <c r="F716" s="93">
        <v>311490</v>
      </c>
      <c r="G716" s="93">
        <v>17806</v>
      </c>
      <c r="H716" s="94"/>
      <c r="I716" s="93" t="s">
        <v>981</v>
      </c>
      <c r="J716" s="93">
        <v>8</v>
      </c>
      <c r="K716" s="93">
        <v>15000</v>
      </c>
      <c r="L716" s="93">
        <v>160</v>
      </c>
      <c r="M716" s="17"/>
      <c r="N716" s="93" t="s">
        <v>981</v>
      </c>
      <c r="O716" s="93">
        <v>8</v>
      </c>
      <c r="P716" s="93">
        <v>15000</v>
      </c>
      <c r="Q716" s="93">
        <v>160</v>
      </c>
      <c r="R716" s="69"/>
    </row>
    <row r="717" spans="2:18">
      <c r="B717" s="68"/>
      <c r="C717" s="93">
        <v>11</v>
      </c>
      <c r="D717" s="93" t="s">
        <v>1789</v>
      </c>
      <c r="E717" s="93">
        <v>20</v>
      </c>
      <c r="F717" s="93">
        <v>296490</v>
      </c>
      <c r="G717" s="93">
        <v>17646</v>
      </c>
      <c r="H717" s="94"/>
      <c r="I717" s="93" t="s">
        <v>982</v>
      </c>
      <c r="J717" s="93">
        <v>8</v>
      </c>
      <c r="K717" s="93">
        <v>15000</v>
      </c>
      <c r="L717" s="93">
        <v>160</v>
      </c>
      <c r="M717" s="17"/>
      <c r="N717" s="93" t="s">
        <v>982</v>
      </c>
      <c r="O717" s="93">
        <v>8</v>
      </c>
      <c r="P717" s="93">
        <v>15000</v>
      </c>
      <c r="Q717" s="93">
        <v>160</v>
      </c>
      <c r="R717" s="69"/>
    </row>
    <row r="718" spans="2:18">
      <c r="B718" s="68"/>
      <c r="C718" s="93">
        <v>11</v>
      </c>
      <c r="D718" s="93" t="s">
        <v>1789</v>
      </c>
      <c r="E718" s="93">
        <v>18</v>
      </c>
      <c r="F718" s="93">
        <v>292740</v>
      </c>
      <c r="G718" s="93">
        <v>17614</v>
      </c>
      <c r="H718" s="94"/>
      <c r="I718" s="93" t="s">
        <v>983</v>
      </c>
      <c r="J718" s="93">
        <v>2</v>
      </c>
      <c r="K718" s="93">
        <v>3750</v>
      </c>
      <c r="L718" s="93">
        <v>32</v>
      </c>
      <c r="M718" s="17"/>
      <c r="N718" s="93" t="s">
        <v>983</v>
      </c>
      <c r="O718" s="93">
        <v>2</v>
      </c>
      <c r="P718" s="93">
        <v>3750</v>
      </c>
      <c r="Q718" s="93">
        <v>32</v>
      </c>
      <c r="R718" s="69"/>
    </row>
    <row r="719" spans="2:18">
      <c r="B719" s="68"/>
      <c r="C719" s="93">
        <v>11</v>
      </c>
      <c r="D719" s="93" t="s">
        <v>1789</v>
      </c>
      <c r="E719" s="93">
        <v>10</v>
      </c>
      <c r="F719" s="93">
        <v>277740</v>
      </c>
      <c r="G719" s="93">
        <v>17454</v>
      </c>
      <c r="H719" s="94"/>
      <c r="I719" s="93" t="s">
        <v>984</v>
      </c>
      <c r="J719" s="93">
        <v>8</v>
      </c>
      <c r="K719" s="93">
        <v>15000</v>
      </c>
      <c r="L719" s="93">
        <v>160</v>
      </c>
      <c r="M719" s="17"/>
      <c r="N719" s="93" t="s">
        <v>984</v>
      </c>
      <c r="O719" s="93">
        <v>8</v>
      </c>
      <c r="P719" s="93">
        <v>15000</v>
      </c>
      <c r="Q719" s="93">
        <v>160</v>
      </c>
      <c r="R719" s="69"/>
    </row>
    <row r="720" spans="2:18">
      <c r="B720" s="68"/>
      <c r="C720" s="93">
        <v>11</v>
      </c>
      <c r="D720" s="93" t="s">
        <v>1789</v>
      </c>
      <c r="E720" s="93">
        <v>8</v>
      </c>
      <c r="F720" s="93">
        <v>273990</v>
      </c>
      <c r="G720" s="93">
        <v>17422</v>
      </c>
      <c r="H720" s="94"/>
      <c r="I720" s="93" t="s">
        <v>985</v>
      </c>
      <c r="J720" s="93">
        <v>2</v>
      </c>
      <c r="K720" s="93">
        <v>3750</v>
      </c>
      <c r="L720" s="93">
        <v>32</v>
      </c>
      <c r="M720" s="17"/>
      <c r="N720" s="93" t="s">
        <v>985</v>
      </c>
      <c r="O720" s="93">
        <v>2</v>
      </c>
      <c r="P720" s="93">
        <v>3750</v>
      </c>
      <c r="Q720" s="93">
        <v>32</v>
      </c>
      <c r="R720" s="69"/>
    </row>
    <row r="721" spans="2:18">
      <c r="B721" s="68"/>
      <c r="C721" s="93">
        <v>11</v>
      </c>
      <c r="D721" s="93" t="s">
        <v>1789</v>
      </c>
      <c r="E721" s="93">
        <v>7</v>
      </c>
      <c r="F721" s="93">
        <v>271990</v>
      </c>
      <c r="G721" s="93">
        <v>17422</v>
      </c>
      <c r="H721" s="94"/>
      <c r="I721" s="93" t="s">
        <v>986</v>
      </c>
      <c r="J721" s="93">
        <v>1</v>
      </c>
      <c r="K721" s="93">
        <v>2000</v>
      </c>
      <c r="L721" s="93">
        <v>0</v>
      </c>
      <c r="M721" s="17"/>
      <c r="N721" s="93" t="s">
        <v>986</v>
      </c>
      <c r="O721" s="93">
        <v>1</v>
      </c>
      <c r="P721" s="93">
        <v>2000</v>
      </c>
      <c r="Q721" s="93">
        <v>0</v>
      </c>
      <c r="R721" s="69"/>
    </row>
    <row r="722" spans="2:18">
      <c r="B722" s="68"/>
      <c r="C722" s="93">
        <v>11</v>
      </c>
      <c r="D722" s="93" t="s">
        <v>1789</v>
      </c>
      <c r="E722" s="93">
        <v>6</v>
      </c>
      <c r="F722" s="93">
        <v>269990</v>
      </c>
      <c r="G722" s="93">
        <v>17422</v>
      </c>
      <c r="H722" s="94"/>
      <c r="I722" s="93" t="s">
        <v>987</v>
      </c>
      <c r="J722" s="93">
        <v>1</v>
      </c>
      <c r="K722" s="93">
        <v>2000</v>
      </c>
      <c r="L722" s="93">
        <v>0</v>
      </c>
      <c r="M722" s="17"/>
      <c r="N722" s="93" t="s">
        <v>987</v>
      </c>
      <c r="O722" s="93">
        <v>1</v>
      </c>
      <c r="P722" s="93">
        <v>2000</v>
      </c>
      <c r="Q722" s="93">
        <v>0</v>
      </c>
      <c r="R722" s="69"/>
    </row>
    <row r="723" spans="2:18">
      <c r="B723" s="68"/>
      <c r="C723" s="93">
        <v>11</v>
      </c>
      <c r="D723" s="93" t="s">
        <v>1789</v>
      </c>
      <c r="E723" s="93">
        <v>4</v>
      </c>
      <c r="F723" s="93">
        <v>265990</v>
      </c>
      <c r="G723" s="93">
        <v>17422</v>
      </c>
      <c r="H723" s="94"/>
      <c r="I723" s="93" t="s">
        <v>988</v>
      </c>
      <c r="J723" s="93">
        <v>2</v>
      </c>
      <c r="K723" s="93">
        <v>4000</v>
      </c>
      <c r="L723" s="93">
        <v>0</v>
      </c>
      <c r="M723" s="17"/>
      <c r="N723" s="93" t="s">
        <v>988</v>
      </c>
      <c r="O723" s="93">
        <v>2</v>
      </c>
      <c r="P723" s="93">
        <v>4000</v>
      </c>
      <c r="Q723" s="93">
        <v>0</v>
      </c>
      <c r="R723" s="69"/>
    </row>
    <row r="724" spans="2:18">
      <c r="B724" s="68"/>
      <c r="C724" s="93">
        <v>11</v>
      </c>
      <c r="D724" s="93" t="s">
        <v>1789</v>
      </c>
      <c r="E724" s="93">
        <v>2</v>
      </c>
      <c r="F724" s="93">
        <v>258490</v>
      </c>
      <c r="G724" s="93">
        <v>17390</v>
      </c>
      <c r="H724" s="94"/>
      <c r="I724" s="93" t="s">
        <v>989</v>
      </c>
      <c r="J724" s="93">
        <v>2</v>
      </c>
      <c r="K724" s="93">
        <v>7500</v>
      </c>
      <c r="L724" s="93">
        <v>32</v>
      </c>
      <c r="M724" s="17"/>
      <c r="N724" s="93" t="s">
        <v>989</v>
      </c>
      <c r="O724" s="93">
        <v>2</v>
      </c>
      <c r="P724" s="93">
        <v>7500</v>
      </c>
      <c r="Q724" s="93">
        <v>32</v>
      </c>
      <c r="R724" s="69"/>
    </row>
    <row r="725" spans="2:18">
      <c r="B725" s="68"/>
      <c r="C725" s="93">
        <v>12</v>
      </c>
      <c r="D725" s="93" t="s">
        <v>1790</v>
      </c>
      <c r="E725" s="93">
        <v>138</v>
      </c>
      <c r="F725" s="93">
        <v>514740</v>
      </c>
      <c r="G725" s="93">
        <v>19598</v>
      </c>
      <c r="H725" s="94"/>
      <c r="I725" s="93" t="s">
        <v>990</v>
      </c>
      <c r="J725" s="93">
        <v>2</v>
      </c>
      <c r="K725" s="93">
        <v>7500</v>
      </c>
      <c r="L725" s="93">
        <v>32</v>
      </c>
      <c r="M725" s="17"/>
      <c r="N725" s="93" t="s">
        <v>990</v>
      </c>
      <c r="O725" s="93">
        <v>2</v>
      </c>
      <c r="P725" s="93">
        <v>7500</v>
      </c>
      <c r="Q725" s="93">
        <v>32</v>
      </c>
      <c r="R725" s="69"/>
    </row>
    <row r="726" spans="2:18">
      <c r="B726" s="68"/>
      <c r="C726" s="93">
        <v>12</v>
      </c>
      <c r="D726" s="93" t="s">
        <v>1790</v>
      </c>
      <c r="E726" s="93">
        <v>136</v>
      </c>
      <c r="F726" s="93">
        <v>507240</v>
      </c>
      <c r="G726" s="93">
        <v>19566</v>
      </c>
      <c r="H726" s="94"/>
      <c r="I726" s="93" t="s">
        <v>991</v>
      </c>
      <c r="J726" s="93">
        <v>2</v>
      </c>
      <c r="K726" s="93">
        <v>7500</v>
      </c>
      <c r="L726" s="93">
        <v>32</v>
      </c>
      <c r="M726" s="17"/>
      <c r="N726" s="93" t="s">
        <v>991</v>
      </c>
      <c r="O726" s="93">
        <v>2</v>
      </c>
      <c r="P726" s="93">
        <v>7500</v>
      </c>
      <c r="Q726" s="93">
        <v>32</v>
      </c>
      <c r="R726" s="69"/>
    </row>
    <row r="727" spans="2:18">
      <c r="B727" s="68"/>
      <c r="C727" s="93">
        <v>12</v>
      </c>
      <c r="D727" s="93" t="s">
        <v>1790</v>
      </c>
      <c r="E727" s="93">
        <v>134</v>
      </c>
      <c r="F727" s="93">
        <v>499740</v>
      </c>
      <c r="G727" s="93">
        <v>19534</v>
      </c>
      <c r="H727" s="94"/>
      <c r="I727" s="93" t="s">
        <v>992</v>
      </c>
      <c r="J727" s="93">
        <v>2</v>
      </c>
      <c r="K727" s="93">
        <v>7500</v>
      </c>
      <c r="L727" s="93">
        <v>32</v>
      </c>
      <c r="M727" s="17"/>
      <c r="N727" s="93" t="s">
        <v>992</v>
      </c>
      <c r="O727" s="93">
        <v>2</v>
      </c>
      <c r="P727" s="93">
        <v>7500</v>
      </c>
      <c r="Q727" s="93">
        <v>32</v>
      </c>
      <c r="R727" s="69"/>
    </row>
    <row r="728" spans="2:18">
      <c r="B728" s="68"/>
      <c r="C728" s="93">
        <v>12</v>
      </c>
      <c r="D728" s="93" t="s">
        <v>1790</v>
      </c>
      <c r="E728" s="93">
        <v>132</v>
      </c>
      <c r="F728" s="93">
        <v>495990</v>
      </c>
      <c r="G728" s="93">
        <v>19502</v>
      </c>
      <c r="H728" s="94"/>
      <c r="I728" s="93" t="s">
        <v>993</v>
      </c>
      <c r="J728" s="93">
        <v>2</v>
      </c>
      <c r="K728" s="93">
        <v>3750</v>
      </c>
      <c r="L728" s="93">
        <v>32</v>
      </c>
      <c r="M728" s="17"/>
      <c r="N728" s="93" t="s">
        <v>993</v>
      </c>
      <c r="O728" s="93">
        <v>2</v>
      </c>
      <c r="P728" s="93">
        <v>3750</v>
      </c>
      <c r="Q728" s="93">
        <v>32</v>
      </c>
      <c r="R728" s="69"/>
    </row>
    <row r="729" spans="2:18">
      <c r="B729" s="68"/>
      <c r="C729" s="93">
        <v>12</v>
      </c>
      <c r="D729" s="93" t="s">
        <v>1790</v>
      </c>
      <c r="E729" s="93">
        <v>130</v>
      </c>
      <c r="F729" s="93">
        <v>492240</v>
      </c>
      <c r="G729" s="93">
        <v>19470</v>
      </c>
      <c r="H729" s="94"/>
      <c r="I729" s="93" t="s">
        <v>994</v>
      </c>
      <c r="J729" s="93">
        <v>2</v>
      </c>
      <c r="K729" s="93">
        <v>3750</v>
      </c>
      <c r="L729" s="93">
        <v>32</v>
      </c>
      <c r="M729" s="17"/>
      <c r="N729" s="93" t="s">
        <v>994</v>
      </c>
      <c r="O729" s="93">
        <v>2</v>
      </c>
      <c r="P729" s="93">
        <v>3750</v>
      </c>
      <c r="Q729" s="93">
        <v>32</v>
      </c>
      <c r="R729" s="69"/>
    </row>
    <row r="730" spans="2:18">
      <c r="B730" s="68"/>
      <c r="C730" s="93">
        <v>11</v>
      </c>
      <c r="D730" s="93" t="s">
        <v>1789</v>
      </c>
      <c r="E730" s="93">
        <v>1</v>
      </c>
      <c r="F730" s="93">
        <v>256490</v>
      </c>
      <c r="G730" s="93">
        <v>17390</v>
      </c>
      <c r="H730" s="94"/>
      <c r="I730" s="93" t="s">
        <v>995</v>
      </c>
      <c r="J730" s="93">
        <v>1</v>
      </c>
      <c r="K730" s="93">
        <v>2000</v>
      </c>
      <c r="L730" s="93">
        <v>0</v>
      </c>
      <c r="M730" s="17"/>
      <c r="N730" s="93" t="s">
        <v>995</v>
      </c>
      <c r="O730" s="93">
        <v>1</v>
      </c>
      <c r="P730" s="93">
        <v>2000</v>
      </c>
      <c r="Q730" s="93">
        <v>0</v>
      </c>
      <c r="R730" s="69"/>
    </row>
    <row r="731" spans="2:18">
      <c r="B731" s="68"/>
      <c r="C731" s="93">
        <v>12</v>
      </c>
      <c r="D731" s="93" t="s">
        <v>1790</v>
      </c>
      <c r="E731" s="93">
        <v>129</v>
      </c>
      <c r="F731" s="93">
        <v>488490</v>
      </c>
      <c r="G731" s="93">
        <v>19466</v>
      </c>
      <c r="H731" s="94"/>
      <c r="I731" s="93" t="s">
        <v>996</v>
      </c>
      <c r="J731" s="93">
        <v>1</v>
      </c>
      <c r="K731" s="93">
        <v>3750</v>
      </c>
      <c r="L731" s="93">
        <v>4</v>
      </c>
      <c r="M731" s="17"/>
      <c r="N731" s="93" t="s">
        <v>996</v>
      </c>
      <c r="O731" s="93">
        <v>1</v>
      </c>
      <c r="P731" s="93">
        <v>3750</v>
      </c>
      <c r="Q731" s="93">
        <v>4</v>
      </c>
      <c r="R731" s="69"/>
    </row>
    <row r="732" spans="2:18">
      <c r="B732" s="68"/>
      <c r="C732" s="93">
        <v>12</v>
      </c>
      <c r="D732" s="93" t="s">
        <v>1790</v>
      </c>
      <c r="E732" s="93">
        <v>127</v>
      </c>
      <c r="F732" s="93">
        <v>484490</v>
      </c>
      <c r="G732" s="93">
        <v>19466</v>
      </c>
      <c r="H732" s="94"/>
      <c r="I732" s="93" t="s">
        <v>997</v>
      </c>
      <c r="J732" s="93">
        <v>2</v>
      </c>
      <c r="K732" s="93">
        <v>4000</v>
      </c>
      <c r="L732" s="93">
        <v>0</v>
      </c>
      <c r="M732" s="17"/>
      <c r="N732" s="93" t="s">
        <v>997</v>
      </c>
      <c r="O732" s="93">
        <v>2</v>
      </c>
      <c r="P732" s="93">
        <v>4000</v>
      </c>
      <c r="Q732" s="93">
        <v>0</v>
      </c>
      <c r="R732" s="69"/>
    </row>
    <row r="733" spans="2:18">
      <c r="B733" s="68"/>
      <c r="C733" s="93">
        <v>12</v>
      </c>
      <c r="D733" s="93" t="s">
        <v>1790</v>
      </c>
      <c r="E733" s="93">
        <v>126</v>
      </c>
      <c r="F733" s="93">
        <v>480740</v>
      </c>
      <c r="G733" s="93">
        <v>19462</v>
      </c>
      <c r="H733" s="94"/>
      <c r="I733" s="93" t="s">
        <v>999</v>
      </c>
      <c r="J733" s="93">
        <v>1</v>
      </c>
      <c r="K733" s="93">
        <v>3750</v>
      </c>
      <c r="L733" s="93">
        <v>4</v>
      </c>
      <c r="M733" s="17"/>
      <c r="N733" s="93" t="s">
        <v>999</v>
      </c>
      <c r="O733" s="93">
        <v>1</v>
      </c>
      <c r="P733" s="93">
        <v>3750</v>
      </c>
      <c r="Q733" s="93">
        <v>4</v>
      </c>
      <c r="R733" s="69"/>
    </row>
    <row r="734" spans="2:18">
      <c r="B734" s="68"/>
      <c r="C734" s="93">
        <v>12</v>
      </c>
      <c r="D734" s="93" t="s">
        <v>1790</v>
      </c>
      <c r="E734" s="93">
        <v>124</v>
      </c>
      <c r="F734" s="93">
        <v>476740</v>
      </c>
      <c r="G734" s="93">
        <v>19462</v>
      </c>
      <c r="H734" s="94"/>
      <c r="I734" s="93" t="s">
        <v>1000</v>
      </c>
      <c r="J734" s="93">
        <v>2</v>
      </c>
      <c r="K734" s="93">
        <v>4000</v>
      </c>
      <c r="L734" s="93">
        <v>0</v>
      </c>
      <c r="M734" s="17"/>
      <c r="N734" s="93" t="s">
        <v>1000</v>
      </c>
      <c r="O734" s="93">
        <v>2</v>
      </c>
      <c r="P734" s="93">
        <v>4000</v>
      </c>
      <c r="Q734" s="93">
        <v>0</v>
      </c>
      <c r="R734" s="69"/>
    </row>
    <row r="735" spans="2:18">
      <c r="B735" s="68"/>
      <c r="C735" s="93">
        <v>12</v>
      </c>
      <c r="D735" s="93" t="s">
        <v>1790</v>
      </c>
      <c r="E735" s="93">
        <v>122</v>
      </c>
      <c r="F735" s="93">
        <v>472740</v>
      </c>
      <c r="G735" s="93">
        <v>19462</v>
      </c>
      <c r="H735" s="94"/>
      <c r="I735" s="93" t="s">
        <v>1001</v>
      </c>
      <c r="J735" s="93">
        <v>2</v>
      </c>
      <c r="K735" s="93">
        <v>4000</v>
      </c>
      <c r="L735" s="93">
        <v>0</v>
      </c>
      <c r="M735" s="17"/>
      <c r="N735" s="93" t="s">
        <v>1001</v>
      </c>
      <c r="O735" s="93">
        <v>2</v>
      </c>
      <c r="P735" s="93">
        <v>4000</v>
      </c>
      <c r="Q735" s="93">
        <v>0</v>
      </c>
      <c r="R735" s="69"/>
    </row>
    <row r="736" spans="2:18">
      <c r="B736" s="68"/>
      <c r="C736" s="93">
        <v>12</v>
      </c>
      <c r="D736" s="93" t="s">
        <v>1790</v>
      </c>
      <c r="E736" s="93">
        <v>121</v>
      </c>
      <c r="F736" s="93">
        <v>470740</v>
      </c>
      <c r="G736" s="93">
        <v>19462</v>
      </c>
      <c r="H736" s="94"/>
      <c r="I736" s="93" t="s">
        <v>1002</v>
      </c>
      <c r="J736" s="93">
        <v>1</v>
      </c>
      <c r="K736" s="93">
        <v>2000</v>
      </c>
      <c r="L736" s="93">
        <v>0</v>
      </c>
      <c r="M736" s="17"/>
      <c r="N736" s="93" t="s">
        <v>1002</v>
      </c>
      <c r="O736" s="93">
        <v>1</v>
      </c>
      <c r="P736" s="93">
        <v>2000</v>
      </c>
      <c r="Q736" s="93">
        <v>0</v>
      </c>
      <c r="R736" s="69"/>
    </row>
    <row r="737" spans="2:18">
      <c r="B737" s="68"/>
      <c r="C737" s="93">
        <v>12</v>
      </c>
      <c r="D737" s="93" t="s">
        <v>1790</v>
      </c>
      <c r="E737" s="93">
        <v>120</v>
      </c>
      <c r="F737" s="93">
        <v>468740</v>
      </c>
      <c r="G737" s="93">
        <v>19462</v>
      </c>
      <c r="H737" s="94"/>
      <c r="I737" s="93" t="s">
        <v>1003</v>
      </c>
      <c r="J737" s="93">
        <v>1</v>
      </c>
      <c r="K737" s="93">
        <v>2000</v>
      </c>
      <c r="L737" s="93">
        <v>0</v>
      </c>
      <c r="M737" s="17"/>
      <c r="N737" s="93" t="s">
        <v>1003</v>
      </c>
      <c r="O737" s="93">
        <v>1</v>
      </c>
      <c r="P737" s="93">
        <v>2000</v>
      </c>
      <c r="Q737" s="93">
        <v>0</v>
      </c>
      <c r="R737" s="69"/>
    </row>
    <row r="738" spans="2:18">
      <c r="B738" s="68"/>
      <c r="C738" s="93">
        <v>12</v>
      </c>
      <c r="D738" s="93" t="s">
        <v>1790</v>
      </c>
      <c r="E738" s="93">
        <v>119</v>
      </c>
      <c r="F738" s="93">
        <v>466740</v>
      </c>
      <c r="G738" s="93">
        <v>19462</v>
      </c>
      <c r="H738" s="94"/>
      <c r="I738" s="93" t="s">
        <v>1004</v>
      </c>
      <c r="J738" s="93">
        <v>1</v>
      </c>
      <c r="K738" s="93">
        <v>2000</v>
      </c>
      <c r="L738" s="93">
        <v>0</v>
      </c>
      <c r="M738" s="17"/>
      <c r="N738" s="93" t="s">
        <v>1004</v>
      </c>
      <c r="O738" s="93">
        <v>1</v>
      </c>
      <c r="P738" s="93">
        <v>2000</v>
      </c>
      <c r="Q738" s="93">
        <v>0</v>
      </c>
      <c r="R738" s="69"/>
    </row>
    <row r="739" spans="2:18">
      <c r="B739" s="68"/>
      <c r="C739" s="93">
        <v>12</v>
      </c>
      <c r="D739" s="93" t="s">
        <v>1790</v>
      </c>
      <c r="E739" s="93">
        <v>118</v>
      </c>
      <c r="F739" s="93">
        <v>465740</v>
      </c>
      <c r="G739" s="93">
        <v>19462</v>
      </c>
      <c r="H739" s="94"/>
      <c r="I739" s="93" t="s">
        <v>1005</v>
      </c>
      <c r="J739" s="93">
        <v>1</v>
      </c>
      <c r="K739" s="93">
        <v>1000</v>
      </c>
      <c r="L739" s="93">
        <v>0</v>
      </c>
      <c r="M739" s="17"/>
      <c r="N739" s="93" t="s">
        <v>1005</v>
      </c>
      <c r="O739" s="93">
        <v>1</v>
      </c>
      <c r="P739" s="93">
        <v>1000</v>
      </c>
      <c r="Q739" s="93">
        <v>0</v>
      </c>
      <c r="R739" s="69"/>
    </row>
    <row r="740" spans="2:18">
      <c r="B740" s="68"/>
      <c r="C740" s="93">
        <v>12</v>
      </c>
      <c r="D740" s="93" t="s">
        <v>1790</v>
      </c>
      <c r="E740" s="93">
        <v>114</v>
      </c>
      <c r="F740" s="93">
        <v>458240</v>
      </c>
      <c r="G740" s="93">
        <v>19382</v>
      </c>
      <c r="H740" s="94"/>
      <c r="I740" s="93" t="s">
        <v>1006</v>
      </c>
      <c r="J740" s="93">
        <v>4</v>
      </c>
      <c r="K740" s="93">
        <v>7500</v>
      </c>
      <c r="L740" s="93">
        <v>80</v>
      </c>
      <c r="M740" s="17"/>
      <c r="N740" s="93" t="s">
        <v>1006</v>
      </c>
      <c r="O740" s="93">
        <v>4</v>
      </c>
      <c r="P740" s="93">
        <v>7500</v>
      </c>
      <c r="Q740" s="93">
        <v>80</v>
      </c>
      <c r="R740" s="69"/>
    </row>
    <row r="741" spans="2:18">
      <c r="B741" s="68"/>
      <c r="C741" s="93">
        <v>12</v>
      </c>
      <c r="D741" s="93" t="s">
        <v>1790</v>
      </c>
      <c r="E741" s="93">
        <v>110</v>
      </c>
      <c r="F741" s="93">
        <v>450740</v>
      </c>
      <c r="G741" s="93">
        <v>19302</v>
      </c>
      <c r="H741" s="94"/>
      <c r="I741" s="93" t="s">
        <v>1007</v>
      </c>
      <c r="J741" s="93">
        <v>4</v>
      </c>
      <c r="K741" s="93">
        <v>7500</v>
      </c>
      <c r="L741" s="93">
        <v>80</v>
      </c>
      <c r="M741" s="17"/>
      <c r="N741" s="93" t="s">
        <v>1007</v>
      </c>
      <c r="O741" s="93">
        <v>4</v>
      </c>
      <c r="P741" s="93">
        <v>7500</v>
      </c>
      <c r="Q741" s="93">
        <v>80</v>
      </c>
      <c r="R741" s="69"/>
    </row>
    <row r="742" spans="2:18">
      <c r="B742" s="68"/>
      <c r="C742" s="93">
        <v>12</v>
      </c>
      <c r="D742" s="93" t="s">
        <v>1790</v>
      </c>
      <c r="E742" s="93">
        <v>108</v>
      </c>
      <c r="F742" s="93">
        <v>443240</v>
      </c>
      <c r="G742" s="93">
        <v>19270</v>
      </c>
      <c r="H742" s="94"/>
      <c r="I742" s="93" t="s">
        <v>1008</v>
      </c>
      <c r="J742" s="93">
        <v>2</v>
      </c>
      <c r="K742" s="93">
        <v>7500</v>
      </c>
      <c r="L742" s="93">
        <v>32</v>
      </c>
      <c r="M742" s="17"/>
      <c r="N742" s="93" t="s">
        <v>1008</v>
      </c>
      <c r="O742" s="93">
        <v>2</v>
      </c>
      <c r="P742" s="93">
        <v>7500</v>
      </c>
      <c r="Q742" s="93">
        <v>32</v>
      </c>
      <c r="R742" s="69"/>
    </row>
    <row r="743" spans="2:18">
      <c r="B743" s="68"/>
      <c r="C743" s="93">
        <v>12</v>
      </c>
      <c r="D743" s="93" t="s">
        <v>1790</v>
      </c>
      <c r="E743" s="93">
        <v>106</v>
      </c>
      <c r="F743" s="93">
        <v>435740</v>
      </c>
      <c r="G743" s="93">
        <v>19238</v>
      </c>
      <c r="H743" s="94"/>
      <c r="I743" s="93" t="s">
        <v>1010</v>
      </c>
      <c r="J743" s="93">
        <v>2</v>
      </c>
      <c r="K743" s="93">
        <v>7500</v>
      </c>
      <c r="L743" s="93">
        <v>32</v>
      </c>
      <c r="M743" s="17"/>
      <c r="N743" s="93" t="s">
        <v>1010</v>
      </c>
      <c r="O743" s="93">
        <v>2</v>
      </c>
      <c r="P743" s="93">
        <v>7500</v>
      </c>
      <c r="Q743" s="93">
        <v>32</v>
      </c>
      <c r="R743" s="69"/>
    </row>
    <row r="744" spans="2:18">
      <c r="B744" s="68"/>
      <c r="C744" s="93">
        <v>12</v>
      </c>
      <c r="D744" s="93" t="s">
        <v>1790</v>
      </c>
      <c r="E744" s="93">
        <v>104</v>
      </c>
      <c r="F744" s="93">
        <v>428240</v>
      </c>
      <c r="G744" s="93">
        <v>19206</v>
      </c>
      <c r="H744" s="94"/>
      <c r="I744" s="93" t="s">
        <v>1011</v>
      </c>
      <c r="J744" s="93">
        <v>2</v>
      </c>
      <c r="K744" s="93">
        <v>7500</v>
      </c>
      <c r="L744" s="93">
        <v>32</v>
      </c>
      <c r="M744" s="17"/>
      <c r="N744" s="93" t="s">
        <v>1011</v>
      </c>
      <c r="O744" s="93">
        <v>2</v>
      </c>
      <c r="P744" s="93">
        <v>7500</v>
      </c>
      <c r="Q744" s="93">
        <v>32</v>
      </c>
      <c r="R744" s="69"/>
    </row>
    <row r="745" spans="2:18">
      <c r="B745" s="68"/>
      <c r="C745" s="93">
        <v>12</v>
      </c>
      <c r="D745" s="93" t="s">
        <v>1790</v>
      </c>
      <c r="E745" s="93">
        <v>103</v>
      </c>
      <c r="F745" s="93">
        <v>426240</v>
      </c>
      <c r="G745" s="93">
        <v>19206</v>
      </c>
      <c r="H745" s="94"/>
      <c r="I745" s="93" t="s">
        <v>1012</v>
      </c>
      <c r="J745" s="93">
        <v>1</v>
      </c>
      <c r="K745" s="93">
        <v>2000</v>
      </c>
      <c r="L745" s="93">
        <v>0</v>
      </c>
      <c r="M745" s="17"/>
      <c r="N745" s="93" t="s">
        <v>1012</v>
      </c>
      <c r="O745" s="93">
        <v>1</v>
      </c>
      <c r="P745" s="93">
        <v>2000</v>
      </c>
      <c r="Q745" s="93">
        <v>0</v>
      </c>
      <c r="R745" s="69"/>
    </row>
    <row r="746" spans="2:18">
      <c r="B746" s="68"/>
      <c r="C746" s="93">
        <v>12</v>
      </c>
      <c r="D746" s="93" t="s">
        <v>1790</v>
      </c>
      <c r="E746" s="93">
        <v>101</v>
      </c>
      <c r="F746" s="93">
        <v>418740</v>
      </c>
      <c r="G746" s="93">
        <v>19174</v>
      </c>
      <c r="H746" s="94"/>
      <c r="I746" s="93" t="s">
        <v>1013</v>
      </c>
      <c r="J746" s="93">
        <v>2</v>
      </c>
      <c r="K746" s="93">
        <v>7500</v>
      </c>
      <c r="L746" s="93">
        <v>32</v>
      </c>
      <c r="M746" s="17"/>
      <c r="N746" s="93" t="s">
        <v>1013</v>
      </c>
      <c r="O746" s="93">
        <v>2</v>
      </c>
      <c r="P746" s="93">
        <v>7500</v>
      </c>
      <c r="Q746" s="93">
        <v>32</v>
      </c>
      <c r="R746" s="69"/>
    </row>
    <row r="747" spans="2:18">
      <c r="B747" s="68"/>
      <c r="C747" s="93">
        <v>12</v>
      </c>
      <c r="D747" s="93" t="s">
        <v>1790</v>
      </c>
      <c r="E747" s="93">
        <v>99</v>
      </c>
      <c r="F747" s="93">
        <v>414740</v>
      </c>
      <c r="G747" s="93">
        <v>19174</v>
      </c>
      <c r="H747" s="94"/>
      <c r="I747" s="93" t="s">
        <v>1014</v>
      </c>
      <c r="J747" s="93">
        <v>2</v>
      </c>
      <c r="K747" s="93">
        <v>4000</v>
      </c>
      <c r="L747" s="93">
        <v>0</v>
      </c>
      <c r="M747" s="17"/>
      <c r="N747" s="93" t="s">
        <v>1014</v>
      </c>
      <c r="O747" s="93">
        <v>2</v>
      </c>
      <c r="P747" s="93">
        <v>4000</v>
      </c>
      <c r="Q747" s="93">
        <v>0</v>
      </c>
      <c r="R747" s="69"/>
    </row>
    <row r="748" spans="2:18">
      <c r="B748" s="68"/>
      <c r="C748" s="93">
        <v>12</v>
      </c>
      <c r="D748" s="93" t="s">
        <v>1790</v>
      </c>
      <c r="E748" s="93">
        <v>97</v>
      </c>
      <c r="F748" s="93">
        <v>407240</v>
      </c>
      <c r="G748" s="93">
        <v>19142</v>
      </c>
      <c r="H748" s="94"/>
      <c r="I748" s="93" t="s">
        <v>1015</v>
      </c>
      <c r="J748" s="93">
        <v>2</v>
      </c>
      <c r="K748" s="93">
        <v>7500</v>
      </c>
      <c r="L748" s="93">
        <v>32</v>
      </c>
      <c r="M748" s="17"/>
      <c r="N748" s="93" t="s">
        <v>1015</v>
      </c>
      <c r="O748" s="93">
        <v>2</v>
      </c>
      <c r="P748" s="93">
        <v>7500</v>
      </c>
      <c r="Q748" s="93">
        <v>32</v>
      </c>
      <c r="R748" s="69"/>
    </row>
    <row r="749" spans="2:18">
      <c r="B749" s="68"/>
      <c r="C749" s="93">
        <v>12</v>
      </c>
      <c r="D749" s="93" t="s">
        <v>1790</v>
      </c>
      <c r="E749" s="93">
        <v>95</v>
      </c>
      <c r="F749" s="93">
        <v>399740</v>
      </c>
      <c r="G749" s="93">
        <v>19110</v>
      </c>
      <c r="H749" s="94"/>
      <c r="I749" s="93" t="s">
        <v>1016</v>
      </c>
      <c r="J749" s="93">
        <v>2</v>
      </c>
      <c r="K749" s="93">
        <v>7500</v>
      </c>
      <c r="L749" s="93">
        <v>32</v>
      </c>
      <c r="M749" s="17"/>
      <c r="N749" s="93" t="s">
        <v>1016</v>
      </c>
      <c r="O749" s="93">
        <v>2</v>
      </c>
      <c r="P749" s="93">
        <v>7500</v>
      </c>
      <c r="Q749" s="93">
        <v>32</v>
      </c>
      <c r="R749" s="69"/>
    </row>
    <row r="750" spans="2:18">
      <c r="B750" s="68"/>
      <c r="C750" s="93">
        <v>12</v>
      </c>
      <c r="D750" s="93" t="s">
        <v>1790</v>
      </c>
      <c r="E750" s="93">
        <v>93</v>
      </c>
      <c r="F750" s="93">
        <v>392240</v>
      </c>
      <c r="G750" s="93">
        <v>19078</v>
      </c>
      <c r="H750" s="94"/>
      <c r="I750" s="93" t="s">
        <v>1017</v>
      </c>
      <c r="J750" s="93">
        <v>2</v>
      </c>
      <c r="K750" s="93">
        <v>7500</v>
      </c>
      <c r="L750" s="93">
        <v>32</v>
      </c>
      <c r="M750" s="17"/>
      <c r="N750" s="93" t="s">
        <v>1017</v>
      </c>
      <c r="O750" s="93">
        <v>2</v>
      </c>
      <c r="P750" s="93">
        <v>7500</v>
      </c>
      <c r="Q750" s="93">
        <v>32</v>
      </c>
      <c r="R750" s="69"/>
    </row>
    <row r="751" spans="2:18">
      <c r="B751" s="68"/>
      <c r="C751" s="93">
        <v>12</v>
      </c>
      <c r="D751" s="93" t="s">
        <v>1790</v>
      </c>
      <c r="E751" s="93">
        <v>92</v>
      </c>
      <c r="F751" s="93">
        <v>390240</v>
      </c>
      <c r="G751" s="93">
        <v>19078</v>
      </c>
      <c r="H751" s="94"/>
      <c r="I751" s="93" t="s">
        <v>1018</v>
      </c>
      <c r="J751" s="93">
        <v>1</v>
      </c>
      <c r="K751" s="93">
        <v>2000</v>
      </c>
      <c r="L751" s="93">
        <v>0</v>
      </c>
      <c r="M751" s="17"/>
      <c r="N751" s="93" t="s">
        <v>1018</v>
      </c>
      <c r="O751" s="93">
        <v>1</v>
      </c>
      <c r="P751" s="93">
        <v>2000</v>
      </c>
      <c r="Q751" s="93">
        <v>0</v>
      </c>
      <c r="R751" s="69"/>
    </row>
    <row r="752" spans="2:18">
      <c r="B752" s="68"/>
      <c r="C752" s="93">
        <v>12</v>
      </c>
      <c r="D752" s="93" t="s">
        <v>1790</v>
      </c>
      <c r="E752" s="93">
        <v>91</v>
      </c>
      <c r="F752" s="93">
        <v>388240</v>
      </c>
      <c r="G752" s="93">
        <v>19078</v>
      </c>
      <c r="H752" s="94"/>
      <c r="I752" s="93" t="s">
        <v>1019</v>
      </c>
      <c r="J752" s="93">
        <v>1</v>
      </c>
      <c r="K752" s="93">
        <v>2000</v>
      </c>
      <c r="L752" s="93">
        <v>0</v>
      </c>
      <c r="M752" s="17"/>
      <c r="N752" s="93" t="s">
        <v>1019</v>
      </c>
      <c r="O752" s="93">
        <v>1</v>
      </c>
      <c r="P752" s="93">
        <v>2000</v>
      </c>
      <c r="Q752" s="93">
        <v>0</v>
      </c>
      <c r="R752" s="69"/>
    </row>
    <row r="753" spans="2:18">
      <c r="B753" s="68"/>
      <c r="C753" s="93">
        <v>12</v>
      </c>
      <c r="D753" s="93" t="s">
        <v>1790</v>
      </c>
      <c r="E753" s="93">
        <v>90</v>
      </c>
      <c r="F753" s="93">
        <v>386240</v>
      </c>
      <c r="G753" s="93">
        <v>19078</v>
      </c>
      <c r="H753" s="94"/>
      <c r="I753" s="93" t="s">
        <v>1020</v>
      </c>
      <c r="J753" s="93">
        <v>1</v>
      </c>
      <c r="K753" s="93">
        <v>2000</v>
      </c>
      <c r="L753" s="93">
        <v>0</v>
      </c>
      <c r="M753" s="17"/>
      <c r="N753" s="93" t="s">
        <v>1020</v>
      </c>
      <c r="O753" s="93">
        <v>1</v>
      </c>
      <c r="P753" s="93">
        <v>2000</v>
      </c>
      <c r="Q753" s="93">
        <v>0</v>
      </c>
      <c r="R753" s="69"/>
    </row>
    <row r="754" spans="2:18">
      <c r="B754" s="68"/>
      <c r="C754" s="93">
        <v>12</v>
      </c>
      <c r="D754" s="93" t="s">
        <v>1790</v>
      </c>
      <c r="E754" s="93">
        <v>88</v>
      </c>
      <c r="F754" s="93">
        <v>382240</v>
      </c>
      <c r="G754" s="93">
        <v>19078</v>
      </c>
      <c r="H754" s="94"/>
      <c r="I754" s="93" t="s">
        <v>1021</v>
      </c>
      <c r="J754" s="93">
        <v>2</v>
      </c>
      <c r="K754" s="93">
        <v>4000</v>
      </c>
      <c r="L754" s="93">
        <v>0</v>
      </c>
      <c r="M754" s="17"/>
      <c r="N754" s="93" t="s">
        <v>1021</v>
      </c>
      <c r="O754" s="93">
        <v>2</v>
      </c>
      <c r="P754" s="93">
        <v>4000</v>
      </c>
      <c r="Q754" s="93">
        <v>0</v>
      </c>
      <c r="R754" s="69"/>
    </row>
    <row r="755" spans="2:18">
      <c r="B755" s="68"/>
      <c r="C755" s="93">
        <v>12</v>
      </c>
      <c r="D755" s="93" t="s">
        <v>1790</v>
      </c>
      <c r="E755" s="93">
        <v>86</v>
      </c>
      <c r="F755" s="93">
        <v>378240</v>
      </c>
      <c r="G755" s="93">
        <v>19078</v>
      </c>
      <c r="H755" s="94"/>
      <c r="I755" s="93" t="s">
        <v>1022</v>
      </c>
      <c r="J755" s="93">
        <v>2</v>
      </c>
      <c r="K755" s="93">
        <v>4000</v>
      </c>
      <c r="L755" s="93">
        <v>0</v>
      </c>
      <c r="M755" s="17"/>
      <c r="N755" s="93" t="s">
        <v>1022</v>
      </c>
      <c r="O755" s="93">
        <v>2</v>
      </c>
      <c r="P755" s="93">
        <v>4000</v>
      </c>
      <c r="Q755" s="93">
        <v>0</v>
      </c>
      <c r="R755" s="69"/>
    </row>
    <row r="756" spans="2:18">
      <c r="B756" s="68"/>
      <c r="C756" s="93">
        <v>12</v>
      </c>
      <c r="D756" s="93" t="s">
        <v>1790</v>
      </c>
      <c r="E756" s="93">
        <v>84</v>
      </c>
      <c r="F756" s="93">
        <v>374490</v>
      </c>
      <c r="G756" s="93">
        <v>19046</v>
      </c>
      <c r="H756" s="94"/>
      <c r="I756" s="93" t="s">
        <v>1023</v>
      </c>
      <c r="J756" s="93">
        <v>2</v>
      </c>
      <c r="K756" s="93">
        <v>3750</v>
      </c>
      <c r="L756" s="93">
        <v>32</v>
      </c>
      <c r="M756" s="17"/>
      <c r="N756" s="93" t="s">
        <v>1023</v>
      </c>
      <c r="O756" s="93">
        <v>2</v>
      </c>
      <c r="P756" s="93">
        <v>3750</v>
      </c>
      <c r="Q756" s="93">
        <v>32</v>
      </c>
      <c r="R756" s="69"/>
    </row>
    <row r="757" spans="2:18">
      <c r="B757" s="68"/>
      <c r="C757" s="93">
        <v>12</v>
      </c>
      <c r="D757" s="93" t="s">
        <v>1790</v>
      </c>
      <c r="E757" s="93">
        <v>82</v>
      </c>
      <c r="F757" s="93">
        <v>370490</v>
      </c>
      <c r="G757" s="93">
        <v>19046</v>
      </c>
      <c r="H757" s="94"/>
      <c r="I757" s="93" t="s">
        <v>1024</v>
      </c>
      <c r="J757" s="93">
        <v>2</v>
      </c>
      <c r="K757" s="93">
        <v>4000</v>
      </c>
      <c r="L757" s="93">
        <v>0</v>
      </c>
      <c r="M757" s="17"/>
      <c r="N757" s="93" t="s">
        <v>1024</v>
      </c>
      <c r="O757" s="93">
        <v>2</v>
      </c>
      <c r="P757" s="93">
        <v>4000</v>
      </c>
      <c r="Q757" s="93">
        <v>0</v>
      </c>
      <c r="R757" s="69"/>
    </row>
    <row r="758" spans="2:18">
      <c r="B758" s="68"/>
      <c r="C758" s="93">
        <v>12</v>
      </c>
      <c r="D758" s="93" t="s">
        <v>1790</v>
      </c>
      <c r="E758" s="93">
        <v>81</v>
      </c>
      <c r="F758" s="93">
        <v>368490</v>
      </c>
      <c r="G758" s="93">
        <v>19046</v>
      </c>
      <c r="H758" s="94"/>
      <c r="I758" s="93" t="s">
        <v>1025</v>
      </c>
      <c r="J758" s="93">
        <v>1</v>
      </c>
      <c r="K758" s="93">
        <v>2000</v>
      </c>
      <c r="L758" s="93">
        <v>0</v>
      </c>
      <c r="M758" s="17"/>
      <c r="N758" s="93" t="s">
        <v>1025</v>
      </c>
      <c r="O758" s="93">
        <v>1</v>
      </c>
      <c r="P758" s="93">
        <v>2000</v>
      </c>
      <c r="Q758" s="93">
        <v>0</v>
      </c>
      <c r="R758" s="69"/>
    </row>
    <row r="759" spans="2:18">
      <c r="B759" s="68"/>
      <c r="C759" s="93">
        <v>12</v>
      </c>
      <c r="D759" s="93" t="s">
        <v>1790</v>
      </c>
      <c r="E759" s="93">
        <v>80</v>
      </c>
      <c r="F759" s="93">
        <v>366490</v>
      </c>
      <c r="G759" s="93">
        <v>19046</v>
      </c>
      <c r="H759" s="94"/>
      <c r="I759" s="93" t="s">
        <v>1026</v>
      </c>
      <c r="J759" s="93">
        <v>1</v>
      </c>
      <c r="K759" s="93">
        <v>2000</v>
      </c>
      <c r="L759" s="93">
        <v>0</v>
      </c>
      <c r="M759" s="17"/>
      <c r="N759" s="93" t="s">
        <v>1026</v>
      </c>
      <c r="O759" s="93">
        <v>1</v>
      </c>
      <c r="P759" s="93">
        <v>2000</v>
      </c>
      <c r="Q759" s="93">
        <v>0</v>
      </c>
      <c r="R759" s="69"/>
    </row>
    <row r="760" spans="2:18">
      <c r="B760" s="68"/>
      <c r="C760" s="93">
        <v>12</v>
      </c>
      <c r="D760" s="93" t="s">
        <v>1790</v>
      </c>
      <c r="E760" s="93">
        <v>79</v>
      </c>
      <c r="F760" s="93">
        <v>364490</v>
      </c>
      <c r="G760" s="93">
        <v>19046</v>
      </c>
      <c r="H760" s="94"/>
      <c r="I760" s="93" t="s">
        <v>1027</v>
      </c>
      <c r="J760" s="93">
        <v>1</v>
      </c>
      <c r="K760" s="93">
        <v>2000</v>
      </c>
      <c r="L760" s="93">
        <v>0</v>
      </c>
      <c r="M760" s="17"/>
      <c r="N760" s="93" t="s">
        <v>1027</v>
      </c>
      <c r="O760" s="93">
        <v>1</v>
      </c>
      <c r="P760" s="93">
        <v>2000</v>
      </c>
      <c r="Q760" s="93">
        <v>0</v>
      </c>
      <c r="R760" s="69"/>
    </row>
    <row r="761" spans="2:18">
      <c r="B761" s="68"/>
      <c r="C761" s="93">
        <v>12</v>
      </c>
      <c r="D761" s="93" t="s">
        <v>1790</v>
      </c>
      <c r="E761" s="93">
        <v>78</v>
      </c>
      <c r="F761" s="93">
        <v>362490</v>
      </c>
      <c r="G761" s="93">
        <v>19046</v>
      </c>
      <c r="H761" s="94"/>
      <c r="I761" s="93" t="s">
        <v>1028</v>
      </c>
      <c r="J761" s="93">
        <v>1</v>
      </c>
      <c r="K761" s="93">
        <v>2000</v>
      </c>
      <c r="L761" s="93">
        <v>0</v>
      </c>
      <c r="M761" s="17"/>
      <c r="N761" s="93" t="s">
        <v>1028</v>
      </c>
      <c r="O761" s="93">
        <v>1</v>
      </c>
      <c r="P761" s="93">
        <v>2000</v>
      </c>
      <c r="Q761" s="93">
        <v>0</v>
      </c>
      <c r="R761" s="69"/>
    </row>
    <row r="762" spans="2:18">
      <c r="B762" s="68"/>
      <c r="C762" s="93">
        <v>12</v>
      </c>
      <c r="D762" s="93" t="s">
        <v>1790</v>
      </c>
      <c r="E762" s="93">
        <v>77</v>
      </c>
      <c r="F762" s="93">
        <v>360490</v>
      </c>
      <c r="G762" s="93">
        <v>19046</v>
      </c>
      <c r="H762" s="94"/>
      <c r="I762" s="93" t="s">
        <v>1029</v>
      </c>
      <c r="J762" s="93">
        <v>1</v>
      </c>
      <c r="K762" s="93">
        <v>2000</v>
      </c>
      <c r="L762" s="93">
        <v>0</v>
      </c>
      <c r="M762" s="17"/>
      <c r="N762" s="93" t="s">
        <v>1029</v>
      </c>
      <c r="O762" s="93">
        <v>1</v>
      </c>
      <c r="P762" s="93">
        <v>2000</v>
      </c>
      <c r="Q762" s="93">
        <v>0</v>
      </c>
      <c r="R762" s="69"/>
    </row>
    <row r="763" spans="2:18">
      <c r="B763" s="68"/>
      <c r="C763" s="93">
        <v>12</v>
      </c>
      <c r="D763" s="93" t="s">
        <v>1790</v>
      </c>
      <c r="E763" s="93">
        <v>76</v>
      </c>
      <c r="F763" s="93">
        <v>358790</v>
      </c>
      <c r="G763" s="93">
        <v>18886</v>
      </c>
      <c r="H763" s="94"/>
      <c r="I763" s="93" t="s">
        <v>1031</v>
      </c>
      <c r="J763" s="93">
        <v>1</v>
      </c>
      <c r="K763" s="93">
        <v>1700</v>
      </c>
      <c r="L763" s="93">
        <v>160</v>
      </c>
      <c r="M763" s="17"/>
      <c r="N763" s="93" t="s">
        <v>1031</v>
      </c>
      <c r="O763" s="93">
        <v>1</v>
      </c>
      <c r="P763" s="93">
        <v>1700</v>
      </c>
      <c r="Q763" s="93">
        <v>160</v>
      </c>
      <c r="R763" s="69"/>
    </row>
    <row r="764" spans="2:18">
      <c r="B764" s="68"/>
      <c r="C764" s="93">
        <v>12</v>
      </c>
      <c r="D764" s="93" t="s">
        <v>1790</v>
      </c>
      <c r="E764" s="93">
        <v>75</v>
      </c>
      <c r="F764" s="93">
        <v>357090</v>
      </c>
      <c r="G764" s="93">
        <v>18726</v>
      </c>
      <c r="H764" s="94"/>
      <c r="I764" s="93" t="s">
        <v>1032</v>
      </c>
      <c r="J764" s="93">
        <v>1</v>
      </c>
      <c r="K764" s="93">
        <v>1700</v>
      </c>
      <c r="L764" s="93">
        <v>160</v>
      </c>
      <c r="M764" s="17"/>
      <c r="N764" s="93" t="s">
        <v>1032</v>
      </c>
      <c r="O764" s="93">
        <v>1</v>
      </c>
      <c r="P764" s="93">
        <v>1700</v>
      </c>
      <c r="Q764" s="93">
        <v>160</v>
      </c>
      <c r="R764" s="69"/>
    </row>
    <row r="765" spans="2:18">
      <c r="B765" s="68"/>
      <c r="C765" s="93">
        <v>12</v>
      </c>
      <c r="D765" s="93" t="s">
        <v>1790</v>
      </c>
      <c r="E765" s="93">
        <v>74</v>
      </c>
      <c r="F765" s="93">
        <v>355390</v>
      </c>
      <c r="G765" s="93">
        <v>18566</v>
      </c>
      <c r="H765" s="94"/>
      <c r="I765" s="93" t="s">
        <v>1033</v>
      </c>
      <c r="J765" s="93">
        <v>1</v>
      </c>
      <c r="K765" s="93">
        <v>1700</v>
      </c>
      <c r="L765" s="93">
        <v>160</v>
      </c>
      <c r="M765" s="17"/>
      <c r="N765" s="93" t="s">
        <v>1033</v>
      </c>
      <c r="O765" s="93">
        <v>1</v>
      </c>
      <c r="P765" s="93">
        <v>1700</v>
      </c>
      <c r="Q765" s="93">
        <v>160</v>
      </c>
      <c r="R765" s="69"/>
    </row>
    <row r="766" spans="2:18">
      <c r="B766" s="68"/>
      <c r="C766" s="93">
        <v>12</v>
      </c>
      <c r="D766" s="93" t="s">
        <v>1790</v>
      </c>
      <c r="E766" s="93">
        <v>73</v>
      </c>
      <c r="F766" s="93">
        <v>351640</v>
      </c>
      <c r="G766" s="93">
        <v>18156</v>
      </c>
      <c r="H766" s="94"/>
      <c r="I766" s="93" t="s">
        <v>1034</v>
      </c>
      <c r="J766" s="93">
        <v>1</v>
      </c>
      <c r="K766" s="93">
        <v>3750</v>
      </c>
      <c r="L766" s="93">
        <v>410</v>
      </c>
      <c r="M766" s="17"/>
      <c r="N766" s="93" t="s">
        <v>1034</v>
      </c>
      <c r="O766" s="93">
        <v>1</v>
      </c>
      <c r="P766" s="93">
        <v>3750</v>
      </c>
      <c r="Q766" s="93">
        <v>410</v>
      </c>
      <c r="R766" s="69"/>
    </row>
    <row r="767" spans="2:18">
      <c r="B767" s="68"/>
      <c r="C767" s="93">
        <v>12</v>
      </c>
      <c r="D767" s="93" t="s">
        <v>1790</v>
      </c>
      <c r="E767" s="93">
        <v>72</v>
      </c>
      <c r="F767" s="93">
        <v>349940</v>
      </c>
      <c r="G767" s="93">
        <v>17996</v>
      </c>
      <c r="H767" s="94"/>
      <c r="I767" s="93" t="s">
        <v>1035</v>
      </c>
      <c r="J767" s="93">
        <v>1</v>
      </c>
      <c r="K767" s="93">
        <v>1700</v>
      </c>
      <c r="L767" s="93">
        <v>160</v>
      </c>
      <c r="M767" s="17"/>
      <c r="N767" s="93" t="s">
        <v>1035</v>
      </c>
      <c r="O767" s="93">
        <v>1</v>
      </c>
      <c r="P767" s="93">
        <v>1700</v>
      </c>
      <c r="Q767" s="93">
        <v>160</v>
      </c>
      <c r="R767" s="69"/>
    </row>
    <row r="768" spans="2:18">
      <c r="B768" s="68"/>
      <c r="C768" s="93">
        <v>12</v>
      </c>
      <c r="D768" s="93" t="s">
        <v>1790</v>
      </c>
      <c r="E768" s="93">
        <v>71</v>
      </c>
      <c r="F768" s="93">
        <v>348240</v>
      </c>
      <c r="G768" s="93">
        <v>17836</v>
      </c>
      <c r="H768" s="94"/>
      <c r="I768" s="93" t="s">
        <v>1036</v>
      </c>
      <c r="J768" s="93">
        <v>1</v>
      </c>
      <c r="K768" s="93">
        <v>1700</v>
      </c>
      <c r="L768" s="93">
        <v>160</v>
      </c>
      <c r="M768" s="17"/>
      <c r="N768" s="93" t="s">
        <v>1036</v>
      </c>
      <c r="O768" s="93">
        <v>1</v>
      </c>
      <c r="P768" s="93">
        <v>1700</v>
      </c>
      <c r="Q768" s="93">
        <v>160</v>
      </c>
      <c r="R768" s="69"/>
    </row>
    <row r="769" spans="2:18">
      <c r="B769" s="68"/>
      <c r="C769" s="93">
        <v>12</v>
      </c>
      <c r="D769" s="93" t="s">
        <v>1790</v>
      </c>
      <c r="E769" s="93">
        <v>69</v>
      </c>
      <c r="F769" s="93">
        <v>344240</v>
      </c>
      <c r="G769" s="93">
        <v>17836</v>
      </c>
      <c r="H769" s="94"/>
      <c r="I769" s="93" t="s">
        <v>1037</v>
      </c>
      <c r="J769" s="93">
        <v>2</v>
      </c>
      <c r="K769" s="93">
        <v>4000</v>
      </c>
      <c r="L769" s="93">
        <v>0</v>
      </c>
      <c r="M769" s="17"/>
      <c r="N769" s="93" t="s">
        <v>1037</v>
      </c>
      <c r="O769" s="93">
        <v>2</v>
      </c>
      <c r="P769" s="93">
        <v>4000</v>
      </c>
      <c r="Q769" s="93">
        <v>0</v>
      </c>
      <c r="R769" s="69"/>
    </row>
    <row r="770" spans="2:18">
      <c r="B770" s="68"/>
      <c r="C770" s="93">
        <v>12</v>
      </c>
      <c r="D770" s="93" t="s">
        <v>1790</v>
      </c>
      <c r="E770" s="93">
        <v>68</v>
      </c>
      <c r="F770" s="93">
        <v>342540</v>
      </c>
      <c r="G770" s="93">
        <v>17676</v>
      </c>
      <c r="H770" s="94"/>
      <c r="I770" s="93" t="s">
        <v>1038</v>
      </c>
      <c r="J770" s="93">
        <v>1</v>
      </c>
      <c r="K770" s="93">
        <v>1700</v>
      </c>
      <c r="L770" s="93">
        <v>160</v>
      </c>
      <c r="M770" s="17"/>
      <c r="N770" s="93" t="s">
        <v>1038</v>
      </c>
      <c r="O770" s="93">
        <v>1</v>
      </c>
      <c r="P770" s="93">
        <v>1700</v>
      </c>
      <c r="Q770" s="93">
        <v>160</v>
      </c>
      <c r="R770" s="69"/>
    </row>
    <row r="771" spans="2:18">
      <c r="B771" s="68"/>
      <c r="C771" s="93">
        <v>12</v>
      </c>
      <c r="D771" s="93" t="s">
        <v>1790</v>
      </c>
      <c r="E771" s="93">
        <v>66</v>
      </c>
      <c r="F771" s="93">
        <v>338540</v>
      </c>
      <c r="G771" s="93">
        <v>17676</v>
      </c>
      <c r="H771" s="94"/>
      <c r="I771" s="93" t="s">
        <v>1039</v>
      </c>
      <c r="J771" s="93">
        <v>2</v>
      </c>
      <c r="K771" s="93">
        <v>4000</v>
      </c>
      <c r="L771" s="93">
        <v>0</v>
      </c>
      <c r="M771" s="17"/>
      <c r="N771" s="93" t="s">
        <v>1039</v>
      </c>
      <c r="O771" s="93">
        <v>2</v>
      </c>
      <c r="P771" s="93">
        <v>4000</v>
      </c>
      <c r="Q771" s="93">
        <v>0</v>
      </c>
      <c r="R771" s="69"/>
    </row>
    <row r="772" spans="2:18">
      <c r="B772" s="68"/>
      <c r="C772" s="93">
        <v>12</v>
      </c>
      <c r="D772" s="93" t="s">
        <v>1790</v>
      </c>
      <c r="E772" s="93">
        <v>65</v>
      </c>
      <c r="F772" s="93">
        <v>336540</v>
      </c>
      <c r="G772" s="93">
        <v>17676</v>
      </c>
      <c r="H772" s="94"/>
      <c r="I772" s="93" t="s">
        <v>1040</v>
      </c>
      <c r="J772" s="93">
        <v>1</v>
      </c>
      <c r="K772" s="93">
        <v>2000</v>
      </c>
      <c r="L772" s="93">
        <v>0</v>
      </c>
      <c r="M772" s="17"/>
      <c r="N772" s="93" t="s">
        <v>1040</v>
      </c>
      <c r="O772" s="93">
        <v>1</v>
      </c>
      <c r="P772" s="93">
        <v>2000</v>
      </c>
      <c r="Q772" s="93">
        <v>0</v>
      </c>
      <c r="R772" s="69"/>
    </row>
    <row r="773" spans="2:18">
      <c r="B773" s="68"/>
      <c r="C773" s="93">
        <v>12</v>
      </c>
      <c r="D773" s="93" t="s">
        <v>1790</v>
      </c>
      <c r="E773" s="93">
        <v>64</v>
      </c>
      <c r="F773" s="93">
        <v>334540</v>
      </c>
      <c r="G773" s="93">
        <v>17676</v>
      </c>
      <c r="H773" s="94"/>
      <c r="I773" s="93" t="s">
        <v>1041</v>
      </c>
      <c r="J773" s="93">
        <v>1</v>
      </c>
      <c r="K773" s="93">
        <v>2000</v>
      </c>
      <c r="L773" s="93">
        <v>0</v>
      </c>
      <c r="M773" s="17"/>
      <c r="N773" s="93" t="s">
        <v>1041</v>
      </c>
      <c r="O773" s="93">
        <v>1</v>
      </c>
      <c r="P773" s="93">
        <v>2000</v>
      </c>
      <c r="Q773" s="93">
        <v>0</v>
      </c>
      <c r="R773" s="69"/>
    </row>
    <row r="774" spans="2:18">
      <c r="B774" s="68"/>
      <c r="C774" s="93">
        <v>12</v>
      </c>
      <c r="D774" s="93" t="s">
        <v>1790</v>
      </c>
      <c r="E774" s="93">
        <v>63</v>
      </c>
      <c r="F774" s="93">
        <v>332540</v>
      </c>
      <c r="G774" s="93">
        <v>17676</v>
      </c>
      <c r="H774" s="94"/>
      <c r="I774" s="93" t="s">
        <v>1042</v>
      </c>
      <c r="J774" s="93">
        <v>1</v>
      </c>
      <c r="K774" s="93">
        <v>2000</v>
      </c>
      <c r="L774" s="93">
        <v>0</v>
      </c>
      <c r="M774" s="17"/>
      <c r="N774" s="93" t="s">
        <v>1042</v>
      </c>
      <c r="O774" s="93">
        <v>1</v>
      </c>
      <c r="P774" s="93">
        <v>2000</v>
      </c>
      <c r="Q774" s="93">
        <v>0</v>
      </c>
      <c r="R774" s="69"/>
    </row>
    <row r="775" spans="2:18">
      <c r="B775" s="68"/>
      <c r="C775" s="93">
        <v>12</v>
      </c>
      <c r="D775" s="93" t="s">
        <v>1790</v>
      </c>
      <c r="E775" s="93">
        <v>62</v>
      </c>
      <c r="F775" s="93">
        <v>330540</v>
      </c>
      <c r="G775" s="93">
        <v>17676</v>
      </c>
      <c r="H775" s="94"/>
      <c r="I775" s="93" t="s">
        <v>1044</v>
      </c>
      <c r="J775" s="93">
        <v>1</v>
      </c>
      <c r="K775" s="93">
        <v>2000</v>
      </c>
      <c r="L775" s="93">
        <v>0</v>
      </c>
      <c r="M775" s="17"/>
      <c r="N775" s="93" t="s">
        <v>1044</v>
      </c>
      <c r="O775" s="93">
        <v>1</v>
      </c>
      <c r="P775" s="93">
        <v>2000</v>
      </c>
      <c r="Q775" s="93">
        <v>0</v>
      </c>
      <c r="R775" s="69"/>
    </row>
    <row r="776" spans="2:18">
      <c r="B776" s="68"/>
      <c r="C776" s="93">
        <v>12</v>
      </c>
      <c r="D776" s="93" t="s">
        <v>1790</v>
      </c>
      <c r="E776" s="93">
        <v>60</v>
      </c>
      <c r="F776" s="93">
        <v>326540</v>
      </c>
      <c r="G776" s="93">
        <v>17676</v>
      </c>
      <c r="H776" s="94"/>
      <c r="I776" s="93" t="s">
        <v>1046</v>
      </c>
      <c r="J776" s="93">
        <v>2</v>
      </c>
      <c r="K776" s="93">
        <v>4000</v>
      </c>
      <c r="L776" s="93">
        <v>0</v>
      </c>
      <c r="M776" s="17"/>
      <c r="N776" s="93" t="s">
        <v>1046</v>
      </c>
      <c r="O776" s="93">
        <v>2</v>
      </c>
      <c r="P776" s="93">
        <v>4000</v>
      </c>
      <c r="Q776" s="93">
        <v>0</v>
      </c>
      <c r="R776" s="69"/>
    </row>
    <row r="777" spans="2:18">
      <c r="B777" s="68"/>
      <c r="C777" s="93">
        <v>12</v>
      </c>
      <c r="D777" s="93" t="s">
        <v>1790</v>
      </c>
      <c r="E777" s="93">
        <v>58</v>
      </c>
      <c r="F777" s="93">
        <v>322540</v>
      </c>
      <c r="G777" s="93">
        <v>17676</v>
      </c>
      <c r="H777" s="94"/>
      <c r="I777" s="93" t="s">
        <v>1048</v>
      </c>
      <c r="J777" s="93">
        <v>2</v>
      </c>
      <c r="K777" s="93">
        <v>4000</v>
      </c>
      <c r="L777" s="93">
        <v>0</v>
      </c>
      <c r="M777" s="17"/>
      <c r="N777" s="93" t="s">
        <v>1048</v>
      </c>
      <c r="O777" s="93">
        <v>2</v>
      </c>
      <c r="P777" s="93">
        <v>4000</v>
      </c>
      <c r="Q777" s="93">
        <v>0</v>
      </c>
      <c r="R777" s="69"/>
    </row>
    <row r="778" spans="2:18">
      <c r="B778" s="68"/>
      <c r="C778" s="93">
        <v>12</v>
      </c>
      <c r="D778" s="93" t="s">
        <v>1790</v>
      </c>
      <c r="E778" s="93">
        <v>56</v>
      </c>
      <c r="F778" s="93">
        <v>315040</v>
      </c>
      <c r="G778" s="93">
        <v>17644</v>
      </c>
      <c r="H778" s="94"/>
      <c r="I778" s="93" t="s">
        <v>1049</v>
      </c>
      <c r="J778" s="93">
        <v>2</v>
      </c>
      <c r="K778" s="93">
        <v>7500</v>
      </c>
      <c r="L778" s="93">
        <v>32</v>
      </c>
      <c r="M778" s="17"/>
      <c r="N778" s="93" t="s">
        <v>1049</v>
      </c>
      <c r="O778" s="93">
        <v>2</v>
      </c>
      <c r="P778" s="93">
        <v>7500</v>
      </c>
      <c r="Q778" s="93">
        <v>32</v>
      </c>
      <c r="R778" s="69"/>
    </row>
    <row r="779" spans="2:18">
      <c r="B779" s="68"/>
      <c r="C779" s="93">
        <v>12</v>
      </c>
      <c r="D779" s="93" t="s">
        <v>1790</v>
      </c>
      <c r="E779" s="93">
        <v>54</v>
      </c>
      <c r="F779" s="93">
        <v>307540</v>
      </c>
      <c r="G779" s="93">
        <v>17612</v>
      </c>
      <c r="H779" s="94"/>
      <c r="I779" s="93" t="s">
        <v>1050</v>
      </c>
      <c r="J779" s="93">
        <v>2</v>
      </c>
      <c r="K779" s="93">
        <v>7500</v>
      </c>
      <c r="L779" s="93">
        <v>32</v>
      </c>
      <c r="M779" s="17"/>
      <c r="N779" s="93" t="s">
        <v>1050</v>
      </c>
      <c r="O779" s="93">
        <v>2</v>
      </c>
      <c r="P779" s="93">
        <v>7500</v>
      </c>
      <c r="Q779" s="93">
        <v>32</v>
      </c>
      <c r="R779" s="69"/>
    </row>
    <row r="780" spans="2:18">
      <c r="B780" s="68"/>
      <c r="C780" s="93">
        <v>12</v>
      </c>
      <c r="D780" s="93" t="s">
        <v>1790</v>
      </c>
      <c r="E780" s="93">
        <v>52</v>
      </c>
      <c r="F780" s="93">
        <v>300040</v>
      </c>
      <c r="G780" s="93">
        <v>17580</v>
      </c>
      <c r="H780" s="94"/>
      <c r="I780" s="93" t="s">
        <v>1051</v>
      </c>
      <c r="J780" s="93">
        <v>2</v>
      </c>
      <c r="K780" s="93">
        <v>7500</v>
      </c>
      <c r="L780" s="93">
        <v>32</v>
      </c>
      <c r="M780" s="17"/>
      <c r="N780" s="93" t="s">
        <v>1051</v>
      </c>
      <c r="O780" s="93">
        <v>2</v>
      </c>
      <c r="P780" s="93">
        <v>7500</v>
      </c>
      <c r="Q780" s="93">
        <v>32</v>
      </c>
      <c r="R780" s="69"/>
    </row>
    <row r="781" spans="2:18">
      <c r="B781" s="68"/>
      <c r="C781" s="93">
        <v>12</v>
      </c>
      <c r="D781" s="93" t="s">
        <v>1790</v>
      </c>
      <c r="E781" s="93">
        <v>51</v>
      </c>
      <c r="F781" s="93">
        <v>298040</v>
      </c>
      <c r="G781" s="93">
        <v>17580</v>
      </c>
      <c r="H781" s="94"/>
      <c r="I781" s="93" t="s">
        <v>1052</v>
      </c>
      <c r="J781" s="93">
        <v>1</v>
      </c>
      <c r="K781" s="93">
        <v>2000</v>
      </c>
      <c r="L781" s="93">
        <v>0</v>
      </c>
      <c r="M781" s="17"/>
      <c r="N781" s="93" t="s">
        <v>1052</v>
      </c>
      <c r="O781" s="93">
        <v>1</v>
      </c>
      <c r="P781" s="93">
        <v>2000</v>
      </c>
      <c r="Q781" s="93">
        <v>0</v>
      </c>
      <c r="R781" s="69"/>
    </row>
    <row r="782" spans="2:18">
      <c r="B782" s="68"/>
      <c r="C782" s="93">
        <v>12</v>
      </c>
      <c r="D782" s="93" t="s">
        <v>1790</v>
      </c>
      <c r="E782" s="93">
        <v>50</v>
      </c>
      <c r="F782" s="93">
        <v>296040</v>
      </c>
      <c r="G782" s="93">
        <v>17580</v>
      </c>
      <c r="H782" s="94"/>
      <c r="I782" s="93" t="s">
        <v>1053</v>
      </c>
      <c r="J782" s="93">
        <v>1</v>
      </c>
      <c r="K782" s="93">
        <v>2000</v>
      </c>
      <c r="L782" s="93">
        <v>0</v>
      </c>
      <c r="M782" s="17"/>
      <c r="N782" s="93" t="s">
        <v>1053</v>
      </c>
      <c r="O782" s="93">
        <v>1</v>
      </c>
      <c r="P782" s="93">
        <v>2000</v>
      </c>
      <c r="Q782" s="93">
        <v>0</v>
      </c>
      <c r="R782" s="69"/>
    </row>
    <row r="783" spans="2:18">
      <c r="B783" s="68"/>
      <c r="C783" s="93">
        <v>12</v>
      </c>
      <c r="D783" s="93" t="s">
        <v>1790</v>
      </c>
      <c r="E783" s="93">
        <v>49</v>
      </c>
      <c r="F783" s="93">
        <v>294040</v>
      </c>
      <c r="G783" s="93">
        <v>17580</v>
      </c>
      <c r="H783" s="94"/>
      <c r="I783" s="93" t="s">
        <v>1054</v>
      </c>
      <c r="J783" s="93">
        <v>1</v>
      </c>
      <c r="K783" s="93">
        <v>2000</v>
      </c>
      <c r="L783" s="93">
        <v>0</v>
      </c>
      <c r="M783" s="17"/>
      <c r="N783" s="93" t="s">
        <v>1054</v>
      </c>
      <c r="O783" s="93">
        <v>1</v>
      </c>
      <c r="P783" s="93">
        <v>2000</v>
      </c>
      <c r="Q783" s="93">
        <v>0</v>
      </c>
      <c r="R783" s="69"/>
    </row>
    <row r="784" spans="2:18">
      <c r="B784" s="68"/>
      <c r="C784" s="93">
        <v>12</v>
      </c>
      <c r="D784" s="93" t="s">
        <v>1790</v>
      </c>
      <c r="E784" s="93">
        <v>48</v>
      </c>
      <c r="F784" s="93">
        <v>292040</v>
      </c>
      <c r="G784" s="93">
        <v>17580</v>
      </c>
      <c r="H784" s="94"/>
      <c r="I784" s="93" t="s">
        <v>1055</v>
      </c>
      <c r="J784" s="93">
        <v>1</v>
      </c>
      <c r="K784" s="93">
        <v>2000</v>
      </c>
      <c r="L784" s="93">
        <v>0</v>
      </c>
      <c r="M784" s="17"/>
      <c r="N784" s="93" t="s">
        <v>1055</v>
      </c>
      <c r="O784" s="93">
        <v>1</v>
      </c>
      <c r="P784" s="93">
        <v>2000</v>
      </c>
      <c r="Q784" s="93">
        <v>0</v>
      </c>
      <c r="R784" s="69"/>
    </row>
    <row r="785" spans="2:18">
      <c r="B785" s="68"/>
      <c r="C785" s="93">
        <v>12</v>
      </c>
      <c r="D785" s="93" t="s">
        <v>1790</v>
      </c>
      <c r="E785" s="93">
        <v>47</v>
      </c>
      <c r="F785" s="93">
        <v>290040</v>
      </c>
      <c r="G785" s="93">
        <v>17580</v>
      </c>
      <c r="H785" s="94"/>
      <c r="I785" s="93" t="s">
        <v>1056</v>
      </c>
      <c r="J785" s="93">
        <v>1</v>
      </c>
      <c r="K785" s="93">
        <v>2000</v>
      </c>
      <c r="L785" s="93">
        <v>0</v>
      </c>
      <c r="M785" s="17"/>
      <c r="N785" s="93" t="s">
        <v>1056</v>
      </c>
      <c r="O785" s="93">
        <v>1</v>
      </c>
      <c r="P785" s="93">
        <v>2000</v>
      </c>
      <c r="Q785" s="93">
        <v>0</v>
      </c>
      <c r="R785" s="69"/>
    </row>
    <row r="786" spans="2:18">
      <c r="B786" s="68"/>
      <c r="C786" s="93">
        <v>12</v>
      </c>
      <c r="D786" s="93" t="s">
        <v>1790</v>
      </c>
      <c r="E786" s="93">
        <v>46</v>
      </c>
      <c r="F786" s="93">
        <v>288040</v>
      </c>
      <c r="G786" s="93">
        <v>17580</v>
      </c>
      <c r="H786" s="94"/>
      <c r="I786" s="93" t="s">
        <v>1057</v>
      </c>
      <c r="J786" s="93">
        <v>1</v>
      </c>
      <c r="K786" s="93">
        <v>2000</v>
      </c>
      <c r="L786" s="93">
        <v>0</v>
      </c>
      <c r="M786" s="17"/>
      <c r="N786" s="93" t="s">
        <v>1057</v>
      </c>
      <c r="O786" s="93">
        <v>1</v>
      </c>
      <c r="P786" s="93">
        <v>2000</v>
      </c>
      <c r="Q786" s="93">
        <v>0</v>
      </c>
      <c r="R786" s="69"/>
    </row>
    <row r="787" spans="2:18">
      <c r="B787" s="68"/>
      <c r="C787" s="93">
        <v>12</v>
      </c>
      <c r="D787" s="93" t="s">
        <v>1790</v>
      </c>
      <c r="E787" s="93">
        <v>45</v>
      </c>
      <c r="F787" s="93">
        <v>286040</v>
      </c>
      <c r="G787" s="93">
        <v>17580</v>
      </c>
      <c r="H787" s="94"/>
      <c r="I787" s="93" t="s">
        <v>1058</v>
      </c>
      <c r="J787" s="93">
        <v>1</v>
      </c>
      <c r="K787" s="93">
        <v>2000</v>
      </c>
      <c r="L787" s="93">
        <v>0</v>
      </c>
      <c r="M787" s="17"/>
      <c r="N787" s="93" t="s">
        <v>1058</v>
      </c>
      <c r="O787" s="93">
        <v>1</v>
      </c>
      <c r="P787" s="93">
        <v>2000</v>
      </c>
      <c r="Q787" s="93">
        <v>0</v>
      </c>
      <c r="R787" s="69"/>
    </row>
    <row r="788" spans="2:18">
      <c r="B788" s="68"/>
      <c r="C788" s="93">
        <v>12</v>
      </c>
      <c r="D788" s="93" t="s">
        <v>1790</v>
      </c>
      <c r="E788" s="93">
        <v>44</v>
      </c>
      <c r="F788" s="93">
        <v>284040</v>
      </c>
      <c r="G788" s="93">
        <v>17580</v>
      </c>
      <c r="H788" s="94"/>
      <c r="I788" s="93" t="s">
        <v>1059</v>
      </c>
      <c r="J788" s="93">
        <v>1</v>
      </c>
      <c r="K788" s="93">
        <v>2000</v>
      </c>
      <c r="L788" s="93">
        <v>0</v>
      </c>
      <c r="M788" s="17"/>
      <c r="N788" s="93" t="s">
        <v>1059</v>
      </c>
      <c r="O788" s="93">
        <v>1</v>
      </c>
      <c r="P788" s="93">
        <v>2000</v>
      </c>
      <c r="Q788" s="93">
        <v>0</v>
      </c>
      <c r="R788" s="69"/>
    </row>
    <row r="789" spans="2:18">
      <c r="B789" s="68"/>
      <c r="C789" s="93">
        <v>12</v>
      </c>
      <c r="D789" s="93" t="s">
        <v>1790</v>
      </c>
      <c r="E789" s="93">
        <v>43</v>
      </c>
      <c r="F789" s="93">
        <v>282040</v>
      </c>
      <c r="G789" s="93">
        <v>17580</v>
      </c>
      <c r="H789" s="94"/>
      <c r="I789" s="93" t="s">
        <v>1060</v>
      </c>
      <c r="J789" s="93">
        <v>1</v>
      </c>
      <c r="K789" s="93">
        <v>2000</v>
      </c>
      <c r="L789" s="93">
        <v>0</v>
      </c>
      <c r="M789" s="17"/>
      <c r="N789" s="93" t="s">
        <v>1060</v>
      </c>
      <c r="O789" s="93">
        <v>1</v>
      </c>
      <c r="P789" s="93">
        <v>2000</v>
      </c>
      <c r="Q789" s="93">
        <v>0</v>
      </c>
      <c r="R789" s="69"/>
    </row>
    <row r="790" spans="2:18">
      <c r="B790" s="68"/>
      <c r="C790" s="93">
        <v>12</v>
      </c>
      <c r="D790" s="93" t="s">
        <v>1790</v>
      </c>
      <c r="E790" s="93">
        <v>42</v>
      </c>
      <c r="F790" s="93">
        <v>280040</v>
      </c>
      <c r="G790" s="93">
        <v>17580</v>
      </c>
      <c r="H790" s="94"/>
      <c r="I790" s="93" t="s">
        <v>1061</v>
      </c>
      <c r="J790" s="93">
        <v>1</v>
      </c>
      <c r="K790" s="93">
        <v>2000</v>
      </c>
      <c r="L790" s="93">
        <v>0</v>
      </c>
      <c r="M790" s="17"/>
      <c r="N790" s="93" t="s">
        <v>1061</v>
      </c>
      <c r="O790" s="93">
        <v>1</v>
      </c>
      <c r="P790" s="93">
        <v>2000</v>
      </c>
      <c r="Q790" s="93">
        <v>0</v>
      </c>
      <c r="R790" s="69"/>
    </row>
    <row r="791" spans="2:18">
      <c r="B791" s="68"/>
      <c r="C791" s="93">
        <v>12</v>
      </c>
      <c r="D791" s="93" t="s">
        <v>1790</v>
      </c>
      <c r="E791" s="93">
        <v>41</v>
      </c>
      <c r="F791" s="93">
        <v>278040</v>
      </c>
      <c r="G791" s="93">
        <v>17580</v>
      </c>
      <c r="H791" s="94"/>
      <c r="I791" s="93" t="s">
        <v>1062</v>
      </c>
      <c r="J791" s="93">
        <v>1</v>
      </c>
      <c r="K791" s="93">
        <v>2000</v>
      </c>
      <c r="L791" s="93">
        <v>0</v>
      </c>
      <c r="M791" s="17"/>
      <c r="N791" s="93" t="s">
        <v>1062</v>
      </c>
      <c r="O791" s="93">
        <v>1</v>
      </c>
      <c r="P791" s="93">
        <v>2000</v>
      </c>
      <c r="Q791" s="93">
        <v>0</v>
      </c>
      <c r="R791" s="69"/>
    </row>
    <row r="792" spans="2:18">
      <c r="B792" s="68"/>
      <c r="C792" s="93">
        <v>12</v>
      </c>
      <c r="D792" s="93" t="s">
        <v>1790</v>
      </c>
      <c r="E792" s="93">
        <v>40</v>
      </c>
      <c r="F792" s="93">
        <v>276040</v>
      </c>
      <c r="G792" s="93">
        <v>17580</v>
      </c>
      <c r="H792" s="94"/>
      <c r="I792" s="93" t="s">
        <v>1063</v>
      </c>
      <c r="J792" s="93">
        <v>1</v>
      </c>
      <c r="K792" s="93">
        <v>2000</v>
      </c>
      <c r="L792" s="93">
        <v>0</v>
      </c>
      <c r="M792" s="17"/>
      <c r="N792" s="93" t="s">
        <v>1063</v>
      </c>
      <c r="O792" s="93">
        <v>1</v>
      </c>
      <c r="P792" s="93">
        <v>2000</v>
      </c>
      <c r="Q792" s="93">
        <v>0</v>
      </c>
      <c r="R792" s="69"/>
    </row>
    <row r="793" spans="2:18">
      <c r="B793" s="68"/>
      <c r="C793" s="93">
        <v>12</v>
      </c>
      <c r="D793" s="93" t="s">
        <v>1790</v>
      </c>
      <c r="E793" s="93">
        <v>38</v>
      </c>
      <c r="F793" s="93">
        <v>272040</v>
      </c>
      <c r="G793" s="93">
        <v>17580</v>
      </c>
      <c r="H793" s="94"/>
      <c r="I793" s="93" t="s">
        <v>1064</v>
      </c>
      <c r="J793" s="93">
        <v>2</v>
      </c>
      <c r="K793" s="93">
        <v>4000</v>
      </c>
      <c r="L793" s="93">
        <v>0</v>
      </c>
      <c r="M793" s="17"/>
      <c r="N793" s="93" t="s">
        <v>1064</v>
      </c>
      <c r="O793" s="93">
        <v>2</v>
      </c>
      <c r="P793" s="93">
        <v>4000</v>
      </c>
      <c r="Q793" s="93">
        <v>0</v>
      </c>
      <c r="R793" s="69"/>
    </row>
    <row r="794" spans="2:18">
      <c r="B794" s="68"/>
      <c r="C794" s="93">
        <v>12</v>
      </c>
      <c r="D794" s="93" t="s">
        <v>1790</v>
      </c>
      <c r="E794" s="93">
        <v>36</v>
      </c>
      <c r="F794" s="93">
        <v>268040</v>
      </c>
      <c r="G794" s="93">
        <v>17580</v>
      </c>
      <c r="H794" s="94"/>
      <c r="I794" s="93" t="s">
        <v>1065</v>
      </c>
      <c r="J794" s="93">
        <v>2</v>
      </c>
      <c r="K794" s="93">
        <v>4000</v>
      </c>
      <c r="L794" s="93">
        <v>0</v>
      </c>
      <c r="M794" s="17"/>
      <c r="N794" s="93" t="s">
        <v>1065</v>
      </c>
      <c r="O794" s="93">
        <v>2</v>
      </c>
      <c r="P794" s="93">
        <v>4000</v>
      </c>
      <c r="Q794" s="93">
        <v>0</v>
      </c>
      <c r="R794" s="69"/>
    </row>
    <row r="795" spans="2:18">
      <c r="B795" s="68"/>
      <c r="C795" s="93">
        <v>12</v>
      </c>
      <c r="D795" s="93" t="s">
        <v>1790</v>
      </c>
      <c r="E795" s="93">
        <v>34</v>
      </c>
      <c r="F795" s="93">
        <v>264040</v>
      </c>
      <c r="G795" s="93">
        <v>17580</v>
      </c>
      <c r="H795" s="94"/>
      <c r="I795" s="93" t="s">
        <v>1066</v>
      </c>
      <c r="J795" s="93">
        <v>2</v>
      </c>
      <c r="K795" s="93">
        <v>4000</v>
      </c>
      <c r="L795" s="93">
        <v>0</v>
      </c>
      <c r="M795" s="17"/>
      <c r="N795" s="93" t="s">
        <v>1066</v>
      </c>
      <c r="O795" s="93">
        <v>2</v>
      </c>
      <c r="P795" s="93">
        <v>4000</v>
      </c>
      <c r="Q795" s="93">
        <v>0</v>
      </c>
      <c r="R795" s="69"/>
    </row>
    <row r="796" spans="2:18">
      <c r="B796" s="68"/>
      <c r="C796" s="93">
        <v>12</v>
      </c>
      <c r="D796" s="93" t="s">
        <v>1790</v>
      </c>
      <c r="E796" s="93">
        <v>33</v>
      </c>
      <c r="F796" s="93">
        <v>262040</v>
      </c>
      <c r="G796" s="93">
        <v>17580</v>
      </c>
      <c r="H796" s="94"/>
      <c r="I796" s="93" t="s">
        <v>1067</v>
      </c>
      <c r="J796" s="93">
        <v>1</v>
      </c>
      <c r="K796" s="93">
        <v>2000</v>
      </c>
      <c r="L796" s="93">
        <v>0</v>
      </c>
      <c r="M796" s="17"/>
      <c r="N796" s="93" t="s">
        <v>1067</v>
      </c>
      <c r="O796" s="93">
        <v>1</v>
      </c>
      <c r="P796" s="93">
        <v>2000</v>
      </c>
      <c r="Q796" s="93">
        <v>0</v>
      </c>
      <c r="R796" s="69"/>
    </row>
    <row r="797" spans="2:18">
      <c r="B797" s="68"/>
      <c r="C797" s="93">
        <v>12</v>
      </c>
      <c r="D797" s="93" t="s">
        <v>1790</v>
      </c>
      <c r="E797" s="93">
        <v>32</v>
      </c>
      <c r="F797" s="93">
        <v>260040</v>
      </c>
      <c r="G797" s="93">
        <v>17580</v>
      </c>
      <c r="H797" s="94"/>
      <c r="I797" s="93" t="s">
        <v>1068</v>
      </c>
      <c r="J797" s="93">
        <v>1</v>
      </c>
      <c r="K797" s="93">
        <v>2000</v>
      </c>
      <c r="L797" s="93">
        <v>0</v>
      </c>
      <c r="M797" s="17"/>
      <c r="N797" s="93" t="s">
        <v>1068</v>
      </c>
      <c r="O797" s="93">
        <v>1</v>
      </c>
      <c r="P797" s="93">
        <v>2000</v>
      </c>
      <c r="Q797" s="93">
        <v>0</v>
      </c>
      <c r="R797" s="69"/>
    </row>
    <row r="798" spans="2:18">
      <c r="B798" s="68"/>
      <c r="C798" s="93">
        <v>12</v>
      </c>
      <c r="D798" s="93" t="s">
        <v>1790</v>
      </c>
      <c r="E798" s="93">
        <v>31</v>
      </c>
      <c r="F798" s="93">
        <v>258040</v>
      </c>
      <c r="G798" s="93">
        <v>17580</v>
      </c>
      <c r="H798" s="94"/>
      <c r="I798" s="93" t="s">
        <v>1070</v>
      </c>
      <c r="J798" s="93">
        <v>1</v>
      </c>
      <c r="K798" s="93">
        <v>2000</v>
      </c>
      <c r="L798" s="93">
        <v>0</v>
      </c>
      <c r="M798" s="17"/>
      <c r="N798" s="93" t="s">
        <v>1070</v>
      </c>
      <c r="O798" s="93">
        <v>1</v>
      </c>
      <c r="P798" s="93">
        <v>2000</v>
      </c>
      <c r="Q798" s="93">
        <v>0</v>
      </c>
      <c r="R798" s="69"/>
    </row>
    <row r="799" spans="2:18">
      <c r="B799" s="68"/>
      <c r="C799" s="93">
        <v>12</v>
      </c>
      <c r="D799" s="93" t="s">
        <v>1790</v>
      </c>
      <c r="E799" s="93">
        <v>30</v>
      </c>
      <c r="F799" s="93">
        <v>256040</v>
      </c>
      <c r="G799" s="93">
        <v>17580</v>
      </c>
      <c r="H799" s="94"/>
      <c r="I799" s="93" t="s">
        <v>1071</v>
      </c>
      <c r="J799" s="93">
        <v>1</v>
      </c>
      <c r="K799" s="93">
        <v>2000</v>
      </c>
      <c r="L799" s="93">
        <v>0</v>
      </c>
      <c r="M799" s="17"/>
      <c r="N799" s="93" t="s">
        <v>1071</v>
      </c>
      <c r="O799" s="93">
        <v>1</v>
      </c>
      <c r="P799" s="93">
        <v>2000</v>
      </c>
      <c r="Q799" s="93">
        <v>0</v>
      </c>
      <c r="R799" s="69"/>
    </row>
    <row r="800" spans="2:18">
      <c r="B800" s="68"/>
      <c r="C800" s="93">
        <v>12</v>
      </c>
      <c r="D800" s="93" t="s">
        <v>1790</v>
      </c>
      <c r="E800" s="93">
        <v>29</v>
      </c>
      <c r="F800" s="93">
        <v>254040</v>
      </c>
      <c r="G800" s="93">
        <v>17580</v>
      </c>
      <c r="H800" s="94"/>
      <c r="I800" s="93" t="s">
        <v>1072</v>
      </c>
      <c r="J800" s="93">
        <v>1</v>
      </c>
      <c r="K800" s="93">
        <v>2000</v>
      </c>
      <c r="L800" s="93">
        <v>0</v>
      </c>
      <c r="M800" s="17"/>
      <c r="N800" s="93" t="s">
        <v>1072</v>
      </c>
      <c r="O800" s="93">
        <v>1</v>
      </c>
      <c r="P800" s="93">
        <v>2000</v>
      </c>
      <c r="Q800" s="93">
        <v>0</v>
      </c>
      <c r="R800" s="69"/>
    </row>
    <row r="801" spans="2:18">
      <c r="B801" s="68"/>
      <c r="C801" s="93">
        <v>12</v>
      </c>
      <c r="D801" s="93" t="s">
        <v>1790</v>
      </c>
      <c r="E801" s="93">
        <v>28</v>
      </c>
      <c r="F801" s="93">
        <v>252040</v>
      </c>
      <c r="G801" s="93">
        <v>17580</v>
      </c>
      <c r="H801" s="94"/>
      <c r="I801" s="93" t="s">
        <v>1073</v>
      </c>
      <c r="J801" s="93">
        <v>1</v>
      </c>
      <c r="K801" s="93">
        <v>2000</v>
      </c>
      <c r="L801" s="93">
        <v>0</v>
      </c>
      <c r="M801" s="17"/>
      <c r="N801" s="93" t="s">
        <v>1073</v>
      </c>
      <c r="O801" s="93">
        <v>1</v>
      </c>
      <c r="P801" s="93">
        <v>2000</v>
      </c>
      <c r="Q801" s="93">
        <v>0</v>
      </c>
      <c r="R801" s="69"/>
    </row>
    <row r="802" spans="2:18">
      <c r="B802" s="68"/>
      <c r="C802" s="93">
        <v>12</v>
      </c>
      <c r="D802" s="93" t="s">
        <v>1790</v>
      </c>
      <c r="E802" s="93">
        <v>27</v>
      </c>
      <c r="F802" s="93">
        <v>250040</v>
      </c>
      <c r="G802" s="93">
        <v>17580</v>
      </c>
      <c r="H802" s="94"/>
      <c r="I802" s="93" t="s">
        <v>1074</v>
      </c>
      <c r="J802" s="93">
        <v>1</v>
      </c>
      <c r="K802" s="93">
        <v>2000</v>
      </c>
      <c r="L802" s="93">
        <v>0</v>
      </c>
      <c r="M802" s="17"/>
      <c r="N802" s="93" t="s">
        <v>1074</v>
      </c>
      <c r="O802" s="93">
        <v>1</v>
      </c>
      <c r="P802" s="93">
        <v>2000</v>
      </c>
      <c r="Q802" s="93">
        <v>0</v>
      </c>
      <c r="R802" s="69"/>
    </row>
    <row r="803" spans="2:18">
      <c r="B803" s="68"/>
      <c r="C803" s="93">
        <v>12</v>
      </c>
      <c r="D803" s="93" t="s">
        <v>1790</v>
      </c>
      <c r="E803" s="93">
        <v>26</v>
      </c>
      <c r="F803" s="93">
        <v>248040</v>
      </c>
      <c r="G803" s="93">
        <v>17580</v>
      </c>
      <c r="H803" s="94"/>
      <c r="I803" s="93" t="s">
        <v>1075</v>
      </c>
      <c r="J803" s="93">
        <v>1</v>
      </c>
      <c r="K803" s="93">
        <v>2000</v>
      </c>
      <c r="L803" s="93">
        <v>0</v>
      </c>
      <c r="M803" s="17"/>
      <c r="N803" s="93" t="s">
        <v>1075</v>
      </c>
      <c r="O803" s="93">
        <v>1</v>
      </c>
      <c r="P803" s="93">
        <v>2000</v>
      </c>
      <c r="Q803" s="93">
        <v>0</v>
      </c>
      <c r="R803" s="69"/>
    </row>
    <row r="804" spans="2:18">
      <c r="B804" s="68"/>
      <c r="C804" s="93">
        <v>12</v>
      </c>
      <c r="D804" s="93" t="s">
        <v>1790</v>
      </c>
      <c r="E804" s="93">
        <v>25</v>
      </c>
      <c r="F804" s="93">
        <v>246040</v>
      </c>
      <c r="G804" s="93">
        <v>17580</v>
      </c>
      <c r="H804" s="94"/>
      <c r="I804" s="93" t="s">
        <v>1076</v>
      </c>
      <c r="J804" s="93">
        <v>1</v>
      </c>
      <c r="K804" s="93">
        <v>2000</v>
      </c>
      <c r="L804" s="93">
        <v>0</v>
      </c>
      <c r="M804" s="17"/>
      <c r="N804" s="93" t="s">
        <v>1076</v>
      </c>
      <c r="O804" s="93">
        <v>1</v>
      </c>
      <c r="P804" s="93">
        <v>2000</v>
      </c>
      <c r="Q804" s="93">
        <v>0</v>
      </c>
      <c r="R804" s="69"/>
    </row>
    <row r="805" spans="2:18">
      <c r="B805" s="68"/>
      <c r="C805" s="93">
        <v>12</v>
      </c>
      <c r="D805" s="93" t="s">
        <v>1790</v>
      </c>
      <c r="E805" s="93">
        <v>24</v>
      </c>
      <c r="F805" s="93">
        <v>244040</v>
      </c>
      <c r="G805" s="93">
        <v>17580</v>
      </c>
      <c r="H805" s="94"/>
      <c r="I805" s="93" t="s">
        <v>1077</v>
      </c>
      <c r="J805" s="93">
        <v>1</v>
      </c>
      <c r="K805" s="93">
        <v>2000</v>
      </c>
      <c r="L805" s="93">
        <v>0</v>
      </c>
      <c r="M805" s="17"/>
      <c r="N805" s="93" t="s">
        <v>1077</v>
      </c>
      <c r="O805" s="93">
        <v>1</v>
      </c>
      <c r="P805" s="93">
        <v>2000</v>
      </c>
      <c r="Q805" s="93">
        <v>0</v>
      </c>
      <c r="R805" s="69"/>
    </row>
    <row r="806" spans="2:18">
      <c r="B806" s="68"/>
      <c r="C806" s="93">
        <v>12</v>
      </c>
      <c r="D806" s="93" t="s">
        <v>1790</v>
      </c>
      <c r="E806" s="93">
        <v>23</v>
      </c>
      <c r="F806" s="93">
        <v>242040</v>
      </c>
      <c r="G806" s="93">
        <v>17580</v>
      </c>
      <c r="H806" s="94"/>
      <c r="I806" s="93" t="s">
        <v>1078</v>
      </c>
      <c r="J806" s="93">
        <v>1</v>
      </c>
      <c r="K806" s="93">
        <v>2000</v>
      </c>
      <c r="L806" s="93">
        <v>0</v>
      </c>
      <c r="M806" s="17"/>
      <c r="N806" s="93" t="s">
        <v>1078</v>
      </c>
      <c r="O806" s="93">
        <v>1</v>
      </c>
      <c r="P806" s="93">
        <v>2000</v>
      </c>
      <c r="Q806" s="93">
        <v>0</v>
      </c>
      <c r="R806" s="69"/>
    </row>
    <row r="807" spans="2:18">
      <c r="B807" s="68"/>
      <c r="C807" s="93">
        <v>12</v>
      </c>
      <c r="D807" s="93" t="s">
        <v>1790</v>
      </c>
      <c r="E807" s="93">
        <v>22</v>
      </c>
      <c r="F807" s="93">
        <v>238290</v>
      </c>
      <c r="G807" s="93">
        <v>17170</v>
      </c>
      <c r="H807" s="94"/>
      <c r="I807" s="93" t="s">
        <v>1079</v>
      </c>
      <c r="J807" s="93">
        <v>1</v>
      </c>
      <c r="K807" s="93">
        <v>3750</v>
      </c>
      <c r="L807" s="93">
        <v>410</v>
      </c>
      <c r="M807" s="17"/>
      <c r="N807" s="93" t="s">
        <v>1079</v>
      </c>
      <c r="O807" s="93">
        <v>1</v>
      </c>
      <c r="P807" s="93">
        <v>3750</v>
      </c>
      <c r="Q807" s="93">
        <v>410</v>
      </c>
      <c r="R807" s="69"/>
    </row>
    <row r="808" spans="2:18">
      <c r="B808" s="68"/>
      <c r="C808" s="93">
        <v>12</v>
      </c>
      <c r="D808" s="93" t="s">
        <v>1790</v>
      </c>
      <c r="E808" s="93">
        <v>21</v>
      </c>
      <c r="F808" s="93">
        <v>236590</v>
      </c>
      <c r="G808" s="93">
        <v>17010</v>
      </c>
      <c r="H808" s="94"/>
      <c r="I808" s="93" t="s">
        <v>1080</v>
      </c>
      <c r="J808" s="93">
        <v>1</v>
      </c>
      <c r="K808" s="93">
        <v>1700</v>
      </c>
      <c r="L808" s="93">
        <v>160</v>
      </c>
      <c r="M808" s="17"/>
      <c r="N808" s="93" t="s">
        <v>1080</v>
      </c>
      <c r="O808" s="93">
        <v>1</v>
      </c>
      <c r="P808" s="93">
        <v>1700</v>
      </c>
      <c r="Q808" s="93">
        <v>160</v>
      </c>
      <c r="R808" s="69"/>
    </row>
    <row r="809" spans="2:18">
      <c r="B809" s="68"/>
      <c r="C809" s="93">
        <v>12</v>
      </c>
      <c r="D809" s="93" t="s">
        <v>1790</v>
      </c>
      <c r="E809" s="93">
        <v>20</v>
      </c>
      <c r="F809" s="93">
        <v>232840</v>
      </c>
      <c r="G809" s="93">
        <v>16600</v>
      </c>
      <c r="H809" s="94"/>
      <c r="I809" s="93" t="s">
        <v>1081</v>
      </c>
      <c r="J809" s="93">
        <v>1</v>
      </c>
      <c r="K809" s="93">
        <v>3750</v>
      </c>
      <c r="L809" s="93">
        <v>410</v>
      </c>
      <c r="M809" s="17"/>
      <c r="N809" s="93" t="s">
        <v>1081</v>
      </c>
      <c r="O809" s="93">
        <v>1</v>
      </c>
      <c r="P809" s="93">
        <v>3750</v>
      </c>
      <c r="Q809" s="93">
        <v>410</v>
      </c>
      <c r="R809" s="69"/>
    </row>
    <row r="810" spans="2:18">
      <c r="B810" s="68"/>
      <c r="C810" s="93">
        <v>12</v>
      </c>
      <c r="D810" s="93" t="s">
        <v>1790</v>
      </c>
      <c r="E810" s="93">
        <v>19</v>
      </c>
      <c r="F810" s="93">
        <v>230840</v>
      </c>
      <c r="G810" s="93">
        <v>16600</v>
      </c>
      <c r="H810" s="94"/>
      <c r="I810" s="93" t="s">
        <v>1082</v>
      </c>
      <c r="J810" s="93">
        <v>1</v>
      </c>
      <c r="K810" s="93">
        <v>2000</v>
      </c>
      <c r="L810" s="93">
        <v>0</v>
      </c>
      <c r="M810" s="17"/>
      <c r="N810" s="93" t="s">
        <v>1082</v>
      </c>
      <c r="O810" s="93">
        <v>1</v>
      </c>
      <c r="P810" s="93">
        <v>2000</v>
      </c>
      <c r="Q810" s="93">
        <v>0</v>
      </c>
      <c r="R810" s="69"/>
    </row>
    <row r="811" spans="2:18">
      <c r="B811" s="68"/>
      <c r="C811" s="93">
        <v>12</v>
      </c>
      <c r="D811" s="93" t="s">
        <v>1790</v>
      </c>
      <c r="E811" s="93">
        <v>18</v>
      </c>
      <c r="F811" s="93">
        <v>228840</v>
      </c>
      <c r="G811" s="93">
        <v>16600</v>
      </c>
      <c r="H811" s="94"/>
      <c r="I811" s="93" t="s">
        <v>1083</v>
      </c>
      <c r="J811" s="93">
        <v>1</v>
      </c>
      <c r="K811" s="93">
        <v>2000</v>
      </c>
      <c r="L811" s="93">
        <v>0</v>
      </c>
      <c r="M811" s="17"/>
      <c r="N811" s="93" t="s">
        <v>1083</v>
      </c>
      <c r="O811" s="93">
        <v>1</v>
      </c>
      <c r="P811" s="93">
        <v>2000</v>
      </c>
      <c r="Q811" s="93">
        <v>0</v>
      </c>
      <c r="R811" s="69"/>
    </row>
    <row r="812" spans="2:18">
      <c r="B812" s="68"/>
      <c r="C812" s="93">
        <v>12</v>
      </c>
      <c r="D812" s="93" t="s">
        <v>1790</v>
      </c>
      <c r="E812" s="93">
        <v>17</v>
      </c>
      <c r="F812" s="93">
        <v>226840</v>
      </c>
      <c r="G812" s="93">
        <v>16600</v>
      </c>
      <c r="H812" s="94"/>
      <c r="I812" s="93" t="s">
        <v>1084</v>
      </c>
      <c r="J812" s="93">
        <v>1</v>
      </c>
      <c r="K812" s="93">
        <v>2000</v>
      </c>
      <c r="L812" s="93">
        <v>0</v>
      </c>
      <c r="M812" s="17"/>
      <c r="N812" s="93" t="s">
        <v>1084</v>
      </c>
      <c r="O812" s="93">
        <v>1</v>
      </c>
      <c r="P812" s="93">
        <v>2000</v>
      </c>
      <c r="Q812" s="93">
        <v>0</v>
      </c>
      <c r="R812" s="69"/>
    </row>
    <row r="813" spans="2:18">
      <c r="B813" s="68"/>
      <c r="C813" s="93">
        <v>12</v>
      </c>
      <c r="D813" s="93" t="s">
        <v>1790</v>
      </c>
      <c r="E813" s="93">
        <v>16</v>
      </c>
      <c r="F813" s="93">
        <v>224840</v>
      </c>
      <c r="G813" s="93">
        <v>16600</v>
      </c>
      <c r="H813" s="94"/>
      <c r="I813" s="93" t="s">
        <v>1085</v>
      </c>
      <c r="J813" s="93">
        <v>1</v>
      </c>
      <c r="K813" s="93">
        <v>2000</v>
      </c>
      <c r="L813" s="93">
        <v>0</v>
      </c>
      <c r="M813" s="17"/>
      <c r="N813" s="93" t="s">
        <v>1085</v>
      </c>
      <c r="O813" s="93">
        <v>1</v>
      </c>
      <c r="P813" s="93">
        <v>2000</v>
      </c>
      <c r="Q813" s="93">
        <v>0</v>
      </c>
      <c r="R813" s="69"/>
    </row>
    <row r="814" spans="2:18">
      <c r="B814" s="68"/>
      <c r="C814" s="93">
        <v>12</v>
      </c>
      <c r="D814" s="93" t="s">
        <v>1790</v>
      </c>
      <c r="E814" s="93">
        <v>15</v>
      </c>
      <c r="F814" s="93">
        <v>222840</v>
      </c>
      <c r="G814" s="93">
        <v>16600</v>
      </c>
      <c r="H814" s="94"/>
      <c r="I814" s="93" t="s">
        <v>1086</v>
      </c>
      <c r="J814" s="93">
        <v>1</v>
      </c>
      <c r="K814" s="93">
        <v>2000</v>
      </c>
      <c r="L814" s="93">
        <v>0</v>
      </c>
      <c r="M814" s="17"/>
      <c r="N814" s="93" t="s">
        <v>1086</v>
      </c>
      <c r="O814" s="93">
        <v>1</v>
      </c>
      <c r="P814" s="93">
        <v>2000</v>
      </c>
      <c r="Q814" s="93">
        <v>0</v>
      </c>
      <c r="R814" s="69"/>
    </row>
    <row r="815" spans="2:18">
      <c r="B815" s="68"/>
      <c r="C815" s="93">
        <v>12</v>
      </c>
      <c r="D815" s="93" t="s">
        <v>1790</v>
      </c>
      <c r="E815" s="93">
        <v>14</v>
      </c>
      <c r="F815" s="93">
        <v>220840</v>
      </c>
      <c r="G815" s="93">
        <v>16600</v>
      </c>
      <c r="H815" s="94"/>
      <c r="I815" s="93" t="s">
        <v>1087</v>
      </c>
      <c r="J815" s="93">
        <v>1</v>
      </c>
      <c r="K815" s="93">
        <v>2000</v>
      </c>
      <c r="L815" s="93">
        <v>0</v>
      </c>
      <c r="M815" s="17"/>
      <c r="N815" s="93" t="s">
        <v>1087</v>
      </c>
      <c r="O815" s="93">
        <v>1</v>
      </c>
      <c r="P815" s="93">
        <v>2000</v>
      </c>
      <c r="Q815" s="93">
        <v>0</v>
      </c>
      <c r="R815" s="69"/>
    </row>
    <row r="816" spans="2:18">
      <c r="B816" s="68"/>
      <c r="C816" s="93">
        <v>12</v>
      </c>
      <c r="D816" s="93" t="s">
        <v>1790</v>
      </c>
      <c r="E816" s="93">
        <v>13</v>
      </c>
      <c r="F816" s="93">
        <v>218840</v>
      </c>
      <c r="G816" s="93">
        <v>16600</v>
      </c>
      <c r="H816" s="94"/>
      <c r="I816" s="93" t="s">
        <v>1088</v>
      </c>
      <c r="J816" s="93">
        <v>1</v>
      </c>
      <c r="K816" s="93">
        <v>2000</v>
      </c>
      <c r="L816" s="93">
        <v>0</v>
      </c>
      <c r="M816" s="17"/>
      <c r="N816" s="93" t="s">
        <v>1088</v>
      </c>
      <c r="O816" s="93">
        <v>1</v>
      </c>
      <c r="P816" s="93">
        <v>2000</v>
      </c>
      <c r="Q816" s="93">
        <v>0</v>
      </c>
      <c r="R816" s="69"/>
    </row>
    <row r="817" spans="2:18">
      <c r="B817" s="68"/>
      <c r="C817" s="93">
        <v>12</v>
      </c>
      <c r="D817" s="93" t="s">
        <v>1790</v>
      </c>
      <c r="E817" s="93">
        <v>12</v>
      </c>
      <c r="F817" s="93">
        <v>216840</v>
      </c>
      <c r="G817" s="93">
        <v>16600</v>
      </c>
      <c r="H817" s="94"/>
      <c r="I817" s="93" t="s">
        <v>1089</v>
      </c>
      <c r="J817" s="93">
        <v>1</v>
      </c>
      <c r="K817" s="93">
        <v>2000</v>
      </c>
      <c r="L817" s="93">
        <v>0</v>
      </c>
      <c r="M817" s="17"/>
      <c r="N817" s="93" t="s">
        <v>1089</v>
      </c>
      <c r="O817" s="93">
        <v>1</v>
      </c>
      <c r="P817" s="93">
        <v>2000</v>
      </c>
      <c r="Q817" s="93">
        <v>0</v>
      </c>
      <c r="R817" s="69"/>
    </row>
    <row r="818" spans="2:18">
      <c r="B818" s="68"/>
      <c r="C818" s="93">
        <v>12</v>
      </c>
      <c r="D818" s="93" t="s">
        <v>1790</v>
      </c>
      <c r="E818" s="93">
        <v>11</v>
      </c>
      <c r="F818" s="93">
        <v>214840</v>
      </c>
      <c r="G818" s="93">
        <v>16600</v>
      </c>
      <c r="H818" s="94"/>
      <c r="I818" s="93" t="s">
        <v>1090</v>
      </c>
      <c r="J818" s="93">
        <v>1</v>
      </c>
      <c r="K818" s="93">
        <v>2000</v>
      </c>
      <c r="L818" s="93">
        <v>0</v>
      </c>
      <c r="M818" s="17"/>
      <c r="N818" s="93" t="s">
        <v>1090</v>
      </c>
      <c r="O818" s="93">
        <v>1</v>
      </c>
      <c r="P818" s="93">
        <v>2000</v>
      </c>
      <c r="Q818" s="93">
        <v>0</v>
      </c>
      <c r="R818" s="69"/>
    </row>
    <row r="819" spans="2:18">
      <c r="B819" s="68"/>
      <c r="C819" s="93">
        <v>12</v>
      </c>
      <c r="D819" s="93" t="s">
        <v>1790</v>
      </c>
      <c r="E819" s="93">
        <v>10</v>
      </c>
      <c r="F819" s="93">
        <v>212840</v>
      </c>
      <c r="G819" s="93">
        <v>16600</v>
      </c>
      <c r="H819" s="94"/>
      <c r="I819" s="93" t="s">
        <v>1091</v>
      </c>
      <c r="J819" s="93">
        <v>1</v>
      </c>
      <c r="K819" s="93">
        <v>2000</v>
      </c>
      <c r="L819" s="93">
        <v>0</v>
      </c>
      <c r="M819" s="17"/>
      <c r="N819" s="93" t="s">
        <v>1091</v>
      </c>
      <c r="O819" s="93">
        <v>1</v>
      </c>
      <c r="P819" s="93">
        <v>2000</v>
      </c>
      <c r="Q819" s="93">
        <v>0</v>
      </c>
      <c r="R819" s="69"/>
    </row>
    <row r="820" spans="2:18">
      <c r="B820" s="68"/>
      <c r="C820" s="93">
        <v>12</v>
      </c>
      <c r="D820" s="93" t="s">
        <v>1790</v>
      </c>
      <c r="E820" s="93">
        <v>9</v>
      </c>
      <c r="F820" s="93">
        <v>210840</v>
      </c>
      <c r="G820" s="93">
        <v>16600</v>
      </c>
      <c r="H820" s="94"/>
      <c r="I820" s="93" t="s">
        <v>1092</v>
      </c>
      <c r="J820" s="93">
        <v>1</v>
      </c>
      <c r="K820" s="93">
        <v>2000</v>
      </c>
      <c r="L820" s="93">
        <v>0</v>
      </c>
      <c r="M820" s="17"/>
      <c r="N820" s="93" t="s">
        <v>1092</v>
      </c>
      <c r="O820" s="93">
        <v>1</v>
      </c>
      <c r="P820" s="93">
        <v>2000</v>
      </c>
      <c r="Q820" s="93">
        <v>0</v>
      </c>
      <c r="R820" s="69"/>
    </row>
    <row r="821" spans="2:18">
      <c r="B821" s="68"/>
      <c r="C821" s="93">
        <v>12</v>
      </c>
      <c r="D821" s="93" t="s">
        <v>1790</v>
      </c>
      <c r="E821" s="93">
        <v>8</v>
      </c>
      <c r="F821" s="93">
        <v>208840</v>
      </c>
      <c r="G821" s="93">
        <v>16600</v>
      </c>
      <c r="H821" s="94"/>
      <c r="I821" s="93" t="s">
        <v>1093</v>
      </c>
      <c r="J821" s="93">
        <v>1</v>
      </c>
      <c r="K821" s="93">
        <v>2000</v>
      </c>
      <c r="L821" s="93">
        <v>0</v>
      </c>
      <c r="M821" s="17"/>
      <c r="N821" s="93" t="s">
        <v>1093</v>
      </c>
      <c r="O821" s="93">
        <v>1</v>
      </c>
      <c r="P821" s="93">
        <v>2000</v>
      </c>
      <c r="Q821" s="93">
        <v>0</v>
      </c>
      <c r="R821" s="69"/>
    </row>
    <row r="822" spans="2:18">
      <c r="B822" s="68"/>
      <c r="C822" s="93">
        <v>12</v>
      </c>
      <c r="D822" s="93" t="s">
        <v>1790</v>
      </c>
      <c r="E822" s="93">
        <v>7</v>
      </c>
      <c r="F822" s="93">
        <v>206840</v>
      </c>
      <c r="G822" s="93">
        <v>16600</v>
      </c>
      <c r="H822" s="94"/>
      <c r="I822" s="93" t="s">
        <v>1094</v>
      </c>
      <c r="J822" s="93">
        <v>1</v>
      </c>
      <c r="K822" s="93">
        <v>2000</v>
      </c>
      <c r="L822" s="93">
        <v>0</v>
      </c>
      <c r="M822" s="17"/>
      <c r="N822" s="93" t="s">
        <v>1094</v>
      </c>
      <c r="O822" s="93">
        <v>1</v>
      </c>
      <c r="P822" s="93">
        <v>2000</v>
      </c>
      <c r="Q822" s="93">
        <v>0</v>
      </c>
      <c r="R822" s="69"/>
    </row>
    <row r="823" spans="2:18">
      <c r="B823" s="68"/>
      <c r="C823" s="93">
        <v>12</v>
      </c>
      <c r="D823" s="93" t="s">
        <v>1790</v>
      </c>
      <c r="E823" s="93">
        <v>6</v>
      </c>
      <c r="F823" s="93">
        <v>204840</v>
      </c>
      <c r="G823" s="93">
        <v>16600</v>
      </c>
      <c r="H823" s="94"/>
      <c r="I823" s="93" t="s">
        <v>1095</v>
      </c>
      <c r="J823" s="93">
        <v>1</v>
      </c>
      <c r="K823" s="93">
        <v>2000</v>
      </c>
      <c r="L823" s="93">
        <v>0</v>
      </c>
      <c r="M823" s="17"/>
      <c r="N823" s="93" t="s">
        <v>1095</v>
      </c>
      <c r="O823" s="93">
        <v>1</v>
      </c>
      <c r="P823" s="93">
        <v>2000</v>
      </c>
      <c r="Q823" s="93">
        <v>0</v>
      </c>
      <c r="R823" s="69"/>
    </row>
    <row r="824" spans="2:18">
      <c r="B824" s="68"/>
      <c r="C824" s="93">
        <v>12</v>
      </c>
      <c r="D824" s="93" t="s">
        <v>1790</v>
      </c>
      <c r="E824" s="93">
        <v>5</v>
      </c>
      <c r="F824" s="93">
        <v>202840</v>
      </c>
      <c r="G824" s="93">
        <v>16600</v>
      </c>
      <c r="H824" s="94"/>
      <c r="I824" s="93" t="s">
        <v>1096</v>
      </c>
      <c r="J824" s="93">
        <v>1</v>
      </c>
      <c r="K824" s="93">
        <v>2000</v>
      </c>
      <c r="L824" s="93">
        <v>0</v>
      </c>
      <c r="M824" s="17"/>
      <c r="N824" s="93" t="s">
        <v>1096</v>
      </c>
      <c r="O824" s="93">
        <v>1</v>
      </c>
      <c r="P824" s="93">
        <v>2000</v>
      </c>
      <c r="Q824" s="93">
        <v>0</v>
      </c>
      <c r="R824" s="69"/>
    </row>
    <row r="825" spans="2:18">
      <c r="B825" s="68"/>
      <c r="C825" s="93">
        <v>12</v>
      </c>
      <c r="D825" s="93" t="s">
        <v>1790</v>
      </c>
      <c r="E825" s="93">
        <v>4</v>
      </c>
      <c r="F825" s="93">
        <v>200840</v>
      </c>
      <c r="G825" s="93">
        <v>16600</v>
      </c>
      <c r="H825" s="94"/>
      <c r="I825" s="93" t="s">
        <v>1097</v>
      </c>
      <c r="J825" s="93">
        <v>1</v>
      </c>
      <c r="K825" s="93">
        <v>2000</v>
      </c>
      <c r="L825" s="93">
        <v>0</v>
      </c>
      <c r="M825" s="17"/>
      <c r="N825" s="93" t="s">
        <v>1097</v>
      </c>
      <c r="O825" s="93">
        <v>1</v>
      </c>
      <c r="P825" s="93">
        <v>2000</v>
      </c>
      <c r="Q825" s="93">
        <v>0</v>
      </c>
      <c r="R825" s="69"/>
    </row>
    <row r="826" spans="2:18">
      <c r="B826" s="68"/>
      <c r="C826" s="93">
        <v>12</v>
      </c>
      <c r="D826" s="93" t="s">
        <v>1790</v>
      </c>
      <c r="E826" s="93">
        <v>3</v>
      </c>
      <c r="F826" s="93">
        <v>198840</v>
      </c>
      <c r="G826" s="93">
        <v>16600</v>
      </c>
      <c r="H826" s="94"/>
      <c r="I826" s="93" t="s">
        <v>1098</v>
      </c>
      <c r="J826" s="93">
        <v>1</v>
      </c>
      <c r="K826" s="93">
        <v>2000</v>
      </c>
      <c r="L826" s="93">
        <v>0</v>
      </c>
      <c r="M826" s="17"/>
      <c r="N826" s="93" t="s">
        <v>1098</v>
      </c>
      <c r="O826" s="93">
        <v>1</v>
      </c>
      <c r="P826" s="93">
        <v>2000</v>
      </c>
      <c r="Q826" s="93">
        <v>0</v>
      </c>
      <c r="R826" s="69"/>
    </row>
    <row r="827" spans="2:18">
      <c r="B827" s="68"/>
      <c r="C827" s="93">
        <v>12</v>
      </c>
      <c r="D827" s="93" t="s">
        <v>1790</v>
      </c>
      <c r="E827" s="93">
        <v>2</v>
      </c>
      <c r="F827" s="93">
        <v>196840</v>
      </c>
      <c r="G827" s="93">
        <v>16600</v>
      </c>
      <c r="H827" s="94"/>
      <c r="I827" s="93" t="s">
        <v>1099</v>
      </c>
      <c r="J827" s="93">
        <v>1</v>
      </c>
      <c r="K827" s="93">
        <v>2000</v>
      </c>
      <c r="L827" s="93">
        <v>0</v>
      </c>
      <c r="M827" s="17"/>
      <c r="N827" s="93" t="s">
        <v>1099</v>
      </c>
      <c r="O827" s="93">
        <v>1</v>
      </c>
      <c r="P827" s="93">
        <v>2000</v>
      </c>
      <c r="Q827" s="93">
        <v>0</v>
      </c>
      <c r="R827" s="69"/>
    </row>
    <row r="828" spans="2:18">
      <c r="B828" s="68"/>
      <c r="C828" s="93">
        <v>12</v>
      </c>
      <c r="D828" s="93" t="s">
        <v>1790</v>
      </c>
      <c r="E828" s="93">
        <v>1</v>
      </c>
      <c r="F828" s="93">
        <v>194840</v>
      </c>
      <c r="G828" s="93">
        <v>16600</v>
      </c>
      <c r="H828" s="94"/>
      <c r="I828" s="93" t="s">
        <v>1100</v>
      </c>
      <c r="J828" s="93">
        <v>1</v>
      </c>
      <c r="K828" s="93">
        <v>2000</v>
      </c>
      <c r="L828" s="93">
        <v>0</v>
      </c>
      <c r="M828" s="17"/>
      <c r="N828" s="93" t="s">
        <v>1100</v>
      </c>
      <c r="O828" s="93">
        <v>1</v>
      </c>
      <c r="P828" s="93">
        <v>2000</v>
      </c>
      <c r="Q828" s="93">
        <v>0</v>
      </c>
      <c r="R828" s="69"/>
    </row>
    <row r="829" spans="2:18">
      <c r="B829" s="68"/>
      <c r="C829" s="93">
        <v>13</v>
      </c>
      <c r="D829" s="93" t="s">
        <v>1908</v>
      </c>
      <c r="E829" s="93">
        <v>139</v>
      </c>
      <c r="F829" s="93">
        <v>520240</v>
      </c>
      <c r="G829" s="93">
        <v>19630</v>
      </c>
      <c r="H829" s="94"/>
      <c r="I829" s="93" t="s">
        <v>1101</v>
      </c>
      <c r="J829" s="93">
        <v>1</v>
      </c>
      <c r="K829" s="93">
        <v>2000</v>
      </c>
      <c r="L829" s="93">
        <v>0</v>
      </c>
      <c r="M829" s="17"/>
      <c r="N829" s="93" t="s">
        <v>1101</v>
      </c>
      <c r="O829" s="93">
        <v>1</v>
      </c>
      <c r="P829" s="93">
        <v>2000</v>
      </c>
      <c r="Q829" s="93">
        <v>0</v>
      </c>
      <c r="R829" s="69"/>
    </row>
    <row r="830" spans="2:18">
      <c r="B830" s="68"/>
      <c r="C830" s="93">
        <v>13</v>
      </c>
      <c r="D830" s="93" t="s">
        <v>1908</v>
      </c>
      <c r="E830" s="93">
        <v>138</v>
      </c>
      <c r="F830" s="93">
        <v>516490</v>
      </c>
      <c r="G830" s="93">
        <v>19626</v>
      </c>
      <c r="H830" s="94"/>
      <c r="I830" s="93" t="s">
        <v>1102</v>
      </c>
      <c r="J830" s="93">
        <v>1</v>
      </c>
      <c r="K830" s="93">
        <v>3750</v>
      </c>
      <c r="L830" s="93">
        <v>4</v>
      </c>
      <c r="M830" s="17"/>
      <c r="N830" s="93" t="s">
        <v>1102</v>
      </c>
      <c r="O830" s="93">
        <v>1</v>
      </c>
      <c r="P830" s="93">
        <v>3750</v>
      </c>
      <c r="Q830" s="93">
        <v>4</v>
      </c>
      <c r="R830" s="69"/>
    </row>
    <row r="831" spans="2:18">
      <c r="B831" s="68"/>
      <c r="C831" s="93">
        <v>13</v>
      </c>
      <c r="D831" s="93" t="s">
        <v>1908</v>
      </c>
      <c r="E831" s="93">
        <v>136</v>
      </c>
      <c r="F831" s="93">
        <v>512740</v>
      </c>
      <c r="G831" s="93">
        <v>19594</v>
      </c>
      <c r="H831" s="94"/>
      <c r="I831" s="93" t="s">
        <v>1104</v>
      </c>
      <c r="J831" s="93">
        <v>2</v>
      </c>
      <c r="K831" s="93">
        <v>3750</v>
      </c>
      <c r="L831" s="93">
        <v>32</v>
      </c>
      <c r="M831" s="17"/>
      <c r="N831" s="93" t="s">
        <v>1104</v>
      </c>
      <c r="O831" s="93">
        <v>2</v>
      </c>
      <c r="P831" s="93">
        <v>3750</v>
      </c>
      <c r="Q831" s="93">
        <v>32</v>
      </c>
      <c r="R831" s="69"/>
    </row>
    <row r="832" spans="2:18">
      <c r="B832" s="68"/>
      <c r="C832" s="93">
        <v>13</v>
      </c>
      <c r="D832" s="93" t="s">
        <v>1908</v>
      </c>
      <c r="E832" s="93">
        <v>135</v>
      </c>
      <c r="F832" s="93">
        <v>510740</v>
      </c>
      <c r="G832" s="93">
        <v>19594</v>
      </c>
      <c r="H832" s="94"/>
      <c r="I832" s="93" t="s">
        <v>1105</v>
      </c>
      <c r="J832" s="93">
        <v>1</v>
      </c>
      <c r="K832" s="93">
        <v>2000</v>
      </c>
      <c r="L832" s="93">
        <v>0</v>
      </c>
      <c r="M832" s="17"/>
      <c r="N832" s="93" t="s">
        <v>1105</v>
      </c>
      <c r="O832" s="93">
        <v>1</v>
      </c>
      <c r="P832" s="93">
        <v>2000</v>
      </c>
      <c r="Q832" s="93">
        <v>0</v>
      </c>
      <c r="R832" s="69"/>
    </row>
    <row r="833" spans="2:18">
      <c r="B833" s="68"/>
      <c r="C833" s="93">
        <v>13</v>
      </c>
      <c r="D833" s="93" t="s">
        <v>1908</v>
      </c>
      <c r="E833" s="93">
        <v>134</v>
      </c>
      <c r="F833" s="93">
        <v>509740</v>
      </c>
      <c r="G833" s="93">
        <v>19594</v>
      </c>
      <c r="H833" s="94"/>
      <c r="I833" s="93" t="s">
        <v>1106</v>
      </c>
      <c r="J833" s="93">
        <v>1</v>
      </c>
      <c r="K833" s="93">
        <v>1000</v>
      </c>
      <c r="L833" s="93">
        <v>0</v>
      </c>
      <c r="M833" s="17"/>
      <c r="N833" s="93" t="s">
        <v>1106</v>
      </c>
      <c r="O833" s="93">
        <v>1</v>
      </c>
      <c r="P833" s="93">
        <v>1000</v>
      </c>
      <c r="Q833" s="93">
        <v>0</v>
      </c>
      <c r="R833" s="69"/>
    </row>
    <row r="834" spans="2:18">
      <c r="B834" s="68"/>
      <c r="C834" s="93">
        <v>13</v>
      </c>
      <c r="D834" s="93" t="s">
        <v>1908</v>
      </c>
      <c r="E834" s="93">
        <v>133</v>
      </c>
      <c r="F834" s="93">
        <v>507740</v>
      </c>
      <c r="G834" s="93">
        <v>19594</v>
      </c>
      <c r="H834" s="94"/>
      <c r="I834" s="93" t="s">
        <v>1107</v>
      </c>
      <c r="J834" s="93">
        <v>1</v>
      </c>
      <c r="K834" s="93">
        <v>2000</v>
      </c>
      <c r="L834" s="93">
        <v>0</v>
      </c>
      <c r="M834" s="17"/>
      <c r="N834" s="93" t="s">
        <v>1107</v>
      </c>
      <c r="O834" s="93">
        <v>1</v>
      </c>
      <c r="P834" s="93">
        <v>2000</v>
      </c>
      <c r="Q834" s="93">
        <v>0</v>
      </c>
      <c r="R834" s="69"/>
    </row>
    <row r="835" spans="2:18">
      <c r="B835" s="68"/>
      <c r="C835" s="93">
        <v>13</v>
      </c>
      <c r="D835" s="93" t="s">
        <v>1908</v>
      </c>
      <c r="E835" s="93">
        <v>132</v>
      </c>
      <c r="F835" s="93">
        <v>505740</v>
      </c>
      <c r="G835" s="93">
        <v>19594</v>
      </c>
      <c r="H835" s="94"/>
      <c r="I835" s="93" t="s">
        <v>1108</v>
      </c>
      <c r="J835" s="93">
        <v>1</v>
      </c>
      <c r="K835" s="93">
        <v>2000</v>
      </c>
      <c r="L835" s="93">
        <v>0</v>
      </c>
      <c r="M835" s="17"/>
      <c r="N835" s="93" t="s">
        <v>1108</v>
      </c>
      <c r="O835" s="93">
        <v>1</v>
      </c>
      <c r="P835" s="93">
        <v>2000</v>
      </c>
      <c r="Q835" s="93">
        <v>0</v>
      </c>
      <c r="R835" s="69"/>
    </row>
    <row r="836" spans="2:18">
      <c r="B836" s="68"/>
      <c r="C836" s="93">
        <v>13</v>
      </c>
      <c r="D836" s="93" t="s">
        <v>1908</v>
      </c>
      <c r="E836" s="93">
        <v>130</v>
      </c>
      <c r="F836" s="93">
        <v>498240</v>
      </c>
      <c r="G836" s="93">
        <v>19562</v>
      </c>
      <c r="H836" s="94"/>
      <c r="I836" s="93" t="s">
        <v>1109</v>
      </c>
      <c r="J836" s="93">
        <v>2</v>
      </c>
      <c r="K836" s="93">
        <v>7500</v>
      </c>
      <c r="L836" s="93">
        <v>32</v>
      </c>
      <c r="M836" s="17"/>
      <c r="N836" s="93" t="s">
        <v>1109</v>
      </c>
      <c r="O836" s="93">
        <v>2</v>
      </c>
      <c r="P836" s="93">
        <v>7500</v>
      </c>
      <c r="Q836" s="93">
        <v>32</v>
      </c>
      <c r="R836" s="69"/>
    </row>
    <row r="837" spans="2:18">
      <c r="B837" s="68"/>
      <c r="C837" s="93">
        <v>13</v>
      </c>
      <c r="D837" s="93" t="s">
        <v>1908</v>
      </c>
      <c r="E837" s="93">
        <v>129</v>
      </c>
      <c r="F837" s="93">
        <v>496240</v>
      </c>
      <c r="G837" s="93">
        <v>19562</v>
      </c>
      <c r="H837" s="94"/>
      <c r="I837" s="93" t="s">
        <v>1110</v>
      </c>
      <c r="J837" s="93">
        <v>1</v>
      </c>
      <c r="K837" s="93">
        <v>2000</v>
      </c>
      <c r="L837" s="93">
        <v>0</v>
      </c>
      <c r="M837" s="17"/>
      <c r="N837" s="93" t="s">
        <v>1110</v>
      </c>
      <c r="O837" s="93">
        <v>1</v>
      </c>
      <c r="P837" s="93">
        <v>2000</v>
      </c>
      <c r="Q837" s="93">
        <v>0</v>
      </c>
      <c r="R837" s="69"/>
    </row>
    <row r="838" spans="2:18">
      <c r="B838" s="68"/>
      <c r="C838" s="93">
        <v>13</v>
      </c>
      <c r="D838" s="93" t="s">
        <v>1908</v>
      </c>
      <c r="E838" s="93">
        <v>127</v>
      </c>
      <c r="F838" s="93">
        <v>488740</v>
      </c>
      <c r="G838" s="93">
        <v>19530</v>
      </c>
      <c r="H838" s="94"/>
      <c r="I838" s="93" t="s">
        <v>1111</v>
      </c>
      <c r="J838" s="93">
        <v>2</v>
      </c>
      <c r="K838" s="93">
        <v>7500</v>
      </c>
      <c r="L838" s="93">
        <v>32</v>
      </c>
      <c r="M838" s="17"/>
      <c r="N838" s="93" t="s">
        <v>1111</v>
      </c>
      <c r="O838" s="93">
        <v>2</v>
      </c>
      <c r="P838" s="93">
        <v>7500</v>
      </c>
      <c r="Q838" s="93">
        <v>32</v>
      </c>
      <c r="R838" s="69"/>
    </row>
    <row r="839" spans="2:18">
      <c r="B839" s="68"/>
      <c r="C839" s="93">
        <v>13</v>
      </c>
      <c r="D839" s="93" t="s">
        <v>1908</v>
      </c>
      <c r="E839" s="93">
        <v>125</v>
      </c>
      <c r="F839" s="93">
        <v>481240</v>
      </c>
      <c r="G839" s="93">
        <v>19498</v>
      </c>
      <c r="H839" s="94"/>
      <c r="I839" s="93" t="s">
        <v>1112</v>
      </c>
      <c r="J839" s="93">
        <v>2</v>
      </c>
      <c r="K839" s="93">
        <v>7500</v>
      </c>
      <c r="L839" s="93">
        <v>32</v>
      </c>
      <c r="M839" s="17"/>
      <c r="N839" s="93" t="s">
        <v>1112</v>
      </c>
      <c r="O839" s="93">
        <v>2</v>
      </c>
      <c r="P839" s="93">
        <v>7500</v>
      </c>
      <c r="Q839" s="93">
        <v>32</v>
      </c>
      <c r="R839" s="69"/>
    </row>
    <row r="840" spans="2:18">
      <c r="B840" s="68"/>
      <c r="C840" s="93">
        <v>13</v>
      </c>
      <c r="D840" s="93" t="s">
        <v>1908</v>
      </c>
      <c r="E840" s="93">
        <v>123</v>
      </c>
      <c r="F840" s="93">
        <v>473740</v>
      </c>
      <c r="G840" s="93">
        <v>19466</v>
      </c>
      <c r="H840" s="94"/>
      <c r="I840" s="93" t="s">
        <v>1113</v>
      </c>
      <c r="J840" s="93">
        <v>2</v>
      </c>
      <c r="K840" s="93">
        <v>7500</v>
      </c>
      <c r="L840" s="93">
        <v>32</v>
      </c>
      <c r="M840" s="17"/>
      <c r="N840" s="93" t="s">
        <v>1113</v>
      </c>
      <c r="O840" s="93">
        <v>2</v>
      </c>
      <c r="P840" s="93">
        <v>7500</v>
      </c>
      <c r="Q840" s="93">
        <v>32</v>
      </c>
      <c r="R840" s="69"/>
    </row>
    <row r="841" spans="2:18">
      <c r="B841" s="68"/>
      <c r="C841" s="93">
        <v>13</v>
      </c>
      <c r="D841" s="93" t="s">
        <v>1908</v>
      </c>
      <c r="E841" s="93">
        <v>122</v>
      </c>
      <c r="F841" s="93">
        <v>471740</v>
      </c>
      <c r="G841" s="93">
        <v>19466</v>
      </c>
      <c r="H841" s="94"/>
      <c r="I841" s="93" t="s">
        <v>1114</v>
      </c>
      <c r="J841" s="93">
        <v>1</v>
      </c>
      <c r="K841" s="93">
        <v>2000</v>
      </c>
      <c r="L841" s="93">
        <v>0</v>
      </c>
      <c r="M841" s="17"/>
      <c r="N841" s="93" t="s">
        <v>1114</v>
      </c>
      <c r="O841" s="93">
        <v>1</v>
      </c>
      <c r="P841" s="93">
        <v>2000</v>
      </c>
      <c r="Q841" s="93">
        <v>0</v>
      </c>
      <c r="R841" s="69"/>
    </row>
    <row r="842" spans="2:18">
      <c r="B842" s="68"/>
      <c r="C842" s="93">
        <v>13</v>
      </c>
      <c r="D842" s="93" t="s">
        <v>1908</v>
      </c>
      <c r="E842" s="93">
        <v>121</v>
      </c>
      <c r="F842" s="93">
        <v>469740</v>
      </c>
      <c r="G842" s="93">
        <v>19466</v>
      </c>
      <c r="H842" s="94"/>
      <c r="I842" s="93" t="s">
        <v>1115</v>
      </c>
      <c r="J842" s="93">
        <v>1</v>
      </c>
      <c r="K842" s="93">
        <v>2000</v>
      </c>
      <c r="L842" s="93">
        <v>0</v>
      </c>
      <c r="M842" s="17"/>
      <c r="N842" s="93" t="s">
        <v>1115</v>
      </c>
      <c r="O842" s="93">
        <v>1</v>
      </c>
      <c r="P842" s="93">
        <v>2000</v>
      </c>
      <c r="Q842" s="93">
        <v>0</v>
      </c>
      <c r="R842" s="69"/>
    </row>
    <row r="843" spans="2:18">
      <c r="B843" s="68"/>
      <c r="C843" s="93">
        <v>13</v>
      </c>
      <c r="D843" s="93" t="s">
        <v>1908</v>
      </c>
      <c r="E843" s="93">
        <v>120</v>
      </c>
      <c r="F843" s="93">
        <v>467740</v>
      </c>
      <c r="G843" s="93">
        <v>19466</v>
      </c>
      <c r="H843" s="94"/>
      <c r="I843" s="93" t="s">
        <v>1116</v>
      </c>
      <c r="J843" s="93">
        <v>1</v>
      </c>
      <c r="K843" s="93">
        <v>2000</v>
      </c>
      <c r="L843" s="93">
        <v>0</v>
      </c>
      <c r="M843" s="17"/>
      <c r="N843" s="93" t="s">
        <v>1116</v>
      </c>
      <c r="O843" s="93">
        <v>1</v>
      </c>
      <c r="P843" s="93">
        <v>2000</v>
      </c>
      <c r="Q843" s="93">
        <v>0</v>
      </c>
      <c r="R843" s="69"/>
    </row>
    <row r="844" spans="2:18">
      <c r="B844" s="68"/>
      <c r="C844" s="93">
        <v>13</v>
      </c>
      <c r="D844" s="93" t="s">
        <v>1908</v>
      </c>
      <c r="E844" s="93">
        <v>118</v>
      </c>
      <c r="F844" s="93">
        <v>463740</v>
      </c>
      <c r="G844" s="93">
        <v>19466</v>
      </c>
      <c r="H844" s="94"/>
      <c r="I844" s="93" t="s">
        <v>1117</v>
      </c>
      <c r="J844" s="93">
        <v>2</v>
      </c>
      <c r="K844" s="93">
        <v>4000</v>
      </c>
      <c r="L844" s="93">
        <v>0</v>
      </c>
      <c r="M844" s="17"/>
      <c r="N844" s="93" t="s">
        <v>1117</v>
      </c>
      <c r="O844" s="93">
        <v>2</v>
      </c>
      <c r="P844" s="93">
        <v>4000</v>
      </c>
      <c r="Q844" s="93">
        <v>0</v>
      </c>
      <c r="R844" s="69"/>
    </row>
    <row r="845" spans="2:18">
      <c r="B845" s="68"/>
      <c r="C845" s="93">
        <v>13</v>
      </c>
      <c r="D845" s="93" t="s">
        <v>1908</v>
      </c>
      <c r="E845" s="93">
        <v>116</v>
      </c>
      <c r="F845" s="93">
        <v>459740</v>
      </c>
      <c r="G845" s="93">
        <v>19466</v>
      </c>
      <c r="H845" s="94"/>
      <c r="I845" s="93" t="s">
        <v>1119</v>
      </c>
      <c r="J845" s="93">
        <v>2</v>
      </c>
      <c r="K845" s="93">
        <v>4000</v>
      </c>
      <c r="L845" s="93">
        <v>0</v>
      </c>
      <c r="M845" s="17"/>
      <c r="N845" s="93" t="s">
        <v>1119</v>
      </c>
      <c r="O845" s="93">
        <v>2</v>
      </c>
      <c r="P845" s="93">
        <v>4000</v>
      </c>
      <c r="Q845" s="93">
        <v>0</v>
      </c>
      <c r="R845" s="69"/>
    </row>
    <row r="846" spans="2:18">
      <c r="B846" s="68"/>
      <c r="C846" s="93">
        <v>13</v>
      </c>
      <c r="D846" s="93" t="s">
        <v>1908</v>
      </c>
      <c r="E846" s="93">
        <v>114</v>
      </c>
      <c r="F846" s="93">
        <v>455740</v>
      </c>
      <c r="G846" s="93">
        <v>19466</v>
      </c>
      <c r="H846" s="94"/>
      <c r="I846" s="93" t="s">
        <v>1120</v>
      </c>
      <c r="J846" s="93">
        <v>2</v>
      </c>
      <c r="K846" s="93">
        <v>4000</v>
      </c>
      <c r="L846" s="93">
        <v>0</v>
      </c>
      <c r="M846" s="17"/>
      <c r="N846" s="93" t="s">
        <v>1120</v>
      </c>
      <c r="O846" s="93">
        <v>2</v>
      </c>
      <c r="P846" s="93">
        <v>4000</v>
      </c>
      <c r="Q846" s="93">
        <v>0</v>
      </c>
      <c r="R846" s="69"/>
    </row>
    <row r="847" spans="2:18">
      <c r="B847" s="68"/>
      <c r="C847" s="93">
        <v>13</v>
      </c>
      <c r="D847" s="93" t="s">
        <v>1908</v>
      </c>
      <c r="E847" s="93">
        <v>113</v>
      </c>
      <c r="F847" s="93">
        <v>453740</v>
      </c>
      <c r="G847" s="93">
        <v>19466</v>
      </c>
      <c r="H847" s="94"/>
      <c r="I847" s="93" t="s">
        <v>1121</v>
      </c>
      <c r="J847" s="93">
        <v>1</v>
      </c>
      <c r="K847" s="93">
        <v>2000</v>
      </c>
      <c r="L847" s="93">
        <v>0</v>
      </c>
      <c r="M847" s="17"/>
      <c r="N847" s="93" t="s">
        <v>1121</v>
      </c>
      <c r="O847" s="93">
        <v>1</v>
      </c>
      <c r="P847" s="93">
        <v>2000</v>
      </c>
      <c r="Q847" s="93">
        <v>0</v>
      </c>
      <c r="R847" s="69"/>
    </row>
    <row r="848" spans="2:18">
      <c r="B848" s="68"/>
      <c r="C848" s="93">
        <v>13</v>
      </c>
      <c r="D848" s="93" t="s">
        <v>1908</v>
      </c>
      <c r="E848" s="93">
        <v>112</v>
      </c>
      <c r="F848" s="93">
        <v>451740</v>
      </c>
      <c r="G848" s="93">
        <v>19466</v>
      </c>
      <c r="H848" s="94"/>
      <c r="I848" s="93" t="s">
        <v>1122</v>
      </c>
      <c r="J848" s="93">
        <v>1</v>
      </c>
      <c r="K848" s="93">
        <v>2000</v>
      </c>
      <c r="L848" s="93">
        <v>0</v>
      </c>
      <c r="M848" s="17"/>
      <c r="N848" s="93" t="s">
        <v>1122</v>
      </c>
      <c r="O848" s="93">
        <v>1</v>
      </c>
      <c r="P848" s="93">
        <v>2000</v>
      </c>
      <c r="Q848" s="93">
        <v>0</v>
      </c>
      <c r="R848" s="69"/>
    </row>
    <row r="849" spans="2:18">
      <c r="B849" s="68"/>
      <c r="C849" s="93">
        <v>13</v>
      </c>
      <c r="D849" s="93" t="s">
        <v>1908</v>
      </c>
      <c r="E849" s="93">
        <v>110</v>
      </c>
      <c r="F849" s="93">
        <v>447740</v>
      </c>
      <c r="G849" s="93">
        <v>19466</v>
      </c>
      <c r="H849" s="94"/>
      <c r="I849" s="93" t="s">
        <v>1123</v>
      </c>
      <c r="J849" s="93">
        <v>2</v>
      </c>
      <c r="K849" s="93">
        <v>4000</v>
      </c>
      <c r="L849" s="93">
        <v>0</v>
      </c>
      <c r="M849" s="17"/>
      <c r="N849" s="93" t="s">
        <v>1123</v>
      </c>
      <c r="O849" s="93">
        <v>2</v>
      </c>
      <c r="P849" s="93">
        <v>4000</v>
      </c>
      <c r="Q849" s="93">
        <v>0</v>
      </c>
      <c r="R849" s="69"/>
    </row>
    <row r="850" spans="2:18">
      <c r="B850" s="68"/>
      <c r="C850" s="93">
        <v>13</v>
      </c>
      <c r="D850" s="93" t="s">
        <v>1908</v>
      </c>
      <c r="E850" s="93">
        <v>108</v>
      </c>
      <c r="F850" s="93">
        <v>443740</v>
      </c>
      <c r="G850" s="93">
        <v>19466</v>
      </c>
      <c r="H850" s="94"/>
      <c r="I850" s="93" t="s">
        <v>1124</v>
      </c>
      <c r="J850" s="93">
        <v>2</v>
      </c>
      <c r="K850" s="93">
        <v>4000</v>
      </c>
      <c r="L850" s="93">
        <v>0</v>
      </c>
      <c r="M850" s="17"/>
      <c r="N850" s="93" t="s">
        <v>1124</v>
      </c>
      <c r="O850" s="93">
        <v>2</v>
      </c>
      <c r="P850" s="93">
        <v>4000</v>
      </c>
      <c r="Q850" s="93">
        <v>0</v>
      </c>
      <c r="R850" s="69"/>
    </row>
    <row r="851" spans="2:18">
      <c r="B851" s="68"/>
      <c r="C851" s="93">
        <v>13</v>
      </c>
      <c r="D851" s="93" t="s">
        <v>1908</v>
      </c>
      <c r="E851" s="93">
        <v>107</v>
      </c>
      <c r="F851" s="93">
        <v>441740</v>
      </c>
      <c r="G851" s="93">
        <v>19466</v>
      </c>
      <c r="H851" s="94"/>
      <c r="I851" s="93" t="s">
        <v>1125</v>
      </c>
      <c r="J851" s="93">
        <v>1</v>
      </c>
      <c r="K851" s="93">
        <v>2000</v>
      </c>
      <c r="L851" s="93">
        <v>0</v>
      </c>
      <c r="M851" s="17"/>
      <c r="N851" s="93" t="s">
        <v>1125</v>
      </c>
      <c r="O851" s="93">
        <v>1</v>
      </c>
      <c r="P851" s="93">
        <v>2000</v>
      </c>
      <c r="Q851" s="93">
        <v>0</v>
      </c>
      <c r="R851" s="69"/>
    </row>
    <row r="852" spans="2:18">
      <c r="B852" s="68"/>
      <c r="C852" s="93">
        <v>13</v>
      </c>
      <c r="D852" s="93" t="s">
        <v>1908</v>
      </c>
      <c r="E852" s="93">
        <v>106</v>
      </c>
      <c r="F852" s="93">
        <v>439740</v>
      </c>
      <c r="G852" s="93">
        <v>19466</v>
      </c>
      <c r="H852" s="94"/>
      <c r="I852" s="93" t="s">
        <v>1126</v>
      </c>
      <c r="J852" s="93">
        <v>1</v>
      </c>
      <c r="K852" s="93">
        <v>2000</v>
      </c>
      <c r="L852" s="93">
        <v>0</v>
      </c>
      <c r="M852" s="17"/>
      <c r="N852" s="93" t="s">
        <v>1126</v>
      </c>
      <c r="O852" s="93">
        <v>1</v>
      </c>
      <c r="P852" s="93">
        <v>2000</v>
      </c>
      <c r="Q852" s="93">
        <v>0</v>
      </c>
      <c r="R852" s="69"/>
    </row>
    <row r="853" spans="2:18">
      <c r="B853" s="68"/>
      <c r="C853" s="93">
        <v>13</v>
      </c>
      <c r="D853" s="93" t="s">
        <v>1908</v>
      </c>
      <c r="E853" s="93">
        <v>105</v>
      </c>
      <c r="F853" s="93">
        <v>437740</v>
      </c>
      <c r="G853" s="93">
        <v>19466</v>
      </c>
      <c r="H853" s="94"/>
      <c r="I853" s="93" t="s">
        <v>1127</v>
      </c>
      <c r="J853" s="93">
        <v>1</v>
      </c>
      <c r="K853" s="93">
        <v>2000</v>
      </c>
      <c r="L853" s="93">
        <v>0</v>
      </c>
      <c r="M853" s="17"/>
      <c r="N853" s="93" t="s">
        <v>1127</v>
      </c>
      <c r="O853" s="93">
        <v>1</v>
      </c>
      <c r="P853" s="93">
        <v>2000</v>
      </c>
      <c r="Q853" s="93">
        <v>0</v>
      </c>
      <c r="R853" s="69"/>
    </row>
    <row r="854" spans="2:18">
      <c r="B854" s="68"/>
      <c r="C854" s="93">
        <v>13</v>
      </c>
      <c r="D854" s="93" t="s">
        <v>1908</v>
      </c>
      <c r="E854" s="93">
        <v>101</v>
      </c>
      <c r="F854" s="93">
        <v>430240</v>
      </c>
      <c r="G854" s="93">
        <v>19386</v>
      </c>
      <c r="H854" s="94"/>
      <c r="I854" s="93" t="s">
        <v>1128</v>
      </c>
      <c r="J854" s="93">
        <v>4</v>
      </c>
      <c r="K854" s="93">
        <v>7500</v>
      </c>
      <c r="L854" s="93">
        <v>80</v>
      </c>
      <c r="M854" s="17"/>
      <c r="N854" s="93" t="s">
        <v>1128</v>
      </c>
      <c r="O854" s="93">
        <v>4</v>
      </c>
      <c r="P854" s="93">
        <v>7500</v>
      </c>
      <c r="Q854" s="93">
        <v>80</v>
      </c>
      <c r="R854" s="69"/>
    </row>
    <row r="855" spans="2:18">
      <c r="B855" s="68"/>
      <c r="C855" s="93">
        <v>13</v>
      </c>
      <c r="D855" s="93" t="s">
        <v>1908</v>
      </c>
      <c r="E855" s="93">
        <v>97</v>
      </c>
      <c r="F855" s="93">
        <v>422740</v>
      </c>
      <c r="G855" s="93">
        <v>19306</v>
      </c>
      <c r="H855" s="94"/>
      <c r="I855" s="93" t="s">
        <v>1129</v>
      </c>
      <c r="J855" s="93">
        <v>4</v>
      </c>
      <c r="K855" s="93">
        <v>7500</v>
      </c>
      <c r="L855" s="93">
        <v>80</v>
      </c>
      <c r="M855" s="17"/>
      <c r="N855" s="93" t="s">
        <v>1129</v>
      </c>
      <c r="O855" s="93">
        <v>4</v>
      </c>
      <c r="P855" s="93">
        <v>7500</v>
      </c>
      <c r="Q855" s="93">
        <v>80</v>
      </c>
      <c r="R855" s="69"/>
    </row>
    <row r="856" spans="2:18">
      <c r="B856" s="68"/>
      <c r="C856" s="93">
        <v>13</v>
      </c>
      <c r="D856" s="93" t="s">
        <v>1908</v>
      </c>
      <c r="E856" s="93">
        <v>93</v>
      </c>
      <c r="F856" s="93">
        <v>415240</v>
      </c>
      <c r="G856" s="93">
        <v>19226</v>
      </c>
      <c r="H856" s="94"/>
      <c r="I856" s="93" t="s">
        <v>1130</v>
      </c>
      <c r="J856" s="93">
        <v>4</v>
      </c>
      <c r="K856" s="93">
        <v>7500</v>
      </c>
      <c r="L856" s="93">
        <v>80</v>
      </c>
      <c r="M856" s="17"/>
      <c r="N856" s="93" t="s">
        <v>1130</v>
      </c>
      <c r="O856" s="93">
        <v>4</v>
      </c>
      <c r="P856" s="93">
        <v>7500</v>
      </c>
      <c r="Q856" s="93">
        <v>80</v>
      </c>
      <c r="R856" s="69"/>
    </row>
    <row r="857" spans="2:18">
      <c r="B857" s="68"/>
      <c r="C857" s="93">
        <v>13</v>
      </c>
      <c r="D857" s="93" t="s">
        <v>1908</v>
      </c>
      <c r="E857" s="93">
        <v>92</v>
      </c>
      <c r="F857" s="93">
        <v>413240</v>
      </c>
      <c r="G857" s="93">
        <v>19226</v>
      </c>
      <c r="H857" s="94"/>
      <c r="I857" s="93" t="s">
        <v>1131</v>
      </c>
      <c r="J857" s="93">
        <v>1</v>
      </c>
      <c r="K857" s="93">
        <v>2000</v>
      </c>
      <c r="L857" s="93">
        <v>0</v>
      </c>
      <c r="M857" s="17"/>
      <c r="N857" s="93" t="s">
        <v>1131</v>
      </c>
      <c r="O857" s="93">
        <v>1</v>
      </c>
      <c r="P857" s="93">
        <v>2000</v>
      </c>
      <c r="Q857" s="93">
        <v>0</v>
      </c>
      <c r="R857" s="69"/>
    </row>
    <row r="858" spans="2:18">
      <c r="B858" s="68"/>
      <c r="C858" s="93">
        <v>13</v>
      </c>
      <c r="D858" s="93" t="s">
        <v>1908</v>
      </c>
      <c r="E858" s="93">
        <v>90</v>
      </c>
      <c r="F858" s="93">
        <v>409490</v>
      </c>
      <c r="G858" s="93">
        <v>19194</v>
      </c>
      <c r="H858" s="94"/>
      <c r="I858" s="93" t="s">
        <v>1132</v>
      </c>
      <c r="J858" s="93">
        <v>2</v>
      </c>
      <c r="K858" s="93">
        <v>3750</v>
      </c>
      <c r="L858" s="93">
        <v>32</v>
      </c>
      <c r="M858" s="17"/>
      <c r="N858" s="93" t="s">
        <v>1132</v>
      </c>
      <c r="O858" s="93">
        <v>2</v>
      </c>
      <c r="P858" s="93">
        <v>3750</v>
      </c>
      <c r="Q858" s="93">
        <v>32</v>
      </c>
      <c r="R858" s="69"/>
    </row>
    <row r="859" spans="2:18">
      <c r="B859" s="68"/>
      <c r="C859" s="93">
        <v>13</v>
      </c>
      <c r="D859" s="93" t="s">
        <v>1908</v>
      </c>
      <c r="E859" s="93">
        <v>89</v>
      </c>
      <c r="F859" s="93">
        <v>407490</v>
      </c>
      <c r="G859" s="93">
        <v>19194</v>
      </c>
      <c r="H859" s="94"/>
      <c r="I859" s="93" t="s">
        <v>1133</v>
      </c>
      <c r="J859" s="93">
        <v>1</v>
      </c>
      <c r="K859" s="93">
        <v>2000</v>
      </c>
      <c r="L859" s="93">
        <v>0</v>
      </c>
      <c r="M859" s="17"/>
      <c r="N859" s="93" t="s">
        <v>1133</v>
      </c>
      <c r="O859" s="93">
        <v>1</v>
      </c>
      <c r="P859" s="93">
        <v>2000</v>
      </c>
      <c r="Q859" s="93">
        <v>0</v>
      </c>
      <c r="R859" s="69"/>
    </row>
    <row r="860" spans="2:18">
      <c r="B860" s="68"/>
      <c r="C860" s="93">
        <v>13</v>
      </c>
      <c r="D860" s="93" t="s">
        <v>1908</v>
      </c>
      <c r="E860" s="93">
        <v>88</v>
      </c>
      <c r="F860" s="93">
        <v>405490</v>
      </c>
      <c r="G860" s="93">
        <v>19194</v>
      </c>
      <c r="H860" s="94"/>
      <c r="I860" s="93" t="s">
        <v>1134</v>
      </c>
      <c r="J860" s="93">
        <v>1</v>
      </c>
      <c r="K860" s="93">
        <v>2000</v>
      </c>
      <c r="L860" s="93">
        <v>0</v>
      </c>
      <c r="M860" s="17"/>
      <c r="N860" s="93" t="s">
        <v>1134</v>
      </c>
      <c r="O860" s="93">
        <v>1</v>
      </c>
      <c r="P860" s="93">
        <v>2000</v>
      </c>
      <c r="Q860" s="93">
        <v>0</v>
      </c>
      <c r="R860" s="69"/>
    </row>
    <row r="861" spans="2:18">
      <c r="B861" s="68"/>
      <c r="C861" s="93">
        <v>13</v>
      </c>
      <c r="D861" s="93" t="s">
        <v>1908</v>
      </c>
      <c r="E861" s="93">
        <v>87</v>
      </c>
      <c r="F861" s="93">
        <v>403490</v>
      </c>
      <c r="G861" s="93">
        <v>19194</v>
      </c>
      <c r="H861" s="94"/>
      <c r="I861" s="93" t="s">
        <v>1135</v>
      </c>
      <c r="J861" s="93">
        <v>1</v>
      </c>
      <c r="K861" s="93">
        <v>2000</v>
      </c>
      <c r="L861" s="93">
        <v>0</v>
      </c>
      <c r="M861" s="17"/>
      <c r="N861" s="93" t="s">
        <v>1135</v>
      </c>
      <c r="O861" s="93">
        <v>1</v>
      </c>
      <c r="P861" s="93">
        <v>2000</v>
      </c>
      <c r="Q861" s="93">
        <v>0</v>
      </c>
      <c r="R861" s="69"/>
    </row>
    <row r="862" spans="2:18">
      <c r="B862" s="68"/>
      <c r="C862" s="93">
        <v>13</v>
      </c>
      <c r="D862" s="93" t="s">
        <v>1908</v>
      </c>
      <c r="E862" s="93">
        <v>86</v>
      </c>
      <c r="F862" s="93">
        <v>401490</v>
      </c>
      <c r="G862" s="93">
        <v>19194</v>
      </c>
      <c r="H862" s="94"/>
      <c r="I862" s="93" t="s">
        <v>1136</v>
      </c>
      <c r="J862" s="93">
        <v>1</v>
      </c>
      <c r="K862" s="93">
        <v>2000</v>
      </c>
      <c r="L862" s="93">
        <v>0</v>
      </c>
      <c r="M862" s="17"/>
      <c r="N862" s="93" t="s">
        <v>1136</v>
      </c>
      <c r="O862" s="93">
        <v>1</v>
      </c>
      <c r="P862" s="93">
        <v>2000</v>
      </c>
      <c r="Q862" s="93">
        <v>0</v>
      </c>
      <c r="R862" s="69"/>
    </row>
    <row r="863" spans="2:18">
      <c r="B863" s="68"/>
      <c r="C863" s="93">
        <v>13</v>
      </c>
      <c r="D863" s="93" t="s">
        <v>1908</v>
      </c>
      <c r="E863" s="93">
        <v>84</v>
      </c>
      <c r="F863" s="93">
        <v>397740</v>
      </c>
      <c r="G863" s="93">
        <v>19162</v>
      </c>
      <c r="H863" s="94"/>
      <c r="I863" s="93" t="s">
        <v>1137</v>
      </c>
      <c r="J863" s="93">
        <v>2</v>
      </c>
      <c r="K863" s="93">
        <v>3750</v>
      </c>
      <c r="L863" s="93">
        <v>32</v>
      </c>
      <c r="M863" s="17"/>
      <c r="N863" s="93" t="s">
        <v>1137</v>
      </c>
      <c r="O863" s="93">
        <v>2</v>
      </c>
      <c r="P863" s="93">
        <v>3750</v>
      </c>
      <c r="Q863" s="93">
        <v>32</v>
      </c>
      <c r="R863" s="69"/>
    </row>
    <row r="864" spans="2:18">
      <c r="B864" s="68"/>
      <c r="C864" s="93">
        <v>13</v>
      </c>
      <c r="D864" s="93" t="s">
        <v>1908</v>
      </c>
      <c r="E864" s="93">
        <v>83</v>
      </c>
      <c r="F864" s="93">
        <v>395740</v>
      </c>
      <c r="G864" s="93">
        <v>19162</v>
      </c>
      <c r="H864" s="94"/>
      <c r="I864" s="93" t="s">
        <v>1138</v>
      </c>
      <c r="J864" s="93">
        <v>1</v>
      </c>
      <c r="K864" s="93">
        <v>2000</v>
      </c>
      <c r="L864" s="93">
        <v>0</v>
      </c>
      <c r="M864" s="17"/>
      <c r="N864" s="93" t="s">
        <v>1138</v>
      </c>
      <c r="O864" s="93">
        <v>1</v>
      </c>
      <c r="P864" s="93">
        <v>2000</v>
      </c>
      <c r="Q864" s="93">
        <v>0</v>
      </c>
      <c r="R864" s="69"/>
    </row>
    <row r="865" spans="2:18">
      <c r="B865" s="68"/>
      <c r="C865" s="93">
        <v>13</v>
      </c>
      <c r="D865" s="93" t="s">
        <v>1908</v>
      </c>
      <c r="E865" s="93">
        <v>82</v>
      </c>
      <c r="F865" s="93">
        <v>393740</v>
      </c>
      <c r="G865" s="93">
        <v>19162</v>
      </c>
      <c r="H865" s="94"/>
      <c r="I865" s="93" t="s">
        <v>1139</v>
      </c>
      <c r="J865" s="93">
        <v>1</v>
      </c>
      <c r="K865" s="93">
        <v>2000</v>
      </c>
      <c r="L865" s="93">
        <v>0</v>
      </c>
      <c r="M865" s="17"/>
      <c r="N865" s="93" t="s">
        <v>1139</v>
      </c>
      <c r="O865" s="93">
        <v>1</v>
      </c>
      <c r="P865" s="93">
        <v>2000</v>
      </c>
      <c r="Q865" s="93">
        <v>0</v>
      </c>
      <c r="R865" s="69"/>
    </row>
    <row r="866" spans="2:18">
      <c r="B866" s="68"/>
      <c r="C866" s="93">
        <v>13</v>
      </c>
      <c r="D866" s="93" t="s">
        <v>1908</v>
      </c>
      <c r="E866" s="93">
        <v>81</v>
      </c>
      <c r="F866" s="93">
        <v>391740</v>
      </c>
      <c r="G866" s="93">
        <v>19162</v>
      </c>
      <c r="H866" s="94"/>
      <c r="I866" s="93" t="s">
        <v>1140</v>
      </c>
      <c r="J866" s="93">
        <v>1</v>
      </c>
      <c r="K866" s="93">
        <v>2000</v>
      </c>
      <c r="L866" s="93">
        <v>0</v>
      </c>
      <c r="M866" s="17"/>
      <c r="N866" s="93" t="s">
        <v>1140</v>
      </c>
      <c r="O866" s="93">
        <v>1</v>
      </c>
      <c r="P866" s="93">
        <v>2000</v>
      </c>
      <c r="Q866" s="93">
        <v>0</v>
      </c>
      <c r="R866" s="69"/>
    </row>
    <row r="867" spans="2:18">
      <c r="B867" s="68"/>
      <c r="C867" s="93">
        <v>13</v>
      </c>
      <c r="D867" s="93" t="s">
        <v>1908</v>
      </c>
      <c r="E867" s="93">
        <v>80</v>
      </c>
      <c r="F867" s="93">
        <v>389740</v>
      </c>
      <c r="G867" s="93">
        <v>19162</v>
      </c>
      <c r="H867" s="94"/>
      <c r="I867" s="93" t="s">
        <v>1141</v>
      </c>
      <c r="J867" s="93">
        <v>1</v>
      </c>
      <c r="K867" s="93">
        <v>2000</v>
      </c>
      <c r="L867" s="93">
        <v>0</v>
      </c>
      <c r="M867" s="17"/>
      <c r="N867" s="93" t="s">
        <v>1141</v>
      </c>
      <c r="O867" s="93">
        <v>1</v>
      </c>
      <c r="P867" s="93">
        <v>2000</v>
      </c>
      <c r="Q867" s="93">
        <v>0</v>
      </c>
      <c r="R867" s="69"/>
    </row>
    <row r="868" spans="2:18">
      <c r="B868" s="68"/>
      <c r="C868" s="93">
        <v>13</v>
      </c>
      <c r="D868" s="93" t="s">
        <v>1908</v>
      </c>
      <c r="E868" s="93">
        <v>79</v>
      </c>
      <c r="F868" s="93">
        <v>387740</v>
      </c>
      <c r="G868" s="93">
        <v>19162</v>
      </c>
      <c r="H868" s="94"/>
      <c r="I868" s="93" t="s">
        <v>1142</v>
      </c>
      <c r="J868" s="93">
        <v>1</v>
      </c>
      <c r="K868" s="93">
        <v>2000</v>
      </c>
      <c r="L868" s="93">
        <v>0</v>
      </c>
      <c r="M868" s="17"/>
      <c r="N868" s="93" t="s">
        <v>1142</v>
      </c>
      <c r="O868" s="93">
        <v>1</v>
      </c>
      <c r="P868" s="93">
        <v>2000</v>
      </c>
      <c r="Q868" s="93">
        <v>0</v>
      </c>
      <c r="R868" s="69"/>
    </row>
    <row r="869" spans="2:18">
      <c r="B869" s="68"/>
      <c r="C869" s="93">
        <v>13</v>
      </c>
      <c r="D869" s="93" t="s">
        <v>1908</v>
      </c>
      <c r="E869" s="93">
        <v>78</v>
      </c>
      <c r="F869" s="93">
        <v>385740</v>
      </c>
      <c r="G869" s="93">
        <v>19162</v>
      </c>
      <c r="H869" s="94"/>
      <c r="I869" s="93" t="s">
        <v>1143</v>
      </c>
      <c r="J869" s="93">
        <v>1</v>
      </c>
      <c r="K869" s="93">
        <v>2000</v>
      </c>
      <c r="L869" s="93">
        <v>0</v>
      </c>
      <c r="M869" s="17"/>
      <c r="N869" s="93" t="s">
        <v>1143</v>
      </c>
      <c r="O869" s="93">
        <v>1</v>
      </c>
      <c r="P869" s="93">
        <v>2000</v>
      </c>
      <c r="Q869" s="93">
        <v>0</v>
      </c>
      <c r="R869" s="69"/>
    </row>
    <row r="870" spans="2:18">
      <c r="B870" s="68"/>
      <c r="C870" s="93">
        <v>13</v>
      </c>
      <c r="D870" s="93" t="s">
        <v>1908</v>
      </c>
      <c r="E870" s="93">
        <v>77</v>
      </c>
      <c r="F870" s="93">
        <v>383740</v>
      </c>
      <c r="G870" s="93">
        <v>19162</v>
      </c>
      <c r="H870" s="94"/>
      <c r="I870" s="93" t="s">
        <v>1144</v>
      </c>
      <c r="J870" s="93">
        <v>1</v>
      </c>
      <c r="K870" s="93">
        <v>2000</v>
      </c>
      <c r="L870" s="93">
        <v>0</v>
      </c>
      <c r="M870" s="17"/>
      <c r="N870" s="93" t="s">
        <v>1144</v>
      </c>
      <c r="O870" s="93">
        <v>1</v>
      </c>
      <c r="P870" s="93">
        <v>2000</v>
      </c>
      <c r="Q870" s="93">
        <v>0</v>
      </c>
      <c r="R870" s="69"/>
    </row>
    <row r="871" spans="2:18">
      <c r="B871" s="68"/>
      <c r="C871" s="93">
        <v>13</v>
      </c>
      <c r="D871" s="93" t="s">
        <v>1908</v>
      </c>
      <c r="E871" s="93">
        <v>76</v>
      </c>
      <c r="F871" s="93">
        <v>381740</v>
      </c>
      <c r="G871" s="93">
        <v>19162</v>
      </c>
      <c r="H871" s="94"/>
      <c r="I871" s="93" t="s">
        <v>1145</v>
      </c>
      <c r="J871" s="93">
        <v>1</v>
      </c>
      <c r="K871" s="93">
        <v>2000</v>
      </c>
      <c r="L871" s="93">
        <v>0</v>
      </c>
      <c r="M871" s="17"/>
      <c r="N871" s="93" t="s">
        <v>1145</v>
      </c>
      <c r="O871" s="93">
        <v>1</v>
      </c>
      <c r="P871" s="93">
        <v>2000</v>
      </c>
      <c r="Q871" s="93">
        <v>0</v>
      </c>
      <c r="R871" s="69"/>
    </row>
    <row r="872" spans="2:18">
      <c r="B872" s="68"/>
      <c r="C872" s="93">
        <v>13</v>
      </c>
      <c r="D872" s="93" t="s">
        <v>1908</v>
      </c>
      <c r="E872" s="93">
        <v>75</v>
      </c>
      <c r="F872" s="93">
        <v>379740</v>
      </c>
      <c r="G872" s="93">
        <v>19162</v>
      </c>
      <c r="H872" s="94"/>
      <c r="I872" s="93" t="s">
        <v>1146</v>
      </c>
      <c r="J872" s="93">
        <v>1</v>
      </c>
      <c r="K872" s="93">
        <v>2000</v>
      </c>
      <c r="L872" s="93">
        <v>0</v>
      </c>
      <c r="M872" s="17"/>
      <c r="N872" s="93" t="s">
        <v>1146</v>
      </c>
      <c r="O872" s="93">
        <v>1</v>
      </c>
      <c r="P872" s="93">
        <v>2000</v>
      </c>
      <c r="Q872" s="93">
        <v>0</v>
      </c>
      <c r="R872" s="69"/>
    </row>
    <row r="873" spans="2:18">
      <c r="B873" s="68"/>
      <c r="C873" s="93">
        <v>13</v>
      </c>
      <c r="D873" s="93" t="s">
        <v>1908</v>
      </c>
      <c r="E873" s="93">
        <v>73</v>
      </c>
      <c r="F873" s="93">
        <v>372240</v>
      </c>
      <c r="G873" s="93">
        <v>19130</v>
      </c>
      <c r="H873" s="94"/>
      <c r="I873" s="93" t="s">
        <v>1147</v>
      </c>
      <c r="J873" s="93">
        <v>2</v>
      </c>
      <c r="K873" s="93">
        <v>7500</v>
      </c>
      <c r="L873" s="93">
        <v>32</v>
      </c>
      <c r="M873" s="17"/>
      <c r="N873" s="93" t="s">
        <v>1147</v>
      </c>
      <c r="O873" s="93">
        <v>2</v>
      </c>
      <c r="P873" s="93">
        <v>7500</v>
      </c>
      <c r="Q873" s="93">
        <v>32</v>
      </c>
      <c r="R873" s="69"/>
    </row>
    <row r="874" spans="2:18">
      <c r="B874" s="68"/>
      <c r="C874" s="93">
        <v>13</v>
      </c>
      <c r="D874" s="93" t="s">
        <v>1908</v>
      </c>
      <c r="E874" s="93">
        <v>72</v>
      </c>
      <c r="F874" s="93">
        <v>370240</v>
      </c>
      <c r="G874" s="93">
        <v>19130</v>
      </c>
      <c r="H874" s="94"/>
      <c r="I874" s="93" t="s">
        <v>1148</v>
      </c>
      <c r="J874" s="93">
        <v>1</v>
      </c>
      <c r="K874" s="93">
        <v>2000</v>
      </c>
      <c r="L874" s="93">
        <v>0</v>
      </c>
      <c r="M874" s="17"/>
      <c r="N874" s="93" t="s">
        <v>1148</v>
      </c>
      <c r="O874" s="93">
        <v>1</v>
      </c>
      <c r="P874" s="93">
        <v>2000</v>
      </c>
      <c r="Q874" s="93">
        <v>0</v>
      </c>
      <c r="R874" s="69"/>
    </row>
    <row r="875" spans="2:18">
      <c r="B875" s="68"/>
      <c r="C875" s="93">
        <v>13</v>
      </c>
      <c r="D875" s="93" t="s">
        <v>1908</v>
      </c>
      <c r="E875" s="93">
        <v>71</v>
      </c>
      <c r="F875" s="93">
        <v>368240</v>
      </c>
      <c r="G875" s="93">
        <v>19130</v>
      </c>
      <c r="H875" s="94"/>
      <c r="I875" s="93" t="s">
        <v>1149</v>
      </c>
      <c r="J875" s="93">
        <v>1</v>
      </c>
      <c r="K875" s="93">
        <v>2000</v>
      </c>
      <c r="L875" s="93">
        <v>0</v>
      </c>
      <c r="M875" s="17"/>
      <c r="N875" s="93" t="s">
        <v>1149</v>
      </c>
      <c r="O875" s="93">
        <v>1</v>
      </c>
      <c r="P875" s="93">
        <v>2000</v>
      </c>
      <c r="Q875" s="93">
        <v>0</v>
      </c>
      <c r="R875" s="69"/>
    </row>
    <row r="876" spans="2:18">
      <c r="B876" s="68"/>
      <c r="C876" s="93">
        <v>13</v>
      </c>
      <c r="D876" s="93" t="s">
        <v>1908</v>
      </c>
      <c r="E876" s="93">
        <v>69</v>
      </c>
      <c r="F876" s="93">
        <v>360740</v>
      </c>
      <c r="G876" s="93">
        <v>19098</v>
      </c>
      <c r="H876" s="94"/>
      <c r="I876" s="93" t="s">
        <v>1150</v>
      </c>
      <c r="J876" s="93">
        <v>2</v>
      </c>
      <c r="K876" s="93">
        <v>7500</v>
      </c>
      <c r="L876" s="93">
        <v>32</v>
      </c>
      <c r="M876" s="17"/>
      <c r="N876" s="93" t="s">
        <v>1150</v>
      </c>
      <c r="O876" s="93">
        <v>2</v>
      </c>
      <c r="P876" s="93">
        <v>7500</v>
      </c>
      <c r="Q876" s="93">
        <v>32</v>
      </c>
      <c r="R876" s="69"/>
    </row>
    <row r="877" spans="2:18">
      <c r="B877" s="68"/>
      <c r="C877" s="93">
        <v>13</v>
      </c>
      <c r="D877" s="93" t="s">
        <v>1908</v>
      </c>
      <c r="E877" s="93">
        <v>67</v>
      </c>
      <c r="F877" s="93">
        <v>353240</v>
      </c>
      <c r="G877" s="93">
        <v>19066</v>
      </c>
      <c r="H877" s="94"/>
      <c r="I877" s="93" t="s">
        <v>1151</v>
      </c>
      <c r="J877" s="93">
        <v>2</v>
      </c>
      <c r="K877" s="93">
        <v>7500</v>
      </c>
      <c r="L877" s="93">
        <v>32</v>
      </c>
      <c r="M877" s="17"/>
      <c r="N877" s="93" t="s">
        <v>1151</v>
      </c>
      <c r="O877" s="93">
        <v>2</v>
      </c>
      <c r="P877" s="93">
        <v>7500</v>
      </c>
      <c r="Q877" s="93">
        <v>32</v>
      </c>
      <c r="R877" s="69"/>
    </row>
    <row r="878" spans="2:18">
      <c r="B878" s="68"/>
      <c r="C878" s="93">
        <v>13</v>
      </c>
      <c r="D878" s="93" t="s">
        <v>1908</v>
      </c>
      <c r="E878" s="93">
        <v>65</v>
      </c>
      <c r="F878" s="93">
        <v>345740</v>
      </c>
      <c r="G878" s="93">
        <v>19034</v>
      </c>
      <c r="H878" s="94"/>
      <c r="I878" s="93" t="s">
        <v>1152</v>
      </c>
      <c r="J878" s="93">
        <v>2</v>
      </c>
      <c r="K878" s="93">
        <v>7500</v>
      </c>
      <c r="L878" s="93">
        <v>32</v>
      </c>
      <c r="M878" s="17"/>
      <c r="N878" s="93" t="s">
        <v>1152</v>
      </c>
      <c r="O878" s="93">
        <v>2</v>
      </c>
      <c r="P878" s="93">
        <v>7500</v>
      </c>
      <c r="Q878" s="93">
        <v>32</v>
      </c>
      <c r="R878" s="69"/>
    </row>
    <row r="879" spans="2:18">
      <c r="B879" s="68"/>
      <c r="C879" s="93">
        <v>13</v>
      </c>
      <c r="D879" s="93" t="s">
        <v>1908</v>
      </c>
      <c r="E879" s="93">
        <v>63</v>
      </c>
      <c r="F879" s="93">
        <v>341740</v>
      </c>
      <c r="G879" s="93">
        <v>19034</v>
      </c>
      <c r="H879" s="94"/>
      <c r="I879" s="93" t="s">
        <v>1153</v>
      </c>
      <c r="J879" s="93">
        <v>2</v>
      </c>
      <c r="K879" s="93">
        <v>4000</v>
      </c>
      <c r="L879" s="93">
        <v>0</v>
      </c>
      <c r="M879" s="17"/>
      <c r="N879" s="93" t="s">
        <v>1153</v>
      </c>
      <c r="O879" s="93">
        <v>2</v>
      </c>
      <c r="P879" s="93">
        <v>4000</v>
      </c>
      <c r="Q879" s="93">
        <v>0</v>
      </c>
      <c r="R879" s="69"/>
    </row>
    <row r="880" spans="2:18">
      <c r="B880" s="68"/>
      <c r="C880" s="93">
        <v>13</v>
      </c>
      <c r="D880" s="93" t="s">
        <v>1908</v>
      </c>
      <c r="E880" s="93">
        <v>61</v>
      </c>
      <c r="F880" s="93">
        <v>334240</v>
      </c>
      <c r="G880" s="93">
        <v>19002</v>
      </c>
      <c r="H880" s="94"/>
      <c r="I880" s="93" t="s">
        <v>1154</v>
      </c>
      <c r="J880" s="93">
        <v>2</v>
      </c>
      <c r="K880" s="93">
        <v>7500</v>
      </c>
      <c r="L880" s="93">
        <v>32</v>
      </c>
      <c r="M880" s="17"/>
      <c r="N880" s="93" t="s">
        <v>1154</v>
      </c>
      <c r="O880" s="93">
        <v>2</v>
      </c>
      <c r="P880" s="93">
        <v>7500</v>
      </c>
      <c r="Q880" s="93">
        <v>32</v>
      </c>
      <c r="R880" s="69"/>
    </row>
    <row r="881" spans="2:18">
      <c r="B881" s="68"/>
      <c r="C881" s="93">
        <v>13</v>
      </c>
      <c r="D881" s="93" t="s">
        <v>1908</v>
      </c>
      <c r="E881" s="93">
        <v>60</v>
      </c>
      <c r="F881" s="93">
        <v>330490</v>
      </c>
      <c r="G881" s="93">
        <v>18998</v>
      </c>
      <c r="H881" s="94"/>
      <c r="I881" s="93" t="s">
        <v>1155</v>
      </c>
      <c r="J881" s="93">
        <v>1</v>
      </c>
      <c r="K881" s="93">
        <v>3750</v>
      </c>
      <c r="L881" s="93">
        <v>4</v>
      </c>
      <c r="M881" s="17"/>
      <c r="N881" s="93" t="s">
        <v>1155</v>
      </c>
      <c r="O881" s="93">
        <v>1</v>
      </c>
      <c r="P881" s="93">
        <v>3750</v>
      </c>
      <c r="Q881" s="93">
        <v>4</v>
      </c>
      <c r="R881" s="69"/>
    </row>
    <row r="882" spans="2:18">
      <c r="B882" s="68"/>
      <c r="C882" s="93">
        <v>13</v>
      </c>
      <c r="D882" s="93" t="s">
        <v>1908</v>
      </c>
      <c r="E882" s="93">
        <v>59</v>
      </c>
      <c r="F882" s="93">
        <v>326740</v>
      </c>
      <c r="G882" s="93">
        <v>18994</v>
      </c>
      <c r="H882" s="94"/>
      <c r="I882" s="93" t="s">
        <v>1156</v>
      </c>
      <c r="J882" s="93">
        <v>1</v>
      </c>
      <c r="K882" s="93">
        <v>3750</v>
      </c>
      <c r="L882" s="93">
        <v>4</v>
      </c>
      <c r="M882" s="17"/>
      <c r="N882" s="93" t="s">
        <v>1156</v>
      </c>
      <c r="O882" s="93">
        <v>1</v>
      </c>
      <c r="P882" s="93">
        <v>3750</v>
      </c>
      <c r="Q882" s="93">
        <v>4</v>
      </c>
      <c r="R882" s="69"/>
    </row>
    <row r="883" spans="2:18">
      <c r="B883" s="68"/>
      <c r="C883" s="93">
        <v>13</v>
      </c>
      <c r="D883" s="93" t="s">
        <v>1908</v>
      </c>
      <c r="E883" s="93">
        <v>58</v>
      </c>
      <c r="F883" s="93">
        <v>322990</v>
      </c>
      <c r="G883" s="93">
        <v>18990</v>
      </c>
      <c r="H883" s="94"/>
      <c r="I883" s="93" t="s">
        <v>1157</v>
      </c>
      <c r="J883" s="93">
        <v>1</v>
      </c>
      <c r="K883" s="93">
        <v>3750</v>
      </c>
      <c r="L883" s="93">
        <v>4</v>
      </c>
      <c r="M883" s="17"/>
      <c r="N883" s="93" t="s">
        <v>1157</v>
      </c>
      <c r="O883" s="93">
        <v>1</v>
      </c>
      <c r="P883" s="93">
        <v>3750</v>
      </c>
      <c r="Q883" s="93">
        <v>4</v>
      </c>
      <c r="R883" s="69"/>
    </row>
    <row r="884" spans="2:18">
      <c r="B884" s="68"/>
      <c r="C884" s="93">
        <v>13</v>
      </c>
      <c r="D884" s="93" t="s">
        <v>1908</v>
      </c>
      <c r="E884" s="93">
        <v>57</v>
      </c>
      <c r="F884" s="93">
        <v>319240</v>
      </c>
      <c r="G884" s="93">
        <v>18986</v>
      </c>
      <c r="H884" s="94"/>
      <c r="I884" s="93" t="s">
        <v>1158</v>
      </c>
      <c r="J884" s="93">
        <v>1</v>
      </c>
      <c r="K884" s="93">
        <v>3750</v>
      </c>
      <c r="L884" s="93">
        <v>4</v>
      </c>
      <c r="M884" s="17"/>
      <c r="N884" s="93" t="s">
        <v>1158</v>
      </c>
      <c r="O884" s="93">
        <v>1</v>
      </c>
      <c r="P884" s="93">
        <v>3750</v>
      </c>
      <c r="Q884" s="93">
        <v>4</v>
      </c>
      <c r="R884" s="69"/>
    </row>
    <row r="885" spans="2:18">
      <c r="B885" s="68"/>
      <c r="C885" s="93">
        <v>13</v>
      </c>
      <c r="D885" s="93" t="s">
        <v>1908</v>
      </c>
      <c r="E885" s="93">
        <v>56</v>
      </c>
      <c r="F885" s="93">
        <v>317240</v>
      </c>
      <c r="G885" s="93">
        <v>18986</v>
      </c>
      <c r="H885" s="94"/>
      <c r="I885" s="93" t="s">
        <v>1159</v>
      </c>
      <c r="J885" s="93">
        <v>1</v>
      </c>
      <c r="K885" s="93">
        <v>2000</v>
      </c>
      <c r="L885" s="93">
        <v>0</v>
      </c>
      <c r="M885" s="17"/>
      <c r="N885" s="93" t="s">
        <v>1159</v>
      </c>
      <c r="O885" s="93">
        <v>1</v>
      </c>
      <c r="P885" s="93">
        <v>2000</v>
      </c>
      <c r="Q885" s="93">
        <v>0</v>
      </c>
      <c r="R885" s="69"/>
    </row>
    <row r="886" spans="2:18">
      <c r="B886" s="68"/>
      <c r="C886" s="93">
        <v>13</v>
      </c>
      <c r="D886" s="93" t="s">
        <v>1908</v>
      </c>
      <c r="E886" s="93">
        <v>54</v>
      </c>
      <c r="F886" s="93">
        <v>313240</v>
      </c>
      <c r="G886" s="93">
        <v>18986</v>
      </c>
      <c r="H886" s="94"/>
      <c r="I886" s="93" t="s">
        <v>1160</v>
      </c>
      <c r="J886" s="93">
        <v>2</v>
      </c>
      <c r="K886" s="93">
        <v>4000</v>
      </c>
      <c r="L886" s="93">
        <v>0</v>
      </c>
      <c r="M886" s="17"/>
      <c r="N886" s="93" t="s">
        <v>1160</v>
      </c>
      <c r="O886" s="93">
        <v>2</v>
      </c>
      <c r="P886" s="93">
        <v>4000</v>
      </c>
      <c r="Q886" s="93">
        <v>0</v>
      </c>
      <c r="R886" s="69"/>
    </row>
    <row r="887" spans="2:18">
      <c r="B887" s="68"/>
      <c r="C887" s="93">
        <v>13</v>
      </c>
      <c r="D887" s="93" t="s">
        <v>1908</v>
      </c>
      <c r="E887" s="93">
        <v>52</v>
      </c>
      <c r="F887" s="93">
        <v>309240</v>
      </c>
      <c r="G887" s="93">
        <v>18986</v>
      </c>
      <c r="H887" s="94"/>
      <c r="I887" s="93" t="s">
        <v>1161</v>
      </c>
      <c r="J887" s="93">
        <v>2</v>
      </c>
      <c r="K887" s="93">
        <v>4000</v>
      </c>
      <c r="L887" s="93">
        <v>0</v>
      </c>
      <c r="M887" s="17"/>
      <c r="N887" s="93" t="s">
        <v>1161</v>
      </c>
      <c r="O887" s="93">
        <v>2</v>
      </c>
      <c r="P887" s="93">
        <v>4000</v>
      </c>
      <c r="Q887" s="93">
        <v>0</v>
      </c>
      <c r="R887" s="69"/>
    </row>
    <row r="888" spans="2:18">
      <c r="B888" s="68"/>
      <c r="C888" s="93">
        <v>13</v>
      </c>
      <c r="D888" s="93" t="s">
        <v>1908</v>
      </c>
      <c r="E888" s="93">
        <v>51</v>
      </c>
      <c r="F888" s="93">
        <v>307240</v>
      </c>
      <c r="G888" s="93">
        <v>18986</v>
      </c>
      <c r="H888" s="94"/>
      <c r="I888" s="93" t="s">
        <v>1162</v>
      </c>
      <c r="J888" s="93">
        <v>1</v>
      </c>
      <c r="K888" s="93">
        <v>2000</v>
      </c>
      <c r="L888" s="93">
        <v>0</v>
      </c>
      <c r="M888" s="17"/>
      <c r="N888" s="93" t="s">
        <v>1162</v>
      </c>
      <c r="O888" s="93">
        <v>1</v>
      </c>
      <c r="P888" s="93">
        <v>2000</v>
      </c>
      <c r="Q888" s="93">
        <v>0</v>
      </c>
      <c r="R888" s="69"/>
    </row>
    <row r="889" spans="2:18">
      <c r="B889" s="68"/>
      <c r="C889" s="93">
        <v>13</v>
      </c>
      <c r="D889" s="93" t="s">
        <v>1908</v>
      </c>
      <c r="E889" s="93">
        <v>50</v>
      </c>
      <c r="F889" s="93">
        <v>305240</v>
      </c>
      <c r="G889" s="93">
        <v>18986</v>
      </c>
      <c r="H889" s="94"/>
      <c r="I889" s="93" t="s">
        <v>1163</v>
      </c>
      <c r="J889" s="93">
        <v>1</v>
      </c>
      <c r="K889" s="93">
        <v>2000</v>
      </c>
      <c r="L889" s="93">
        <v>0</v>
      </c>
      <c r="M889" s="17"/>
      <c r="N889" s="93" t="s">
        <v>1163</v>
      </c>
      <c r="O889" s="93">
        <v>1</v>
      </c>
      <c r="P889" s="93">
        <v>2000</v>
      </c>
      <c r="Q889" s="93">
        <v>0</v>
      </c>
      <c r="R889" s="69"/>
    </row>
    <row r="890" spans="2:18">
      <c r="B890" s="68"/>
      <c r="C890" s="93">
        <v>13</v>
      </c>
      <c r="D890" s="93" t="s">
        <v>1908</v>
      </c>
      <c r="E890" s="93">
        <v>49</v>
      </c>
      <c r="F890" s="93">
        <v>303240</v>
      </c>
      <c r="G890" s="93">
        <v>18986</v>
      </c>
      <c r="H890" s="94"/>
      <c r="I890" s="93" t="s">
        <v>1164</v>
      </c>
      <c r="J890" s="93">
        <v>1</v>
      </c>
      <c r="K890" s="93">
        <v>2000</v>
      </c>
      <c r="L890" s="93">
        <v>0</v>
      </c>
      <c r="M890" s="17"/>
      <c r="N890" s="93" t="s">
        <v>1164</v>
      </c>
      <c r="O890" s="93">
        <v>1</v>
      </c>
      <c r="P890" s="93">
        <v>2000</v>
      </c>
      <c r="Q890" s="93">
        <v>0</v>
      </c>
      <c r="R890" s="69"/>
    </row>
    <row r="891" spans="2:18">
      <c r="B891" s="68"/>
      <c r="C891" s="93">
        <v>13</v>
      </c>
      <c r="D891" s="93" t="s">
        <v>1908</v>
      </c>
      <c r="E891" s="93">
        <v>48</v>
      </c>
      <c r="F891" s="93">
        <v>301240</v>
      </c>
      <c r="G891" s="93">
        <v>18986</v>
      </c>
      <c r="H891" s="94"/>
      <c r="I891" s="93" t="s">
        <v>1165</v>
      </c>
      <c r="J891" s="93">
        <v>1</v>
      </c>
      <c r="K891" s="93">
        <v>2000</v>
      </c>
      <c r="L891" s="93">
        <v>0</v>
      </c>
      <c r="M891" s="17"/>
      <c r="N891" s="93" t="s">
        <v>1165</v>
      </c>
      <c r="O891" s="93">
        <v>1</v>
      </c>
      <c r="P891" s="93">
        <v>2000</v>
      </c>
      <c r="Q891" s="93">
        <v>0</v>
      </c>
      <c r="R891" s="69"/>
    </row>
    <row r="892" spans="2:18">
      <c r="B892" s="68"/>
      <c r="C892" s="93">
        <v>13</v>
      </c>
      <c r="D892" s="93" t="s">
        <v>1908</v>
      </c>
      <c r="E892" s="93">
        <v>47</v>
      </c>
      <c r="F892" s="93">
        <v>299240</v>
      </c>
      <c r="G892" s="93">
        <v>18986</v>
      </c>
      <c r="H892" s="94"/>
      <c r="I892" s="93" t="s">
        <v>1166</v>
      </c>
      <c r="J892" s="93">
        <v>1</v>
      </c>
      <c r="K892" s="93">
        <v>2000</v>
      </c>
      <c r="L892" s="93">
        <v>0</v>
      </c>
      <c r="M892" s="17"/>
      <c r="N892" s="93" t="s">
        <v>1166</v>
      </c>
      <c r="O892" s="93">
        <v>1</v>
      </c>
      <c r="P892" s="93">
        <v>2000</v>
      </c>
      <c r="Q892" s="93">
        <v>0</v>
      </c>
      <c r="R892" s="69"/>
    </row>
    <row r="893" spans="2:18">
      <c r="B893" s="68"/>
      <c r="C893" s="93">
        <v>13</v>
      </c>
      <c r="D893" s="93" t="s">
        <v>1908</v>
      </c>
      <c r="E893" s="93">
        <v>45</v>
      </c>
      <c r="F893" s="93">
        <v>295490</v>
      </c>
      <c r="G893" s="93">
        <v>18954</v>
      </c>
      <c r="H893" s="94"/>
      <c r="I893" s="93" t="s">
        <v>1167</v>
      </c>
      <c r="J893" s="93">
        <v>2</v>
      </c>
      <c r="K893" s="93">
        <v>3750</v>
      </c>
      <c r="L893" s="93">
        <v>32</v>
      </c>
      <c r="M893" s="17"/>
      <c r="N893" s="93" t="s">
        <v>1167</v>
      </c>
      <c r="O893" s="93">
        <v>2</v>
      </c>
      <c r="P893" s="93">
        <v>3750</v>
      </c>
      <c r="Q893" s="93">
        <v>32</v>
      </c>
      <c r="R893" s="69"/>
    </row>
    <row r="894" spans="2:18">
      <c r="B894" s="68"/>
      <c r="C894" s="93">
        <v>13</v>
      </c>
      <c r="D894" s="93" t="s">
        <v>1908</v>
      </c>
      <c r="E894" s="93">
        <v>43</v>
      </c>
      <c r="F894" s="93">
        <v>291740</v>
      </c>
      <c r="G894" s="93">
        <v>18922</v>
      </c>
      <c r="H894" s="94"/>
      <c r="I894" s="93" t="s">
        <v>1168</v>
      </c>
      <c r="J894" s="93">
        <v>2</v>
      </c>
      <c r="K894" s="93">
        <v>3750</v>
      </c>
      <c r="L894" s="93">
        <v>32</v>
      </c>
      <c r="M894" s="17"/>
      <c r="N894" s="93" t="s">
        <v>1168</v>
      </c>
      <c r="O894" s="93">
        <v>2</v>
      </c>
      <c r="P894" s="93">
        <v>3750</v>
      </c>
      <c r="Q894" s="93">
        <v>32</v>
      </c>
      <c r="R894" s="69"/>
    </row>
    <row r="895" spans="2:18">
      <c r="B895" s="68"/>
      <c r="C895" s="93">
        <v>13</v>
      </c>
      <c r="D895" s="93" t="s">
        <v>1908</v>
      </c>
      <c r="E895" s="93">
        <v>42</v>
      </c>
      <c r="F895" s="93">
        <v>289740</v>
      </c>
      <c r="G895" s="93">
        <v>18922</v>
      </c>
      <c r="H895" s="94"/>
      <c r="I895" s="93" t="s">
        <v>1169</v>
      </c>
      <c r="J895" s="93">
        <v>1</v>
      </c>
      <c r="K895" s="93">
        <v>2000</v>
      </c>
      <c r="L895" s="93">
        <v>0</v>
      </c>
      <c r="M895" s="17"/>
      <c r="N895" s="93" t="s">
        <v>1169</v>
      </c>
      <c r="O895" s="93">
        <v>1</v>
      </c>
      <c r="P895" s="93">
        <v>2000</v>
      </c>
      <c r="Q895" s="93">
        <v>0</v>
      </c>
      <c r="R895" s="69"/>
    </row>
    <row r="896" spans="2:18">
      <c r="B896" s="68"/>
      <c r="C896" s="93">
        <v>13</v>
      </c>
      <c r="D896" s="93" t="s">
        <v>1908</v>
      </c>
      <c r="E896" s="93">
        <v>41</v>
      </c>
      <c r="F896" s="93">
        <v>287740</v>
      </c>
      <c r="G896" s="93">
        <v>18922</v>
      </c>
      <c r="H896" s="94"/>
      <c r="I896" s="93" t="s">
        <v>1170</v>
      </c>
      <c r="J896" s="93">
        <v>1</v>
      </c>
      <c r="K896" s="93">
        <v>2000</v>
      </c>
      <c r="L896" s="93">
        <v>0</v>
      </c>
      <c r="M896" s="17"/>
      <c r="N896" s="93" t="s">
        <v>1170</v>
      </c>
      <c r="O896" s="93">
        <v>1</v>
      </c>
      <c r="P896" s="93">
        <v>2000</v>
      </c>
      <c r="Q896" s="93">
        <v>0</v>
      </c>
      <c r="R896" s="69"/>
    </row>
    <row r="897" spans="2:18">
      <c r="B897" s="68"/>
      <c r="C897" s="93">
        <v>13</v>
      </c>
      <c r="D897" s="93" t="s">
        <v>1908</v>
      </c>
      <c r="E897" s="93">
        <v>40</v>
      </c>
      <c r="F897" s="93">
        <v>285740</v>
      </c>
      <c r="G897" s="93">
        <v>18922</v>
      </c>
      <c r="H897" s="94"/>
      <c r="I897" s="93" t="s">
        <v>1171</v>
      </c>
      <c r="J897" s="93">
        <v>1</v>
      </c>
      <c r="K897" s="93">
        <v>2000</v>
      </c>
      <c r="L897" s="93">
        <v>0</v>
      </c>
      <c r="M897" s="17"/>
      <c r="N897" s="93" t="s">
        <v>1171</v>
      </c>
      <c r="O897" s="93">
        <v>1</v>
      </c>
      <c r="P897" s="93">
        <v>2000</v>
      </c>
      <c r="Q897" s="93">
        <v>0</v>
      </c>
      <c r="R897" s="69"/>
    </row>
    <row r="898" spans="2:18">
      <c r="B898" s="68"/>
      <c r="C898" s="93">
        <v>13</v>
      </c>
      <c r="D898" s="93" t="s">
        <v>1908</v>
      </c>
      <c r="E898" s="93">
        <v>39</v>
      </c>
      <c r="F898" s="93">
        <v>284040</v>
      </c>
      <c r="G898" s="93">
        <v>18762</v>
      </c>
      <c r="H898" s="94"/>
      <c r="I898" s="93" t="s">
        <v>1172</v>
      </c>
      <c r="J898" s="93">
        <v>1</v>
      </c>
      <c r="K898" s="93">
        <v>1700</v>
      </c>
      <c r="L898" s="93">
        <v>160</v>
      </c>
      <c r="M898" s="17"/>
      <c r="N898" s="93" t="s">
        <v>1172</v>
      </c>
      <c r="O898" s="93">
        <v>1</v>
      </c>
      <c r="P898" s="93">
        <v>1700</v>
      </c>
      <c r="Q898" s="93">
        <v>160</v>
      </c>
      <c r="R898" s="69"/>
    </row>
    <row r="899" spans="2:18">
      <c r="B899" s="68"/>
      <c r="C899" s="93">
        <v>13</v>
      </c>
      <c r="D899" s="93" t="s">
        <v>1908</v>
      </c>
      <c r="E899" s="93">
        <v>38</v>
      </c>
      <c r="F899" s="93">
        <v>282340</v>
      </c>
      <c r="G899" s="93">
        <v>18602</v>
      </c>
      <c r="H899" s="94"/>
      <c r="I899" s="93" t="s">
        <v>1173</v>
      </c>
      <c r="J899" s="93">
        <v>1</v>
      </c>
      <c r="K899" s="93">
        <v>1700</v>
      </c>
      <c r="L899" s="93">
        <v>160</v>
      </c>
      <c r="M899" s="17"/>
      <c r="N899" s="93" t="s">
        <v>1173</v>
      </c>
      <c r="O899" s="93">
        <v>1</v>
      </c>
      <c r="P899" s="93">
        <v>1700</v>
      </c>
      <c r="Q899" s="93">
        <v>160</v>
      </c>
      <c r="R899" s="69"/>
    </row>
    <row r="900" spans="2:18">
      <c r="B900" s="68"/>
      <c r="C900" s="93">
        <v>13</v>
      </c>
      <c r="D900" s="93" t="s">
        <v>1908</v>
      </c>
      <c r="E900" s="93">
        <v>37</v>
      </c>
      <c r="F900" s="93">
        <v>280640</v>
      </c>
      <c r="G900" s="93">
        <v>18442</v>
      </c>
      <c r="H900" s="94"/>
      <c r="I900" s="93" t="s">
        <v>1174</v>
      </c>
      <c r="J900" s="93">
        <v>1</v>
      </c>
      <c r="K900" s="93">
        <v>1700</v>
      </c>
      <c r="L900" s="93">
        <v>160</v>
      </c>
      <c r="M900" s="17"/>
      <c r="N900" s="93" t="s">
        <v>1174</v>
      </c>
      <c r="O900" s="93">
        <v>1</v>
      </c>
      <c r="P900" s="93">
        <v>1700</v>
      </c>
      <c r="Q900" s="93">
        <v>160</v>
      </c>
      <c r="R900" s="69"/>
    </row>
    <row r="901" spans="2:18">
      <c r="B901" s="68"/>
      <c r="C901" s="93">
        <v>13</v>
      </c>
      <c r="D901" s="93" t="s">
        <v>1908</v>
      </c>
      <c r="E901" s="93">
        <v>29</v>
      </c>
      <c r="F901" s="93">
        <v>250640</v>
      </c>
      <c r="G901" s="93">
        <v>18282</v>
      </c>
      <c r="H901" s="94"/>
      <c r="I901" s="93" t="s">
        <v>1175</v>
      </c>
      <c r="J901" s="93">
        <v>8</v>
      </c>
      <c r="K901" s="93">
        <v>30000</v>
      </c>
      <c r="L901" s="93">
        <v>160</v>
      </c>
      <c r="M901" s="17"/>
      <c r="N901" s="93" t="s">
        <v>1175</v>
      </c>
      <c r="O901" s="93">
        <v>8</v>
      </c>
      <c r="P901" s="93">
        <v>30000</v>
      </c>
      <c r="Q901" s="93">
        <v>160</v>
      </c>
      <c r="R901" s="69"/>
    </row>
    <row r="902" spans="2:18">
      <c r="B902" s="68"/>
      <c r="C902" s="93">
        <v>13</v>
      </c>
      <c r="D902" s="93" t="s">
        <v>1908</v>
      </c>
      <c r="E902" s="93">
        <v>28</v>
      </c>
      <c r="F902" s="93">
        <v>248640</v>
      </c>
      <c r="G902" s="93">
        <v>18282</v>
      </c>
      <c r="H902" s="94"/>
      <c r="I902" s="93" t="s">
        <v>1176</v>
      </c>
      <c r="J902" s="93">
        <v>1</v>
      </c>
      <c r="K902" s="93">
        <v>2000</v>
      </c>
      <c r="L902" s="93">
        <v>0</v>
      </c>
      <c r="M902" s="17"/>
      <c r="N902" s="93" t="s">
        <v>1176</v>
      </c>
      <c r="O902" s="93">
        <v>1</v>
      </c>
      <c r="P902" s="93">
        <v>2000</v>
      </c>
      <c r="Q902" s="93">
        <v>0</v>
      </c>
      <c r="R902" s="69"/>
    </row>
    <row r="903" spans="2:18">
      <c r="B903" s="68"/>
      <c r="C903" s="93">
        <v>13</v>
      </c>
      <c r="D903" s="93" t="s">
        <v>1908</v>
      </c>
      <c r="E903" s="93">
        <v>27</v>
      </c>
      <c r="F903" s="93">
        <v>246640</v>
      </c>
      <c r="G903" s="93">
        <v>18282</v>
      </c>
      <c r="H903" s="94"/>
      <c r="I903" s="93" t="s">
        <v>1177</v>
      </c>
      <c r="J903" s="93">
        <v>1</v>
      </c>
      <c r="K903" s="93">
        <v>2000</v>
      </c>
      <c r="L903" s="93">
        <v>0</v>
      </c>
      <c r="M903" s="17"/>
      <c r="N903" s="93" t="s">
        <v>1177</v>
      </c>
      <c r="O903" s="93">
        <v>1</v>
      </c>
      <c r="P903" s="93">
        <v>2000</v>
      </c>
      <c r="Q903" s="93">
        <v>0</v>
      </c>
      <c r="R903" s="69"/>
    </row>
    <row r="904" spans="2:18">
      <c r="B904" s="68"/>
      <c r="C904" s="93">
        <v>13</v>
      </c>
      <c r="D904" s="93" t="s">
        <v>1908</v>
      </c>
      <c r="E904" s="93">
        <v>26</v>
      </c>
      <c r="F904" s="93">
        <v>244640</v>
      </c>
      <c r="G904" s="93">
        <v>18282</v>
      </c>
      <c r="H904" s="94"/>
      <c r="I904" s="93" t="s">
        <v>1178</v>
      </c>
      <c r="J904" s="93">
        <v>1</v>
      </c>
      <c r="K904" s="93">
        <v>2000</v>
      </c>
      <c r="L904" s="93">
        <v>0</v>
      </c>
      <c r="M904" s="17"/>
      <c r="N904" s="93" t="s">
        <v>1178</v>
      </c>
      <c r="O904" s="93">
        <v>1</v>
      </c>
      <c r="P904" s="93">
        <v>2000</v>
      </c>
      <c r="Q904" s="93">
        <v>0</v>
      </c>
      <c r="R904" s="69"/>
    </row>
    <row r="905" spans="2:18">
      <c r="B905" s="68"/>
      <c r="C905" s="93">
        <v>13</v>
      </c>
      <c r="D905" s="93" t="s">
        <v>1908</v>
      </c>
      <c r="E905" s="93">
        <v>10</v>
      </c>
      <c r="F905" s="93">
        <v>214640</v>
      </c>
      <c r="G905" s="93">
        <v>17962</v>
      </c>
      <c r="H905" s="94"/>
      <c r="I905" s="93" t="s">
        <v>1179</v>
      </c>
      <c r="J905" s="93">
        <v>16</v>
      </c>
      <c r="K905" s="93">
        <v>30000</v>
      </c>
      <c r="L905" s="93">
        <v>320</v>
      </c>
      <c r="M905" s="17"/>
      <c r="N905" s="93" t="s">
        <v>1179</v>
      </c>
      <c r="O905" s="93">
        <v>16</v>
      </c>
      <c r="P905" s="93">
        <v>30000</v>
      </c>
      <c r="Q905" s="93">
        <v>320</v>
      </c>
      <c r="R905" s="69"/>
    </row>
    <row r="906" spans="2:18">
      <c r="B906" s="68"/>
      <c r="C906" s="93">
        <v>13</v>
      </c>
      <c r="D906" s="93" t="s">
        <v>1908</v>
      </c>
      <c r="E906" s="93">
        <v>9</v>
      </c>
      <c r="F906" s="93">
        <v>212640</v>
      </c>
      <c r="G906" s="93">
        <v>17962</v>
      </c>
      <c r="H906" s="94"/>
      <c r="I906" s="93" t="s">
        <v>1180</v>
      </c>
      <c r="J906" s="93">
        <v>1</v>
      </c>
      <c r="K906" s="93">
        <v>2000</v>
      </c>
      <c r="L906" s="93">
        <v>0</v>
      </c>
      <c r="M906" s="17"/>
      <c r="N906" s="93" t="s">
        <v>1180</v>
      </c>
      <c r="O906" s="93">
        <v>1</v>
      </c>
      <c r="P906" s="93">
        <v>2000</v>
      </c>
      <c r="Q906" s="93">
        <v>0</v>
      </c>
      <c r="R906" s="69"/>
    </row>
    <row r="907" spans="2:18">
      <c r="B907" s="68"/>
      <c r="C907" s="93">
        <v>13</v>
      </c>
      <c r="D907" s="93" t="s">
        <v>1908</v>
      </c>
      <c r="E907" s="93">
        <v>8</v>
      </c>
      <c r="F907" s="93">
        <v>210640</v>
      </c>
      <c r="G907" s="93">
        <v>17962</v>
      </c>
      <c r="H907" s="94"/>
      <c r="I907" s="93" t="s">
        <v>1181</v>
      </c>
      <c r="J907" s="93">
        <v>1</v>
      </c>
      <c r="K907" s="93">
        <v>2000</v>
      </c>
      <c r="L907" s="93">
        <v>0</v>
      </c>
      <c r="M907" s="17"/>
      <c r="N907" s="93" t="s">
        <v>1181</v>
      </c>
      <c r="O907" s="93">
        <v>1</v>
      </c>
      <c r="P907" s="93">
        <v>2000</v>
      </c>
      <c r="Q907" s="93">
        <v>0</v>
      </c>
      <c r="R907" s="69"/>
    </row>
    <row r="908" spans="2:18">
      <c r="B908" s="68"/>
      <c r="C908" s="93">
        <v>13</v>
      </c>
      <c r="D908" s="93" t="s">
        <v>1908</v>
      </c>
      <c r="E908" s="93">
        <v>7</v>
      </c>
      <c r="F908" s="93">
        <v>208640</v>
      </c>
      <c r="G908" s="93">
        <v>17962</v>
      </c>
      <c r="H908" s="94"/>
      <c r="I908" s="93" t="s">
        <v>1182</v>
      </c>
      <c r="J908" s="93">
        <v>1</v>
      </c>
      <c r="K908" s="93">
        <v>2000</v>
      </c>
      <c r="L908" s="93">
        <v>0</v>
      </c>
      <c r="M908" s="17"/>
      <c r="N908" s="93" t="s">
        <v>1182</v>
      </c>
      <c r="O908" s="93">
        <v>1</v>
      </c>
      <c r="P908" s="93">
        <v>2000</v>
      </c>
      <c r="Q908" s="93">
        <v>0</v>
      </c>
      <c r="R908" s="69"/>
    </row>
    <row r="909" spans="2:18">
      <c r="B909" s="68"/>
      <c r="C909" s="93">
        <v>13</v>
      </c>
      <c r="D909" s="93" t="s">
        <v>1908</v>
      </c>
      <c r="E909" s="93">
        <v>6</v>
      </c>
      <c r="F909" s="93">
        <v>204890</v>
      </c>
      <c r="G909" s="93">
        <v>17552</v>
      </c>
      <c r="H909" s="94"/>
      <c r="I909" s="93" t="s">
        <v>1183</v>
      </c>
      <c r="J909" s="93">
        <v>1</v>
      </c>
      <c r="K909" s="93">
        <v>3750</v>
      </c>
      <c r="L909" s="93">
        <v>410</v>
      </c>
      <c r="M909" s="17"/>
      <c r="N909" s="93" t="s">
        <v>1183</v>
      </c>
      <c r="O909" s="93">
        <v>1</v>
      </c>
      <c r="P909" s="93">
        <v>3750</v>
      </c>
      <c r="Q909" s="93">
        <v>410</v>
      </c>
      <c r="R909" s="69"/>
    </row>
    <row r="910" spans="2:18">
      <c r="B910" s="68"/>
      <c r="C910" s="93">
        <v>13</v>
      </c>
      <c r="D910" s="93" t="s">
        <v>1908</v>
      </c>
      <c r="E910" s="93">
        <v>5</v>
      </c>
      <c r="F910" s="93">
        <v>202890</v>
      </c>
      <c r="G910" s="93">
        <v>17552</v>
      </c>
      <c r="H910" s="94"/>
      <c r="I910" s="93" t="s">
        <v>1184</v>
      </c>
      <c r="J910" s="93">
        <v>1</v>
      </c>
      <c r="K910" s="93">
        <v>2000</v>
      </c>
      <c r="L910" s="93">
        <v>0</v>
      </c>
      <c r="M910" s="17"/>
      <c r="N910" s="93" t="s">
        <v>1184</v>
      </c>
      <c r="O910" s="93">
        <v>1</v>
      </c>
      <c r="P910" s="93">
        <v>2000</v>
      </c>
      <c r="Q910" s="93">
        <v>0</v>
      </c>
      <c r="R910" s="69"/>
    </row>
    <row r="911" spans="2:18">
      <c r="B911" s="68"/>
      <c r="C911" s="93">
        <v>13</v>
      </c>
      <c r="D911" s="93" t="s">
        <v>1908</v>
      </c>
      <c r="E911" s="93">
        <v>4</v>
      </c>
      <c r="F911" s="93">
        <v>200890</v>
      </c>
      <c r="G911" s="93">
        <v>17552</v>
      </c>
      <c r="H911" s="94"/>
      <c r="I911" s="93" t="s">
        <v>1185</v>
      </c>
      <c r="J911" s="93">
        <v>1</v>
      </c>
      <c r="K911" s="93">
        <v>2000</v>
      </c>
      <c r="L911" s="93">
        <v>0</v>
      </c>
      <c r="M911" s="17"/>
      <c r="N911" s="93" t="s">
        <v>1185</v>
      </c>
      <c r="O911" s="93">
        <v>1</v>
      </c>
      <c r="P911" s="93">
        <v>2000</v>
      </c>
      <c r="Q911" s="93">
        <v>0</v>
      </c>
      <c r="R911" s="69"/>
    </row>
    <row r="912" spans="2:18">
      <c r="B912" s="68"/>
      <c r="C912" s="93">
        <v>13</v>
      </c>
      <c r="D912" s="93" t="s">
        <v>1908</v>
      </c>
      <c r="E912" s="93">
        <v>3</v>
      </c>
      <c r="F912" s="93">
        <v>199190</v>
      </c>
      <c r="G912" s="93">
        <v>17392</v>
      </c>
      <c r="H912" s="94"/>
      <c r="I912" s="93" t="s">
        <v>1186</v>
      </c>
      <c r="J912" s="93">
        <v>1</v>
      </c>
      <c r="K912" s="93">
        <v>1700</v>
      </c>
      <c r="L912" s="93">
        <v>160</v>
      </c>
      <c r="M912" s="17"/>
      <c r="N912" s="93" t="s">
        <v>1186</v>
      </c>
      <c r="O912" s="93">
        <v>1</v>
      </c>
      <c r="P912" s="93">
        <v>1700</v>
      </c>
      <c r="Q912" s="93">
        <v>160</v>
      </c>
      <c r="R912" s="69"/>
    </row>
    <row r="913" spans="2:18">
      <c r="B913" s="68"/>
      <c r="C913" s="93">
        <v>13</v>
      </c>
      <c r="D913" s="93" t="s">
        <v>1908</v>
      </c>
      <c r="E913" s="93">
        <v>2</v>
      </c>
      <c r="F913" s="93">
        <v>197490</v>
      </c>
      <c r="G913" s="93">
        <v>17232</v>
      </c>
      <c r="H913" s="94"/>
      <c r="I913" s="93" t="s">
        <v>1187</v>
      </c>
      <c r="J913" s="93">
        <v>1</v>
      </c>
      <c r="K913" s="93">
        <v>1700</v>
      </c>
      <c r="L913" s="93">
        <v>160</v>
      </c>
      <c r="M913" s="17"/>
      <c r="N913" s="93" t="s">
        <v>1187</v>
      </c>
      <c r="O913" s="93">
        <v>1</v>
      </c>
      <c r="P913" s="93">
        <v>1700</v>
      </c>
      <c r="Q913" s="93">
        <v>160</v>
      </c>
      <c r="R913" s="69"/>
    </row>
    <row r="914" spans="2:18">
      <c r="B914" s="68"/>
      <c r="C914" s="93">
        <v>13</v>
      </c>
      <c r="D914" s="93" t="s">
        <v>1908</v>
      </c>
      <c r="E914" s="93">
        <v>1</v>
      </c>
      <c r="F914" s="93">
        <v>195790</v>
      </c>
      <c r="G914" s="93">
        <v>17072</v>
      </c>
      <c r="H914" s="94"/>
      <c r="I914" s="93" t="s">
        <v>1188</v>
      </c>
      <c r="J914" s="93">
        <v>1</v>
      </c>
      <c r="K914" s="93">
        <v>1700</v>
      </c>
      <c r="L914" s="93">
        <v>160</v>
      </c>
      <c r="M914" s="17"/>
      <c r="N914" s="93" t="s">
        <v>1188</v>
      </c>
      <c r="O914" s="93">
        <v>1</v>
      </c>
      <c r="P914" s="93">
        <v>1700</v>
      </c>
      <c r="Q914" s="93">
        <v>160</v>
      </c>
      <c r="R914" s="69"/>
    </row>
    <row r="915" spans="2:18">
      <c r="B915" s="68"/>
      <c r="C915" s="93">
        <v>14</v>
      </c>
      <c r="D915" s="93" t="s">
        <v>1909</v>
      </c>
      <c r="E915" s="93">
        <v>139</v>
      </c>
      <c r="F915" s="93">
        <v>520240</v>
      </c>
      <c r="G915" s="93">
        <v>19630</v>
      </c>
      <c r="H915" s="94"/>
      <c r="I915" s="93" t="s">
        <v>1189</v>
      </c>
      <c r="J915" s="93">
        <v>1</v>
      </c>
      <c r="K915" s="93">
        <v>2000</v>
      </c>
      <c r="L915" s="93">
        <v>0</v>
      </c>
      <c r="M915" s="17"/>
      <c r="N915" s="93" t="s">
        <v>1189</v>
      </c>
      <c r="O915" s="93">
        <v>1</v>
      </c>
      <c r="P915" s="93">
        <v>2000</v>
      </c>
      <c r="Q915" s="93">
        <v>0</v>
      </c>
      <c r="R915" s="69"/>
    </row>
    <row r="916" spans="2:18">
      <c r="B916" s="68"/>
      <c r="C916" s="93">
        <v>14</v>
      </c>
      <c r="D916" s="93" t="s">
        <v>1909</v>
      </c>
      <c r="E916" s="93">
        <v>138</v>
      </c>
      <c r="F916" s="93">
        <v>518540</v>
      </c>
      <c r="G916" s="93">
        <v>19470</v>
      </c>
      <c r="H916" s="94"/>
      <c r="I916" s="93" t="s">
        <v>1190</v>
      </c>
      <c r="J916" s="93">
        <v>1</v>
      </c>
      <c r="K916" s="93">
        <v>1700</v>
      </c>
      <c r="L916" s="93">
        <v>160</v>
      </c>
      <c r="M916" s="17"/>
      <c r="N916" s="93" t="s">
        <v>1190</v>
      </c>
      <c r="O916" s="93">
        <v>1</v>
      </c>
      <c r="P916" s="93">
        <v>1700</v>
      </c>
      <c r="Q916" s="93">
        <v>160</v>
      </c>
      <c r="R916" s="69"/>
    </row>
    <row r="917" spans="2:18">
      <c r="B917" s="68"/>
      <c r="C917" s="93">
        <v>14</v>
      </c>
      <c r="D917" s="93" t="s">
        <v>1909</v>
      </c>
      <c r="E917" s="93">
        <v>137</v>
      </c>
      <c r="F917" s="93">
        <v>516540</v>
      </c>
      <c r="G917" s="93">
        <v>19470</v>
      </c>
      <c r="H917" s="94"/>
      <c r="I917" s="93" t="s">
        <v>1191</v>
      </c>
      <c r="J917" s="93">
        <v>1</v>
      </c>
      <c r="K917" s="93">
        <v>2000</v>
      </c>
      <c r="L917" s="93">
        <v>0</v>
      </c>
      <c r="M917" s="17"/>
      <c r="N917" s="93" t="s">
        <v>1191</v>
      </c>
      <c r="O917" s="93">
        <v>1</v>
      </c>
      <c r="P917" s="93">
        <v>2000</v>
      </c>
      <c r="Q917" s="93">
        <v>0</v>
      </c>
      <c r="R917" s="69"/>
    </row>
    <row r="918" spans="2:18">
      <c r="B918" s="68"/>
      <c r="C918" s="93">
        <v>14</v>
      </c>
      <c r="D918" s="93" t="s">
        <v>1909</v>
      </c>
      <c r="E918" s="93">
        <v>136</v>
      </c>
      <c r="F918" s="93">
        <v>514540</v>
      </c>
      <c r="G918" s="93">
        <v>19470</v>
      </c>
      <c r="H918" s="94"/>
      <c r="I918" s="93" t="s">
        <v>1192</v>
      </c>
      <c r="J918" s="93">
        <v>1</v>
      </c>
      <c r="K918" s="93">
        <v>2000</v>
      </c>
      <c r="L918" s="93">
        <v>0</v>
      </c>
      <c r="M918" s="17"/>
      <c r="N918" s="93" t="s">
        <v>1192</v>
      </c>
      <c r="O918" s="93">
        <v>1</v>
      </c>
      <c r="P918" s="93">
        <v>2000</v>
      </c>
      <c r="Q918" s="93">
        <v>0</v>
      </c>
      <c r="R918" s="69"/>
    </row>
    <row r="919" spans="2:18">
      <c r="B919" s="68"/>
      <c r="C919" s="93">
        <v>14</v>
      </c>
      <c r="D919" s="93" t="s">
        <v>1909</v>
      </c>
      <c r="E919" s="93">
        <v>135</v>
      </c>
      <c r="F919" s="93">
        <v>512540</v>
      </c>
      <c r="G919" s="93">
        <v>19470</v>
      </c>
      <c r="H919" s="94"/>
      <c r="I919" s="93" t="s">
        <v>1193</v>
      </c>
      <c r="J919" s="93">
        <v>1</v>
      </c>
      <c r="K919" s="93">
        <v>2000</v>
      </c>
      <c r="L919" s="93">
        <v>0</v>
      </c>
      <c r="M919" s="17"/>
      <c r="N919" s="93" t="s">
        <v>1193</v>
      </c>
      <c r="O919" s="93">
        <v>1</v>
      </c>
      <c r="P919" s="93">
        <v>2000</v>
      </c>
      <c r="Q919" s="93">
        <v>0</v>
      </c>
      <c r="R919" s="69"/>
    </row>
    <row r="920" spans="2:18">
      <c r="B920" s="68"/>
      <c r="C920" s="93">
        <v>14</v>
      </c>
      <c r="D920" s="93" t="s">
        <v>1909</v>
      </c>
      <c r="E920" s="93">
        <v>134</v>
      </c>
      <c r="F920" s="93">
        <v>510540</v>
      </c>
      <c r="G920" s="93">
        <v>19470</v>
      </c>
      <c r="H920" s="94"/>
      <c r="I920" s="93" t="s">
        <v>1194</v>
      </c>
      <c r="J920" s="93">
        <v>1</v>
      </c>
      <c r="K920" s="93">
        <v>2000</v>
      </c>
      <c r="L920" s="93">
        <v>0</v>
      </c>
      <c r="M920" s="17"/>
      <c r="N920" s="93" t="s">
        <v>1194</v>
      </c>
      <c r="O920" s="93">
        <v>1</v>
      </c>
      <c r="P920" s="93">
        <v>2000</v>
      </c>
      <c r="Q920" s="93">
        <v>0</v>
      </c>
      <c r="R920" s="69"/>
    </row>
    <row r="921" spans="2:18">
      <c r="B921" s="68"/>
      <c r="C921" s="93">
        <v>14</v>
      </c>
      <c r="D921" s="93" t="s">
        <v>1909</v>
      </c>
      <c r="E921" s="93">
        <v>133</v>
      </c>
      <c r="F921" s="93">
        <v>508540</v>
      </c>
      <c r="G921" s="93">
        <v>19470</v>
      </c>
      <c r="H921" s="94"/>
      <c r="I921" s="93" t="s">
        <v>1195</v>
      </c>
      <c r="J921" s="93">
        <v>1</v>
      </c>
      <c r="K921" s="93">
        <v>2000</v>
      </c>
      <c r="L921" s="93">
        <v>0</v>
      </c>
      <c r="M921" s="17"/>
      <c r="N921" s="93" t="s">
        <v>1195</v>
      </c>
      <c r="O921" s="93">
        <v>1</v>
      </c>
      <c r="P921" s="93">
        <v>2000</v>
      </c>
      <c r="Q921" s="93">
        <v>0</v>
      </c>
      <c r="R921" s="69"/>
    </row>
    <row r="922" spans="2:18">
      <c r="B922" s="68"/>
      <c r="C922" s="93">
        <v>14</v>
      </c>
      <c r="D922" s="93" t="s">
        <v>1909</v>
      </c>
      <c r="E922" s="93">
        <v>132</v>
      </c>
      <c r="F922" s="93">
        <v>506540</v>
      </c>
      <c r="G922" s="93">
        <v>19470</v>
      </c>
      <c r="H922" s="94"/>
      <c r="I922" s="93" t="s">
        <v>1196</v>
      </c>
      <c r="J922" s="93">
        <v>1</v>
      </c>
      <c r="K922" s="93">
        <v>2000</v>
      </c>
      <c r="L922" s="93">
        <v>0</v>
      </c>
      <c r="M922" s="17"/>
      <c r="N922" s="93" t="s">
        <v>1196</v>
      </c>
      <c r="O922" s="93">
        <v>1</v>
      </c>
      <c r="P922" s="93">
        <v>2000</v>
      </c>
      <c r="Q922" s="93">
        <v>0</v>
      </c>
      <c r="R922" s="69"/>
    </row>
    <row r="923" spans="2:18">
      <c r="B923" s="68"/>
      <c r="C923" s="93">
        <v>14</v>
      </c>
      <c r="D923" s="93" t="s">
        <v>1909</v>
      </c>
      <c r="E923" s="93">
        <v>131</v>
      </c>
      <c r="F923" s="93">
        <v>504540</v>
      </c>
      <c r="G923" s="93">
        <v>19470</v>
      </c>
      <c r="H923" s="94"/>
      <c r="I923" s="93" t="s">
        <v>1197</v>
      </c>
      <c r="J923" s="93">
        <v>1</v>
      </c>
      <c r="K923" s="93">
        <v>2000</v>
      </c>
      <c r="L923" s="93">
        <v>0</v>
      </c>
      <c r="M923" s="17"/>
      <c r="N923" s="93" t="s">
        <v>1197</v>
      </c>
      <c r="O923" s="93">
        <v>1</v>
      </c>
      <c r="P923" s="93">
        <v>2000</v>
      </c>
      <c r="Q923" s="93">
        <v>0</v>
      </c>
      <c r="R923" s="69"/>
    </row>
    <row r="924" spans="2:18">
      <c r="B924" s="68"/>
      <c r="C924" s="93">
        <v>14</v>
      </c>
      <c r="D924" s="93" t="s">
        <v>1909</v>
      </c>
      <c r="E924" s="93">
        <v>130</v>
      </c>
      <c r="F924" s="93">
        <v>502540</v>
      </c>
      <c r="G924" s="93">
        <v>19470</v>
      </c>
      <c r="H924" s="94"/>
      <c r="I924" s="93" t="s">
        <v>1198</v>
      </c>
      <c r="J924" s="93">
        <v>1</v>
      </c>
      <c r="K924" s="93">
        <v>2000</v>
      </c>
      <c r="L924" s="93">
        <v>0</v>
      </c>
      <c r="M924" s="17"/>
      <c r="N924" s="93" t="s">
        <v>1198</v>
      </c>
      <c r="O924" s="93">
        <v>1</v>
      </c>
      <c r="P924" s="93">
        <v>2000</v>
      </c>
      <c r="Q924" s="93">
        <v>0</v>
      </c>
      <c r="R924" s="69"/>
    </row>
    <row r="925" spans="2:18">
      <c r="B925" s="68"/>
      <c r="C925" s="93">
        <v>14</v>
      </c>
      <c r="D925" s="93" t="s">
        <v>1909</v>
      </c>
      <c r="E925" s="93">
        <v>129</v>
      </c>
      <c r="F925" s="93">
        <v>500840</v>
      </c>
      <c r="G925" s="93">
        <v>19310</v>
      </c>
      <c r="H925" s="94"/>
      <c r="I925" s="93" t="s">
        <v>1199</v>
      </c>
      <c r="J925" s="93">
        <v>1</v>
      </c>
      <c r="K925" s="93">
        <v>1700</v>
      </c>
      <c r="L925" s="93">
        <v>160</v>
      </c>
      <c r="M925" s="17"/>
      <c r="N925" s="93" t="s">
        <v>1199</v>
      </c>
      <c r="O925" s="93">
        <v>1</v>
      </c>
      <c r="P925" s="93">
        <v>1700</v>
      </c>
      <c r="Q925" s="93">
        <v>160</v>
      </c>
      <c r="R925" s="69"/>
    </row>
    <row r="926" spans="2:18">
      <c r="B926" s="68"/>
      <c r="C926" s="93">
        <v>14</v>
      </c>
      <c r="D926" s="93" t="s">
        <v>1909</v>
      </c>
      <c r="E926" s="93">
        <v>128</v>
      </c>
      <c r="F926" s="93">
        <v>499140</v>
      </c>
      <c r="G926" s="93">
        <v>19150</v>
      </c>
      <c r="H926" s="94"/>
      <c r="I926" s="93" t="s">
        <v>1200</v>
      </c>
      <c r="J926" s="93">
        <v>1</v>
      </c>
      <c r="K926" s="93">
        <v>1700</v>
      </c>
      <c r="L926" s="93">
        <v>160</v>
      </c>
      <c r="M926" s="17"/>
      <c r="N926" s="93" t="s">
        <v>1200</v>
      </c>
      <c r="O926" s="93">
        <v>1</v>
      </c>
      <c r="P926" s="93">
        <v>1700</v>
      </c>
      <c r="Q926" s="93">
        <v>160</v>
      </c>
      <c r="R926" s="69"/>
    </row>
    <row r="927" spans="2:18">
      <c r="B927" s="68"/>
      <c r="C927" s="93">
        <v>14</v>
      </c>
      <c r="D927" s="93" t="s">
        <v>1909</v>
      </c>
      <c r="E927" s="93">
        <v>127</v>
      </c>
      <c r="F927" s="93">
        <v>497140</v>
      </c>
      <c r="G927" s="93">
        <v>19150</v>
      </c>
      <c r="H927" s="94"/>
      <c r="I927" s="93" t="s">
        <v>1201</v>
      </c>
      <c r="J927" s="93">
        <v>1</v>
      </c>
      <c r="K927" s="93">
        <v>2000</v>
      </c>
      <c r="L927" s="93">
        <v>0</v>
      </c>
      <c r="M927" s="17"/>
      <c r="N927" s="93" t="s">
        <v>1201</v>
      </c>
      <c r="O927" s="93">
        <v>1</v>
      </c>
      <c r="P927" s="93">
        <v>2000</v>
      </c>
      <c r="Q927" s="93">
        <v>0</v>
      </c>
      <c r="R927" s="69"/>
    </row>
    <row r="928" spans="2:18">
      <c r="B928" s="68"/>
      <c r="C928" s="93">
        <v>14</v>
      </c>
      <c r="D928" s="93" t="s">
        <v>1909</v>
      </c>
      <c r="E928" s="93">
        <v>126</v>
      </c>
      <c r="F928" s="93">
        <v>495140</v>
      </c>
      <c r="G928" s="93">
        <v>19150</v>
      </c>
      <c r="H928" s="94"/>
      <c r="I928" s="93" t="s">
        <v>1202</v>
      </c>
      <c r="J928" s="93">
        <v>1</v>
      </c>
      <c r="K928" s="93">
        <v>2000</v>
      </c>
      <c r="L928" s="93">
        <v>0</v>
      </c>
      <c r="M928" s="17"/>
      <c r="N928" s="93" t="s">
        <v>1202</v>
      </c>
      <c r="O928" s="93">
        <v>1</v>
      </c>
      <c r="P928" s="93">
        <v>2000</v>
      </c>
      <c r="Q928" s="93">
        <v>0</v>
      </c>
      <c r="R928" s="69"/>
    </row>
    <row r="929" spans="2:18">
      <c r="B929" s="68"/>
      <c r="C929" s="93">
        <v>14</v>
      </c>
      <c r="D929" s="93" t="s">
        <v>1909</v>
      </c>
      <c r="E929" s="93">
        <v>125</v>
      </c>
      <c r="F929" s="93">
        <v>493440</v>
      </c>
      <c r="G929" s="93">
        <v>18990</v>
      </c>
      <c r="H929" s="94"/>
      <c r="I929" s="93" t="s">
        <v>1203</v>
      </c>
      <c r="J929" s="93">
        <v>1</v>
      </c>
      <c r="K929" s="93">
        <v>1700</v>
      </c>
      <c r="L929" s="93">
        <v>160</v>
      </c>
      <c r="M929" s="17"/>
      <c r="N929" s="93" t="s">
        <v>1203</v>
      </c>
      <c r="O929" s="93">
        <v>1</v>
      </c>
      <c r="P929" s="93">
        <v>1700</v>
      </c>
      <c r="Q929" s="93">
        <v>160</v>
      </c>
      <c r="R929" s="69"/>
    </row>
    <row r="930" spans="2:18">
      <c r="B930" s="68"/>
      <c r="C930" s="93">
        <v>14</v>
      </c>
      <c r="D930" s="93" t="s">
        <v>1909</v>
      </c>
      <c r="E930" s="93">
        <v>124</v>
      </c>
      <c r="F930" s="93">
        <v>491440</v>
      </c>
      <c r="G930" s="93">
        <v>18990</v>
      </c>
      <c r="H930" s="94"/>
      <c r="I930" s="93" t="s">
        <v>1204</v>
      </c>
      <c r="J930" s="93">
        <v>1</v>
      </c>
      <c r="K930" s="93">
        <v>2000</v>
      </c>
      <c r="L930" s="93">
        <v>0</v>
      </c>
      <c r="M930" s="17"/>
      <c r="N930" s="93" t="s">
        <v>1204</v>
      </c>
      <c r="O930" s="93">
        <v>1</v>
      </c>
      <c r="P930" s="93">
        <v>2000</v>
      </c>
      <c r="Q930" s="93">
        <v>0</v>
      </c>
      <c r="R930" s="69"/>
    </row>
    <row r="931" spans="2:18">
      <c r="B931" s="68"/>
      <c r="C931" s="93">
        <v>14</v>
      </c>
      <c r="D931" s="93" t="s">
        <v>1909</v>
      </c>
      <c r="E931" s="93">
        <v>123</v>
      </c>
      <c r="F931" s="93">
        <v>489740</v>
      </c>
      <c r="G931" s="93">
        <v>18830</v>
      </c>
      <c r="H931" s="94"/>
      <c r="I931" s="93" t="s">
        <v>1205</v>
      </c>
      <c r="J931" s="93">
        <v>1</v>
      </c>
      <c r="K931" s="93">
        <v>1700</v>
      </c>
      <c r="L931" s="93">
        <v>160</v>
      </c>
      <c r="M931" s="17"/>
      <c r="N931" s="93" t="s">
        <v>1205</v>
      </c>
      <c r="O931" s="93">
        <v>1</v>
      </c>
      <c r="P931" s="93">
        <v>1700</v>
      </c>
      <c r="Q931" s="93">
        <v>160</v>
      </c>
      <c r="R931" s="69"/>
    </row>
    <row r="932" spans="2:18">
      <c r="B932" s="68"/>
      <c r="C932" s="93">
        <v>14</v>
      </c>
      <c r="D932" s="93" t="s">
        <v>1909</v>
      </c>
      <c r="E932" s="93">
        <v>122</v>
      </c>
      <c r="F932" s="93">
        <v>488040</v>
      </c>
      <c r="G932" s="93">
        <v>18670</v>
      </c>
      <c r="H932" s="94"/>
      <c r="I932" s="93" t="s">
        <v>1206</v>
      </c>
      <c r="J932" s="93">
        <v>1</v>
      </c>
      <c r="K932" s="93">
        <v>1700</v>
      </c>
      <c r="L932" s="93">
        <v>160</v>
      </c>
      <c r="M932" s="17"/>
      <c r="N932" s="93" t="s">
        <v>1206</v>
      </c>
      <c r="O932" s="93">
        <v>1</v>
      </c>
      <c r="P932" s="93">
        <v>1700</v>
      </c>
      <c r="Q932" s="93">
        <v>160</v>
      </c>
      <c r="R932" s="69"/>
    </row>
    <row r="933" spans="2:18">
      <c r="B933" s="68"/>
      <c r="C933" s="93">
        <v>14</v>
      </c>
      <c r="D933" s="93" t="s">
        <v>1909</v>
      </c>
      <c r="E933" s="93">
        <v>121</v>
      </c>
      <c r="F933" s="93">
        <v>486040</v>
      </c>
      <c r="G933" s="93">
        <v>18670</v>
      </c>
      <c r="H933" s="94"/>
      <c r="I933" s="93" t="s">
        <v>1207</v>
      </c>
      <c r="J933" s="93">
        <v>1</v>
      </c>
      <c r="K933" s="93">
        <v>2000</v>
      </c>
      <c r="L933" s="93">
        <v>0</v>
      </c>
      <c r="M933" s="17"/>
      <c r="N933" s="93" t="s">
        <v>1207</v>
      </c>
      <c r="O933" s="93">
        <v>1</v>
      </c>
      <c r="P933" s="93">
        <v>2000</v>
      </c>
      <c r="Q933" s="93">
        <v>0</v>
      </c>
      <c r="R933" s="69"/>
    </row>
    <row r="934" spans="2:18">
      <c r="B934" s="68"/>
      <c r="C934" s="93">
        <v>14</v>
      </c>
      <c r="D934" s="93" t="s">
        <v>1909</v>
      </c>
      <c r="E934" s="93">
        <v>120</v>
      </c>
      <c r="F934" s="93">
        <v>484340</v>
      </c>
      <c r="G934" s="93">
        <v>18510</v>
      </c>
      <c r="H934" s="94"/>
      <c r="I934" s="93" t="s">
        <v>1208</v>
      </c>
      <c r="J934" s="93">
        <v>1</v>
      </c>
      <c r="K934" s="93">
        <v>1700</v>
      </c>
      <c r="L934" s="93">
        <v>160</v>
      </c>
      <c r="M934" s="17"/>
      <c r="N934" s="93" t="s">
        <v>1208</v>
      </c>
      <c r="O934" s="93">
        <v>1</v>
      </c>
      <c r="P934" s="93">
        <v>1700</v>
      </c>
      <c r="Q934" s="93">
        <v>160</v>
      </c>
      <c r="R934" s="69"/>
    </row>
    <row r="935" spans="2:18">
      <c r="B935" s="68"/>
      <c r="C935" s="93">
        <v>14</v>
      </c>
      <c r="D935" s="93" t="s">
        <v>1909</v>
      </c>
      <c r="E935" s="93">
        <v>119</v>
      </c>
      <c r="F935" s="93">
        <v>482640</v>
      </c>
      <c r="G935" s="93">
        <v>18350</v>
      </c>
      <c r="H935" s="94"/>
      <c r="I935" s="93" t="s">
        <v>1209</v>
      </c>
      <c r="J935" s="93">
        <v>1</v>
      </c>
      <c r="K935" s="93">
        <v>1700</v>
      </c>
      <c r="L935" s="93">
        <v>160</v>
      </c>
      <c r="M935" s="17"/>
      <c r="N935" s="93" t="s">
        <v>1209</v>
      </c>
      <c r="O935" s="93">
        <v>1</v>
      </c>
      <c r="P935" s="93">
        <v>1700</v>
      </c>
      <c r="Q935" s="93">
        <v>160</v>
      </c>
      <c r="R935" s="69"/>
    </row>
    <row r="936" spans="2:18">
      <c r="B936" s="68"/>
      <c r="C936" s="93">
        <v>14</v>
      </c>
      <c r="D936" s="93" t="s">
        <v>1909</v>
      </c>
      <c r="E936" s="93">
        <v>118</v>
      </c>
      <c r="F936" s="93">
        <v>480940</v>
      </c>
      <c r="G936" s="93">
        <v>18190</v>
      </c>
      <c r="H936" s="94"/>
      <c r="I936" s="93" t="s">
        <v>1210</v>
      </c>
      <c r="J936" s="93">
        <v>1</v>
      </c>
      <c r="K936" s="93">
        <v>1700</v>
      </c>
      <c r="L936" s="93">
        <v>160</v>
      </c>
      <c r="M936" s="17"/>
      <c r="N936" s="93" t="s">
        <v>1210</v>
      </c>
      <c r="O936" s="93">
        <v>1</v>
      </c>
      <c r="P936" s="93">
        <v>1700</v>
      </c>
      <c r="Q936" s="93">
        <v>160</v>
      </c>
      <c r="R936" s="69"/>
    </row>
    <row r="937" spans="2:18">
      <c r="B937" s="68"/>
      <c r="C937" s="93">
        <v>14</v>
      </c>
      <c r="D937" s="93" t="s">
        <v>1909</v>
      </c>
      <c r="E937" s="93">
        <v>117</v>
      </c>
      <c r="F937" s="93">
        <v>479240</v>
      </c>
      <c r="G937" s="93">
        <v>18030</v>
      </c>
      <c r="H937" s="94"/>
      <c r="I937" s="93" t="s">
        <v>1211</v>
      </c>
      <c r="J937" s="93">
        <v>1</v>
      </c>
      <c r="K937" s="93">
        <v>1700</v>
      </c>
      <c r="L937" s="93">
        <v>160</v>
      </c>
      <c r="M937" s="17"/>
      <c r="N937" s="93" t="s">
        <v>1211</v>
      </c>
      <c r="O937" s="93">
        <v>1</v>
      </c>
      <c r="P937" s="93">
        <v>1700</v>
      </c>
      <c r="Q937" s="93">
        <v>160</v>
      </c>
      <c r="R937" s="69"/>
    </row>
    <row r="938" spans="2:18">
      <c r="B938" s="68"/>
      <c r="C938" s="93">
        <v>14</v>
      </c>
      <c r="D938" s="93" t="s">
        <v>1909</v>
      </c>
      <c r="E938" s="93">
        <v>116</v>
      </c>
      <c r="F938" s="93">
        <v>477240</v>
      </c>
      <c r="G938" s="93">
        <v>18030</v>
      </c>
      <c r="H938" s="94"/>
      <c r="I938" s="93" t="s">
        <v>1212</v>
      </c>
      <c r="J938" s="93">
        <v>1</v>
      </c>
      <c r="K938" s="93">
        <v>2000</v>
      </c>
      <c r="L938" s="93">
        <v>0</v>
      </c>
      <c r="M938" s="17"/>
      <c r="N938" s="93" t="s">
        <v>1212</v>
      </c>
      <c r="O938" s="93">
        <v>1</v>
      </c>
      <c r="P938" s="93">
        <v>2000</v>
      </c>
      <c r="Q938" s="93">
        <v>0</v>
      </c>
      <c r="R938" s="69"/>
    </row>
    <row r="939" spans="2:18">
      <c r="B939" s="68"/>
      <c r="C939" s="93">
        <v>14</v>
      </c>
      <c r="D939" s="93" t="s">
        <v>1909</v>
      </c>
      <c r="E939" s="93">
        <v>115</v>
      </c>
      <c r="F939" s="93">
        <v>475540</v>
      </c>
      <c r="G939" s="93">
        <v>17870</v>
      </c>
      <c r="H939" s="94"/>
      <c r="I939" s="93" t="s">
        <v>1213</v>
      </c>
      <c r="J939" s="93">
        <v>1</v>
      </c>
      <c r="K939" s="93">
        <v>1700</v>
      </c>
      <c r="L939" s="93">
        <v>160</v>
      </c>
      <c r="M939" s="17"/>
      <c r="N939" s="93" t="s">
        <v>1213</v>
      </c>
      <c r="O939" s="93">
        <v>1</v>
      </c>
      <c r="P939" s="93">
        <v>1700</v>
      </c>
      <c r="Q939" s="93">
        <v>160</v>
      </c>
      <c r="R939" s="69"/>
    </row>
    <row r="940" spans="2:18">
      <c r="B940" s="68"/>
      <c r="C940" s="93">
        <v>14</v>
      </c>
      <c r="D940" s="93" t="s">
        <v>1909</v>
      </c>
      <c r="E940" s="93">
        <v>114</v>
      </c>
      <c r="F940" s="93">
        <v>473540</v>
      </c>
      <c r="G940" s="93">
        <v>17870</v>
      </c>
      <c r="H940" s="94"/>
      <c r="I940" s="93" t="s">
        <v>1214</v>
      </c>
      <c r="J940" s="93">
        <v>1</v>
      </c>
      <c r="K940" s="93">
        <v>2000</v>
      </c>
      <c r="L940" s="93">
        <v>0</v>
      </c>
      <c r="M940" s="17"/>
      <c r="N940" s="93" t="s">
        <v>1214</v>
      </c>
      <c r="O940" s="93">
        <v>1</v>
      </c>
      <c r="P940" s="93">
        <v>2000</v>
      </c>
      <c r="Q940" s="93">
        <v>0</v>
      </c>
      <c r="R940" s="69"/>
    </row>
    <row r="941" spans="2:18">
      <c r="B941" s="68"/>
      <c r="C941" s="93">
        <v>14</v>
      </c>
      <c r="D941" s="93" t="s">
        <v>1909</v>
      </c>
      <c r="E941" s="93">
        <v>113</v>
      </c>
      <c r="F941" s="93">
        <v>471840</v>
      </c>
      <c r="G941" s="93">
        <v>17710</v>
      </c>
      <c r="H941" s="94"/>
      <c r="I941" s="93" t="s">
        <v>1215</v>
      </c>
      <c r="J941" s="93">
        <v>1</v>
      </c>
      <c r="K941" s="93">
        <v>1700</v>
      </c>
      <c r="L941" s="93">
        <v>160</v>
      </c>
      <c r="M941" s="17"/>
      <c r="N941" s="93" t="s">
        <v>1215</v>
      </c>
      <c r="O941" s="93">
        <v>1</v>
      </c>
      <c r="P941" s="93">
        <v>1700</v>
      </c>
      <c r="Q941" s="93">
        <v>160</v>
      </c>
      <c r="R941" s="69"/>
    </row>
    <row r="942" spans="2:18">
      <c r="B942" s="68"/>
      <c r="C942" s="93">
        <v>14</v>
      </c>
      <c r="D942" s="93" t="s">
        <v>1909</v>
      </c>
      <c r="E942" s="93">
        <v>112</v>
      </c>
      <c r="F942" s="93">
        <v>469840</v>
      </c>
      <c r="G942" s="93">
        <v>17710</v>
      </c>
      <c r="H942" s="94"/>
      <c r="I942" s="93" t="s">
        <v>1216</v>
      </c>
      <c r="J942" s="93">
        <v>1</v>
      </c>
      <c r="K942" s="93">
        <v>2000</v>
      </c>
      <c r="L942" s="93">
        <v>0</v>
      </c>
      <c r="M942" s="17"/>
      <c r="N942" s="93" t="s">
        <v>1216</v>
      </c>
      <c r="O942" s="93">
        <v>1</v>
      </c>
      <c r="P942" s="93">
        <v>2000</v>
      </c>
      <c r="Q942" s="93">
        <v>0</v>
      </c>
      <c r="R942" s="69"/>
    </row>
    <row r="943" spans="2:18">
      <c r="B943" s="68"/>
      <c r="C943" s="93">
        <v>14</v>
      </c>
      <c r="D943" s="93" t="s">
        <v>1909</v>
      </c>
      <c r="E943" s="93">
        <v>111</v>
      </c>
      <c r="F943" s="93">
        <v>468140</v>
      </c>
      <c r="G943" s="93">
        <v>17550</v>
      </c>
      <c r="H943" s="94"/>
      <c r="I943" s="93" t="s">
        <v>1217</v>
      </c>
      <c r="J943" s="93">
        <v>1</v>
      </c>
      <c r="K943" s="93">
        <v>1700</v>
      </c>
      <c r="L943" s="93">
        <v>160</v>
      </c>
      <c r="M943" s="17"/>
      <c r="N943" s="93" t="s">
        <v>1217</v>
      </c>
      <c r="O943" s="93">
        <v>1</v>
      </c>
      <c r="P943" s="93">
        <v>1700</v>
      </c>
      <c r="Q943" s="93">
        <v>160</v>
      </c>
      <c r="R943" s="69"/>
    </row>
    <row r="944" spans="2:18">
      <c r="B944" s="68"/>
      <c r="C944" s="93">
        <v>14</v>
      </c>
      <c r="D944" s="93" t="s">
        <v>1909</v>
      </c>
      <c r="E944" s="93">
        <v>110</v>
      </c>
      <c r="F944" s="93">
        <v>466140</v>
      </c>
      <c r="G944" s="93">
        <v>17550</v>
      </c>
      <c r="H944" s="94"/>
      <c r="I944" s="93" t="s">
        <v>1218</v>
      </c>
      <c r="J944" s="93">
        <v>1</v>
      </c>
      <c r="K944" s="93">
        <v>2000</v>
      </c>
      <c r="L944" s="93">
        <v>0</v>
      </c>
      <c r="M944" s="17"/>
      <c r="N944" s="93" t="s">
        <v>1218</v>
      </c>
      <c r="O944" s="93">
        <v>1</v>
      </c>
      <c r="P944" s="93">
        <v>2000</v>
      </c>
      <c r="Q944" s="93">
        <v>0</v>
      </c>
      <c r="R944" s="69"/>
    </row>
    <row r="945" spans="2:18">
      <c r="B945" s="68"/>
      <c r="C945" s="93">
        <v>14</v>
      </c>
      <c r="D945" s="93" t="s">
        <v>1909</v>
      </c>
      <c r="E945" s="93">
        <v>109</v>
      </c>
      <c r="F945" s="93">
        <v>464440</v>
      </c>
      <c r="G945" s="93">
        <v>17390</v>
      </c>
      <c r="H945" s="94"/>
      <c r="I945" s="93" t="s">
        <v>1219</v>
      </c>
      <c r="J945" s="93">
        <v>1</v>
      </c>
      <c r="K945" s="93">
        <v>1700</v>
      </c>
      <c r="L945" s="93">
        <v>160</v>
      </c>
      <c r="M945" s="17"/>
      <c r="N945" s="93" t="s">
        <v>1219</v>
      </c>
      <c r="O945" s="93">
        <v>1</v>
      </c>
      <c r="P945" s="93">
        <v>1700</v>
      </c>
      <c r="Q945" s="93">
        <v>160</v>
      </c>
      <c r="R945" s="69"/>
    </row>
    <row r="946" spans="2:18">
      <c r="B946" s="68"/>
      <c r="C946" s="93">
        <v>14</v>
      </c>
      <c r="D946" s="93" t="s">
        <v>1909</v>
      </c>
      <c r="E946" s="93">
        <v>108</v>
      </c>
      <c r="F946" s="93">
        <v>462440</v>
      </c>
      <c r="G946" s="93">
        <v>17390</v>
      </c>
      <c r="H946" s="94"/>
      <c r="I946" s="93" t="s">
        <v>1220</v>
      </c>
      <c r="J946" s="93">
        <v>1</v>
      </c>
      <c r="K946" s="93">
        <v>2000</v>
      </c>
      <c r="L946" s="93">
        <v>0</v>
      </c>
      <c r="M946" s="17"/>
      <c r="N946" s="93" t="s">
        <v>1220</v>
      </c>
      <c r="O946" s="93">
        <v>1</v>
      </c>
      <c r="P946" s="93">
        <v>2000</v>
      </c>
      <c r="Q946" s="93">
        <v>0</v>
      </c>
      <c r="R946" s="69"/>
    </row>
    <row r="947" spans="2:18">
      <c r="B947" s="68"/>
      <c r="C947" s="93">
        <v>14</v>
      </c>
      <c r="D947" s="93" t="s">
        <v>1909</v>
      </c>
      <c r="E947" s="93">
        <v>107</v>
      </c>
      <c r="F947" s="93">
        <v>460740</v>
      </c>
      <c r="G947" s="93">
        <v>17230</v>
      </c>
      <c r="H947" s="94"/>
      <c r="I947" s="93" t="s">
        <v>1221</v>
      </c>
      <c r="J947" s="93">
        <v>1</v>
      </c>
      <c r="K947" s="93">
        <v>1700</v>
      </c>
      <c r="L947" s="93">
        <v>160</v>
      </c>
      <c r="M947" s="17"/>
      <c r="N947" s="93" t="s">
        <v>1221</v>
      </c>
      <c r="O947" s="93">
        <v>1</v>
      </c>
      <c r="P947" s="93">
        <v>1700</v>
      </c>
      <c r="Q947" s="93">
        <v>160</v>
      </c>
      <c r="R947" s="69"/>
    </row>
    <row r="948" spans="2:18">
      <c r="B948" s="68"/>
      <c r="C948" s="93">
        <v>14</v>
      </c>
      <c r="D948" s="93" t="s">
        <v>1909</v>
      </c>
      <c r="E948" s="93">
        <v>106</v>
      </c>
      <c r="F948" s="93">
        <v>458740</v>
      </c>
      <c r="G948" s="93">
        <v>17230</v>
      </c>
      <c r="H948" s="94"/>
      <c r="I948" s="93" t="s">
        <v>1222</v>
      </c>
      <c r="J948" s="93">
        <v>1</v>
      </c>
      <c r="K948" s="93">
        <v>2000</v>
      </c>
      <c r="L948" s="93">
        <v>0</v>
      </c>
      <c r="M948" s="17"/>
      <c r="N948" s="93" t="s">
        <v>1222</v>
      </c>
      <c r="O948" s="93">
        <v>1</v>
      </c>
      <c r="P948" s="93">
        <v>2000</v>
      </c>
      <c r="Q948" s="93">
        <v>0</v>
      </c>
      <c r="R948" s="69"/>
    </row>
    <row r="949" spans="2:18">
      <c r="B949" s="68"/>
      <c r="C949" s="93">
        <v>14</v>
      </c>
      <c r="D949" s="93" t="s">
        <v>1909</v>
      </c>
      <c r="E949" s="93">
        <v>105</v>
      </c>
      <c r="F949" s="93">
        <v>456740</v>
      </c>
      <c r="G949" s="93">
        <v>17230</v>
      </c>
      <c r="H949" s="94"/>
      <c r="I949" s="93" t="s">
        <v>1223</v>
      </c>
      <c r="J949" s="93">
        <v>1</v>
      </c>
      <c r="K949" s="93">
        <v>2000</v>
      </c>
      <c r="L949" s="93">
        <v>0</v>
      </c>
      <c r="M949" s="17"/>
      <c r="N949" s="93" t="s">
        <v>1223</v>
      </c>
      <c r="O949" s="93">
        <v>1</v>
      </c>
      <c r="P949" s="93">
        <v>2000</v>
      </c>
      <c r="Q949" s="93">
        <v>0</v>
      </c>
      <c r="R949" s="69"/>
    </row>
    <row r="950" spans="2:18">
      <c r="B950" s="68"/>
      <c r="C950" s="93">
        <v>14</v>
      </c>
      <c r="D950" s="93" t="s">
        <v>1909</v>
      </c>
      <c r="E950" s="93">
        <v>104</v>
      </c>
      <c r="F950" s="93">
        <v>454740</v>
      </c>
      <c r="G950" s="93">
        <v>17230</v>
      </c>
      <c r="H950" s="94"/>
      <c r="I950" s="93" t="s">
        <v>1224</v>
      </c>
      <c r="J950" s="93">
        <v>1</v>
      </c>
      <c r="K950" s="93">
        <v>2000</v>
      </c>
      <c r="L950" s="93">
        <v>0</v>
      </c>
      <c r="M950" s="17"/>
      <c r="N950" s="93" t="s">
        <v>1224</v>
      </c>
      <c r="O950" s="93">
        <v>1</v>
      </c>
      <c r="P950" s="93">
        <v>2000</v>
      </c>
      <c r="Q950" s="93">
        <v>0</v>
      </c>
      <c r="R950" s="69"/>
    </row>
    <row r="951" spans="2:18">
      <c r="B951" s="68"/>
      <c r="C951" s="93">
        <v>14</v>
      </c>
      <c r="D951" s="93" t="s">
        <v>1909</v>
      </c>
      <c r="E951" s="93">
        <v>103</v>
      </c>
      <c r="F951" s="93">
        <v>453040</v>
      </c>
      <c r="G951" s="93">
        <v>17070</v>
      </c>
      <c r="H951" s="94"/>
      <c r="I951" s="93" t="s">
        <v>1225</v>
      </c>
      <c r="J951" s="93">
        <v>1</v>
      </c>
      <c r="K951" s="93">
        <v>1700</v>
      </c>
      <c r="L951" s="93">
        <v>160</v>
      </c>
      <c r="M951" s="17"/>
      <c r="N951" s="93" t="s">
        <v>1225</v>
      </c>
      <c r="O951" s="93">
        <v>1</v>
      </c>
      <c r="P951" s="93">
        <v>1700</v>
      </c>
      <c r="Q951" s="93">
        <v>160</v>
      </c>
      <c r="R951" s="69"/>
    </row>
    <row r="952" spans="2:18">
      <c r="B952" s="68"/>
      <c r="C952" s="93">
        <v>14</v>
      </c>
      <c r="D952" s="93" t="s">
        <v>1909</v>
      </c>
      <c r="E952" s="93">
        <v>102</v>
      </c>
      <c r="F952" s="93">
        <v>451040</v>
      </c>
      <c r="G952" s="93">
        <v>17070</v>
      </c>
      <c r="H952" s="94"/>
      <c r="I952" s="93" t="s">
        <v>1226</v>
      </c>
      <c r="J952" s="93">
        <v>1</v>
      </c>
      <c r="K952" s="93">
        <v>2000</v>
      </c>
      <c r="L952" s="93">
        <v>0</v>
      </c>
      <c r="M952" s="17"/>
      <c r="N952" s="93" t="s">
        <v>1226</v>
      </c>
      <c r="O952" s="93">
        <v>1</v>
      </c>
      <c r="P952" s="93">
        <v>2000</v>
      </c>
      <c r="Q952" s="93">
        <v>0</v>
      </c>
      <c r="R952" s="69"/>
    </row>
    <row r="953" spans="2:18">
      <c r="B953" s="68"/>
      <c r="C953" s="93">
        <v>14</v>
      </c>
      <c r="D953" s="93" t="s">
        <v>1909</v>
      </c>
      <c r="E953" s="93">
        <v>101</v>
      </c>
      <c r="F953" s="93">
        <v>449040</v>
      </c>
      <c r="G953" s="93">
        <v>17070</v>
      </c>
      <c r="H953" s="94"/>
      <c r="I953" s="93" t="s">
        <v>1227</v>
      </c>
      <c r="J953" s="93">
        <v>1</v>
      </c>
      <c r="K953" s="93">
        <v>2000</v>
      </c>
      <c r="L953" s="93">
        <v>0</v>
      </c>
      <c r="M953" s="17"/>
      <c r="N953" s="93" t="s">
        <v>1227</v>
      </c>
      <c r="O953" s="93">
        <v>1</v>
      </c>
      <c r="P953" s="93">
        <v>2000</v>
      </c>
      <c r="Q953" s="93">
        <v>0</v>
      </c>
      <c r="R953" s="69"/>
    </row>
    <row r="954" spans="2:18">
      <c r="B954" s="68"/>
      <c r="C954" s="93">
        <v>14</v>
      </c>
      <c r="D954" s="93" t="s">
        <v>1909</v>
      </c>
      <c r="E954" s="93">
        <v>100</v>
      </c>
      <c r="F954" s="93">
        <v>447340</v>
      </c>
      <c r="G954" s="93">
        <v>16910</v>
      </c>
      <c r="H954" s="94"/>
      <c r="I954" s="93" t="s">
        <v>1228</v>
      </c>
      <c r="J954" s="93">
        <v>1</v>
      </c>
      <c r="K954" s="93">
        <v>1700</v>
      </c>
      <c r="L954" s="93">
        <v>160</v>
      </c>
      <c r="M954" s="17"/>
      <c r="N954" s="93" t="s">
        <v>1228</v>
      </c>
      <c r="O954" s="93">
        <v>1</v>
      </c>
      <c r="P954" s="93">
        <v>1700</v>
      </c>
      <c r="Q954" s="93">
        <v>160</v>
      </c>
      <c r="R954" s="69"/>
    </row>
    <row r="955" spans="2:18">
      <c r="B955" s="68"/>
      <c r="C955" s="93">
        <v>14</v>
      </c>
      <c r="D955" s="93" t="s">
        <v>1909</v>
      </c>
      <c r="E955" s="93">
        <v>99</v>
      </c>
      <c r="F955" s="93">
        <v>445640</v>
      </c>
      <c r="G955" s="93">
        <v>16750</v>
      </c>
      <c r="H955" s="94"/>
      <c r="I955" s="93" t="s">
        <v>1229</v>
      </c>
      <c r="J955" s="93">
        <v>1</v>
      </c>
      <c r="K955" s="93">
        <v>1700</v>
      </c>
      <c r="L955" s="93">
        <v>160</v>
      </c>
      <c r="M955" s="17"/>
      <c r="N955" s="93" t="s">
        <v>1229</v>
      </c>
      <c r="O955" s="93">
        <v>1</v>
      </c>
      <c r="P955" s="93">
        <v>1700</v>
      </c>
      <c r="Q955" s="93">
        <v>160</v>
      </c>
      <c r="R955" s="69"/>
    </row>
    <row r="956" spans="2:18">
      <c r="B956" s="68"/>
      <c r="C956" s="93">
        <v>14</v>
      </c>
      <c r="D956" s="93" t="s">
        <v>1909</v>
      </c>
      <c r="E956" s="93">
        <v>98</v>
      </c>
      <c r="F956" s="93">
        <v>443940</v>
      </c>
      <c r="G956" s="93">
        <v>16590</v>
      </c>
      <c r="H956" s="94"/>
      <c r="I956" s="93" t="s">
        <v>1230</v>
      </c>
      <c r="J956" s="93">
        <v>1</v>
      </c>
      <c r="K956" s="93">
        <v>1700</v>
      </c>
      <c r="L956" s="93">
        <v>160</v>
      </c>
      <c r="M956" s="17"/>
      <c r="N956" s="93" t="s">
        <v>1230</v>
      </c>
      <c r="O956" s="93">
        <v>1</v>
      </c>
      <c r="P956" s="93">
        <v>1700</v>
      </c>
      <c r="Q956" s="93">
        <v>160</v>
      </c>
      <c r="R956" s="69"/>
    </row>
    <row r="957" spans="2:18">
      <c r="B957" s="68"/>
      <c r="C957" s="93">
        <v>14</v>
      </c>
      <c r="D957" s="93" t="s">
        <v>1909</v>
      </c>
      <c r="E957" s="93">
        <v>97</v>
      </c>
      <c r="F957" s="93">
        <v>441940</v>
      </c>
      <c r="G957" s="93">
        <v>16590</v>
      </c>
      <c r="H957" s="94"/>
      <c r="I957" s="93" t="s">
        <v>1231</v>
      </c>
      <c r="J957" s="93">
        <v>1</v>
      </c>
      <c r="K957" s="93">
        <v>2000</v>
      </c>
      <c r="L957" s="93">
        <v>0</v>
      </c>
      <c r="M957" s="17"/>
      <c r="N957" s="93" t="s">
        <v>1231</v>
      </c>
      <c r="O957" s="93">
        <v>1</v>
      </c>
      <c r="P957" s="93">
        <v>2000</v>
      </c>
      <c r="Q957" s="93">
        <v>0</v>
      </c>
      <c r="R957" s="69"/>
    </row>
    <row r="958" spans="2:18">
      <c r="B958" s="68"/>
      <c r="C958" s="93">
        <v>14</v>
      </c>
      <c r="D958" s="93" t="s">
        <v>1909</v>
      </c>
      <c r="E958" s="93">
        <v>96</v>
      </c>
      <c r="F958" s="93">
        <v>439940</v>
      </c>
      <c r="G958" s="93">
        <v>16590</v>
      </c>
      <c r="H958" s="94"/>
      <c r="I958" s="93" t="s">
        <v>1232</v>
      </c>
      <c r="J958" s="93">
        <v>1</v>
      </c>
      <c r="K958" s="93">
        <v>2000</v>
      </c>
      <c r="L958" s="93">
        <v>0</v>
      </c>
      <c r="M958" s="17"/>
      <c r="N958" s="93" t="s">
        <v>1232</v>
      </c>
      <c r="O958" s="93">
        <v>1</v>
      </c>
      <c r="P958" s="93">
        <v>2000</v>
      </c>
      <c r="Q958" s="93">
        <v>0</v>
      </c>
      <c r="R958" s="69"/>
    </row>
    <row r="959" spans="2:18">
      <c r="B959" s="68"/>
      <c r="C959" s="93">
        <v>14</v>
      </c>
      <c r="D959" s="93" t="s">
        <v>1909</v>
      </c>
      <c r="E959" s="93">
        <v>95</v>
      </c>
      <c r="F959" s="93">
        <v>437940</v>
      </c>
      <c r="G959" s="93">
        <v>16590</v>
      </c>
      <c r="H959" s="94"/>
      <c r="I959" s="93" t="s">
        <v>1233</v>
      </c>
      <c r="J959" s="93">
        <v>1</v>
      </c>
      <c r="K959" s="93">
        <v>2000</v>
      </c>
      <c r="L959" s="93">
        <v>0</v>
      </c>
      <c r="M959" s="17"/>
      <c r="N959" s="93" t="s">
        <v>1233</v>
      </c>
      <c r="O959" s="93">
        <v>1</v>
      </c>
      <c r="P959" s="93">
        <v>2000</v>
      </c>
      <c r="Q959" s="93">
        <v>0</v>
      </c>
      <c r="R959" s="69"/>
    </row>
    <row r="960" spans="2:18">
      <c r="B960" s="68"/>
      <c r="C960" s="93">
        <v>14</v>
      </c>
      <c r="D960" s="93" t="s">
        <v>1909</v>
      </c>
      <c r="E960" s="93">
        <v>94</v>
      </c>
      <c r="F960" s="93">
        <v>435940</v>
      </c>
      <c r="G960" s="93">
        <v>16590</v>
      </c>
      <c r="H960" s="94"/>
      <c r="I960" s="93" t="s">
        <v>1234</v>
      </c>
      <c r="J960" s="93">
        <v>1</v>
      </c>
      <c r="K960" s="93">
        <v>2000</v>
      </c>
      <c r="L960" s="93">
        <v>0</v>
      </c>
      <c r="M960" s="17"/>
      <c r="N960" s="93" t="s">
        <v>1234</v>
      </c>
      <c r="O960" s="93">
        <v>1</v>
      </c>
      <c r="P960" s="93">
        <v>2000</v>
      </c>
      <c r="Q960" s="93">
        <v>0</v>
      </c>
      <c r="R960" s="69"/>
    </row>
    <row r="961" spans="2:18">
      <c r="B961" s="68"/>
      <c r="C961" s="93">
        <v>14</v>
      </c>
      <c r="D961" s="93" t="s">
        <v>1909</v>
      </c>
      <c r="E961" s="93">
        <v>93</v>
      </c>
      <c r="F961" s="93">
        <v>433940</v>
      </c>
      <c r="G961" s="93">
        <v>16590</v>
      </c>
      <c r="H961" s="94"/>
      <c r="I961" s="93" t="s">
        <v>1235</v>
      </c>
      <c r="J961" s="93">
        <v>1</v>
      </c>
      <c r="K961" s="93">
        <v>2000</v>
      </c>
      <c r="L961" s="93">
        <v>0</v>
      </c>
      <c r="M961" s="17"/>
      <c r="N961" s="93" t="s">
        <v>1235</v>
      </c>
      <c r="O961" s="93">
        <v>1</v>
      </c>
      <c r="P961" s="93">
        <v>2000</v>
      </c>
      <c r="Q961" s="93">
        <v>0</v>
      </c>
      <c r="R961" s="69"/>
    </row>
    <row r="962" spans="2:18">
      <c r="B962" s="68"/>
      <c r="C962" s="93">
        <v>14</v>
      </c>
      <c r="D962" s="93" t="s">
        <v>1909</v>
      </c>
      <c r="E962" s="93">
        <v>92</v>
      </c>
      <c r="F962" s="93">
        <v>431940</v>
      </c>
      <c r="G962" s="93">
        <v>16590</v>
      </c>
      <c r="H962" s="94"/>
      <c r="I962" s="93" t="s">
        <v>1236</v>
      </c>
      <c r="J962" s="93">
        <v>1</v>
      </c>
      <c r="K962" s="93">
        <v>2000</v>
      </c>
      <c r="L962" s="93">
        <v>0</v>
      </c>
      <c r="M962" s="17"/>
      <c r="N962" s="93" t="s">
        <v>1236</v>
      </c>
      <c r="O962" s="93">
        <v>1</v>
      </c>
      <c r="P962" s="93">
        <v>2000</v>
      </c>
      <c r="Q962" s="93">
        <v>0</v>
      </c>
      <c r="R962" s="69"/>
    </row>
    <row r="963" spans="2:18">
      <c r="B963" s="68"/>
      <c r="C963" s="93">
        <v>14</v>
      </c>
      <c r="D963" s="93" t="s">
        <v>1909</v>
      </c>
      <c r="E963" s="93">
        <v>91</v>
      </c>
      <c r="F963" s="93">
        <v>429940</v>
      </c>
      <c r="G963" s="93">
        <v>16590</v>
      </c>
      <c r="H963" s="94"/>
      <c r="I963" s="93" t="s">
        <v>1237</v>
      </c>
      <c r="J963" s="93">
        <v>1</v>
      </c>
      <c r="K963" s="93">
        <v>2000</v>
      </c>
      <c r="L963" s="93">
        <v>0</v>
      </c>
      <c r="M963" s="17"/>
      <c r="N963" s="93" t="s">
        <v>1237</v>
      </c>
      <c r="O963" s="93">
        <v>1</v>
      </c>
      <c r="P963" s="93">
        <v>2000</v>
      </c>
      <c r="Q963" s="93">
        <v>0</v>
      </c>
      <c r="R963" s="69"/>
    </row>
    <row r="964" spans="2:18">
      <c r="B964" s="68"/>
      <c r="C964" s="93">
        <v>14</v>
      </c>
      <c r="D964" s="93" t="s">
        <v>1909</v>
      </c>
      <c r="E964" s="93">
        <v>89</v>
      </c>
      <c r="F964" s="93">
        <v>422440</v>
      </c>
      <c r="G964" s="93">
        <v>16558</v>
      </c>
      <c r="H964" s="94"/>
      <c r="I964" s="93" t="s">
        <v>1238</v>
      </c>
      <c r="J964" s="93">
        <v>2</v>
      </c>
      <c r="K964" s="93">
        <v>7500</v>
      </c>
      <c r="L964" s="93">
        <v>32</v>
      </c>
      <c r="M964" s="17"/>
      <c r="N964" s="93" t="s">
        <v>1238</v>
      </c>
      <c r="O964" s="93">
        <v>2</v>
      </c>
      <c r="P964" s="93">
        <v>7500</v>
      </c>
      <c r="Q964" s="93">
        <v>32</v>
      </c>
      <c r="R964" s="69"/>
    </row>
    <row r="965" spans="2:18">
      <c r="B965" s="68"/>
      <c r="C965" s="93">
        <v>14</v>
      </c>
      <c r="D965" s="93" t="s">
        <v>1909</v>
      </c>
      <c r="E965" s="93">
        <v>87</v>
      </c>
      <c r="F965" s="93">
        <v>414940</v>
      </c>
      <c r="G965" s="93">
        <v>16526</v>
      </c>
      <c r="H965" s="94"/>
      <c r="I965" s="93" t="s">
        <v>1239</v>
      </c>
      <c r="J965" s="93">
        <v>2</v>
      </c>
      <c r="K965" s="93">
        <v>7500</v>
      </c>
      <c r="L965" s="93">
        <v>32</v>
      </c>
      <c r="M965" s="17"/>
      <c r="N965" s="93" t="s">
        <v>1239</v>
      </c>
      <c r="O965" s="93">
        <v>2</v>
      </c>
      <c r="P965" s="93">
        <v>7500</v>
      </c>
      <c r="Q965" s="93">
        <v>32</v>
      </c>
      <c r="R965" s="69"/>
    </row>
    <row r="966" spans="2:18">
      <c r="B966" s="68"/>
      <c r="C966" s="93">
        <v>14</v>
      </c>
      <c r="D966" s="93" t="s">
        <v>1909</v>
      </c>
      <c r="E966" s="93">
        <v>85</v>
      </c>
      <c r="F966" s="93">
        <v>407440</v>
      </c>
      <c r="G966" s="93">
        <v>16494</v>
      </c>
      <c r="H966" s="94"/>
      <c r="I966" s="93" t="s">
        <v>1240</v>
      </c>
      <c r="J966" s="93">
        <v>2</v>
      </c>
      <c r="K966" s="93">
        <v>7500</v>
      </c>
      <c r="L966" s="93">
        <v>32</v>
      </c>
      <c r="M966" s="17"/>
      <c r="N966" s="93" t="s">
        <v>1240</v>
      </c>
      <c r="O966" s="93">
        <v>2</v>
      </c>
      <c r="P966" s="93">
        <v>7500</v>
      </c>
      <c r="Q966" s="93">
        <v>32</v>
      </c>
      <c r="R966" s="69"/>
    </row>
    <row r="967" spans="2:18">
      <c r="B967" s="68"/>
      <c r="C967" s="93">
        <v>14</v>
      </c>
      <c r="D967" s="93" t="s">
        <v>1909</v>
      </c>
      <c r="E967" s="93">
        <v>83</v>
      </c>
      <c r="F967" s="93">
        <v>403690</v>
      </c>
      <c r="G967" s="93">
        <v>16462</v>
      </c>
      <c r="H967" s="94"/>
      <c r="I967" s="93" t="s">
        <v>1241</v>
      </c>
      <c r="J967" s="93">
        <v>2</v>
      </c>
      <c r="K967" s="93">
        <v>3750</v>
      </c>
      <c r="L967" s="93">
        <v>32</v>
      </c>
      <c r="M967" s="17"/>
      <c r="N967" s="93" t="s">
        <v>1241</v>
      </c>
      <c r="O967" s="93">
        <v>2</v>
      </c>
      <c r="P967" s="93">
        <v>3750</v>
      </c>
      <c r="Q967" s="93">
        <v>32</v>
      </c>
      <c r="R967" s="69"/>
    </row>
    <row r="968" spans="2:18">
      <c r="B968" s="68"/>
      <c r="C968" s="93">
        <v>14</v>
      </c>
      <c r="D968" s="93" t="s">
        <v>1909</v>
      </c>
      <c r="E968" s="93">
        <v>81</v>
      </c>
      <c r="F968" s="93">
        <v>399940</v>
      </c>
      <c r="G968" s="93">
        <v>16430</v>
      </c>
      <c r="H968" s="94"/>
      <c r="I968" s="93" t="s">
        <v>1242</v>
      </c>
      <c r="J968" s="93">
        <v>2</v>
      </c>
      <c r="K968" s="93">
        <v>3750</v>
      </c>
      <c r="L968" s="93">
        <v>32</v>
      </c>
      <c r="M968" s="17"/>
      <c r="N968" s="93" t="s">
        <v>1242</v>
      </c>
      <c r="O968" s="93">
        <v>2</v>
      </c>
      <c r="P968" s="93">
        <v>3750</v>
      </c>
      <c r="Q968" s="93">
        <v>32</v>
      </c>
      <c r="R968" s="69"/>
    </row>
    <row r="969" spans="2:18">
      <c r="B969" s="68"/>
      <c r="C969" s="93">
        <v>14</v>
      </c>
      <c r="D969" s="93" t="s">
        <v>1909</v>
      </c>
      <c r="E969" s="93">
        <v>79</v>
      </c>
      <c r="F969" s="93">
        <v>396190</v>
      </c>
      <c r="G969" s="93">
        <v>16398</v>
      </c>
      <c r="H969" s="94"/>
      <c r="I969" s="93" t="s">
        <v>1243</v>
      </c>
      <c r="J969" s="93">
        <v>2</v>
      </c>
      <c r="K969" s="93">
        <v>3750</v>
      </c>
      <c r="L969" s="93">
        <v>32</v>
      </c>
      <c r="M969" s="17"/>
      <c r="N969" s="93" t="s">
        <v>1243</v>
      </c>
      <c r="O969" s="93">
        <v>2</v>
      </c>
      <c r="P969" s="93">
        <v>3750</v>
      </c>
      <c r="Q969" s="93">
        <v>32</v>
      </c>
      <c r="R969" s="69"/>
    </row>
    <row r="970" spans="2:18">
      <c r="B970" s="68"/>
      <c r="C970" s="93">
        <v>14</v>
      </c>
      <c r="D970" s="93" t="s">
        <v>1909</v>
      </c>
      <c r="E970" s="93">
        <v>77</v>
      </c>
      <c r="F970" s="93">
        <v>388690</v>
      </c>
      <c r="G970" s="93">
        <v>16366</v>
      </c>
      <c r="H970" s="94"/>
      <c r="I970" s="93" t="s">
        <v>1244</v>
      </c>
      <c r="J970" s="93">
        <v>2</v>
      </c>
      <c r="K970" s="93">
        <v>7500</v>
      </c>
      <c r="L970" s="93">
        <v>32</v>
      </c>
      <c r="M970" s="17"/>
      <c r="N970" s="93" t="s">
        <v>1244</v>
      </c>
      <c r="O970" s="93">
        <v>2</v>
      </c>
      <c r="P970" s="93">
        <v>7500</v>
      </c>
      <c r="Q970" s="93">
        <v>32</v>
      </c>
      <c r="R970" s="69"/>
    </row>
    <row r="971" spans="2:18">
      <c r="B971" s="68"/>
      <c r="C971" s="93">
        <v>14</v>
      </c>
      <c r="D971" s="93" t="s">
        <v>1909</v>
      </c>
      <c r="E971" s="93">
        <v>76</v>
      </c>
      <c r="F971" s="93">
        <v>386690</v>
      </c>
      <c r="G971" s="93">
        <v>16366</v>
      </c>
      <c r="H971" s="94"/>
      <c r="I971" s="93" t="s">
        <v>1245</v>
      </c>
      <c r="J971" s="93">
        <v>1</v>
      </c>
      <c r="K971" s="93">
        <v>2000</v>
      </c>
      <c r="L971" s="93">
        <v>0</v>
      </c>
      <c r="M971" s="17"/>
      <c r="N971" s="93" t="s">
        <v>1245</v>
      </c>
      <c r="O971" s="93">
        <v>1</v>
      </c>
      <c r="P971" s="93">
        <v>2000</v>
      </c>
      <c r="Q971" s="93">
        <v>0</v>
      </c>
      <c r="R971" s="69"/>
    </row>
    <row r="972" spans="2:18">
      <c r="B972" s="68"/>
      <c r="C972" s="93">
        <v>14</v>
      </c>
      <c r="D972" s="93" t="s">
        <v>1909</v>
      </c>
      <c r="E972" s="93">
        <v>74</v>
      </c>
      <c r="F972" s="93">
        <v>382940</v>
      </c>
      <c r="G972" s="93">
        <v>16334</v>
      </c>
      <c r="H972" s="94"/>
      <c r="I972" s="93" t="s">
        <v>1246</v>
      </c>
      <c r="J972" s="93">
        <v>2</v>
      </c>
      <c r="K972" s="93">
        <v>3750</v>
      </c>
      <c r="L972" s="93">
        <v>32</v>
      </c>
      <c r="M972" s="17"/>
      <c r="N972" s="93" t="s">
        <v>1246</v>
      </c>
      <c r="O972" s="93">
        <v>2</v>
      </c>
      <c r="P972" s="93">
        <v>3750</v>
      </c>
      <c r="Q972" s="93">
        <v>32</v>
      </c>
      <c r="R972" s="69"/>
    </row>
    <row r="973" spans="2:18">
      <c r="B973" s="68"/>
      <c r="C973" s="93">
        <v>14</v>
      </c>
      <c r="D973" s="93" t="s">
        <v>1909</v>
      </c>
      <c r="E973" s="93">
        <v>73</v>
      </c>
      <c r="F973" s="93">
        <v>380940</v>
      </c>
      <c r="G973" s="93">
        <v>16334</v>
      </c>
      <c r="H973" s="94"/>
      <c r="I973" s="93" t="s">
        <v>1247</v>
      </c>
      <c r="J973" s="93">
        <v>1</v>
      </c>
      <c r="K973" s="93">
        <v>2000</v>
      </c>
      <c r="L973" s="93">
        <v>0</v>
      </c>
      <c r="M973" s="17"/>
      <c r="N973" s="93" t="s">
        <v>1247</v>
      </c>
      <c r="O973" s="93">
        <v>1</v>
      </c>
      <c r="P973" s="93">
        <v>2000</v>
      </c>
      <c r="Q973" s="93">
        <v>0</v>
      </c>
      <c r="R973" s="69"/>
    </row>
    <row r="974" spans="2:18">
      <c r="B974" s="68"/>
      <c r="C974" s="93">
        <v>14</v>
      </c>
      <c r="D974" s="93" t="s">
        <v>1909</v>
      </c>
      <c r="E974" s="93">
        <v>72</v>
      </c>
      <c r="F974" s="93">
        <v>378940</v>
      </c>
      <c r="G974" s="93">
        <v>16334</v>
      </c>
      <c r="H974" s="94"/>
      <c r="I974" s="93" t="s">
        <v>1248</v>
      </c>
      <c r="J974" s="93">
        <v>1</v>
      </c>
      <c r="K974" s="93">
        <v>2000</v>
      </c>
      <c r="L974" s="93">
        <v>0</v>
      </c>
      <c r="M974" s="17"/>
      <c r="N974" s="93" t="s">
        <v>1248</v>
      </c>
      <c r="O974" s="93">
        <v>1</v>
      </c>
      <c r="P974" s="93">
        <v>2000</v>
      </c>
      <c r="Q974" s="93">
        <v>0</v>
      </c>
      <c r="R974" s="69"/>
    </row>
    <row r="975" spans="2:18">
      <c r="B975" s="68"/>
      <c r="C975" s="93">
        <v>14</v>
      </c>
      <c r="D975" s="93" t="s">
        <v>1909</v>
      </c>
      <c r="E975" s="93">
        <v>71</v>
      </c>
      <c r="F975" s="93">
        <v>376940</v>
      </c>
      <c r="G975" s="93">
        <v>16334</v>
      </c>
      <c r="H975" s="94"/>
      <c r="I975" s="93" t="s">
        <v>1249</v>
      </c>
      <c r="J975" s="93">
        <v>1</v>
      </c>
      <c r="K975" s="93">
        <v>2000</v>
      </c>
      <c r="L975" s="93">
        <v>0</v>
      </c>
      <c r="M975" s="17"/>
      <c r="N975" s="93" t="s">
        <v>1249</v>
      </c>
      <c r="O975" s="93">
        <v>1</v>
      </c>
      <c r="P975" s="93">
        <v>2000</v>
      </c>
      <c r="Q975" s="93">
        <v>0</v>
      </c>
      <c r="R975" s="69"/>
    </row>
    <row r="976" spans="2:18">
      <c r="B976" s="68"/>
      <c r="C976" s="93">
        <v>14</v>
      </c>
      <c r="D976" s="93" t="s">
        <v>1909</v>
      </c>
      <c r="E976" s="93">
        <v>69</v>
      </c>
      <c r="F976" s="93">
        <v>373190</v>
      </c>
      <c r="G976" s="93">
        <v>16302</v>
      </c>
      <c r="H976" s="94"/>
      <c r="I976" s="93" t="s">
        <v>1250</v>
      </c>
      <c r="J976" s="93">
        <v>2</v>
      </c>
      <c r="K976" s="93">
        <v>3750</v>
      </c>
      <c r="L976" s="93">
        <v>32</v>
      </c>
      <c r="M976" s="17"/>
      <c r="N976" s="93" t="s">
        <v>1250</v>
      </c>
      <c r="O976" s="93">
        <v>2</v>
      </c>
      <c r="P976" s="93">
        <v>3750</v>
      </c>
      <c r="Q976" s="93">
        <v>32</v>
      </c>
      <c r="R976" s="69"/>
    </row>
    <row r="977" spans="2:18">
      <c r="B977" s="68"/>
      <c r="C977" s="93">
        <v>14</v>
      </c>
      <c r="D977" s="93" t="s">
        <v>1909</v>
      </c>
      <c r="E977" s="93">
        <v>67</v>
      </c>
      <c r="F977" s="93">
        <v>369440</v>
      </c>
      <c r="G977" s="93">
        <v>16270</v>
      </c>
      <c r="H977" s="94"/>
      <c r="I977" s="93" t="s">
        <v>1251</v>
      </c>
      <c r="J977" s="93">
        <v>2</v>
      </c>
      <c r="K977" s="93">
        <v>3750</v>
      </c>
      <c r="L977" s="93">
        <v>32</v>
      </c>
      <c r="M977" s="17"/>
      <c r="N977" s="93" t="s">
        <v>1251</v>
      </c>
      <c r="O977" s="93">
        <v>2</v>
      </c>
      <c r="P977" s="93">
        <v>3750</v>
      </c>
      <c r="Q977" s="93">
        <v>32</v>
      </c>
      <c r="R977" s="69"/>
    </row>
    <row r="978" spans="2:18">
      <c r="B978" s="68"/>
      <c r="C978" s="93">
        <v>14</v>
      </c>
      <c r="D978" s="93" t="s">
        <v>1909</v>
      </c>
      <c r="E978" s="93">
        <v>65</v>
      </c>
      <c r="F978" s="93">
        <v>365690</v>
      </c>
      <c r="G978" s="93">
        <v>16238</v>
      </c>
      <c r="H978" s="94"/>
      <c r="I978" s="93" t="s">
        <v>1252</v>
      </c>
      <c r="J978" s="93">
        <v>2</v>
      </c>
      <c r="K978" s="93">
        <v>3750</v>
      </c>
      <c r="L978" s="93">
        <v>32</v>
      </c>
      <c r="M978" s="17"/>
      <c r="N978" s="93" t="s">
        <v>1252</v>
      </c>
      <c r="O978" s="93">
        <v>2</v>
      </c>
      <c r="P978" s="93">
        <v>3750</v>
      </c>
      <c r="Q978" s="93">
        <v>32</v>
      </c>
      <c r="R978" s="69"/>
    </row>
    <row r="979" spans="2:18">
      <c r="B979" s="68"/>
      <c r="C979" s="93">
        <v>14</v>
      </c>
      <c r="D979" s="93" t="s">
        <v>1909</v>
      </c>
      <c r="E979" s="93">
        <v>63</v>
      </c>
      <c r="F979" s="93">
        <v>361940</v>
      </c>
      <c r="G979" s="93">
        <v>16206</v>
      </c>
      <c r="H979" s="94"/>
      <c r="I979" s="93" t="s">
        <v>1253</v>
      </c>
      <c r="J979" s="93">
        <v>2</v>
      </c>
      <c r="K979" s="93">
        <v>3750</v>
      </c>
      <c r="L979" s="93">
        <v>32</v>
      </c>
      <c r="M979" s="17"/>
      <c r="N979" s="93" t="s">
        <v>1253</v>
      </c>
      <c r="O979" s="93">
        <v>2</v>
      </c>
      <c r="P979" s="93">
        <v>3750</v>
      </c>
      <c r="Q979" s="93">
        <v>32</v>
      </c>
      <c r="R979" s="69"/>
    </row>
    <row r="980" spans="2:18">
      <c r="B980" s="68"/>
      <c r="C980" s="93">
        <v>14</v>
      </c>
      <c r="D980" s="93" t="s">
        <v>1909</v>
      </c>
      <c r="E980" s="93">
        <v>61</v>
      </c>
      <c r="F980" s="93">
        <v>358190</v>
      </c>
      <c r="G980" s="93">
        <v>16174</v>
      </c>
      <c r="H980" s="94"/>
      <c r="I980" s="93" t="s">
        <v>1254</v>
      </c>
      <c r="J980" s="93">
        <v>2</v>
      </c>
      <c r="K980" s="93">
        <v>3750</v>
      </c>
      <c r="L980" s="93">
        <v>32</v>
      </c>
      <c r="M980" s="17"/>
      <c r="N980" s="93" t="s">
        <v>1254</v>
      </c>
      <c r="O980" s="93">
        <v>2</v>
      </c>
      <c r="P980" s="93">
        <v>3750</v>
      </c>
      <c r="Q980" s="93">
        <v>32</v>
      </c>
      <c r="R980" s="69"/>
    </row>
    <row r="981" spans="2:18">
      <c r="B981" s="68"/>
      <c r="C981" s="93">
        <v>14</v>
      </c>
      <c r="D981" s="93" t="s">
        <v>1909</v>
      </c>
      <c r="E981" s="93">
        <v>59</v>
      </c>
      <c r="F981" s="93">
        <v>354440</v>
      </c>
      <c r="G981" s="93">
        <v>16142</v>
      </c>
      <c r="H981" s="94"/>
      <c r="I981" s="93" t="s">
        <v>1255</v>
      </c>
      <c r="J981" s="93">
        <v>2</v>
      </c>
      <c r="K981" s="93">
        <v>3750</v>
      </c>
      <c r="L981" s="93">
        <v>32</v>
      </c>
      <c r="M981" s="17"/>
      <c r="N981" s="93" t="s">
        <v>1255</v>
      </c>
      <c r="O981" s="93">
        <v>2</v>
      </c>
      <c r="P981" s="93">
        <v>3750</v>
      </c>
      <c r="Q981" s="93">
        <v>32</v>
      </c>
      <c r="R981" s="69"/>
    </row>
    <row r="982" spans="2:18">
      <c r="B982" s="68"/>
      <c r="C982" s="93">
        <v>14</v>
      </c>
      <c r="D982" s="93" t="s">
        <v>1909</v>
      </c>
      <c r="E982" s="93">
        <v>57</v>
      </c>
      <c r="F982" s="93">
        <v>350690</v>
      </c>
      <c r="G982" s="93">
        <v>16110</v>
      </c>
      <c r="H982" s="94"/>
      <c r="I982" s="93" t="s">
        <v>1256</v>
      </c>
      <c r="J982" s="93">
        <v>2</v>
      </c>
      <c r="K982" s="93">
        <v>3750</v>
      </c>
      <c r="L982" s="93">
        <v>32</v>
      </c>
      <c r="M982" s="17"/>
      <c r="N982" s="93" t="s">
        <v>1256</v>
      </c>
      <c r="O982" s="93">
        <v>2</v>
      </c>
      <c r="P982" s="93">
        <v>3750</v>
      </c>
      <c r="Q982" s="93">
        <v>32</v>
      </c>
      <c r="R982" s="69"/>
    </row>
    <row r="983" spans="2:18">
      <c r="B983" s="68"/>
      <c r="C983" s="93">
        <v>14</v>
      </c>
      <c r="D983" s="93" t="s">
        <v>1909</v>
      </c>
      <c r="E983" s="93">
        <v>53</v>
      </c>
      <c r="F983" s="93">
        <v>343190</v>
      </c>
      <c r="G983" s="93">
        <v>16030</v>
      </c>
      <c r="H983" s="94"/>
      <c r="I983" s="93" t="s">
        <v>1257</v>
      </c>
      <c r="J983" s="93">
        <v>4</v>
      </c>
      <c r="K983" s="93">
        <v>7500</v>
      </c>
      <c r="L983" s="93">
        <v>80</v>
      </c>
      <c r="M983" s="17"/>
      <c r="N983" s="93" t="s">
        <v>1257</v>
      </c>
      <c r="O983" s="93">
        <v>4</v>
      </c>
      <c r="P983" s="93">
        <v>7500</v>
      </c>
      <c r="Q983" s="93">
        <v>80</v>
      </c>
      <c r="R983" s="69"/>
    </row>
    <row r="984" spans="2:18">
      <c r="B984" s="68"/>
      <c r="C984" s="93">
        <v>14</v>
      </c>
      <c r="D984" s="93" t="s">
        <v>1909</v>
      </c>
      <c r="E984" s="93">
        <v>45</v>
      </c>
      <c r="F984" s="93">
        <v>328190</v>
      </c>
      <c r="G984" s="93">
        <v>15870</v>
      </c>
      <c r="H984" s="94"/>
      <c r="I984" s="93" t="s">
        <v>1258</v>
      </c>
      <c r="J984" s="93">
        <v>8</v>
      </c>
      <c r="K984" s="93">
        <v>15000</v>
      </c>
      <c r="L984" s="93">
        <v>160</v>
      </c>
      <c r="M984" s="17"/>
      <c r="N984" s="93" t="s">
        <v>1258</v>
      </c>
      <c r="O984" s="93">
        <v>8</v>
      </c>
      <c r="P984" s="93">
        <v>15000</v>
      </c>
      <c r="Q984" s="93">
        <v>160</v>
      </c>
      <c r="R984" s="69"/>
    </row>
    <row r="985" spans="2:18">
      <c r="B985" s="68"/>
      <c r="C985" s="93">
        <v>14</v>
      </c>
      <c r="D985" s="93" t="s">
        <v>1909</v>
      </c>
      <c r="E985" s="93">
        <v>29</v>
      </c>
      <c r="F985" s="93">
        <v>298190</v>
      </c>
      <c r="G985" s="93">
        <v>15550</v>
      </c>
      <c r="H985" s="94"/>
      <c r="I985" s="93" t="s">
        <v>1259</v>
      </c>
      <c r="J985" s="93">
        <v>16</v>
      </c>
      <c r="K985" s="93">
        <v>30000</v>
      </c>
      <c r="L985" s="93">
        <v>320</v>
      </c>
      <c r="M985" s="17"/>
      <c r="N985" s="93" t="s">
        <v>1259</v>
      </c>
      <c r="O985" s="93">
        <v>16</v>
      </c>
      <c r="P985" s="93">
        <v>30000</v>
      </c>
      <c r="Q985" s="93">
        <v>320</v>
      </c>
      <c r="R985" s="69"/>
    </row>
    <row r="986" spans="2:18">
      <c r="B986" s="68"/>
      <c r="C986" s="93">
        <v>14</v>
      </c>
      <c r="D986" s="93" t="s">
        <v>1909</v>
      </c>
      <c r="E986" s="93">
        <v>21</v>
      </c>
      <c r="F986" s="93">
        <v>237190</v>
      </c>
      <c r="G986" s="93">
        <v>14110</v>
      </c>
      <c r="H986" s="94"/>
      <c r="I986" s="93" t="s">
        <v>1260</v>
      </c>
      <c r="J986" s="93">
        <v>8</v>
      </c>
      <c r="K986" s="93">
        <v>61000</v>
      </c>
      <c r="L986" s="93">
        <v>1440</v>
      </c>
      <c r="M986" s="17"/>
      <c r="N986" s="93" t="s">
        <v>1260</v>
      </c>
      <c r="O986" s="93">
        <v>8</v>
      </c>
      <c r="P986" s="93">
        <v>61000</v>
      </c>
      <c r="Q986" s="93">
        <v>1440</v>
      </c>
      <c r="R986" s="69"/>
    </row>
    <row r="987" spans="2:18">
      <c r="B987" s="68"/>
      <c r="C987" s="93">
        <v>14</v>
      </c>
      <c r="D987" s="93" t="s">
        <v>1909</v>
      </c>
      <c r="E987" s="93">
        <v>5</v>
      </c>
      <c r="F987" s="93">
        <v>207190</v>
      </c>
      <c r="G987" s="93">
        <v>13790</v>
      </c>
      <c r="H987" s="94"/>
      <c r="I987" s="93" t="s">
        <v>1261</v>
      </c>
      <c r="J987" s="93">
        <v>16</v>
      </c>
      <c r="K987" s="93">
        <v>30000</v>
      </c>
      <c r="L987" s="93">
        <v>320</v>
      </c>
      <c r="M987" s="17"/>
      <c r="N987" s="93" t="s">
        <v>1261</v>
      </c>
      <c r="O987" s="93">
        <v>16</v>
      </c>
      <c r="P987" s="93">
        <v>30000</v>
      </c>
      <c r="Q987" s="93">
        <v>320</v>
      </c>
      <c r="R987" s="69"/>
    </row>
    <row r="988" spans="2:18">
      <c r="B988" s="68"/>
      <c r="C988" s="93">
        <v>15</v>
      </c>
      <c r="D988" s="93" t="s">
        <v>1910</v>
      </c>
      <c r="E988" s="93">
        <v>132</v>
      </c>
      <c r="F988" s="93">
        <v>492240</v>
      </c>
      <c r="G988" s="93">
        <v>19470</v>
      </c>
      <c r="H988" s="94"/>
      <c r="I988" s="93" t="s">
        <v>1262</v>
      </c>
      <c r="J988" s="93">
        <v>8</v>
      </c>
      <c r="K988" s="93">
        <v>30000</v>
      </c>
      <c r="L988" s="93">
        <v>160</v>
      </c>
      <c r="M988" s="17"/>
      <c r="N988" s="93" t="s">
        <v>1262</v>
      </c>
      <c r="O988" s="93">
        <v>8</v>
      </c>
      <c r="P988" s="93">
        <v>30000</v>
      </c>
      <c r="Q988" s="93">
        <v>160</v>
      </c>
      <c r="R988" s="69"/>
    </row>
    <row r="989" spans="2:18">
      <c r="B989" s="68"/>
      <c r="C989" s="93">
        <v>15</v>
      </c>
      <c r="D989" s="93" t="s">
        <v>1910</v>
      </c>
      <c r="E989" s="93">
        <v>124</v>
      </c>
      <c r="F989" s="93">
        <v>462240</v>
      </c>
      <c r="G989" s="93">
        <v>19310</v>
      </c>
      <c r="H989" s="94"/>
      <c r="I989" s="93" t="s">
        <v>1263</v>
      </c>
      <c r="J989" s="93">
        <v>8</v>
      </c>
      <c r="K989" s="93">
        <v>30000</v>
      </c>
      <c r="L989" s="93">
        <v>160</v>
      </c>
      <c r="M989" s="17"/>
      <c r="N989" s="93" t="s">
        <v>1263</v>
      </c>
      <c r="O989" s="93">
        <v>8</v>
      </c>
      <c r="P989" s="93">
        <v>30000</v>
      </c>
      <c r="Q989" s="93">
        <v>160</v>
      </c>
      <c r="R989" s="69"/>
    </row>
    <row r="990" spans="2:18">
      <c r="B990" s="68"/>
      <c r="C990" s="93">
        <v>15</v>
      </c>
      <c r="D990" s="93" t="s">
        <v>1910</v>
      </c>
      <c r="E990" s="93">
        <v>92</v>
      </c>
      <c r="F990" s="93">
        <v>402240</v>
      </c>
      <c r="G990" s="93">
        <v>18670</v>
      </c>
      <c r="H990" s="94"/>
      <c r="I990" s="93" t="s">
        <v>1264</v>
      </c>
      <c r="J990" s="93">
        <v>32</v>
      </c>
      <c r="K990" s="93">
        <v>60000</v>
      </c>
      <c r="L990" s="93">
        <v>640</v>
      </c>
      <c r="M990" s="17"/>
      <c r="N990" s="93" t="s">
        <v>1264</v>
      </c>
      <c r="O990" s="93">
        <v>32</v>
      </c>
      <c r="P990" s="93">
        <v>60000</v>
      </c>
      <c r="Q990" s="93">
        <v>640</v>
      </c>
      <c r="R990" s="69"/>
    </row>
    <row r="991" spans="2:18">
      <c r="B991" s="68"/>
      <c r="C991" s="93">
        <v>14</v>
      </c>
      <c r="D991" s="93" t="s">
        <v>1909</v>
      </c>
      <c r="E991" s="93">
        <v>4</v>
      </c>
      <c r="F991" s="93">
        <v>205490</v>
      </c>
      <c r="G991" s="93">
        <v>13630</v>
      </c>
      <c r="H991" s="94"/>
      <c r="I991" s="93" t="s">
        <v>1265</v>
      </c>
      <c r="J991" s="93">
        <v>1</v>
      </c>
      <c r="K991" s="93">
        <v>1700</v>
      </c>
      <c r="L991" s="93">
        <v>160</v>
      </c>
      <c r="M991" s="17"/>
      <c r="N991" s="93" t="s">
        <v>1265</v>
      </c>
      <c r="O991" s="93">
        <v>1</v>
      </c>
      <c r="P991" s="93">
        <v>1700</v>
      </c>
      <c r="Q991" s="93">
        <v>160</v>
      </c>
      <c r="R991" s="69"/>
    </row>
    <row r="992" spans="2:18">
      <c r="B992" s="68"/>
      <c r="C992" s="93">
        <v>15</v>
      </c>
      <c r="D992" s="93" t="s">
        <v>1910</v>
      </c>
      <c r="E992" s="93">
        <v>60</v>
      </c>
      <c r="F992" s="93">
        <v>342240</v>
      </c>
      <c r="G992" s="93">
        <v>18030</v>
      </c>
      <c r="H992" s="94"/>
      <c r="I992" s="93" t="s">
        <v>1266</v>
      </c>
      <c r="J992" s="93">
        <v>32</v>
      </c>
      <c r="K992" s="93">
        <v>60000</v>
      </c>
      <c r="L992" s="93">
        <v>640</v>
      </c>
      <c r="M992" s="17"/>
      <c r="N992" s="93" t="s">
        <v>1266</v>
      </c>
      <c r="O992" s="93">
        <v>32</v>
      </c>
      <c r="P992" s="93">
        <v>60000</v>
      </c>
      <c r="Q992" s="93">
        <v>640</v>
      </c>
      <c r="R992" s="69"/>
    </row>
    <row r="993" spans="2:18">
      <c r="B993" s="68"/>
      <c r="C993" s="93">
        <v>15</v>
      </c>
      <c r="D993" s="93" t="s">
        <v>1910</v>
      </c>
      <c r="E993" s="93">
        <v>52</v>
      </c>
      <c r="F993" s="93">
        <v>312240</v>
      </c>
      <c r="G993" s="93">
        <v>17870</v>
      </c>
      <c r="H993" s="94"/>
      <c r="I993" s="93" t="s">
        <v>1267</v>
      </c>
      <c r="J993" s="93">
        <v>8</v>
      </c>
      <c r="K993" s="93">
        <v>30000</v>
      </c>
      <c r="L993" s="93">
        <v>160</v>
      </c>
      <c r="M993" s="17"/>
      <c r="N993" s="93" t="s">
        <v>1267</v>
      </c>
      <c r="O993" s="93">
        <v>8</v>
      </c>
      <c r="P993" s="93">
        <v>30000</v>
      </c>
      <c r="Q993" s="93">
        <v>160</v>
      </c>
      <c r="R993" s="69"/>
    </row>
    <row r="994" spans="2:18">
      <c r="B994" s="68"/>
      <c r="C994" s="93">
        <v>14</v>
      </c>
      <c r="D994" s="93" t="s">
        <v>1909</v>
      </c>
      <c r="E994" s="93">
        <v>2</v>
      </c>
      <c r="F994" s="93">
        <v>201740</v>
      </c>
      <c r="G994" s="93">
        <v>13598</v>
      </c>
      <c r="H994" s="94"/>
      <c r="I994" s="93" t="s">
        <v>1268</v>
      </c>
      <c r="J994" s="93">
        <v>2</v>
      </c>
      <c r="K994" s="93">
        <v>3750</v>
      </c>
      <c r="L994" s="93">
        <v>32</v>
      </c>
      <c r="M994" s="17"/>
      <c r="N994" s="93" t="s">
        <v>1268</v>
      </c>
      <c r="O994" s="93">
        <v>2</v>
      </c>
      <c r="P994" s="93">
        <v>3750</v>
      </c>
      <c r="Q994" s="93">
        <v>32</v>
      </c>
      <c r="R994" s="69"/>
    </row>
    <row r="995" spans="2:18">
      <c r="B995" s="68"/>
      <c r="C995" s="93">
        <v>14</v>
      </c>
      <c r="D995" s="93" t="s">
        <v>1909</v>
      </c>
      <c r="E995" s="93">
        <v>1</v>
      </c>
      <c r="F995" s="93">
        <v>200040</v>
      </c>
      <c r="G995" s="93">
        <v>13438</v>
      </c>
      <c r="H995" s="94"/>
      <c r="I995" s="93" t="s">
        <v>1269</v>
      </c>
      <c r="J995" s="93">
        <v>1</v>
      </c>
      <c r="K995" s="93">
        <v>1700</v>
      </c>
      <c r="L995" s="93">
        <v>160</v>
      </c>
      <c r="M995" s="17"/>
      <c r="N995" s="93" t="s">
        <v>1269</v>
      </c>
      <c r="O995" s="93">
        <v>1</v>
      </c>
      <c r="P995" s="93">
        <v>1700</v>
      </c>
      <c r="Q995" s="93">
        <v>160</v>
      </c>
      <c r="R995" s="69"/>
    </row>
    <row r="996" spans="2:18">
      <c r="B996" s="68"/>
      <c r="C996" s="93">
        <v>15</v>
      </c>
      <c r="D996" s="93" t="s">
        <v>1910</v>
      </c>
      <c r="E996" s="93">
        <v>51</v>
      </c>
      <c r="F996" s="93">
        <v>310240</v>
      </c>
      <c r="G996" s="93">
        <v>17870</v>
      </c>
      <c r="H996" s="94"/>
      <c r="I996" s="93" t="s">
        <v>1270</v>
      </c>
      <c r="J996" s="93">
        <v>1</v>
      </c>
      <c r="K996" s="93">
        <v>2000</v>
      </c>
      <c r="L996" s="93">
        <v>0</v>
      </c>
      <c r="M996" s="17"/>
      <c r="N996" s="93" t="s">
        <v>1270</v>
      </c>
      <c r="O996" s="93">
        <v>1</v>
      </c>
      <c r="P996" s="93">
        <v>2000</v>
      </c>
      <c r="Q996" s="93">
        <v>0</v>
      </c>
      <c r="R996" s="69"/>
    </row>
    <row r="997" spans="2:18">
      <c r="B997" s="68"/>
      <c r="C997" s="93">
        <v>15</v>
      </c>
      <c r="D997" s="93" t="s">
        <v>1910</v>
      </c>
      <c r="E997" s="93">
        <v>50</v>
      </c>
      <c r="F997" s="93">
        <v>308240</v>
      </c>
      <c r="G997" s="93">
        <v>17870</v>
      </c>
      <c r="H997" s="94"/>
      <c r="I997" s="93" t="s">
        <v>1271</v>
      </c>
      <c r="J997" s="93">
        <v>1</v>
      </c>
      <c r="K997" s="93">
        <v>2000</v>
      </c>
      <c r="L997" s="93">
        <v>0</v>
      </c>
      <c r="M997" s="17"/>
      <c r="N997" s="93" t="s">
        <v>1271</v>
      </c>
      <c r="O997" s="93">
        <v>1</v>
      </c>
      <c r="P997" s="93">
        <v>2000</v>
      </c>
      <c r="Q997" s="93">
        <v>0</v>
      </c>
      <c r="R997" s="69"/>
    </row>
    <row r="998" spans="2:18">
      <c r="B998" s="68"/>
      <c r="C998" s="93">
        <v>15</v>
      </c>
      <c r="D998" s="93" t="s">
        <v>1910</v>
      </c>
      <c r="E998" s="93">
        <v>49</v>
      </c>
      <c r="F998" s="93">
        <v>306240</v>
      </c>
      <c r="G998" s="93">
        <v>17870</v>
      </c>
      <c r="H998" s="94"/>
      <c r="I998" s="93" t="s">
        <v>1272</v>
      </c>
      <c r="J998" s="93">
        <v>1</v>
      </c>
      <c r="K998" s="93">
        <v>2000</v>
      </c>
      <c r="L998" s="93">
        <v>0</v>
      </c>
      <c r="M998" s="17"/>
      <c r="N998" s="93" t="s">
        <v>1272</v>
      </c>
      <c r="O998" s="93">
        <v>1</v>
      </c>
      <c r="P998" s="93">
        <v>2000</v>
      </c>
      <c r="Q998" s="93">
        <v>0</v>
      </c>
      <c r="R998" s="69"/>
    </row>
    <row r="999" spans="2:18">
      <c r="B999" s="68"/>
      <c r="C999" s="93">
        <v>15</v>
      </c>
      <c r="D999" s="93" t="s">
        <v>1910</v>
      </c>
      <c r="E999" s="93">
        <v>48</v>
      </c>
      <c r="F999" s="93">
        <v>304240</v>
      </c>
      <c r="G999" s="93">
        <v>17870</v>
      </c>
      <c r="H999" s="94"/>
      <c r="I999" s="93" t="s">
        <v>1273</v>
      </c>
      <c r="J999" s="93">
        <v>1</v>
      </c>
      <c r="K999" s="93">
        <v>2000</v>
      </c>
      <c r="L999" s="93">
        <v>0</v>
      </c>
      <c r="M999" s="17"/>
      <c r="N999" s="93" t="s">
        <v>1273</v>
      </c>
      <c r="O999" s="93">
        <v>1</v>
      </c>
      <c r="P999" s="93">
        <v>2000</v>
      </c>
      <c r="Q999" s="93">
        <v>0</v>
      </c>
      <c r="R999" s="69"/>
    </row>
    <row r="1000" spans="2:18">
      <c r="B1000" s="68"/>
      <c r="C1000" s="93">
        <v>15</v>
      </c>
      <c r="D1000" s="93" t="s">
        <v>1910</v>
      </c>
      <c r="E1000" s="93">
        <v>47</v>
      </c>
      <c r="F1000" s="93">
        <v>302540</v>
      </c>
      <c r="G1000" s="93">
        <v>17710</v>
      </c>
      <c r="H1000" s="94"/>
      <c r="I1000" s="93" t="s">
        <v>1274</v>
      </c>
      <c r="J1000" s="93">
        <v>1</v>
      </c>
      <c r="K1000" s="93">
        <v>1700</v>
      </c>
      <c r="L1000" s="93">
        <v>160</v>
      </c>
      <c r="M1000" s="17"/>
      <c r="N1000" s="93" t="s">
        <v>1274</v>
      </c>
      <c r="O1000" s="93">
        <v>1</v>
      </c>
      <c r="P1000" s="93">
        <v>1700</v>
      </c>
      <c r="Q1000" s="93">
        <v>160</v>
      </c>
      <c r="R1000" s="69"/>
    </row>
    <row r="1001" spans="2:18">
      <c r="B1001" s="68"/>
      <c r="C1001" s="93">
        <v>15</v>
      </c>
      <c r="D1001" s="93" t="s">
        <v>1910</v>
      </c>
      <c r="E1001" s="93">
        <v>46</v>
      </c>
      <c r="F1001" s="93">
        <v>300540</v>
      </c>
      <c r="G1001" s="93">
        <v>17710</v>
      </c>
      <c r="H1001" s="94"/>
      <c r="I1001" s="93" t="s">
        <v>1275</v>
      </c>
      <c r="J1001" s="93">
        <v>1</v>
      </c>
      <c r="K1001" s="93">
        <v>2000</v>
      </c>
      <c r="L1001" s="93">
        <v>0</v>
      </c>
      <c r="M1001" s="17"/>
      <c r="N1001" s="93" t="s">
        <v>1275</v>
      </c>
      <c r="O1001" s="93">
        <v>1</v>
      </c>
      <c r="P1001" s="93">
        <v>2000</v>
      </c>
      <c r="Q1001" s="93">
        <v>0</v>
      </c>
      <c r="R1001" s="69"/>
    </row>
    <row r="1002" spans="2:18">
      <c r="B1002" s="68"/>
      <c r="C1002" s="93">
        <v>15</v>
      </c>
      <c r="D1002" s="93" t="s">
        <v>1910</v>
      </c>
      <c r="E1002" s="93">
        <v>45</v>
      </c>
      <c r="F1002" s="93">
        <v>298540</v>
      </c>
      <c r="G1002" s="93">
        <v>17710</v>
      </c>
      <c r="H1002" s="94"/>
      <c r="I1002" s="93" t="s">
        <v>1276</v>
      </c>
      <c r="J1002" s="93">
        <v>1</v>
      </c>
      <c r="K1002" s="93">
        <v>2000</v>
      </c>
      <c r="L1002" s="93">
        <v>0</v>
      </c>
      <c r="M1002" s="17"/>
      <c r="N1002" s="93" t="s">
        <v>1276</v>
      </c>
      <c r="O1002" s="93">
        <v>1</v>
      </c>
      <c r="P1002" s="93">
        <v>2000</v>
      </c>
      <c r="Q1002" s="93">
        <v>0</v>
      </c>
      <c r="R1002" s="69"/>
    </row>
    <row r="1003" spans="2:18">
      <c r="B1003" s="68"/>
      <c r="C1003" s="93">
        <v>15</v>
      </c>
      <c r="D1003" s="93" t="s">
        <v>1910</v>
      </c>
      <c r="E1003" s="93">
        <v>44</v>
      </c>
      <c r="F1003" s="93">
        <v>296540</v>
      </c>
      <c r="G1003" s="93">
        <v>17710</v>
      </c>
      <c r="H1003" s="94"/>
      <c r="I1003" s="93" t="s">
        <v>1277</v>
      </c>
      <c r="J1003" s="93">
        <v>1</v>
      </c>
      <c r="K1003" s="93">
        <v>2000</v>
      </c>
      <c r="L1003" s="93">
        <v>0</v>
      </c>
      <c r="M1003" s="17"/>
      <c r="N1003" s="93" t="s">
        <v>1277</v>
      </c>
      <c r="O1003" s="93">
        <v>1</v>
      </c>
      <c r="P1003" s="93">
        <v>2000</v>
      </c>
      <c r="Q1003" s="93">
        <v>0</v>
      </c>
      <c r="R1003" s="69"/>
    </row>
    <row r="1004" spans="2:18">
      <c r="B1004" s="68"/>
      <c r="C1004" s="93">
        <v>15</v>
      </c>
      <c r="D1004" s="93" t="s">
        <v>1910</v>
      </c>
      <c r="E1004" s="93">
        <v>43</v>
      </c>
      <c r="F1004" s="93">
        <v>294540</v>
      </c>
      <c r="G1004" s="93">
        <v>17710</v>
      </c>
      <c r="H1004" s="94"/>
      <c r="I1004" s="93" t="s">
        <v>1278</v>
      </c>
      <c r="J1004" s="93">
        <v>1</v>
      </c>
      <c r="K1004" s="93">
        <v>2000</v>
      </c>
      <c r="L1004" s="93">
        <v>0</v>
      </c>
      <c r="M1004" s="17"/>
      <c r="N1004" s="93" t="s">
        <v>1278</v>
      </c>
      <c r="O1004" s="93">
        <v>1</v>
      </c>
      <c r="P1004" s="93">
        <v>2000</v>
      </c>
      <c r="Q1004" s="93">
        <v>0</v>
      </c>
      <c r="R1004" s="69"/>
    </row>
    <row r="1005" spans="2:18">
      <c r="B1005" s="68"/>
      <c r="C1005" s="93">
        <v>15</v>
      </c>
      <c r="D1005" s="93" t="s">
        <v>1910</v>
      </c>
      <c r="E1005" s="93">
        <v>41</v>
      </c>
      <c r="F1005" s="93">
        <v>290790</v>
      </c>
      <c r="G1005" s="93">
        <v>17678</v>
      </c>
      <c r="H1005" s="94"/>
      <c r="I1005" s="93" t="s">
        <v>1279</v>
      </c>
      <c r="J1005" s="93">
        <v>2</v>
      </c>
      <c r="K1005" s="93">
        <v>3750</v>
      </c>
      <c r="L1005" s="93">
        <v>32</v>
      </c>
      <c r="M1005" s="17"/>
      <c r="N1005" s="93" t="s">
        <v>1279</v>
      </c>
      <c r="O1005" s="93">
        <v>2</v>
      </c>
      <c r="P1005" s="93">
        <v>3750</v>
      </c>
      <c r="Q1005" s="93">
        <v>32</v>
      </c>
      <c r="R1005" s="69"/>
    </row>
    <row r="1006" spans="2:18">
      <c r="B1006" s="68"/>
      <c r="C1006" s="93">
        <v>15</v>
      </c>
      <c r="D1006" s="93" t="s">
        <v>1910</v>
      </c>
      <c r="E1006" s="93">
        <v>39</v>
      </c>
      <c r="F1006" s="93">
        <v>287040</v>
      </c>
      <c r="G1006" s="93">
        <v>17646</v>
      </c>
      <c r="H1006" s="94"/>
      <c r="I1006" s="93" t="s">
        <v>1280</v>
      </c>
      <c r="J1006" s="93">
        <v>2</v>
      </c>
      <c r="K1006" s="93">
        <v>3750</v>
      </c>
      <c r="L1006" s="93">
        <v>32</v>
      </c>
      <c r="M1006" s="17"/>
      <c r="N1006" s="93" t="s">
        <v>1280</v>
      </c>
      <c r="O1006" s="93">
        <v>2</v>
      </c>
      <c r="P1006" s="93">
        <v>3750</v>
      </c>
      <c r="Q1006" s="93">
        <v>32</v>
      </c>
      <c r="R1006" s="69"/>
    </row>
    <row r="1007" spans="2:18">
      <c r="B1007" s="68"/>
      <c r="C1007" s="93">
        <v>15</v>
      </c>
      <c r="D1007" s="93" t="s">
        <v>1910</v>
      </c>
      <c r="E1007" s="93">
        <v>37</v>
      </c>
      <c r="F1007" s="93">
        <v>283290</v>
      </c>
      <c r="G1007" s="93">
        <v>17614</v>
      </c>
      <c r="H1007" s="94"/>
      <c r="I1007" s="93" t="s">
        <v>1281</v>
      </c>
      <c r="J1007" s="93">
        <v>2</v>
      </c>
      <c r="K1007" s="93">
        <v>3750</v>
      </c>
      <c r="L1007" s="93">
        <v>32</v>
      </c>
      <c r="M1007" s="17"/>
      <c r="N1007" s="93" t="s">
        <v>1281</v>
      </c>
      <c r="O1007" s="93">
        <v>2</v>
      </c>
      <c r="P1007" s="93">
        <v>3750</v>
      </c>
      <c r="Q1007" s="93">
        <v>32</v>
      </c>
      <c r="R1007" s="69"/>
    </row>
    <row r="1008" spans="2:18">
      <c r="B1008" s="68"/>
      <c r="C1008" s="93">
        <v>15</v>
      </c>
      <c r="D1008" s="93" t="s">
        <v>1910</v>
      </c>
      <c r="E1008" s="93">
        <v>35</v>
      </c>
      <c r="F1008" s="93">
        <v>279540</v>
      </c>
      <c r="G1008" s="93">
        <v>17582</v>
      </c>
      <c r="H1008" s="94"/>
      <c r="I1008" s="93" t="s">
        <v>1282</v>
      </c>
      <c r="J1008" s="93">
        <v>2</v>
      </c>
      <c r="K1008" s="93">
        <v>3750</v>
      </c>
      <c r="L1008" s="93">
        <v>32</v>
      </c>
      <c r="M1008" s="17"/>
      <c r="N1008" s="93" t="s">
        <v>1282</v>
      </c>
      <c r="O1008" s="93">
        <v>2</v>
      </c>
      <c r="P1008" s="93">
        <v>3750</v>
      </c>
      <c r="Q1008" s="93">
        <v>32</v>
      </c>
      <c r="R1008" s="69"/>
    </row>
    <row r="1009" spans="2:18">
      <c r="B1009" s="68"/>
      <c r="C1009" s="93">
        <v>15</v>
      </c>
      <c r="D1009" s="93" t="s">
        <v>1910</v>
      </c>
      <c r="E1009" s="93">
        <v>34</v>
      </c>
      <c r="F1009" s="93">
        <v>277840</v>
      </c>
      <c r="G1009" s="93">
        <v>17422</v>
      </c>
      <c r="H1009" s="94"/>
      <c r="I1009" s="93" t="s">
        <v>1283</v>
      </c>
      <c r="J1009" s="93">
        <v>1</v>
      </c>
      <c r="K1009" s="93">
        <v>1700</v>
      </c>
      <c r="L1009" s="93">
        <v>160</v>
      </c>
      <c r="M1009" s="17"/>
      <c r="N1009" s="93" t="s">
        <v>1283</v>
      </c>
      <c r="O1009" s="93">
        <v>1</v>
      </c>
      <c r="P1009" s="93">
        <v>1700</v>
      </c>
      <c r="Q1009" s="93">
        <v>160</v>
      </c>
      <c r="R1009" s="69"/>
    </row>
    <row r="1010" spans="2:18">
      <c r="B1010" s="68"/>
      <c r="C1010" s="93">
        <v>15</v>
      </c>
      <c r="D1010" s="93" t="s">
        <v>1910</v>
      </c>
      <c r="E1010" s="93">
        <v>33</v>
      </c>
      <c r="F1010" s="93">
        <v>275840</v>
      </c>
      <c r="G1010" s="93">
        <v>17422</v>
      </c>
      <c r="H1010" s="94"/>
      <c r="I1010" s="93" t="s">
        <v>1284</v>
      </c>
      <c r="J1010" s="93">
        <v>1</v>
      </c>
      <c r="K1010" s="93">
        <v>2000</v>
      </c>
      <c r="L1010" s="93">
        <v>0</v>
      </c>
      <c r="M1010" s="17"/>
      <c r="N1010" s="93" t="s">
        <v>1284</v>
      </c>
      <c r="O1010" s="93">
        <v>1</v>
      </c>
      <c r="P1010" s="93">
        <v>2000</v>
      </c>
      <c r="Q1010" s="93">
        <v>0</v>
      </c>
      <c r="R1010" s="69"/>
    </row>
    <row r="1011" spans="2:18">
      <c r="B1011" s="68"/>
      <c r="C1011" s="93">
        <v>15</v>
      </c>
      <c r="D1011" s="93" t="s">
        <v>1910</v>
      </c>
      <c r="E1011" s="93">
        <v>32</v>
      </c>
      <c r="F1011" s="93">
        <v>274140</v>
      </c>
      <c r="G1011" s="93">
        <v>17262</v>
      </c>
      <c r="H1011" s="94"/>
      <c r="I1011" s="93" t="s">
        <v>1285</v>
      </c>
      <c r="J1011" s="93">
        <v>1</v>
      </c>
      <c r="K1011" s="93">
        <v>1700</v>
      </c>
      <c r="L1011" s="93">
        <v>160</v>
      </c>
      <c r="M1011" s="17"/>
      <c r="N1011" s="93" t="s">
        <v>1285</v>
      </c>
      <c r="O1011" s="93">
        <v>1</v>
      </c>
      <c r="P1011" s="93">
        <v>1700</v>
      </c>
      <c r="Q1011" s="93">
        <v>160</v>
      </c>
      <c r="R1011" s="69"/>
    </row>
    <row r="1012" spans="2:18">
      <c r="B1012" s="68"/>
      <c r="C1012" s="93">
        <v>15</v>
      </c>
      <c r="D1012" s="93" t="s">
        <v>1910</v>
      </c>
      <c r="E1012" s="93">
        <v>31</v>
      </c>
      <c r="F1012" s="93">
        <v>272140</v>
      </c>
      <c r="G1012" s="93">
        <v>17262</v>
      </c>
      <c r="H1012" s="94"/>
      <c r="I1012" s="93" t="s">
        <v>1286</v>
      </c>
      <c r="J1012" s="93">
        <v>1</v>
      </c>
      <c r="K1012" s="93">
        <v>2000</v>
      </c>
      <c r="L1012" s="93">
        <v>0</v>
      </c>
      <c r="M1012" s="17"/>
      <c r="N1012" s="93" t="s">
        <v>1286</v>
      </c>
      <c r="O1012" s="93">
        <v>1</v>
      </c>
      <c r="P1012" s="93">
        <v>2000</v>
      </c>
      <c r="Q1012" s="93">
        <v>0</v>
      </c>
      <c r="R1012" s="69"/>
    </row>
    <row r="1013" spans="2:18">
      <c r="B1013" s="68"/>
      <c r="C1013" s="93">
        <v>15</v>
      </c>
      <c r="D1013" s="93" t="s">
        <v>1910</v>
      </c>
      <c r="E1013" s="93">
        <v>30</v>
      </c>
      <c r="F1013" s="93">
        <v>270140</v>
      </c>
      <c r="G1013" s="93">
        <v>17262</v>
      </c>
      <c r="H1013" s="94"/>
      <c r="I1013" s="93" t="s">
        <v>1287</v>
      </c>
      <c r="J1013" s="93">
        <v>1</v>
      </c>
      <c r="K1013" s="93">
        <v>2000</v>
      </c>
      <c r="L1013" s="93">
        <v>0</v>
      </c>
      <c r="M1013" s="17"/>
      <c r="N1013" s="93" t="s">
        <v>1287</v>
      </c>
      <c r="O1013" s="93">
        <v>1</v>
      </c>
      <c r="P1013" s="93">
        <v>2000</v>
      </c>
      <c r="Q1013" s="93">
        <v>0</v>
      </c>
      <c r="R1013" s="69"/>
    </row>
    <row r="1014" spans="2:18">
      <c r="B1014" s="68"/>
      <c r="C1014" s="93">
        <v>15</v>
      </c>
      <c r="D1014" s="93" t="s">
        <v>1910</v>
      </c>
      <c r="E1014" s="93">
        <v>29</v>
      </c>
      <c r="F1014" s="93">
        <v>266390</v>
      </c>
      <c r="G1014" s="93">
        <v>17258</v>
      </c>
      <c r="H1014" s="94"/>
      <c r="I1014" s="93" t="s">
        <v>1288</v>
      </c>
      <c r="J1014" s="93">
        <v>1</v>
      </c>
      <c r="K1014" s="93">
        <v>3750</v>
      </c>
      <c r="L1014" s="93">
        <v>4</v>
      </c>
      <c r="M1014" s="17"/>
      <c r="N1014" s="93" t="s">
        <v>1288</v>
      </c>
      <c r="O1014" s="93">
        <v>1</v>
      </c>
      <c r="P1014" s="93">
        <v>3750</v>
      </c>
      <c r="Q1014" s="93">
        <v>4</v>
      </c>
      <c r="R1014" s="69"/>
    </row>
    <row r="1015" spans="2:18">
      <c r="B1015" s="68"/>
      <c r="C1015" s="93">
        <v>15</v>
      </c>
      <c r="D1015" s="93" t="s">
        <v>1910</v>
      </c>
      <c r="E1015" s="93">
        <v>28</v>
      </c>
      <c r="F1015" s="93">
        <v>264690</v>
      </c>
      <c r="G1015" s="93">
        <v>17098</v>
      </c>
      <c r="H1015" s="94"/>
      <c r="I1015" s="93" t="s">
        <v>1289</v>
      </c>
      <c r="J1015" s="93">
        <v>1</v>
      </c>
      <c r="K1015" s="93">
        <v>1700</v>
      </c>
      <c r="L1015" s="93">
        <v>160</v>
      </c>
      <c r="M1015" s="17"/>
      <c r="N1015" s="93" t="s">
        <v>1289</v>
      </c>
      <c r="O1015" s="93">
        <v>1</v>
      </c>
      <c r="P1015" s="93">
        <v>1700</v>
      </c>
      <c r="Q1015" s="93">
        <v>160</v>
      </c>
      <c r="R1015" s="69"/>
    </row>
    <row r="1016" spans="2:18">
      <c r="B1016" s="68"/>
      <c r="C1016" s="93">
        <v>15</v>
      </c>
      <c r="D1016" s="93" t="s">
        <v>1910</v>
      </c>
      <c r="E1016" s="93">
        <v>27</v>
      </c>
      <c r="F1016" s="93">
        <v>262990</v>
      </c>
      <c r="G1016" s="93">
        <v>16938</v>
      </c>
      <c r="H1016" s="94"/>
      <c r="I1016" s="93" t="s">
        <v>1290</v>
      </c>
      <c r="J1016" s="93">
        <v>1</v>
      </c>
      <c r="K1016" s="93">
        <v>1700</v>
      </c>
      <c r="L1016" s="93">
        <v>160</v>
      </c>
      <c r="M1016" s="17"/>
      <c r="N1016" s="93" t="s">
        <v>1290</v>
      </c>
      <c r="O1016" s="93">
        <v>1</v>
      </c>
      <c r="P1016" s="93">
        <v>1700</v>
      </c>
      <c r="Q1016" s="93">
        <v>160</v>
      </c>
      <c r="R1016" s="69"/>
    </row>
    <row r="1017" spans="2:18">
      <c r="B1017" s="68"/>
      <c r="C1017" s="93">
        <v>15</v>
      </c>
      <c r="D1017" s="93" t="s">
        <v>1910</v>
      </c>
      <c r="E1017" s="93">
        <v>26</v>
      </c>
      <c r="F1017" s="93">
        <v>261290</v>
      </c>
      <c r="G1017" s="93">
        <v>16778</v>
      </c>
      <c r="H1017" s="94"/>
      <c r="I1017" s="93" t="s">
        <v>1291</v>
      </c>
      <c r="J1017" s="93">
        <v>1</v>
      </c>
      <c r="K1017" s="93">
        <v>1700</v>
      </c>
      <c r="L1017" s="93">
        <v>160</v>
      </c>
      <c r="M1017" s="17"/>
      <c r="N1017" s="93" t="s">
        <v>1291</v>
      </c>
      <c r="O1017" s="93">
        <v>1</v>
      </c>
      <c r="P1017" s="93">
        <v>1700</v>
      </c>
      <c r="Q1017" s="93">
        <v>160</v>
      </c>
      <c r="R1017" s="69"/>
    </row>
    <row r="1018" spans="2:18">
      <c r="B1018" s="68"/>
      <c r="C1018" s="93">
        <v>15</v>
      </c>
      <c r="D1018" s="93" t="s">
        <v>1910</v>
      </c>
      <c r="E1018" s="93">
        <v>25</v>
      </c>
      <c r="F1018" s="93">
        <v>259290</v>
      </c>
      <c r="G1018" s="93">
        <v>16778</v>
      </c>
      <c r="H1018" s="94"/>
      <c r="I1018" s="93" t="s">
        <v>1292</v>
      </c>
      <c r="J1018" s="93">
        <v>1</v>
      </c>
      <c r="K1018" s="93">
        <v>2000</v>
      </c>
      <c r="L1018" s="93">
        <v>0</v>
      </c>
      <c r="M1018" s="17"/>
      <c r="N1018" s="93" t="s">
        <v>1292</v>
      </c>
      <c r="O1018" s="93">
        <v>1</v>
      </c>
      <c r="P1018" s="93">
        <v>2000</v>
      </c>
      <c r="Q1018" s="93">
        <v>0</v>
      </c>
      <c r="R1018" s="69"/>
    </row>
    <row r="1019" spans="2:18">
      <c r="B1019" s="68"/>
      <c r="C1019" s="93">
        <v>15</v>
      </c>
      <c r="D1019" s="93" t="s">
        <v>1910</v>
      </c>
      <c r="E1019" s="93">
        <v>24</v>
      </c>
      <c r="F1019" s="93">
        <v>257290</v>
      </c>
      <c r="G1019" s="93">
        <v>16778</v>
      </c>
      <c r="H1019" s="94"/>
      <c r="I1019" s="93" t="s">
        <v>1293</v>
      </c>
      <c r="J1019" s="93">
        <v>1</v>
      </c>
      <c r="K1019" s="93">
        <v>2000</v>
      </c>
      <c r="L1019" s="93">
        <v>0</v>
      </c>
      <c r="M1019" s="17"/>
      <c r="N1019" s="93" t="s">
        <v>1293</v>
      </c>
      <c r="O1019" s="93">
        <v>1</v>
      </c>
      <c r="P1019" s="93">
        <v>2000</v>
      </c>
      <c r="Q1019" s="93">
        <v>0</v>
      </c>
      <c r="R1019" s="69"/>
    </row>
    <row r="1020" spans="2:18">
      <c r="B1020" s="68"/>
      <c r="C1020" s="93">
        <v>15</v>
      </c>
      <c r="D1020" s="93" t="s">
        <v>1910</v>
      </c>
      <c r="E1020" s="93">
        <v>23</v>
      </c>
      <c r="F1020" s="93">
        <v>255590</v>
      </c>
      <c r="G1020" s="93">
        <v>16618</v>
      </c>
      <c r="H1020" s="94"/>
      <c r="I1020" s="93" t="s">
        <v>1294</v>
      </c>
      <c r="J1020" s="93">
        <v>1</v>
      </c>
      <c r="K1020" s="93">
        <v>1700</v>
      </c>
      <c r="L1020" s="93">
        <v>160</v>
      </c>
      <c r="M1020" s="17"/>
      <c r="N1020" s="93" t="s">
        <v>1294</v>
      </c>
      <c r="O1020" s="93">
        <v>1</v>
      </c>
      <c r="P1020" s="93">
        <v>1700</v>
      </c>
      <c r="Q1020" s="93">
        <v>160</v>
      </c>
      <c r="R1020" s="69"/>
    </row>
    <row r="1021" spans="2:18">
      <c r="B1021" s="68"/>
      <c r="C1021" s="93">
        <v>15</v>
      </c>
      <c r="D1021" s="93" t="s">
        <v>1910</v>
      </c>
      <c r="E1021" s="93">
        <v>21</v>
      </c>
      <c r="F1021" s="93">
        <v>248090</v>
      </c>
      <c r="G1021" s="93">
        <v>16586</v>
      </c>
      <c r="H1021" s="94"/>
      <c r="I1021" s="93" t="s">
        <v>1295</v>
      </c>
      <c r="J1021" s="93">
        <v>2</v>
      </c>
      <c r="K1021" s="93">
        <v>7500</v>
      </c>
      <c r="L1021" s="93">
        <v>32</v>
      </c>
      <c r="M1021" s="17"/>
      <c r="N1021" s="93" t="s">
        <v>1295</v>
      </c>
      <c r="O1021" s="93">
        <v>2</v>
      </c>
      <c r="P1021" s="93">
        <v>7500</v>
      </c>
      <c r="Q1021" s="93">
        <v>32</v>
      </c>
      <c r="R1021" s="69"/>
    </row>
    <row r="1022" spans="2:18">
      <c r="B1022" s="68"/>
      <c r="C1022" s="93">
        <v>15</v>
      </c>
      <c r="D1022" s="93" t="s">
        <v>1910</v>
      </c>
      <c r="E1022" s="93">
        <v>19</v>
      </c>
      <c r="F1022" s="93">
        <v>240590</v>
      </c>
      <c r="G1022" s="93">
        <v>16554</v>
      </c>
      <c r="H1022" s="94"/>
      <c r="I1022" s="93" t="s">
        <v>1296</v>
      </c>
      <c r="J1022" s="93">
        <v>2</v>
      </c>
      <c r="K1022" s="93">
        <v>7500</v>
      </c>
      <c r="L1022" s="93">
        <v>32</v>
      </c>
      <c r="M1022" s="17"/>
      <c r="N1022" s="93" t="s">
        <v>1296</v>
      </c>
      <c r="O1022" s="93">
        <v>2</v>
      </c>
      <c r="P1022" s="93">
        <v>7500</v>
      </c>
      <c r="Q1022" s="93">
        <v>32</v>
      </c>
      <c r="R1022" s="69"/>
    </row>
    <row r="1023" spans="2:18">
      <c r="B1023" s="68"/>
      <c r="C1023" s="93">
        <v>15</v>
      </c>
      <c r="D1023" s="93" t="s">
        <v>1910</v>
      </c>
      <c r="E1023" s="93">
        <v>17</v>
      </c>
      <c r="F1023" s="93">
        <v>233090</v>
      </c>
      <c r="G1023" s="93">
        <v>16522</v>
      </c>
      <c r="H1023" s="94"/>
      <c r="I1023" s="93" t="s">
        <v>1297</v>
      </c>
      <c r="J1023" s="93">
        <v>2</v>
      </c>
      <c r="K1023" s="93">
        <v>7500</v>
      </c>
      <c r="L1023" s="93">
        <v>32</v>
      </c>
      <c r="M1023" s="17"/>
      <c r="N1023" s="93" t="s">
        <v>1297</v>
      </c>
      <c r="O1023" s="93">
        <v>2</v>
      </c>
      <c r="P1023" s="93">
        <v>7500</v>
      </c>
      <c r="Q1023" s="93">
        <v>32</v>
      </c>
      <c r="R1023" s="69"/>
    </row>
    <row r="1024" spans="2:18">
      <c r="B1024" s="68"/>
      <c r="C1024" s="93">
        <v>15</v>
      </c>
      <c r="D1024" s="93" t="s">
        <v>1910</v>
      </c>
      <c r="E1024" s="93">
        <v>16</v>
      </c>
      <c r="F1024" s="93">
        <v>231090</v>
      </c>
      <c r="G1024" s="93">
        <v>16522</v>
      </c>
      <c r="H1024" s="94"/>
      <c r="I1024" s="93" t="s">
        <v>1298</v>
      </c>
      <c r="J1024" s="93">
        <v>1</v>
      </c>
      <c r="K1024" s="93">
        <v>2000</v>
      </c>
      <c r="L1024" s="93">
        <v>0</v>
      </c>
      <c r="M1024" s="17"/>
      <c r="N1024" s="93" t="s">
        <v>1298</v>
      </c>
      <c r="O1024" s="93">
        <v>1</v>
      </c>
      <c r="P1024" s="93">
        <v>2000</v>
      </c>
      <c r="Q1024" s="93">
        <v>0</v>
      </c>
      <c r="R1024" s="69"/>
    </row>
    <row r="1025" spans="2:18">
      <c r="B1025" s="68"/>
      <c r="C1025" s="93">
        <v>15</v>
      </c>
      <c r="D1025" s="93" t="s">
        <v>1910</v>
      </c>
      <c r="E1025" s="93">
        <v>15</v>
      </c>
      <c r="F1025" s="93">
        <v>229090</v>
      </c>
      <c r="G1025" s="93">
        <v>16522</v>
      </c>
      <c r="H1025" s="94"/>
      <c r="I1025" s="93" t="s">
        <v>1299</v>
      </c>
      <c r="J1025" s="93">
        <v>1</v>
      </c>
      <c r="K1025" s="93">
        <v>2000</v>
      </c>
      <c r="L1025" s="93">
        <v>0</v>
      </c>
      <c r="M1025" s="17"/>
      <c r="N1025" s="93" t="s">
        <v>1299</v>
      </c>
      <c r="O1025" s="93">
        <v>1</v>
      </c>
      <c r="P1025" s="93">
        <v>2000</v>
      </c>
      <c r="Q1025" s="93">
        <v>0</v>
      </c>
      <c r="R1025" s="69"/>
    </row>
    <row r="1026" spans="2:18">
      <c r="B1026" s="68"/>
      <c r="C1026" s="93">
        <v>15</v>
      </c>
      <c r="D1026" s="93" t="s">
        <v>1910</v>
      </c>
      <c r="E1026" s="93">
        <v>14</v>
      </c>
      <c r="F1026" s="93">
        <v>227090</v>
      </c>
      <c r="G1026" s="93">
        <v>16522</v>
      </c>
      <c r="H1026" s="94"/>
      <c r="I1026" s="93" t="s">
        <v>1300</v>
      </c>
      <c r="J1026" s="93">
        <v>1</v>
      </c>
      <c r="K1026" s="93">
        <v>2000</v>
      </c>
      <c r="L1026" s="93">
        <v>0</v>
      </c>
      <c r="M1026" s="17"/>
      <c r="N1026" s="93" t="s">
        <v>1300</v>
      </c>
      <c r="O1026" s="93">
        <v>1</v>
      </c>
      <c r="P1026" s="93">
        <v>2000</v>
      </c>
      <c r="Q1026" s="93">
        <v>0</v>
      </c>
      <c r="R1026" s="69"/>
    </row>
    <row r="1027" spans="2:18">
      <c r="B1027" s="68"/>
      <c r="C1027" s="93">
        <v>15</v>
      </c>
      <c r="D1027" s="93" t="s">
        <v>1910</v>
      </c>
      <c r="E1027" s="93">
        <v>13</v>
      </c>
      <c r="F1027" s="93">
        <v>225090</v>
      </c>
      <c r="G1027" s="93">
        <v>16522</v>
      </c>
      <c r="H1027" s="94"/>
      <c r="I1027" s="93" t="s">
        <v>1301</v>
      </c>
      <c r="J1027" s="93">
        <v>1</v>
      </c>
      <c r="K1027" s="93">
        <v>2000</v>
      </c>
      <c r="L1027" s="93">
        <v>0</v>
      </c>
      <c r="M1027" s="17"/>
      <c r="N1027" s="93" t="s">
        <v>1301</v>
      </c>
      <c r="O1027" s="93">
        <v>1</v>
      </c>
      <c r="P1027" s="93">
        <v>2000</v>
      </c>
      <c r="Q1027" s="93">
        <v>0</v>
      </c>
      <c r="R1027" s="69"/>
    </row>
    <row r="1028" spans="2:18">
      <c r="B1028" s="68"/>
      <c r="C1028" s="93">
        <v>15</v>
      </c>
      <c r="D1028" s="93" t="s">
        <v>1910</v>
      </c>
      <c r="E1028" s="93">
        <v>12</v>
      </c>
      <c r="F1028" s="93">
        <v>223390</v>
      </c>
      <c r="G1028" s="93">
        <v>16362</v>
      </c>
      <c r="H1028" s="94"/>
      <c r="I1028" s="93" t="s">
        <v>1302</v>
      </c>
      <c r="J1028" s="93">
        <v>1</v>
      </c>
      <c r="K1028" s="93">
        <v>1700</v>
      </c>
      <c r="L1028" s="93">
        <v>160</v>
      </c>
      <c r="M1028" s="17"/>
      <c r="N1028" s="93" t="s">
        <v>1302</v>
      </c>
      <c r="O1028" s="93">
        <v>1</v>
      </c>
      <c r="P1028" s="93">
        <v>1700</v>
      </c>
      <c r="Q1028" s="93">
        <v>160</v>
      </c>
      <c r="R1028" s="69"/>
    </row>
    <row r="1029" spans="2:18">
      <c r="B1029" s="68"/>
      <c r="C1029" s="93">
        <v>15</v>
      </c>
      <c r="D1029" s="93" t="s">
        <v>1910</v>
      </c>
      <c r="E1029" s="93">
        <v>11</v>
      </c>
      <c r="F1029" s="93">
        <v>221690</v>
      </c>
      <c r="G1029" s="93">
        <v>16202</v>
      </c>
      <c r="H1029" s="94"/>
      <c r="I1029" s="93" t="s">
        <v>1303</v>
      </c>
      <c r="J1029" s="93">
        <v>1</v>
      </c>
      <c r="K1029" s="93">
        <v>1700</v>
      </c>
      <c r="L1029" s="93">
        <v>160</v>
      </c>
      <c r="M1029" s="17"/>
      <c r="N1029" s="93" t="s">
        <v>1303</v>
      </c>
      <c r="O1029" s="93">
        <v>1</v>
      </c>
      <c r="P1029" s="93">
        <v>1700</v>
      </c>
      <c r="Q1029" s="93">
        <v>160</v>
      </c>
      <c r="R1029" s="69"/>
    </row>
    <row r="1030" spans="2:18">
      <c r="B1030" s="68"/>
      <c r="C1030" s="93">
        <v>15</v>
      </c>
      <c r="D1030" s="93" t="s">
        <v>1910</v>
      </c>
      <c r="E1030" s="93">
        <v>10</v>
      </c>
      <c r="F1030" s="93">
        <v>219690</v>
      </c>
      <c r="G1030" s="93">
        <v>16202</v>
      </c>
      <c r="H1030" s="94"/>
      <c r="I1030" s="93" t="s">
        <v>1304</v>
      </c>
      <c r="J1030" s="93">
        <v>1</v>
      </c>
      <c r="K1030" s="93">
        <v>2000</v>
      </c>
      <c r="L1030" s="93">
        <v>0</v>
      </c>
      <c r="M1030" s="17"/>
      <c r="N1030" s="93" t="s">
        <v>1304</v>
      </c>
      <c r="O1030" s="93">
        <v>1</v>
      </c>
      <c r="P1030" s="93">
        <v>2000</v>
      </c>
      <c r="Q1030" s="93">
        <v>0</v>
      </c>
      <c r="R1030" s="69"/>
    </row>
    <row r="1031" spans="2:18">
      <c r="B1031" s="68"/>
      <c r="C1031" s="93">
        <v>15</v>
      </c>
      <c r="D1031" s="93" t="s">
        <v>1910</v>
      </c>
      <c r="E1031" s="93">
        <v>9</v>
      </c>
      <c r="F1031" s="93">
        <v>217690</v>
      </c>
      <c r="G1031" s="93">
        <v>16202</v>
      </c>
      <c r="H1031" s="94"/>
      <c r="I1031" s="93" t="s">
        <v>1305</v>
      </c>
      <c r="J1031" s="93">
        <v>1</v>
      </c>
      <c r="K1031" s="93">
        <v>2000</v>
      </c>
      <c r="L1031" s="93">
        <v>0</v>
      </c>
      <c r="M1031" s="17"/>
      <c r="N1031" s="93" t="s">
        <v>1305</v>
      </c>
      <c r="O1031" s="93">
        <v>1</v>
      </c>
      <c r="P1031" s="93">
        <v>2000</v>
      </c>
      <c r="Q1031" s="93">
        <v>0</v>
      </c>
      <c r="R1031" s="69"/>
    </row>
    <row r="1032" spans="2:18">
      <c r="B1032" s="68"/>
      <c r="C1032" s="93">
        <v>15</v>
      </c>
      <c r="D1032" s="93" t="s">
        <v>1910</v>
      </c>
      <c r="E1032" s="93">
        <v>7</v>
      </c>
      <c r="F1032" s="93">
        <v>213940</v>
      </c>
      <c r="G1032" s="93">
        <v>16170</v>
      </c>
      <c r="H1032" s="94"/>
      <c r="I1032" s="93" t="s">
        <v>1306</v>
      </c>
      <c r="J1032" s="93">
        <v>2</v>
      </c>
      <c r="K1032" s="93">
        <v>3750</v>
      </c>
      <c r="L1032" s="93">
        <v>32</v>
      </c>
      <c r="M1032" s="17"/>
      <c r="N1032" s="93" t="s">
        <v>1306</v>
      </c>
      <c r="O1032" s="93">
        <v>2</v>
      </c>
      <c r="P1032" s="93">
        <v>3750</v>
      </c>
      <c r="Q1032" s="93">
        <v>32</v>
      </c>
      <c r="R1032" s="69"/>
    </row>
    <row r="1033" spans="2:18">
      <c r="B1033" s="68"/>
      <c r="C1033" s="93">
        <v>15</v>
      </c>
      <c r="D1033" s="93" t="s">
        <v>1910</v>
      </c>
      <c r="E1033" s="93">
        <v>6</v>
      </c>
      <c r="F1033" s="93">
        <v>211940</v>
      </c>
      <c r="G1033" s="93">
        <v>16170</v>
      </c>
      <c r="H1033" s="94"/>
      <c r="I1033" s="93" t="s">
        <v>1307</v>
      </c>
      <c r="J1033" s="93">
        <v>1</v>
      </c>
      <c r="K1033" s="93">
        <v>2000</v>
      </c>
      <c r="L1033" s="93">
        <v>0</v>
      </c>
      <c r="M1033" s="17"/>
      <c r="N1033" s="93" t="s">
        <v>1307</v>
      </c>
      <c r="O1033" s="93">
        <v>1</v>
      </c>
      <c r="P1033" s="93">
        <v>2000</v>
      </c>
      <c r="Q1033" s="93">
        <v>0</v>
      </c>
      <c r="R1033" s="69"/>
    </row>
    <row r="1034" spans="2:18">
      <c r="B1034" s="68"/>
      <c r="C1034" s="93">
        <v>15</v>
      </c>
      <c r="D1034" s="93" t="s">
        <v>1910</v>
      </c>
      <c r="E1034" s="93">
        <v>5</v>
      </c>
      <c r="F1034" s="93">
        <v>209940</v>
      </c>
      <c r="G1034" s="93">
        <v>16170</v>
      </c>
      <c r="H1034" s="94"/>
      <c r="I1034" s="93" t="s">
        <v>1308</v>
      </c>
      <c r="J1034" s="93">
        <v>1</v>
      </c>
      <c r="K1034" s="93">
        <v>2000</v>
      </c>
      <c r="L1034" s="93">
        <v>0</v>
      </c>
      <c r="M1034" s="17"/>
      <c r="N1034" s="93" t="s">
        <v>1308</v>
      </c>
      <c r="O1034" s="93">
        <v>1</v>
      </c>
      <c r="P1034" s="93">
        <v>2000</v>
      </c>
      <c r="Q1034" s="93">
        <v>0</v>
      </c>
      <c r="R1034" s="69"/>
    </row>
    <row r="1035" spans="2:18">
      <c r="B1035" s="68"/>
      <c r="C1035" s="93">
        <v>15</v>
      </c>
      <c r="D1035" s="93" t="s">
        <v>1910</v>
      </c>
      <c r="E1035" s="93">
        <v>4</v>
      </c>
      <c r="F1035" s="93">
        <v>207940</v>
      </c>
      <c r="G1035" s="93">
        <v>16170</v>
      </c>
      <c r="H1035" s="94"/>
      <c r="I1035" s="93" t="s">
        <v>1309</v>
      </c>
      <c r="J1035" s="93">
        <v>1</v>
      </c>
      <c r="K1035" s="93">
        <v>2000</v>
      </c>
      <c r="L1035" s="93">
        <v>0</v>
      </c>
      <c r="M1035" s="17"/>
      <c r="N1035" s="93" t="s">
        <v>1309</v>
      </c>
      <c r="O1035" s="93">
        <v>1</v>
      </c>
      <c r="P1035" s="93">
        <v>2000</v>
      </c>
      <c r="Q1035" s="93">
        <v>0</v>
      </c>
      <c r="R1035" s="69"/>
    </row>
    <row r="1036" spans="2:18">
      <c r="B1036" s="68"/>
      <c r="C1036" s="93">
        <v>15</v>
      </c>
      <c r="D1036" s="93" t="s">
        <v>1910</v>
      </c>
      <c r="E1036" s="93">
        <v>3</v>
      </c>
      <c r="F1036" s="93">
        <v>205940</v>
      </c>
      <c r="G1036" s="93">
        <v>16170</v>
      </c>
      <c r="H1036" s="94"/>
      <c r="I1036" s="93" t="s">
        <v>1310</v>
      </c>
      <c r="J1036" s="93">
        <v>1</v>
      </c>
      <c r="K1036" s="93">
        <v>2000</v>
      </c>
      <c r="L1036" s="93">
        <v>0</v>
      </c>
      <c r="M1036" s="17"/>
      <c r="N1036" s="93" t="s">
        <v>1310</v>
      </c>
      <c r="O1036" s="93">
        <v>1</v>
      </c>
      <c r="P1036" s="93">
        <v>2000</v>
      </c>
      <c r="Q1036" s="93">
        <v>0</v>
      </c>
      <c r="R1036" s="69"/>
    </row>
    <row r="1037" spans="2:18">
      <c r="B1037" s="68"/>
      <c r="C1037" s="93">
        <v>15</v>
      </c>
      <c r="D1037" s="93" t="s">
        <v>1910</v>
      </c>
      <c r="E1037" s="93">
        <v>2</v>
      </c>
      <c r="F1037" s="93">
        <v>203940</v>
      </c>
      <c r="G1037" s="93">
        <v>16170</v>
      </c>
      <c r="H1037" s="94"/>
      <c r="I1037" s="93" t="s">
        <v>1311</v>
      </c>
      <c r="J1037" s="93">
        <v>1</v>
      </c>
      <c r="K1037" s="93">
        <v>2000</v>
      </c>
      <c r="L1037" s="93">
        <v>0</v>
      </c>
      <c r="M1037" s="17"/>
      <c r="N1037" s="93" t="s">
        <v>1311</v>
      </c>
      <c r="O1037" s="93">
        <v>1</v>
      </c>
      <c r="P1037" s="93">
        <v>2000</v>
      </c>
      <c r="Q1037" s="93">
        <v>0</v>
      </c>
      <c r="R1037" s="69"/>
    </row>
    <row r="1038" spans="2:18">
      <c r="B1038" s="68"/>
      <c r="C1038" s="93">
        <v>15</v>
      </c>
      <c r="D1038" s="93" t="s">
        <v>1910</v>
      </c>
      <c r="E1038" s="93">
        <v>1</v>
      </c>
      <c r="F1038" s="93">
        <v>201940</v>
      </c>
      <c r="G1038" s="93">
        <v>16170</v>
      </c>
      <c r="H1038" s="94"/>
      <c r="I1038" s="93" t="s">
        <v>1312</v>
      </c>
      <c r="J1038" s="93">
        <v>1</v>
      </c>
      <c r="K1038" s="93">
        <v>2000</v>
      </c>
      <c r="L1038" s="93">
        <v>0</v>
      </c>
      <c r="M1038" s="17"/>
      <c r="N1038" s="93" t="s">
        <v>1312</v>
      </c>
      <c r="O1038" s="93">
        <v>1</v>
      </c>
      <c r="P1038" s="93">
        <v>2000</v>
      </c>
      <c r="Q1038" s="93">
        <v>0</v>
      </c>
      <c r="R1038" s="69"/>
    </row>
    <row r="1039" spans="2:18">
      <c r="B1039" s="68"/>
      <c r="C1039" s="93">
        <v>16</v>
      </c>
      <c r="D1039" s="93" t="s">
        <v>1911</v>
      </c>
      <c r="E1039" s="93">
        <v>139</v>
      </c>
      <c r="F1039" s="93">
        <v>520240</v>
      </c>
      <c r="G1039" s="93">
        <v>19630</v>
      </c>
      <c r="H1039" s="94"/>
      <c r="I1039" s="93" t="s">
        <v>1313</v>
      </c>
      <c r="J1039" s="93">
        <v>1</v>
      </c>
      <c r="K1039" s="93">
        <v>2000</v>
      </c>
      <c r="L1039" s="93">
        <v>0</v>
      </c>
      <c r="M1039" s="17"/>
      <c r="N1039" s="93" t="s">
        <v>1313</v>
      </c>
      <c r="O1039" s="93">
        <v>1</v>
      </c>
      <c r="P1039" s="93">
        <v>2000</v>
      </c>
      <c r="Q1039" s="93">
        <v>0</v>
      </c>
      <c r="R1039" s="69"/>
    </row>
    <row r="1040" spans="2:18">
      <c r="B1040" s="68"/>
      <c r="C1040" s="93">
        <v>16</v>
      </c>
      <c r="D1040" s="93" t="s">
        <v>1911</v>
      </c>
      <c r="E1040" s="93">
        <v>138</v>
      </c>
      <c r="F1040" s="93">
        <v>518240</v>
      </c>
      <c r="G1040" s="93">
        <v>19630</v>
      </c>
      <c r="H1040" s="94"/>
      <c r="I1040" s="93" t="s">
        <v>1314</v>
      </c>
      <c r="J1040" s="93">
        <v>1</v>
      </c>
      <c r="K1040" s="93">
        <v>2000</v>
      </c>
      <c r="L1040" s="93">
        <v>0</v>
      </c>
      <c r="M1040" s="17"/>
      <c r="N1040" s="93" t="s">
        <v>1314</v>
      </c>
      <c r="O1040" s="93">
        <v>1</v>
      </c>
      <c r="P1040" s="93">
        <v>2000</v>
      </c>
      <c r="Q1040" s="93">
        <v>0</v>
      </c>
      <c r="R1040" s="69"/>
    </row>
    <row r="1041" spans="2:18">
      <c r="B1041" s="68"/>
      <c r="C1041" s="93">
        <v>16</v>
      </c>
      <c r="D1041" s="93" t="s">
        <v>1911</v>
      </c>
      <c r="E1041" s="93">
        <v>136</v>
      </c>
      <c r="F1041" s="93">
        <v>510740</v>
      </c>
      <c r="G1041" s="93">
        <v>19598</v>
      </c>
      <c r="H1041" s="94"/>
      <c r="I1041" s="93" t="s">
        <v>1315</v>
      </c>
      <c r="J1041" s="93">
        <v>2</v>
      </c>
      <c r="K1041" s="93">
        <v>7500</v>
      </c>
      <c r="L1041" s="93">
        <v>32</v>
      </c>
      <c r="M1041" s="17"/>
      <c r="N1041" s="93" t="s">
        <v>1315</v>
      </c>
      <c r="O1041" s="93">
        <v>2</v>
      </c>
      <c r="P1041" s="93">
        <v>7500</v>
      </c>
      <c r="Q1041" s="93">
        <v>32</v>
      </c>
      <c r="R1041" s="69"/>
    </row>
    <row r="1042" spans="2:18">
      <c r="B1042" s="68"/>
      <c r="C1042" s="93">
        <v>16</v>
      </c>
      <c r="D1042" s="93" t="s">
        <v>1911</v>
      </c>
      <c r="E1042" s="93">
        <v>135</v>
      </c>
      <c r="F1042" s="93">
        <v>508740</v>
      </c>
      <c r="G1042" s="93">
        <v>19598</v>
      </c>
      <c r="H1042" s="94"/>
      <c r="I1042" s="93" t="s">
        <v>1316</v>
      </c>
      <c r="J1042" s="93">
        <v>1</v>
      </c>
      <c r="K1042" s="93">
        <v>2000</v>
      </c>
      <c r="L1042" s="93">
        <v>0</v>
      </c>
      <c r="M1042" s="17"/>
      <c r="N1042" s="93" t="s">
        <v>1316</v>
      </c>
      <c r="O1042" s="93">
        <v>1</v>
      </c>
      <c r="P1042" s="93">
        <v>2000</v>
      </c>
      <c r="Q1042" s="93">
        <v>0</v>
      </c>
      <c r="R1042" s="69"/>
    </row>
    <row r="1043" spans="2:18">
      <c r="B1043" s="68"/>
      <c r="C1043" s="93">
        <v>16</v>
      </c>
      <c r="D1043" s="93" t="s">
        <v>1911</v>
      </c>
      <c r="E1043" s="93">
        <v>127</v>
      </c>
      <c r="F1043" s="93">
        <v>493740</v>
      </c>
      <c r="G1043" s="93">
        <v>19438</v>
      </c>
      <c r="H1043" s="94"/>
      <c r="I1043" s="93" t="s">
        <v>1317</v>
      </c>
      <c r="J1043" s="93">
        <v>8</v>
      </c>
      <c r="K1043" s="93">
        <v>15000</v>
      </c>
      <c r="L1043" s="93">
        <v>160</v>
      </c>
      <c r="M1043" s="17"/>
      <c r="N1043" s="93" t="s">
        <v>1317</v>
      </c>
      <c r="O1043" s="93">
        <v>8</v>
      </c>
      <c r="P1043" s="93">
        <v>15000</v>
      </c>
      <c r="Q1043" s="93">
        <v>160</v>
      </c>
      <c r="R1043" s="69"/>
    </row>
    <row r="1044" spans="2:18">
      <c r="B1044" s="68"/>
      <c r="C1044" s="93">
        <v>16</v>
      </c>
      <c r="D1044" s="93" t="s">
        <v>1911</v>
      </c>
      <c r="E1044" s="93">
        <v>119</v>
      </c>
      <c r="F1044" s="93">
        <v>478740</v>
      </c>
      <c r="G1044" s="93">
        <v>19278</v>
      </c>
      <c r="H1044" s="94"/>
      <c r="I1044" s="93" t="s">
        <v>1318</v>
      </c>
      <c r="J1044" s="93">
        <v>8</v>
      </c>
      <c r="K1044" s="93">
        <v>15000</v>
      </c>
      <c r="L1044" s="93">
        <v>160</v>
      </c>
      <c r="M1044" s="17"/>
      <c r="N1044" s="93" t="s">
        <v>1318</v>
      </c>
      <c r="O1044" s="93">
        <v>8</v>
      </c>
      <c r="P1044" s="93">
        <v>15000</v>
      </c>
      <c r="Q1044" s="93">
        <v>160</v>
      </c>
      <c r="R1044" s="69"/>
    </row>
    <row r="1045" spans="2:18">
      <c r="B1045" s="68"/>
      <c r="C1045" s="93">
        <v>16</v>
      </c>
      <c r="D1045" s="93" t="s">
        <v>1911</v>
      </c>
      <c r="E1045" s="93">
        <v>111</v>
      </c>
      <c r="F1045" s="93">
        <v>463740</v>
      </c>
      <c r="G1045" s="93">
        <v>19118</v>
      </c>
      <c r="H1045" s="94"/>
      <c r="I1045" s="93" t="s">
        <v>1319</v>
      </c>
      <c r="J1045" s="93">
        <v>8</v>
      </c>
      <c r="K1045" s="93">
        <v>15000</v>
      </c>
      <c r="L1045" s="93">
        <v>160</v>
      </c>
      <c r="M1045" s="17"/>
      <c r="N1045" s="93" t="s">
        <v>1319</v>
      </c>
      <c r="O1045" s="93">
        <v>8</v>
      </c>
      <c r="P1045" s="93">
        <v>15000</v>
      </c>
      <c r="Q1045" s="93">
        <v>160</v>
      </c>
      <c r="R1045" s="69"/>
    </row>
    <row r="1046" spans="2:18">
      <c r="B1046" s="68"/>
      <c r="C1046" s="93">
        <v>16</v>
      </c>
      <c r="D1046" s="93" t="s">
        <v>1911</v>
      </c>
      <c r="E1046" s="93">
        <v>109</v>
      </c>
      <c r="F1046" s="93">
        <v>456240</v>
      </c>
      <c r="G1046" s="93">
        <v>19086</v>
      </c>
      <c r="H1046" s="94"/>
      <c r="I1046" s="93" t="s">
        <v>1320</v>
      </c>
      <c r="J1046" s="93">
        <v>2</v>
      </c>
      <c r="K1046" s="93">
        <v>7500</v>
      </c>
      <c r="L1046" s="93">
        <v>32</v>
      </c>
      <c r="M1046" s="17"/>
      <c r="N1046" s="93" t="s">
        <v>1320</v>
      </c>
      <c r="O1046" s="93">
        <v>2</v>
      </c>
      <c r="P1046" s="93">
        <v>7500</v>
      </c>
      <c r="Q1046" s="93">
        <v>32</v>
      </c>
      <c r="R1046" s="69"/>
    </row>
    <row r="1047" spans="2:18">
      <c r="B1047" s="68"/>
      <c r="C1047" s="93">
        <v>16</v>
      </c>
      <c r="D1047" s="93" t="s">
        <v>1911</v>
      </c>
      <c r="E1047" s="93">
        <v>107</v>
      </c>
      <c r="F1047" s="93">
        <v>448740</v>
      </c>
      <c r="G1047" s="93">
        <v>19054</v>
      </c>
      <c r="H1047" s="94"/>
      <c r="I1047" s="93" t="s">
        <v>1321</v>
      </c>
      <c r="J1047" s="93">
        <v>2</v>
      </c>
      <c r="K1047" s="93">
        <v>7500</v>
      </c>
      <c r="L1047" s="93">
        <v>32</v>
      </c>
      <c r="M1047" s="17"/>
      <c r="N1047" s="93" t="s">
        <v>1321</v>
      </c>
      <c r="O1047" s="93">
        <v>2</v>
      </c>
      <c r="P1047" s="93">
        <v>7500</v>
      </c>
      <c r="Q1047" s="93">
        <v>32</v>
      </c>
      <c r="R1047" s="69"/>
    </row>
    <row r="1048" spans="2:18">
      <c r="B1048" s="68"/>
      <c r="C1048" s="93">
        <v>16</v>
      </c>
      <c r="D1048" s="93" t="s">
        <v>1911</v>
      </c>
      <c r="E1048" s="93">
        <v>105</v>
      </c>
      <c r="F1048" s="93">
        <v>441240</v>
      </c>
      <c r="G1048" s="93">
        <v>19022</v>
      </c>
      <c r="H1048" s="94"/>
      <c r="I1048" s="93" t="s">
        <v>1322</v>
      </c>
      <c r="J1048" s="93">
        <v>2</v>
      </c>
      <c r="K1048" s="93">
        <v>7500</v>
      </c>
      <c r="L1048" s="93">
        <v>32</v>
      </c>
      <c r="M1048" s="17"/>
      <c r="N1048" s="93" t="s">
        <v>1322</v>
      </c>
      <c r="O1048" s="93">
        <v>2</v>
      </c>
      <c r="P1048" s="93">
        <v>7500</v>
      </c>
      <c r="Q1048" s="93">
        <v>32</v>
      </c>
      <c r="R1048" s="69"/>
    </row>
    <row r="1049" spans="2:18">
      <c r="B1049" s="68"/>
      <c r="C1049" s="93">
        <v>16</v>
      </c>
      <c r="D1049" s="93" t="s">
        <v>1911</v>
      </c>
      <c r="E1049" s="93">
        <v>97</v>
      </c>
      <c r="F1049" s="93">
        <v>426240</v>
      </c>
      <c r="G1049" s="93">
        <v>18862</v>
      </c>
      <c r="H1049" s="94"/>
      <c r="I1049" s="93" t="s">
        <v>1323</v>
      </c>
      <c r="J1049" s="93">
        <v>8</v>
      </c>
      <c r="K1049" s="93">
        <v>15000</v>
      </c>
      <c r="L1049" s="93">
        <v>160</v>
      </c>
      <c r="M1049" s="17"/>
      <c r="N1049" s="93" t="s">
        <v>1323</v>
      </c>
      <c r="O1049" s="93">
        <v>8</v>
      </c>
      <c r="P1049" s="93">
        <v>15000</v>
      </c>
      <c r="Q1049" s="93">
        <v>160</v>
      </c>
      <c r="R1049" s="69"/>
    </row>
    <row r="1050" spans="2:18">
      <c r="B1050" s="68"/>
      <c r="C1050" s="93">
        <v>16</v>
      </c>
      <c r="D1050" s="93" t="s">
        <v>1911</v>
      </c>
      <c r="E1050" s="93">
        <v>95</v>
      </c>
      <c r="F1050" s="93">
        <v>422490</v>
      </c>
      <c r="G1050" s="93">
        <v>18830</v>
      </c>
      <c r="H1050" s="94"/>
      <c r="I1050" s="93" t="s">
        <v>1324</v>
      </c>
      <c r="J1050" s="93">
        <v>2</v>
      </c>
      <c r="K1050" s="93">
        <v>3750</v>
      </c>
      <c r="L1050" s="93">
        <v>32</v>
      </c>
      <c r="M1050" s="17"/>
      <c r="N1050" s="93" t="s">
        <v>1324</v>
      </c>
      <c r="O1050" s="93">
        <v>2</v>
      </c>
      <c r="P1050" s="93">
        <v>3750</v>
      </c>
      <c r="Q1050" s="93">
        <v>32</v>
      </c>
      <c r="R1050" s="69"/>
    </row>
    <row r="1051" spans="2:18">
      <c r="B1051" s="68"/>
      <c r="C1051" s="93">
        <v>16</v>
      </c>
      <c r="D1051" s="93" t="s">
        <v>1911</v>
      </c>
      <c r="E1051" s="93">
        <v>93</v>
      </c>
      <c r="F1051" s="93">
        <v>418490</v>
      </c>
      <c r="G1051" s="93">
        <v>18830</v>
      </c>
      <c r="H1051" s="94"/>
      <c r="I1051" s="93" t="s">
        <v>1325</v>
      </c>
      <c r="J1051" s="93">
        <v>2</v>
      </c>
      <c r="K1051" s="93">
        <v>4000</v>
      </c>
      <c r="L1051" s="93">
        <v>0</v>
      </c>
      <c r="M1051" s="17"/>
      <c r="N1051" s="93" t="s">
        <v>1325</v>
      </c>
      <c r="O1051" s="93">
        <v>2</v>
      </c>
      <c r="P1051" s="93">
        <v>4000</v>
      </c>
      <c r="Q1051" s="93">
        <v>0</v>
      </c>
      <c r="R1051" s="69"/>
    </row>
    <row r="1052" spans="2:18">
      <c r="B1052" s="68"/>
      <c r="C1052" s="93">
        <v>16</v>
      </c>
      <c r="D1052" s="93" t="s">
        <v>1911</v>
      </c>
      <c r="E1052" s="93">
        <v>92</v>
      </c>
      <c r="F1052" s="93">
        <v>416790</v>
      </c>
      <c r="G1052" s="93">
        <v>18670</v>
      </c>
      <c r="H1052" s="94"/>
      <c r="I1052" s="93" t="s">
        <v>1326</v>
      </c>
      <c r="J1052" s="93">
        <v>1</v>
      </c>
      <c r="K1052" s="93">
        <v>1700</v>
      </c>
      <c r="L1052" s="93">
        <v>160</v>
      </c>
      <c r="M1052" s="17"/>
      <c r="N1052" s="93" t="s">
        <v>1326</v>
      </c>
      <c r="O1052" s="93">
        <v>1</v>
      </c>
      <c r="P1052" s="93">
        <v>1700</v>
      </c>
      <c r="Q1052" s="93">
        <v>160</v>
      </c>
      <c r="R1052" s="69"/>
    </row>
    <row r="1053" spans="2:18">
      <c r="B1053" s="68"/>
      <c r="C1053" s="93">
        <v>16</v>
      </c>
      <c r="D1053" s="93" t="s">
        <v>1911</v>
      </c>
      <c r="E1053" s="93">
        <v>91</v>
      </c>
      <c r="F1053" s="93">
        <v>414790</v>
      </c>
      <c r="G1053" s="93">
        <v>18670</v>
      </c>
      <c r="H1053" s="94"/>
      <c r="I1053" s="93" t="s">
        <v>1327</v>
      </c>
      <c r="J1053" s="93">
        <v>1</v>
      </c>
      <c r="K1053" s="93">
        <v>2000</v>
      </c>
      <c r="L1053" s="93">
        <v>0</v>
      </c>
      <c r="M1053" s="17"/>
      <c r="N1053" s="93" t="s">
        <v>1327</v>
      </c>
      <c r="O1053" s="93">
        <v>1</v>
      </c>
      <c r="P1053" s="93">
        <v>2000</v>
      </c>
      <c r="Q1053" s="93">
        <v>0</v>
      </c>
      <c r="R1053" s="69"/>
    </row>
    <row r="1054" spans="2:18">
      <c r="B1054" s="68"/>
      <c r="C1054" s="93">
        <v>16</v>
      </c>
      <c r="D1054" s="93" t="s">
        <v>1911</v>
      </c>
      <c r="E1054" s="93">
        <v>90</v>
      </c>
      <c r="F1054" s="93">
        <v>412790</v>
      </c>
      <c r="G1054" s="93">
        <v>18670</v>
      </c>
      <c r="H1054" s="94"/>
      <c r="I1054" s="93" t="s">
        <v>1328</v>
      </c>
      <c r="J1054" s="93">
        <v>1</v>
      </c>
      <c r="K1054" s="93">
        <v>2000</v>
      </c>
      <c r="L1054" s="93">
        <v>0</v>
      </c>
      <c r="M1054" s="17"/>
      <c r="N1054" s="93" t="s">
        <v>1328</v>
      </c>
      <c r="O1054" s="93">
        <v>1</v>
      </c>
      <c r="P1054" s="93">
        <v>2000</v>
      </c>
      <c r="Q1054" s="93">
        <v>0</v>
      </c>
      <c r="R1054" s="69"/>
    </row>
    <row r="1055" spans="2:18">
      <c r="B1055" s="68"/>
      <c r="C1055" s="93">
        <v>16</v>
      </c>
      <c r="D1055" s="93" t="s">
        <v>1911</v>
      </c>
      <c r="E1055" s="93">
        <v>88</v>
      </c>
      <c r="F1055" s="93">
        <v>408790</v>
      </c>
      <c r="G1055" s="93">
        <v>18670</v>
      </c>
      <c r="H1055" s="94"/>
      <c r="I1055" s="93" t="s">
        <v>1329</v>
      </c>
      <c r="J1055" s="93">
        <v>2</v>
      </c>
      <c r="K1055" s="93">
        <v>4000</v>
      </c>
      <c r="L1055" s="93">
        <v>0</v>
      </c>
      <c r="M1055" s="17"/>
      <c r="N1055" s="93" t="s">
        <v>1329</v>
      </c>
      <c r="O1055" s="93">
        <v>2</v>
      </c>
      <c r="P1055" s="93">
        <v>4000</v>
      </c>
      <c r="Q1055" s="93">
        <v>0</v>
      </c>
      <c r="R1055" s="69"/>
    </row>
    <row r="1056" spans="2:18">
      <c r="B1056" s="68"/>
      <c r="C1056" s="93">
        <v>16</v>
      </c>
      <c r="D1056" s="93" t="s">
        <v>1911</v>
      </c>
      <c r="E1056" s="93">
        <v>86</v>
      </c>
      <c r="F1056" s="93">
        <v>401290</v>
      </c>
      <c r="G1056" s="93">
        <v>18638</v>
      </c>
      <c r="H1056" s="94"/>
      <c r="I1056" s="93" t="s">
        <v>1330</v>
      </c>
      <c r="J1056" s="93">
        <v>2</v>
      </c>
      <c r="K1056" s="93">
        <v>7500</v>
      </c>
      <c r="L1056" s="93">
        <v>32</v>
      </c>
      <c r="M1056" s="17"/>
      <c r="N1056" s="93" t="s">
        <v>1330</v>
      </c>
      <c r="O1056" s="93">
        <v>2</v>
      </c>
      <c r="P1056" s="93">
        <v>7500</v>
      </c>
      <c r="Q1056" s="93">
        <v>32</v>
      </c>
      <c r="R1056" s="69"/>
    </row>
    <row r="1057" spans="2:18">
      <c r="B1057" s="68"/>
      <c r="C1057" s="93">
        <v>16</v>
      </c>
      <c r="D1057" s="93" t="s">
        <v>1911</v>
      </c>
      <c r="E1057" s="93">
        <v>84</v>
      </c>
      <c r="F1057" s="93">
        <v>393790</v>
      </c>
      <c r="G1057" s="93">
        <v>18606</v>
      </c>
      <c r="H1057" s="94"/>
      <c r="I1057" s="93" t="s">
        <v>1331</v>
      </c>
      <c r="J1057" s="93">
        <v>2</v>
      </c>
      <c r="K1057" s="93">
        <v>7500</v>
      </c>
      <c r="L1057" s="93">
        <v>32</v>
      </c>
      <c r="M1057" s="17"/>
      <c r="N1057" s="93" t="s">
        <v>1331</v>
      </c>
      <c r="O1057" s="93">
        <v>2</v>
      </c>
      <c r="P1057" s="93">
        <v>7500</v>
      </c>
      <c r="Q1057" s="93">
        <v>32</v>
      </c>
      <c r="R1057" s="69"/>
    </row>
    <row r="1058" spans="2:18">
      <c r="B1058" s="68"/>
      <c r="C1058" s="93">
        <v>16</v>
      </c>
      <c r="D1058" s="93" t="s">
        <v>1911</v>
      </c>
      <c r="E1058" s="93">
        <v>82</v>
      </c>
      <c r="F1058" s="93">
        <v>386290</v>
      </c>
      <c r="G1058" s="93">
        <v>18574</v>
      </c>
      <c r="H1058" s="94"/>
      <c r="I1058" s="93" t="s">
        <v>1332</v>
      </c>
      <c r="J1058" s="93">
        <v>2</v>
      </c>
      <c r="K1058" s="93">
        <v>7500</v>
      </c>
      <c r="L1058" s="93">
        <v>32</v>
      </c>
      <c r="M1058" s="17"/>
      <c r="N1058" s="93" t="s">
        <v>1332</v>
      </c>
      <c r="O1058" s="93">
        <v>2</v>
      </c>
      <c r="P1058" s="93">
        <v>7500</v>
      </c>
      <c r="Q1058" s="93">
        <v>32</v>
      </c>
      <c r="R1058" s="69"/>
    </row>
    <row r="1059" spans="2:18">
      <c r="B1059" s="68"/>
      <c r="C1059" s="93">
        <v>16</v>
      </c>
      <c r="D1059" s="93" t="s">
        <v>1911</v>
      </c>
      <c r="E1059" s="93">
        <v>80</v>
      </c>
      <c r="F1059" s="93">
        <v>378790</v>
      </c>
      <c r="G1059" s="93">
        <v>18542</v>
      </c>
      <c r="H1059" s="94"/>
      <c r="I1059" s="93" t="s">
        <v>1333</v>
      </c>
      <c r="J1059" s="93">
        <v>2</v>
      </c>
      <c r="K1059" s="93">
        <v>7500</v>
      </c>
      <c r="L1059" s="93">
        <v>32</v>
      </c>
      <c r="M1059" s="17"/>
      <c r="N1059" s="93" t="s">
        <v>1333</v>
      </c>
      <c r="O1059" s="93">
        <v>2</v>
      </c>
      <c r="P1059" s="93">
        <v>7500</v>
      </c>
      <c r="Q1059" s="93">
        <v>32</v>
      </c>
      <c r="R1059" s="69"/>
    </row>
    <row r="1060" spans="2:18">
      <c r="B1060" s="68"/>
      <c r="C1060" s="93">
        <v>16</v>
      </c>
      <c r="D1060" s="93" t="s">
        <v>1911</v>
      </c>
      <c r="E1060" s="93">
        <v>78</v>
      </c>
      <c r="F1060" s="93">
        <v>371290</v>
      </c>
      <c r="G1060" s="93">
        <v>18510</v>
      </c>
      <c r="H1060" s="94"/>
      <c r="I1060" s="93" t="s">
        <v>1334</v>
      </c>
      <c r="J1060" s="93">
        <v>2</v>
      </c>
      <c r="K1060" s="93">
        <v>7500</v>
      </c>
      <c r="L1060" s="93">
        <v>32</v>
      </c>
      <c r="M1060" s="17"/>
      <c r="N1060" s="93" t="s">
        <v>1334</v>
      </c>
      <c r="O1060" s="93">
        <v>2</v>
      </c>
      <c r="P1060" s="93">
        <v>7500</v>
      </c>
      <c r="Q1060" s="93">
        <v>32</v>
      </c>
      <c r="R1060" s="69"/>
    </row>
    <row r="1061" spans="2:18">
      <c r="B1061" s="68"/>
      <c r="C1061" s="93">
        <v>16</v>
      </c>
      <c r="D1061" s="93" t="s">
        <v>1911</v>
      </c>
      <c r="E1061" s="93">
        <v>76</v>
      </c>
      <c r="F1061" s="93">
        <v>363790</v>
      </c>
      <c r="G1061" s="93">
        <v>18478</v>
      </c>
      <c r="H1061" s="94"/>
      <c r="I1061" s="93" t="s">
        <v>1335</v>
      </c>
      <c r="J1061" s="93">
        <v>2</v>
      </c>
      <c r="K1061" s="93">
        <v>7500</v>
      </c>
      <c r="L1061" s="93">
        <v>32</v>
      </c>
      <c r="M1061" s="17"/>
      <c r="N1061" s="93" t="s">
        <v>1335</v>
      </c>
      <c r="O1061" s="93">
        <v>2</v>
      </c>
      <c r="P1061" s="93">
        <v>7500</v>
      </c>
      <c r="Q1061" s="93">
        <v>32</v>
      </c>
      <c r="R1061" s="69"/>
    </row>
    <row r="1062" spans="2:18">
      <c r="B1062" s="68"/>
      <c r="C1062" s="93">
        <v>16</v>
      </c>
      <c r="D1062" s="93" t="s">
        <v>1911</v>
      </c>
      <c r="E1062" s="93">
        <v>74</v>
      </c>
      <c r="F1062" s="93">
        <v>356290</v>
      </c>
      <c r="G1062" s="93">
        <v>18446</v>
      </c>
      <c r="H1062" s="94"/>
      <c r="I1062" s="93" t="s">
        <v>1336</v>
      </c>
      <c r="J1062" s="93">
        <v>2</v>
      </c>
      <c r="K1062" s="93">
        <v>7500</v>
      </c>
      <c r="L1062" s="93">
        <v>32</v>
      </c>
      <c r="M1062" s="17"/>
      <c r="N1062" s="93" t="s">
        <v>1336</v>
      </c>
      <c r="O1062" s="93">
        <v>2</v>
      </c>
      <c r="P1062" s="93">
        <v>7500</v>
      </c>
      <c r="Q1062" s="93">
        <v>32</v>
      </c>
      <c r="R1062" s="69"/>
    </row>
    <row r="1063" spans="2:18">
      <c r="B1063" s="68"/>
      <c r="C1063" s="93">
        <v>16</v>
      </c>
      <c r="D1063" s="93" t="s">
        <v>1911</v>
      </c>
      <c r="E1063" s="93">
        <v>72</v>
      </c>
      <c r="F1063" s="93">
        <v>348790</v>
      </c>
      <c r="G1063" s="93">
        <v>18414</v>
      </c>
      <c r="H1063" s="94"/>
      <c r="I1063" s="93" t="s">
        <v>1337</v>
      </c>
      <c r="J1063" s="93">
        <v>2</v>
      </c>
      <c r="K1063" s="93">
        <v>7500</v>
      </c>
      <c r="L1063" s="93">
        <v>32</v>
      </c>
      <c r="M1063" s="17"/>
      <c r="N1063" s="93" t="s">
        <v>1337</v>
      </c>
      <c r="O1063" s="93">
        <v>2</v>
      </c>
      <c r="P1063" s="93">
        <v>7500</v>
      </c>
      <c r="Q1063" s="93">
        <v>32</v>
      </c>
      <c r="R1063" s="69"/>
    </row>
    <row r="1064" spans="2:18">
      <c r="B1064" s="68"/>
      <c r="C1064" s="93">
        <v>16</v>
      </c>
      <c r="D1064" s="93" t="s">
        <v>1911</v>
      </c>
      <c r="E1064" s="93">
        <v>70</v>
      </c>
      <c r="F1064" s="93">
        <v>341290</v>
      </c>
      <c r="G1064" s="93">
        <v>18382</v>
      </c>
      <c r="H1064" s="94"/>
      <c r="I1064" s="93" t="s">
        <v>1338</v>
      </c>
      <c r="J1064" s="93">
        <v>2</v>
      </c>
      <c r="K1064" s="93">
        <v>7500</v>
      </c>
      <c r="L1064" s="93">
        <v>32</v>
      </c>
      <c r="M1064" s="17"/>
      <c r="N1064" s="93" t="s">
        <v>1338</v>
      </c>
      <c r="O1064" s="93">
        <v>2</v>
      </c>
      <c r="P1064" s="93">
        <v>7500</v>
      </c>
      <c r="Q1064" s="93">
        <v>32</v>
      </c>
      <c r="R1064" s="69"/>
    </row>
    <row r="1065" spans="2:18">
      <c r="B1065" s="68"/>
      <c r="C1065" s="93">
        <v>16</v>
      </c>
      <c r="D1065" s="93" t="s">
        <v>1911</v>
      </c>
      <c r="E1065" s="93">
        <v>69</v>
      </c>
      <c r="F1065" s="93">
        <v>339290</v>
      </c>
      <c r="G1065" s="93">
        <v>18382</v>
      </c>
      <c r="H1065" s="94"/>
      <c r="I1065" s="93" t="s">
        <v>1339</v>
      </c>
      <c r="J1065" s="93">
        <v>1</v>
      </c>
      <c r="K1065" s="93">
        <v>2000</v>
      </c>
      <c r="L1065" s="93">
        <v>0</v>
      </c>
      <c r="M1065" s="17"/>
      <c r="N1065" s="93" t="s">
        <v>1339</v>
      </c>
      <c r="O1065" s="93">
        <v>1</v>
      </c>
      <c r="P1065" s="93">
        <v>2000</v>
      </c>
      <c r="Q1065" s="93">
        <v>0</v>
      </c>
      <c r="R1065" s="69"/>
    </row>
    <row r="1066" spans="2:18">
      <c r="B1066" s="68"/>
      <c r="C1066" s="93">
        <v>16</v>
      </c>
      <c r="D1066" s="93" t="s">
        <v>1911</v>
      </c>
      <c r="E1066" s="93">
        <v>68</v>
      </c>
      <c r="F1066" s="93">
        <v>337290</v>
      </c>
      <c r="G1066" s="93">
        <v>18382</v>
      </c>
      <c r="H1066" s="94"/>
      <c r="I1066" s="93" t="s">
        <v>1340</v>
      </c>
      <c r="J1066" s="93">
        <v>1</v>
      </c>
      <c r="K1066" s="93">
        <v>2000</v>
      </c>
      <c r="L1066" s="93">
        <v>0</v>
      </c>
      <c r="M1066" s="17"/>
      <c r="N1066" s="93" t="s">
        <v>1340</v>
      </c>
      <c r="O1066" s="93">
        <v>1</v>
      </c>
      <c r="P1066" s="93">
        <v>2000</v>
      </c>
      <c r="Q1066" s="93">
        <v>0</v>
      </c>
      <c r="R1066" s="69"/>
    </row>
    <row r="1067" spans="2:18">
      <c r="B1067" s="68"/>
      <c r="C1067" s="93">
        <v>16</v>
      </c>
      <c r="D1067" s="93" t="s">
        <v>1911</v>
      </c>
      <c r="E1067" s="93">
        <v>67</v>
      </c>
      <c r="F1067" s="93">
        <v>335290</v>
      </c>
      <c r="G1067" s="93">
        <v>18382</v>
      </c>
      <c r="H1067" s="94"/>
      <c r="I1067" s="93" t="s">
        <v>1341</v>
      </c>
      <c r="J1067" s="93">
        <v>1</v>
      </c>
      <c r="K1067" s="93">
        <v>2000</v>
      </c>
      <c r="L1067" s="93">
        <v>0</v>
      </c>
      <c r="M1067" s="17"/>
      <c r="N1067" s="93" t="s">
        <v>1341</v>
      </c>
      <c r="O1067" s="93">
        <v>1</v>
      </c>
      <c r="P1067" s="93">
        <v>2000</v>
      </c>
      <c r="Q1067" s="93">
        <v>0</v>
      </c>
      <c r="R1067" s="69"/>
    </row>
    <row r="1068" spans="2:18">
      <c r="B1068" s="68"/>
      <c r="C1068" s="93">
        <v>16</v>
      </c>
      <c r="D1068" s="93" t="s">
        <v>1911</v>
      </c>
      <c r="E1068" s="93">
        <v>66</v>
      </c>
      <c r="F1068" s="93">
        <v>333290</v>
      </c>
      <c r="G1068" s="93">
        <v>18382</v>
      </c>
      <c r="H1068" s="94"/>
      <c r="I1068" s="93" t="s">
        <v>1342</v>
      </c>
      <c r="J1068" s="93">
        <v>1</v>
      </c>
      <c r="K1068" s="93">
        <v>2000</v>
      </c>
      <c r="L1068" s="93">
        <v>0</v>
      </c>
      <c r="M1068" s="17"/>
      <c r="N1068" s="93" t="s">
        <v>1342</v>
      </c>
      <c r="O1068" s="93">
        <v>1</v>
      </c>
      <c r="P1068" s="93">
        <v>2000</v>
      </c>
      <c r="Q1068" s="93">
        <v>0</v>
      </c>
      <c r="R1068" s="69"/>
    </row>
    <row r="1069" spans="2:18">
      <c r="B1069" s="68"/>
      <c r="C1069" s="93">
        <v>16</v>
      </c>
      <c r="D1069" s="93" t="s">
        <v>1911</v>
      </c>
      <c r="E1069" s="93">
        <v>65</v>
      </c>
      <c r="F1069" s="93">
        <v>331590</v>
      </c>
      <c r="G1069" s="93">
        <v>18222</v>
      </c>
      <c r="H1069" s="94"/>
      <c r="I1069" s="93" t="s">
        <v>1343</v>
      </c>
      <c r="J1069" s="93">
        <v>1</v>
      </c>
      <c r="K1069" s="93">
        <v>1700</v>
      </c>
      <c r="L1069" s="93">
        <v>160</v>
      </c>
      <c r="M1069" s="17"/>
      <c r="N1069" s="93" t="s">
        <v>1343</v>
      </c>
      <c r="O1069" s="93">
        <v>1</v>
      </c>
      <c r="P1069" s="93">
        <v>1700</v>
      </c>
      <c r="Q1069" s="93">
        <v>160</v>
      </c>
      <c r="R1069" s="69"/>
    </row>
    <row r="1070" spans="2:18">
      <c r="B1070" s="68"/>
      <c r="C1070" s="93">
        <v>16</v>
      </c>
      <c r="D1070" s="93" t="s">
        <v>1911</v>
      </c>
      <c r="E1070" s="93">
        <v>63</v>
      </c>
      <c r="F1070" s="93">
        <v>327840</v>
      </c>
      <c r="G1070" s="93">
        <v>18190</v>
      </c>
      <c r="H1070" s="94"/>
      <c r="I1070" s="93" t="s">
        <v>1344</v>
      </c>
      <c r="J1070" s="93">
        <v>2</v>
      </c>
      <c r="K1070" s="93">
        <v>3750</v>
      </c>
      <c r="L1070" s="93">
        <v>32</v>
      </c>
      <c r="M1070" s="17"/>
      <c r="N1070" s="93" t="s">
        <v>1344</v>
      </c>
      <c r="O1070" s="93">
        <v>2</v>
      </c>
      <c r="P1070" s="93">
        <v>3750</v>
      </c>
      <c r="Q1070" s="93">
        <v>32</v>
      </c>
      <c r="R1070" s="69"/>
    </row>
    <row r="1071" spans="2:18">
      <c r="B1071" s="68"/>
      <c r="C1071" s="93">
        <v>16</v>
      </c>
      <c r="D1071" s="93" t="s">
        <v>1911</v>
      </c>
      <c r="E1071" s="93">
        <v>61</v>
      </c>
      <c r="F1071" s="93">
        <v>320340</v>
      </c>
      <c r="G1071" s="93">
        <v>18158</v>
      </c>
      <c r="H1071" s="94"/>
      <c r="I1071" s="93" t="s">
        <v>1345</v>
      </c>
      <c r="J1071" s="93">
        <v>2</v>
      </c>
      <c r="K1071" s="93">
        <v>7500</v>
      </c>
      <c r="L1071" s="93">
        <v>32</v>
      </c>
      <c r="M1071" s="17"/>
      <c r="N1071" s="93" t="s">
        <v>1345</v>
      </c>
      <c r="O1071" s="93">
        <v>2</v>
      </c>
      <c r="P1071" s="93">
        <v>7500</v>
      </c>
      <c r="Q1071" s="93">
        <v>32</v>
      </c>
      <c r="R1071" s="69"/>
    </row>
    <row r="1072" spans="2:18">
      <c r="B1072" s="68"/>
      <c r="C1072" s="93">
        <v>16</v>
      </c>
      <c r="D1072" s="93" t="s">
        <v>1911</v>
      </c>
      <c r="E1072" s="93">
        <v>59</v>
      </c>
      <c r="F1072" s="93">
        <v>316590</v>
      </c>
      <c r="G1072" s="93">
        <v>18126</v>
      </c>
      <c r="H1072" s="94"/>
      <c r="I1072" s="93" t="s">
        <v>1346</v>
      </c>
      <c r="J1072" s="93">
        <v>2</v>
      </c>
      <c r="K1072" s="93">
        <v>3750</v>
      </c>
      <c r="L1072" s="93">
        <v>32</v>
      </c>
      <c r="M1072" s="17"/>
      <c r="N1072" s="93" t="s">
        <v>1346</v>
      </c>
      <c r="O1072" s="93">
        <v>2</v>
      </c>
      <c r="P1072" s="93">
        <v>3750</v>
      </c>
      <c r="Q1072" s="93">
        <v>32</v>
      </c>
      <c r="R1072" s="69"/>
    </row>
    <row r="1073" spans="2:18">
      <c r="B1073" s="68"/>
      <c r="C1073" s="93">
        <v>16</v>
      </c>
      <c r="D1073" s="93" t="s">
        <v>1911</v>
      </c>
      <c r="E1073" s="93">
        <v>57</v>
      </c>
      <c r="F1073" s="93">
        <v>312840</v>
      </c>
      <c r="G1073" s="93">
        <v>18094</v>
      </c>
      <c r="H1073" s="94"/>
      <c r="I1073" s="93" t="s">
        <v>1347</v>
      </c>
      <c r="J1073" s="93">
        <v>2</v>
      </c>
      <c r="K1073" s="93">
        <v>3750</v>
      </c>
      <c r="L1073" s="93">
        <v>32</v>
      </c>
      <c r="M1073" s="17"/>
      <c r="N1073" s="93" t="s">
        <v>1347</v>
      </c>
      <c r="O1073" s="93">
        <v>2</v>
      </c>
      <c r="P1073" s="93">
        <v>3750</v>
      </c>
      <c r="Q1073" s="93">
        <v>32</v>
      </c>
      <c r="R1073" s="69"/>
    </row>
    <row r="1074" spans="2:18">
      <c r="B1074" s="68"/>
      <c r="C1074" s="93">
        <v>16</v>
      </c>
      <c r="D1074" s="93" t="s">
        <v>1911</v>
      </c>
      <c r="E1074" s="93">
        <v>55</v>
      </c>
      <c r="F1074" s="93">
        <v>305340</v>
      </c>
      <c r="G1074" s="93">
        <v>18062</v>
      </c>
      <c r="H1074" s="94"/>
      <c r="I1074" s="93" t="s">
        <v>1348</v>
      </c>
      <c r="J1074" s="93">
        <v>2</v>
      </c>
      <c r="K1074" s="93">
        <v>7500</v>
      </c>
      <c r="L1074" s="93">
        <v>32</v>
      </c>
      <c r="M1074" s="17"/>
      <c r="N1074" s="93" t="s">
        <v>1348</v>
      </c>
      <c r="O1074" s="93">
        <v>2</v>
      </c>
      <c r="P1074" s="93">
        <v>7500</v>
      </c>
      <c r="Q1074" s="93">
        <v>32</v>
      </c>
      <c r="R1074" s="69"/>
    </row>
    <row r="1075" spans="2:18">
      <c r="B1075" s="68"/>
      <c r="C1075" s="93">
        <v>16</v>
      </c>
      <c r="D1075" s="93" t="s">
        <v>1911</v>
      </c>
      <c r="E1075" s="93">
        <v>53</v>
      </c>
      <c r="F1075" s="93">
        <v>297840</v>
      </c>
      <c r="G1075" s="93">
        <v>18030</v>
      </c>
      <c r="H1075" s="94"/>
      <c r="I1075" s="93" t="s">
        <v>1349</v>
      </c>
      <c r="J1075" s="93">
        <v>2</v>
      </c>
      <c r="K1075" s="93">
        <v>7500</v>
      </c>
      <c r="L1075" s="93">
        <v>32</v>
      </c>
      <c r="M1075" s="17"/>
      <c r="N1075" s="93" t="s">
        <v>1349</v>
      </c>
      <c r="O1075" s="93">
        <v>2</v>
      </c>
      <c r="P1075" s="93">
        <v>7500</v>
      </c>
      <c r="Q1075" s="93">
        <v>32</v>
      </c>
      <c r="R1075" s="69"/>
    </row>
    <row r="1076" spans="2:18">
      <c r="B1076" s="68"/>
      <c r="C1076" s="93">
        <v>16</v>
      </c>
      <c r="D1076" s="93" t="s">
        <v>1911</v>
      </c>
      <c r="E1076" s="93">
        <v>51</v>
      </c>
      <c r="F1076" s="93">
        <v>293840</v>
      </c>
      <c r="G1076" s="93">
        <v>18030</v>
      </c>
      <c r="H1076" s="94"/>
      <c r="I1076" s="93" t="s">
        <v>1350</v>
      </c>
      <c r="J1076" s="93">
        <v>2</v>
      </c>
      <c r="K1076" s="93">
        <v>4000</v>
      </c>
      <c r="L1076" s="93">
        <v>0</v>
      </c>
      <c r="M1076" s="17"/>
      <c r="N1076" s="93" t="s">
        <v>1350</v>
      </c>
      <c r="O1076" s="93">
        <v>2</v>
      </c>
      <c r="P1076" s="93">
        <v>4000</v>
      </c>
      <c r="Q1076" s="93">
        <v>0</v>
      </c>
      <c r="R1076" s="69"/>
    </row>
    <row r="1077" spans="2:18">
      <c r="B1077" s="68"/>
      <c r="C1077" s="93">
        <v>16</v>
      </c>
      <c r="D1077" s="93" t="s">
        <v>1911</v>
      </c>
      <c r="E1077" s="93">
        <v>49</v>
      </c>
      <c r="F1077" s="93">
        <v>286340</v>
      </c>
      <c r="G1077" s="93">
        <v>17998</v>
      </c>
      <c r="H1077" s="94"/>
      <c r="I1077" s="93" t="s">
        <v>1351</v>
      </c>
      <c r="J1077" s="93">
        <v>2</v>
      </c>
      <c r="K1077" s="93">
        <v>7500</v>
      </c>
      <c r="L1077" s="93">
        <v>32</v>
      </c>
      <c r="M1077" s="17"/>
      <c r="N1077" s="93" t="s">
        <v>1351</v>
      </c>
      <c r="O1077" s="93">
        <v>2</v>
      </c>
      <c r="P1077" s="93">
        <v>7500</v>
      </c>
      <c r="Q1077" s="93">
        <v>32</v>
      </c>
      <c r="R1077" s="69"/>
    </row>
    <row r="1078" spans="2:18">
      <c r="B1078" s="68"/>
      <c r="C1078" s="93">
        <v>16</v>
      </c>
      <c r="D1078" s="93" t="s">
        <v>1911</v>
      </c>
      <c r="E1078" s="93">
        <v>47</v>
      </c>
      <c r="F1078" s="93">
        <v>282590</v>
      </c>
      <c r="G1078" s="93">
        <v>17966</v>
      </c>
      <c r="H1078" s="94"/>
      <c r="I1078" s="93" t="s">
        <v>1352</v>
      </c>
      <c r="J1078" s="93">
        <v>2</v>
      </c>
      <c r="K1078" s="93">
        <v>3750</v>
      </c>
      <c r="L1078" s="93">
        <v>32</v>
      </c>
      <c r="M1078" s="17"/>
      <c r="N1078" s="93" t="s">
        <v>1352</v>
      </c>
      <c r="O1078" s="93">
        <v>2</v>
      </c>
      <c r="P1078" s="93">
        <v>3750</v>
      </c>
      <c r="Q1078" s="93">
        <v>32</v>
      </c>
      <c r="R1078" s="69"/>
    </row>
    <row r="1079" spans="2:18">
      <c r="B1079" s="68"/>
      <c r="C1079" s="93">
        <v>16</v>
      </c>
      <c r="D1079" s="93" t="s">
        <v>1911</v>
      </c>
      <c r="E1079" s="93">
        <v>45</v>
      </c>
      <c r="F1079" s="93">
        <v>278840</v>
      </c>
      <c r="G1079" s="93">
        <v>17934</v>
      </c>
      <c r="H1079" s="94"/>
      <c r="I1079" s="93" t="s">
        <v>1353</v>
      </c>
      <c r="J1079" s="93">
        <v>2</v>
      </c>
      <c r="K1079" s="93">
        <v>3750</v>
      </c>
      <c r="L1079" s="93">
        <v>32</v>
      </c>
      <c r="M1079" s="17"/>
      <c r="N1079" s="93" t="s">
        <v>1353</v>
      </c>
      <c r="O1079" s="93">
        <v>2</v>
      </c>
      <c r="P1079" s="93">
        <v>3750</v>
      </c>
      <c r="Q1079" s="93">
        <v>32</v>
      </c>
      <c r="R1079" s="69"/>
    </row>
    <row r="1080" spans="2:18">
      <c r="B1080" s="68"/>
      <c r="C1080" s="93">
        <v>16</v>
      </c>
      <c r="D1080" s="93" t="s">
        <v>1911</v>
      </c>
      <c r="E1080" s="93">
        <v>43</v>
      </c>
      <c r="F1080" s="93">
        <v>275090</v>
      </c>
      <c r="G1080" s="93">
        <v>17902</v>
      </c>
      <c r="H1080" s="94"/>
      <c r="I1080" s="93" t="s">
        <v>1354</v>
      </c>
      <c r="J1080" s="93">
        <v>2</v>
      </c>
      <c r="K1080" s="93">
        <v>3750</v>
      </c>
      <c r="L1080" s="93">
        <v>32</v>
      </c>
      <c r="M1080" s="17"/>
      <c r="N1080" s="93" t="s">
        <v>1354</v>
      </c>
      <c r="O1080" s="93">
        <v>2</v>
      </c>
      <c r="P1080" s="93">
        <v>3750</v>
      </c>
      <c r="Q1080" s="93">
        <v>32</v>
      </c>
      <c r="R1080" s="69"/>
    </row>
    <row r="1081" spans="2:18">
      <c r="B1081" s="68"/>
      <c r="C1081" s="93">
        <v>16</v>
      </c>
      <c r="D1081" s="93" t="s">
        <v>1911</v>
      </c>
      <c r="E1081" s="93">
        <v>42</v>
      </c>
      <c r="F1081" s="93">
        <v>273090</v>
      </c>
      <c r="G1081" s="93">
        <v>17902</v>
      </c>
      <c r="H1081" s="94"/>
      <c r="I1081" s="93" t="s">
        <v>1355</v>
      </c>
      <c r="J1081" s="93">
        <v>1</v>
      </c>
      <c r="K1081" s="93">
        <v>2000</v>
      </c>
      <c r="L1081" s="93">
        <v>0</v>
      </c>
      <c r="M1081" s="17"/>
      <c r="N1081" s="93" t="s">
        <v>1355</v>
      </c>
      <c r="O1081" s="93">
        <v>1</v>
      </c>
      <c r="P1081" s="93">
        <v>2000</v>
      </c>
      <c r="Q1081" s="93">
        <v>0</v>
      </c>
      <c r="R1081" s="69"/>
    </row>
    <row r="1082" spans="2:18">
      <c r="B1082" s="68"/>
      <c r="C1082" s="93">
        <v>16</v>
      </c>
      <c r="D1082" s="93" t="s">
        <v>1911</v>
      </c>
      <c r="E1082" s="93">
        <v>41</v>
      </c>
      <c r="F1082" s="93">
        <v>271090</v>
      </c>
      <c r="G1082" s="93">
        <v>17902</v>
      </c>
      <c r="H1082" s="94"/>
      <c r="I1082" s="93" t="s">
        <v>1356</v>
      </c>
      <c r="J1082" s="93">
        <v>1</v>
      </c>
      <c r="K1082" s="93">
        <v>2000</v>
      </c>
      <c r="L1082" s="93">
        <v>0</v>
      </c>
      <c r="M1082" s="17"/>
      <c r="N1082" s="93" t="s">
        <v>1356</v>
      </c>
      <c r="O1082" s="93">
        <v>1</v>
      </c>
      <c r="P1082" s="93">
        <v>2000</v>
      </c>
      <c r="Q1082" s="93">
        <v>0</v>
      </c>
      <c r="R1082" s="69"/>
    </row>
    <row r="1083" spans="2:18">
      <c r="B1083" s="68"/>
      <c r="C1083" s="93">
        <v>16</v>
      </c>
      <c r="D1083" s="93" t="s">
        <v>1911</v>
      </c>
      <c r="E1083" s="93">
        <v>40</v>
      </c>
      <c r="F1083" s="93">
        <v>269090</v>
      </c>
      <c r="G1083" s="93">
        <v>17902</v>
      </c>
      <c r="H1083" s="94"/>
      <c r="I1083" s="93" t="s">
        <v>1357</v>
      </c>
      <c r="J1083" s="93">
        <v>1</v>
      </c>
      <c r="K1083" s="93">
        <v>2000</v>
      </c>
      <c r="L1083" s="93">
        <v>0</v>
      </c>
      <c r="M1083" s="17"/>
      <c r="N1083" s="93" t="s">
        <v>1357</v>
      </c>
      <c r="O1083" s="93">
        <v>1</v>
      </c>
      <c r="P1083" s="93">
        <v>2000</v>
      </c>
      <c r="Q1083" s="93">
        <v>0</v>
      </c>
      <c r="R1083" s="69"/>
    </row>
    <row r="1084" spans="2:18">
      <c r="B1084" s="68"/>
      <c r="C1084" s="93">
        <v>16</v>
      </c>
      <c r="D1084" s="93" t="s">
        <v>1911</v>
      </c>
      <c r="E1084" s="93">
        <v>39</v>
      </c>
      <c r="F1084" s="93">
        <v>265340</v>
      </c>
      <c r="G1084" s="93">
        <v>17492</v>
      </c>
      <c r="H1084" s="94"/>
      <c r="I1084" s="93" t="s">
        <v>1358</v>
      </c>
      <c r="J1084" s="93">
        <v>1</v>
      </c>
      <c r="K1084" s="93">
        <v>3750</v>
      </c>
      <c r="L1084" s="93">
        <v>410</v>
      </c>
      <c r="M1084" s="17"/>
      <c r="N1084" s="93" t="s">
        <v>1358</v>
      </c>
      <c r="O1084" s="93">
        <v>1</v>
      </c>
      <c r="P1084" s="93">
        <v>3750</v>
      </c>
      <c r="Q1084" s="93">
        <v>410</v>
      </c>
      <c r="R1084" s="69"/>
    </row>
    <row r="1085" spans="2:18">
      <c r="B1085" s="68"/>
      <c r="C1085" s="93">
        <v>16</v>
      </c>
      <c r="D1085" s="93" t="s">
        <v>1911</v>
      </c>
      <c r="E1085" s="93">
        <v>37</v>
      </c>
      <c r="F1085" s="93">
        <v>261590</v>
      </c>
      <c r="G1085" s="93">
        <v>17460</v>
      </c>
      <c r="H1085" s="94"/>
      <c r="I1085" s="93" t="s">
        <v>1359</v>
      </c>
      <c r="J1085" s="93">
        <v>2</v>
      </c>
      <c r="K1085" s="93">
        <v>3750</v>
      </c>
      <c r="L1085" s="93">
        <v>32</v>
      </c>
      <c r="M1085" s="17"/>
      <c r="N1085" s="93" t="s">
        <v>1359</v>
      </c>
      <c r="O1085" s="93">
        <v>2</v>
      </c>
      <c r="P1085" s="93">
        <v>3750</v>
      </c>
      <c r="Q1085" s="93">
        <v>32</v>
      </c>
      <c r="R1085" s="69"/>
    </row>
    <row r="1086" spans="2:18">
      <c r="B1086" s="68"/>
      <c r="C1086" s="93">
        <v>16</v>
      </c>
      <c r="D1086" s="93" t="s">
        <v>1911</v>
      </c>
      <c r="E1086" s="93">
        <v>35</v>
      </c>
      <c r="F1086" s="93">
        <v>257840</v>
      </c>
      <c r="G1086" s="93">
        <v>17428</v>
      </c>
      <c r="H1086" s="94"/>
      <c r="I1086" s="93" t="s">
        <v>1360</v>
      </c>
      <c r="J1086" s="93">
        <v>2</v>
      </c>
      <c r="K1086" s="93">
        <v>3750</v>
      </c>
      <c r="L1086" s="93">
        <v>32</v>
      </c>
      <c r="M1086" s="17"/>
      <c r="N1086" s="93" t="s">
        <v>1360</v>
      </c>
      <c r="O1086" s="93">
        <v>2</v>
      </c>
      <c r="P1086" s="93">
        <v>3750</v>
      </c>
      <c r="Q1086" s="93">
        <v>32</v>
      </c>
      <c r="R1086" s="69"/>
    </row>
    <row r="1087" spans="2:18">
      <c r="B1087" s="68"/>
      <c r="C1087" s="93">
        <v>16</v>
      </c>
      <c r="D1087" s="93" t="s">
        <v>1911</v>
      </c>
      <c r="E1087" s="93">
        <v>33</v>
      </c>
      <c r="F1087" s="93">
        <v>254090</v>
      </c>
      <c r="G1087" s="93">
        <v>17396</v>
      </c>
      <c r="H1087" s="94"/>
      <c r="I1087" s="93" t="s">
        <v>1361</v>
      </c>
      <c r="J1087" s="93">
        <v>2</v>
      </c>
      <c r="K1087" s="93">
        <v>3750</v>
      </c>
      <c r="L1087" s="93">
        <v>32</v>
      </c>
      <c r="M1087" s="17"/>
      <c r="N1087" s="93" t="s">
        <v>1361</v>
      </c>
      <c r="O1087" s="93">
        <v>2</v>
      </c>
      <c r="P1087" s="93">
        <v>3750</v>
      </c>
      <c r="Q1087" s="93">
        <v>32</v>
      </c>
      <c r="R1087" s="69"/>
    </row>
    <row r="1088" spans="2:18">
      <c r="B1088" s="68"/>
      <c r="C1088" s="93">
        <v>16</v>
      </c>
      <c r="D1088" s="93" t="s">
        <v>1911</v>
      </c>
      <c r="E1088" s="93">
        <v>31</v>
      </c>
      <c r="F1088" s="93">
        <v>250340</v>
      </c>
      <c r="G1088" s="93">
        <v>17364</v>
      </c>
      <c r="H1088" s="94"/>
      <c r="I1088" s="93" t="s">
        <v>1362</v>
      </c>
      <c r="J1088" s="93">
        <v>2</v>
      </c>
      <c r="K1088" s="93">
        <v>3750</v>
      </c>
      <c r="L1088" s="93">
        <v>32</v>
      </c>
      <c r="M1088" s="17"/>
      <c r="N1088" s="93" t="s">
        <v>1362</v>
      </c>
      <c r="O1088" s="93">
        <v>2</v>
      </c>
      <c r="P1088" s="93">
        <v>3750</v>
      </c>
      <c r="Q1088" s="93">
        <v>32</v>
      </c>
      <c r="R1088" s="69"/>
    </row>
    <row r="1089" spans="2:18">
      <c r="B1089" s="68"/>
      <c r="C1089" s="93">
        <v>16</v>
      </c>
      <c r="D1089" s="93" t="s">
        <v>1911</v>
      </c>
      <c r="E1089" s="93">
        <v>23</v>
      </c>
      <c r="F1089" s="93">
        <v>189340</v>
      </c>
      <c r="G1089" s="93">
        <v>15924</v>
      </c>
      <c r="H1089" s="94"/>
      <c r="I1089" s="93" t="s">
        <v>1363</v>
      </c>
      <c r="J1089" s="93">
        <v>8</v>
      </c>
      <c r="K1089" s="93">
        <v>61000</v>
      </c>
      <c r="L1089" s="93">
        <v>1440</v>
      </c>
      <c r="M1089" s="17"/>
      <c r="N1089" s="93" t="s">
        <v>1363</v>
      </c>
      <c r="O1089" s="93">
        <v>8</v>
      </c>
      <c r="P1089" s="93">
        <v>61000</v>
      </c>
      <c r="Q1089" s="93">
        <v>1440</v>
      </c>
      <c r="R1089" s="69"/>
    </row>
    <row r="1090" spans="2:18">
      <c r="B1090" s="68"/>
      <c r="C1090" s="93">
        <v>16</v>
      </c>
      <c r="D1090" s="93" t="s">
        <v>1911</v>
      </c>
      <c r="E1090" s="93">
        <v>15</v>
      </c>
      <c r="F1090" s="93">
        <v>128340</v>
      </c>
      <c r="G1090" s="93">
        <v>14484</v>
      </c>
      <c r="H1090" s="94"/>
      <c r="I1090" s="93" t="s">
        <v>1364</v>
      </c>
      <c r="J1090" s="93">
        <v>8</v>
      </c>
      <c r="K1090" s="93">
        <v>61000</v>
      </c>
      <c r="L1090" s="93">
        <v>1440</v>
      </c>
      <c r="M1090" s="17"/>
      <c r="N1090" s="93" t="s">
        <v>1364</v>
      </c>
      <c r="O1090" s="93">
        <v>8</v>
      </c>
      <c r="P1090" s="93">
        <v>61000</v>
      </c>
      <c r="Q1090" s="93">
        <v>1440</v>
      </c>
      <c r="R1090" s="69"/>
    </row>
    <row r="1091" spans="2:18">
      <c r="B1091" s="68"/>
      <c r="C1091" s="93">
        <v>16</v>
      </c>
      <c r="D1091" s="93" t="s">
        <v>1911</v>
      </c>
      <c r="E1091" s="93">
        <v>13</v>
      </c>
      <c r="F1091" s="93">
        <v>124590</v>
      </c>
      <c r="G1091" s="93">
        <v>14452</v>
      </c>
      <c r="H1091" s="94"/>
      <c r="I1091" s="93" t="s">
        <v>1365</v>
      </c>
      <c r="J1091" s="93">
        <v>2</v>
      </c>
      <c r="K1091" s="93">
        <v>3750</v>
      </c>
      <c r="L1091" s="93">
        <v>32</v>
      </c>
      <c r="M1091" s="17"/>
      <c r="N1091" s="93" t="s">
        <v>1365</v>
      </c>
      <c r="O1091" s="93">
        <v>2</v>
      </c>
      <c r="P1091" s="93">
        <v>3750</v>
      </c>
      <c r="Q1091" s="93">
        <v>32</v>
      </c>
      <c r="R1091" s="69"/>
    </row>
    <row r="1092" spans="2:18">
      <c r="B1092" s="68"/>
      <c r="C1092" s="93">
        <v>16</v>
      </c>
      <c r="D1092" s="93" t="s">
        <v>1911</v>
      </c>
      <c r="E1092" s="93">
        <v>11</v>
      </c>
      <c r="F1092" s="93">
        <v>120840</v>
      </c>
      <c r="G1092" s="93">
        <v>14420</v>
      </c>
      <c r="H1092" s="94"/>
      <c r="I1092" s="93" t="s">
        <v>1367</v>
      </c>
      <c r="J1092" s="93">
        <v>2</v>
      </c>
      <c r="K1092" s="93">
        <v>3750</v>
      </c>
      <c r="L1092" s="93">
        <v>32</v>
      </c>
      <c r="M1092" s="17"/>
      <c r="N1092" s="93" t="s">
        <v>1367</v>
      </c>
      <c r="O1092" s="93">
        <v>2</v>
      </c>
      <c r="P1092" s="93">
        <v>3750</v>
      </c>
      <c r="Q1092" s="93">
        <v>32</v>
      </c>
      <c r="R1092" s="69"/>
    </row>
    <row r="1093" spans="2:18">
      <c r="B1093" s="68"/>
      <c r="C1093" s="93">
        <v>16</v>
      </c>
      <c r="D1093" s="93" t="s">
        <v>1911</v>
      </c>
      <c r="E1093" s="93">
        <v>9</v>
      </c>
      <c r="F1093" s="93">
        <v>117090</v>
      </c>
      <c r="G1093" s="93">
        <v>14388</v>
      </c>
      <c r="H1093" s="94"/>
      <c r="I1093" s="93" t="s">
        <v>1368</v>
      </c>
      <c r="J1093" s="93">
        <v>2</v>
      </c>
      <c r="K1093" s="93">
        <v>3750</v>
      </c>
      <c r="L1093" s="93">
        <v>32</v>
      </c>
      <c r="M1093" s="17"/>
      <c r="N1093" s="93" t="s">
        <v>1368</v>
      </c>
      <c r="O1093" s="93">
        <v>2</v>
      </c>
      <c r="P1093" s="93">
        <v>3750</v>
      </c>
      <c r="Q1093" s="93">
        <v>32</v>
      </c>
      <c r="R1093" s="69"/>
    </row>
    <row r="1094" spans="2:18">
      <c r="B1094" s="68"/>
      <c r="C1094" s="93">
        <v>16</v>
      </c>
      <c r="D1094" s="93" t="s">
        <v>1911</v>
      </c>
      <c r="E1094" s="93">
        <v>7</v>
      </c>
      <c r="F1094" s="93">
        <v>113340</v>
      </c>
      <c r="G1094" s="93">
        <v>14356</v>
      </c>
      <c r="H1094" s="94"/>
      <c r="I1094" s="93" t="s">
        <v>1369</v>
      </c>
      <c r="J1094" s="93">
        <v>2</v>
      </c>
      <c r="K1094" s="93">
        <v>3750</v>
      </c>
      <c r="L1094" s="93">
        <v>32</v>
      </c>
      <c r="M1094" s="17"/>
      <c r="N1094" s="93" t="s">
        <v>1369</v>
      </c>
      <c r="O1094" s="93">
        <v>2</v>
      </c>
      <c r="P1094" s="93">
        <v>3750</v>
      </c>
      <c r="Q1094" s="93">
        <v>32</v>
      </c>
      <c r="R1094" s="69"/>
    </row>
    <row r="1095" spans="2:18">
      <c r="B1095" s="68"/>
      <c r="C1095" s="93">
        <v>16</v>
      </c>
      <c r="D1095" s="93" t="s">
        <v>1911</v>
      </c>
      <c r="E1095" s="93">
        <v>5</v>
      </c>
      <c r="F1095" s="93">
        <v>109590</v>
      </c>
      <c r="G1095" s="93">
        <v>14324</v>
      </c>
      <c r="H1095" s="94"/>
      <c r="I1095" s="93" t="s">
        <v>1370</v>
      </c>
      <c r="J1095" s="93">
        <v>2</v>
      </c>
      <c r="K1095" s="93">
        <v>3750</v>
      </c>
      <c r="L1095" s="93">
        <v>32</v>
      </c>
      <c r="M1095" s="17"/>
      <c r="N1095" s="93" t="s">
        <v>1370</v>
      </c>
      <c r="O1095" s="93">
        <v>2</v>
      </c>
      <c r="P1095" s="93">
        <v>3750</v>
      </c>
      <c r="Q1095" s="93">
        <v>32</v>
      </c>
      <c r="R1095" s="69"/>
    </row>
    <row r="1096" spans="2:18">
      <c r="B1096" s="68"/>
      <c r="C1096" s="93">
        <v>16</v>
      </c>
      <c r="D1096" s="93" t="s">
        <v>1911</v>
      </c>
      <c r="E1096" s="93">
        <v>3</v>
      </c>
      <c r="F1096" s="93">
        <v>105840</v>
      </c>
      <c r="G1096" s="93">
        <v>14292</v>
      </c>
      <c r="H1096" s="94"/>
      <c r="I1096" s="93" t="s">
        <v>1371</v>
      </c>
      <c r="J1096" s="93">
        <v>2</v>
      </c>
      <c r="K1096" s="93">
        <v>3750</v>
      </c>
      <c r="L1096" s="93">
        <v>32</v>
      </c>
      <c r="M1096" s="17"/>
      <c r="N1096" s="93" t="s">
        <v>1371</v>
      </c>
      <c r="O1096" s="93">
        <v>2</v>
      </c>
      <c r="P1096" s="93">
        <v>3750</v>
      </c>
      <c r="Q1096" s="93">
        <v>32</v>
      </c>
      <c r="R1096" s="69"/>
    </row>
    <row r="1097" spans="2:18">
      <c r="B1097" s="68"/>
      <c r="C1097" s="93">
        <v>16</v>
      </c>
      <c r="D1097" s="93" t="s">
        <v>1911</v>
      </c>
      <c r="E1097" s="93">
        <v>1</v>
      </c>
      <c r="F1097" s="93">
        <v>102090</v>
      </c>
      <c r="G1097" s="93">
        <v>14260</v>
      </c>
      <c r="H1097" s="94"/>
      <c r="I1097" s="93" t="s">
        <v>1372</v>
      </c>
      <c r="J1097" s="93">
        <v>2</v>
      </c>
      <c r="K1097" s="93">
        <v>3750</v>
      </c>
      <c r="L1097" s="93">
        <v>32</v>
      </c>
      <c r="M1097" s="17"/>
      <c r="N1097" s="93" t="s">
        <v>1372</v>
      </c>
      <c r="O1097" s="93">
        <v>2</v>
      </c>
      <c r="P1097" s="93">
        <v>3750</v>
      </c>
      <c r="Q1097" s="93">
        <v>32</v>
      </c>
      <c r="R1097" s="69"/>
    </row>
    <row r="1098" spans="2:18">
      <c r="B1098" s="68"/>
      <c r="C1098" s="93">
        <v>17</v>
      </c>
      <c r="D1098" s="93" t="s">
        <v>1912</v>
      </c>
      <c r="E1098" s="93">
        <v>138</v>
      </c>
      <c r="F1098" s="93">
        <v>518490</v>
      </c>
      <c r="G1098" s="93">
        <v>19598</v>
      </c>
      <c r="H1098" s="94"/>
      <c r="I1098" s="93" t="s">
        <v>1373</v>
      </c>
      <c r="J1098" s="93">
        <v>2</v>
      </c>
      <c r="K1098" s="93">
        <v>3750</v>
      </c>
      <c r="L1098" s="93">
        <v>32</v>
      </c>
      <c r="M1098" s="17"/>
      <c r="N1098" s="93" t="s">
        <v>1373</v>
      </c>
      <c r="O1098" s="93">
        <v>2</v>
      </c>
      <c r="P1098" s="93">
        <v>3750</v>
      </c>
      <c r="Q1098" s="93">
        <v>32</v>
      </c>
      <c r="R1098" s="69"/>
    </row>
    <row r="1099" spans="2:18">
      <c r="B1099" s="68"/>
      <c r="C1099" s="93">
        <v>17</v>
      </c>
      <c r="D1099" s="93" t="s">
        <v>1912</v>
      </c>
      <c r="E1099" s="93">
        <v>136</v>
      </c>
      <c r="F1099" s="93">
        <v>514740</v>
      </c>
      <c r="G1099" s="93">
        <v>19566</v>
      </c>
      <c r="H1099" s="94"/>
      <c r="I1099" s="93" t="s">
        <v>1374</v>
      </c>
      <c r="J1099" s="93">
        <v>2</v>
      </c>
      <c r="K1099" s="93">
        <v>3750</v>
      </c>
      <c r="L1099" s="93">
        <v>32</v>
      </c>
      <c r="M1099" s="17"/>
      <c r="N1099" s="93" t="s">
        <v>1374</v>
      </c>
      <c r="O1099" s="93">
        <v>2</v>
      </c>
      <c r="P1099" s="93">
        <v>3750</v>
      </c>
      <c r="Q1099" s="93">
        <v>32</v>
      </c>
      <c r="R1099" s="69"/>
    </row>
    <row r="1100" spans="2:18">
      <c r="B1100" s="68"/>
      <c r="C1100" s="93">
        <v>17</v>
      </c>
      <c r="D1100" s="93" t="s">
        <v>1912</v>
      </c>
      <c r="E1100" s="93">
        <v>135</v>
      </c>
      <c r="F1100" s="93">
        <v>513040</v>
      </c>
      <c r="G1100" s="93">
        <v>19406</v>
      </c>
      <c r="H1100" s="94"/>
      <c r="I1100" s="93" t="s">
        <v>1375</v>
      </c>
      <c r="J1100" s="93">
        <v>1</v>
      </c>
      <c r="K1100" s="93">
        <v>1700</v>
      </c>
      <c r="L1100" s="93">
        <v>160</v>
      </c>
      <c r="M1100" s="17"/>
      <c r="N1100" s="93" t="s">
        <v>1375</v>
      </c>
      <c r="O1100" s="93">
        <v>1</v>
      </c>
      <c r="P1100" s="93">
        <v>1700</v>
      </c>
      <c r="Q1100" s="93">
        <v>160</v>
      </c>
      <c r="R1100" s="69"/>
    </row>
    <row r="1101" spans="2:18">
      <c r="B1101" s="68"/>
      <c r="C1101" s="93">
        <v>17</v>
      </c>
      <c r="D1101" s="93" t="s">
        <v>1912</v>
      </c>
      <c r="E1101" s="93">
        <v>119</v>
      </c>
      <c r="F1101" s="93">
        <v>483040</v>
      </c>
      <c r="G1101" s="93">
        <v>19086</v>
      </c>
      <c r="H1101" s="94"/>
      <c r="I1101" s="93" t="s">
        <v>1376</v>
      </c>
      <c r="J1101" s="93">
        <v>16</v>
      </c>
      <c r="K1101" s="93">
        <v>30000</v>
      </c>
      <c r="L1101" s="93">
        <v>320</v>
      </c>
      <c r="M1101" s="17"/>
      <c r="N1101" s="93" t="s">
        <v>1376</v>
      </c>
      <c r="O1101" s="93">
        <v>16</v>
      </c>
      <c r="P1101" s="93">
        <v>30000</v>
      </c>
      <c r="Q1101" s="93">
        <v>320</v>
      </c>
      <c r="R1101" s="69"/>
    </row>
    <row r="1102" spans="2:18">
      <c r="B1102" s="68"/>
      <c r="C1102" s="93">
        <v>17</v>
      </c>
      <c r="D1102" s="93" t="s">
        <v>1912</v>
      </c>
      <c r="E1102" s="93">
        <v>103</v>
      </c>
      <c r="F1102" s="93">
        <v>453040</v>
      </c>
      <c r="G1102" s="93">
        <v>18766</v>
      </c>
      <c r="H1102" s="94"/>
      <c r="I1102" s="93" t="s">
        <v>1377</v>
      </c>
      <c r="J1102" s="93">
        <v>16</v>
      </c>
      <c r="K1102" s="93">
        <v>30000</v>
      </c>
      <c r="L1102" s="93">
        <v>320</v>
      </c>
      <c r="M1102" s="17"/>
      <c r="N1102" s="93" t="s">
        <v>1377</v>
      </c>
      <c r="O1102" s="93">
        <v>16</v>
      </c>
      <c r="P1102" s="93">
        <v>30000</v>
      </c>
      <c r="Q1102" s="93">
        <v>320</v>
      </c>
      <c r="R1102" s="69"/>
    </row>
    <row r="1103" spans="2:18">
      <c r="B1103" s="68"/>
      <c r="C1103" s="93">
        <v>17</v>
      </c>
      <c r="D1103" s="93" t="s">
        <v>1912</v>
      </c>
      <c r="E1103" s="93">
        <v>102</v>
      </c>
      <c r="F1103" s="93">
        <v>451340</v>
      </c>
      <c r="G1103" s="93">
        <v>18606</v>
      </c>
      <c r="H1103" s="94"/>
      <c r="I1103" s="93" t="s">
        <v>1378</v>
      </c>
      <c r="J1103" s="93">
        <v>1</v>
      </c>
      <c r="K1103" s="93">
        <v>1700</v>
      </c>
      <c r="L1103" s="93">
        <v>160</v>
      </c>
      <c r="M1103" s="17"/>
      <c r="N1103" s="93" t="s">
        <v>1378</v>
      </c>
      <c r="O1103" s="93">
        <v>1</v>
      </c>
      <c r="P1103" s="93">
        <v>1700</v>
      </c>
      <c r="Q1103" s="93">
        <v>160</v>
      </c>
      <c r="R1103" s="69"/>
    </row>
    <row r="1104" spans="2:18">
      <c r="B1104" s="68"/>
      <c r="C1104" s="93">
        <v>17</v>
      </c>
      <c r="D1104" s="93" t="s">
        <v>1912</v>
      </c>
      <c r="E1104" s="93">
        <v>100</v>
      </c>
      <c r="F1104" s="93">
        <v>447340</v>
      </c>
      <c r="G1104" s="93">
        <v>18606</v>
      </c>
      <c r="H1104" s="94"/>
      <c r="I1104" s="93" t="s">
        <v>1379</v>
      </c>
      <c r="J1104" s="93">
        <v>2</v>
      </c>
      <c r="K1104" s="93">
        <v>4000</v>
      </c>
      <c r="L1104" s="93">
        <v>0</v>
      </c>
      <c r="M1104" s="17"/>
      <c r="N1104" s="93" t="s">
        <v>1379</v>
      </c>
      <c r="O1104" s="93">
        <v>2</v>
      </c>
      <c r="P1104" s="93">
        <v>4000</v>
      </c>
      <c r="Q1104" s="93">
        <v>0</v>
      </c>
      <c r="R1104" s="69"/>
    </row>
    <row r="1105" spans="2:18">
      <c r="B1105" s="68"/>
      <c r="C1105" s="93">
        <v>17</v>
      </c>
      <c r="D1105" s="93" t="s">
        <v>1912</v>
      </c>
      <c r="E1105" s="93">
        <v>98</v>
      </c>
      <c r="F1105" s="93">
        <v>443340</v>
      </c>
      <c r="G1105" s="93">
        <v>18606</v>
      </c>
      <c r="H1105" s="94"/>
      <c r="I1105" s="93" t="s">
        <v>1380</v>
      </c>
      <c r="J1105" s="93">
        <v>2</v>
      </c>
      <c r="K1105" s="93">
        <v>4000</v>
      </c>
      <c r="L1105" s="93">
        <v>0</v>
      </c>
      <c r="M1105" s="17"/>
      <c r="N1105" s="93" t="s">
        <v>1380</v>
      </c>
      <c r="O1105" s="93">
        <v>2</v>
      </c>
      <c r="P1105" s="93">
        <v>4000</v>
      </c>
      <c r="Q1105" s="93">
        <v>0</v>
      </c>
      <c r="R1105" s="69"/>
    </row>
    <row r="1106" spans="2:18">
      <c r="B1106" s="68"/>
      <c r="C1106" s="93">
        <v>17</v>
      </c>
      <c r="D1106" s="93" t="s">
        <v>1912</v>
      </c>
      <c r="E1106" s="93">
        <v>97</v>
      </c>
      <c r="F1106" s="93">
        <v>441640</v>
      </c>
      <c r="G1106" s="93">
        <v>18446</v>
      </c>
      <c r="H1106" s="94"/>
      <c r="I1106" s="93" t="s">
        <v>1381</v>
      </c>
      <c r="J1106" s="93">
        <v>1</v>
      </c>
      <c r="K1106" s="93">
        <v>1700</v>
      </c>
      <c r="L1106" s="93">
        <v>160</v>
      </c>
      <c r="M1106" s="17"/>
      <c r="N1106" s="93" t="s">
        <v>1381</v>
      </c>
      <c r="O1106" s="93">
        <v>1</v>
      </c>
      <c r="P1106" s="93">
        <v>1700</v>
      </c>
      <c r="Q1106" s="93">
        <v>160</v>
      </c>
      <c r="R1106" s="69"/>
    </row>
    <row r="1107" spans="2:18">
      <c r="B1107" s="68"/>
      <c r="C1107" s="93">
        <v>17</v>
      </c>
      <c r="D1107" s="93" t="s">
        <v>1912</v>
      </c>
      <c r="E1107" s="93">
        <v>96</v>
      </c>
      <c r="F1107" s="93">
        <v>439640</v>
      </c>
      <c r="G1107" s="93">
        <v>18446</v>
      </c>
      <c r="H1107" s="94"/>
      <c r="I1107" s="93" t="s">
        <v>1382</v>
      </c>
      <c r="J1107" s="93">
        <v>1</v>
      </c>
      <c r="K1107" s="93">
        <v>2000</v>
      </c>
      <c r="L1107" s="93">
        <v>0</v>
      </c>
      <c r="M1107" s="17"/>
      <c r="N1107" s="93" t="s">
        <v>1382</v>
      </c>
      <c r="O1107" s="93">
        <v>1</v>
      </c>
      <c r="P1107" s="93">
        <v>2000</v>
      </c>
      <c r="Q1107" s="93">
        <v>0</v>
      </c>
      <c r="R1107" s="69"/>
    </row>
    <row r="1108" spans="2:18">
      <c r="B1108" s="68"/>
      <c r="C1108" s="93">
        <v>17</v>
      </c>
      <c r="D1108" s="93" t="s">
        <v>1912</v>
      </c>
      <c r="E1108" s="93">
        <v>95</v>
      </c>
      <c r="F1108" s="93">
        <v>437640</v>
      </c>
      <c r="G1108" s="93">
        <v>18446</v>
      </c>
      <c r="H1108" s="94"/>
      <c r="I1108" s="93" t="s">
        <v>1383</v>
      </c>
      <c r="J1108" s="93">
        <v>1</v>
      </c>
      <c r="K1108" s="93">
        <v>2000</v>
      </c>
      <c r="L1108" s="93">
        <v>0</v>
      </c>
      <c r="M1108" s="17"/>
      <c r="N1108" s="93" t="s">
        <v>1383</v>
      </c>
      <c r="O1108" s="93">
        <v>1</v>
      </c>
      <c r="P1108" s="93">
        <v>2000</v>
      </c>
      <c r="Q1108" s="93">
        <v>0</v>
      </c>
      <c r="R1108" s="69"/>
    </row>
    <row r="1109" spans="2:18">
      <c r="B1109" s="68"/>
      <c r="C1109" s="93">
        <v>17</v>
      </c>
      <c r="D1109" s="93" t="s">
        <v>1912</v>
      </c>
      <c r="E1109" s="93">
        <v>94</v>
      </c>
      <c r="F1109" s="93">
        <v>435640</v>
      </c>
      <c r="G1109" s="93">
        <v>18446</v>
      </c>
      <c r="H1109" s="94"/>
      <c r="I1109" s="93" t="s">
        <v>1384</v>
      </c>
      <c r="J1109" s="93">
        <v>1</v>
      </c>
      <c r="K1109" s="93">
        <v>2000</v>
      </c>
      <c r="L1109" s="93">
        <v>0</v>
      </c>
      <c r="M1109" s="17"/>
      <c r="N1109" s="93" t="s">
        <v>1384</v>
      </c>
      <c r="O1109" s="93">
        <v>1</v>
      </c>
      <c r="P1109" s="93">
        <v>2000</v>
      </c>
      <c r="Q1109" s="93">
        <v>0</v>
      </c>
      <c r="R1109" s="69"/>
    </row>
    <row r="1110" spans="2:18">
      <c r="B1110" s="68"/>
      <c r="C1110" s="93">
        <v>17</v>
      </c>
      <c r="D1110" s="93" t="s">
        <v>1912</v>
      </c>
      <c r="E1110" s="93">
        <v>78</v>
      </c>
      <c r="F1110" s="93">
        <v>405640</v>
      </c>
      <c r="G1110" s="93">
        <v>18126</v>
      </c>
      <c r="H1110" s="94"/>
      <c r="I1110" s="93" t="s">
        <v>1385</v>
      </c>
      <c r="J1110" s="93">
        <v>16</v>
      </c>
      <c r="K1110" s="93">
        <v>30000</v>
      </c>
      <c r="L1110" s="93">
        <v>320</v>
      </c>
      <c r="M1110" s="17"/>
      <c r="N1110" s="93" t="s">
        <v>1385</v>
      </c>
      <c r="O1110" s="93">
        <v>16</v>
      </c>
      <c r="P1110" s="93">
        <v>30000</v>
      </c>
      <c r="Q1110" s="93">
        <v>320</v>
      </c>
      <c r="R1110" s="69"/>
    </row>
    <row r="1111" spans="2:18">
      <c r="B1111" s="68"/>
      <c r="C1111" s="93">
        <v>17</v>
      </c>
      <c r="D1111" s="93" t="s">
        <v>1912</v>
      </c>
      <c r="E1111" s="93">
        <v>76</v>
      </c>
      <c r="F1111" s="93">
        <v>401640</v>
      </c>
      <c r="G1111" s="93">
        <v>18126</v>
      </c>
      <c r="H1111" s="94"/>
      <c r="I1111" s="93" t="s">
        <v>1386</v>
      </c>
      <c r="J1111" s="93">
        <v>2</v>
      </c>
      <c r="K1111" s="93">
        <v>4000</v>
      </c>
      <c r="L1111" s="93">
        <v>0</v>
      </c>
      <c r="M1111" s="17"/>
      <c r="N1111" s="93" t="s">
        <v>1386</v>
      </c>
      <c r="O1111" s="93">
        <v>2</v>
      </c>
      <c r="P1111" s="93">
        <v>4000</v>
      </c>
      <c r="Q1111" s="93">
        <v>0</v>
      </c>
      <c r="R1111" s="69"/>
    </row>
    <row r="1112" spans="2:18">
      <c r="B1112" s="68"/>
      <c r="C1112" s="93">
        <v>17</v>
      </c>
      <c r="D1112" s="93" t="s">
        <v>1912</v>
      </c>
      <c r="E1112" s="93">
        <v>75</v>
      </c>
      <c r="F1112" s="93">
        <v>399640</v>
      </c>
      <c r="G1112" s="93">
        <v>18126</v>
      </c>
      <c r="H1112" s="94"/>
      <c r="I1112" s="93" t="s">
        <v>1387</v>
      </c>
      <c r="J1112" s="93">
        <v>1</v>
      </c>
      <c r="K1112" s="93">
        <v>2000</v>
      </c>
      <c r="L1112" s="93">
        <v>0</v>
      </c>
      <c r="M1112" s="17"/>
      <c r="N1112" s="93" t="s">
        <v>1387</v>
      </c>
      <c r="O1112" s="93">
        <v>1</v>
      </c>
      <c r="P1112" s="93">
        <v>2000</v>
      </c>
      <c r="Q1112" s="93">
        <v>0</v>
      </c>
      <c r="R1112" s="69"/>
    </row>
    <row r="1113" spans="2:18">
      <c r="B1113" s="68"/>
      <c r="C1113" s="93">
        <v>17</v>
      </c>
      <c r="D1113" s="93" t="s">
        <v>1912</v>
      </c>
      <c r="E1113" s="93">
        <v>74</v>
      </c>
      <c r="F1113" s="93">
        <v>397940</v>
      </c>
      <c r="G1113" s="93">
        <v>17966</v>
      </c>
      <c r="H1113" s="94"/>
      <c r="I1113" s="93" t="s">
        <v>1388</v>
      </c>
      <c r="J1113" s="93">
        <v>1</v>
      </c>
      <c r="K1113" s="93">
        <v>1700</v>
      </c>
      <c r="L1113" s="93">
        <v>160</v>
      </c>
      <c r="M1113" s="17"/>
      <c r="N1113" s="93" t="s">
        <v>1388</v>
      </c>
      <c r="O1113" s="93">
        <v>1</v>
      </c>
      <c r="P1113" s="93">
        <v>1700</v>
      </c>
      <c r="Q1113" s="93">
        <v>160</v>
      </c>
      <c r="R1113" s="69"/>
    </row>
    <row r="1114" spans="2:18">
      <c r="B1114" s="68"/>
      <c r="C1114" s="93">
        <v>17</v>
      </c>
      <c r="D1114" s="93" t="s">
        <v>1912</v>
      </c>
      <c r="E1114" s="93">
        <v>73</v>
      </c>
      <c r="F1114" s="93">
        <v>395940</v>
      </c>
      <c r="G1114" s="93">
        <v>17966</v>
      </c>
      <c r="H1114" s="94"/>
      <c r="I1114" s="93" t="s">
        <v>1389</v>
      </c>
      <c r="J1114" s="93">
        <v>1</v>
      </c>
      <c r="K1114" s="93">
        <v>2000</v>
      </c>
      <c r="L1114" s="93">
        <v>0</v>
      </c>
      <c r="M1114" s="17"/>
      <c r="N1114" s="93" t="s">
        <v>1389</v>
      </c>
      <c r="O1114" s="93">
        <v>1</v>
      </c>
      <c r="P1114" s="93">
        <v>2000</v>
      </c>
      <c r="Q1114" s="93">
        <v>0</v>
      </c>
      <c r="R1114" s="69"/>
    </row>
    <row r="1115" spans="2:18">
      <c r="B1115" s="68"/>
      <c r="C1115" s="93">
        <v>17</v>
      </c>
      <c r="D1115" s="93" t="s">
        <v>1912</v>
      </c>
      <c r="E1115" s="93">
        <v>71</v>
      </c>
      <c r="F1115" s="93">
        <v>392190</v>
      </c>
      <c r="G1115" s="93">
        <v>17934</v>
      </c>
      <c r="H1115" s="94"/>
      <c r="I1115" s="93" t="s">
        <v>1390</v>
      </c>
      <c r="J1115" s="93">
        <v>2</v>
      </c>
      <c r="K1115" s="93">
        <v>3750</v>
      </c>
      <c r="L1115" s="93">
        <v>32</v>
      </c>
      <c r="M1115" s="17"/>
      <c r="N1115" s="93" t="s">
        <v>1390</v>
      </c>
      <c r="O1115" s="93">
        <v>2</v>
      </c>
      <c r="P1115" s="93">
        <v>3750</v>
      </c>
      <c r="Q1115" s="93">
        <v>32</v>
      </c>
      <c r="R1115" s="69"/>
    </row>
    <row r="1116" spans="2:18">
      <c r="B1116" s="68"/>
      <c r="C1116" s="93">
        <v>17</v>
      </c>
      <c r="D1116" s="93" t="s">
        <v>1912</v>
      </c>
      <c r="E1116" s="93">
        <v>70</v>
      </c>
      <c r="F1116" s="93">
        <v>390190</v>
      </c>
      <c r="G1116" s="93">
        <v>17934</v>
      </c>
      <c r="H1116" s="94"/>
      <c r="I1116" s="93" t="s">
        <v>1391</v>
      </c>
      <c r="J1116" s="93">
        <v>1</v>
      </c>
      <c r="K1116" s="93">
        <v>2000</v>
      </c>
      <c r="L1116" s="93">
        <v>0</v>
      </c>
      <c r="M1116" s="17"/>
      <c r="N1116" s="93" t="s">
        <v>1391</v>
      </c>
      <c r="O1116" s="93">
        <v>1</v>
      </c>
      <c r="P1116" s="93">
        <v>2000</v>
      </c>
      <c r="Q1116" s="93">
        <v>0</v>
      </c>
      <c r="R1116" s="69"/>
    </row>
    <row r="1117" spans="2:18">
      <c r="B1117" s="68"/>
      <c r="C1117" s="93">
        <v>17</v>
      </c>
      <c r="D1117" s="93" t="s">
        <v>1912</v>
      </c>
      <c r="E1117" s="93">
        <v>69</v>
      </c>
      <c r="F1117" s="93">
        <v>388190</v>
      </c>
      <c r="G1117" s="93">
        <v>17934</v>
      </c>
      <c r="H1117" s="94"/>
      <c r="I1117" s="93" t="s">
        <v>1392</v>
      </c>
      <c r="J1117" s="93">
        <v>1</v>
      </c>
      <c r="K1117" s="93">
        <v>2000</v>
      </c>
      <c r="L1117" s="93">
        <v>0</v>
      </c>
      <c r="M1117" s="17"/>
      <c r="N1117" s="93" t="s">
        <v>1392</v>
      </c>
      <c r="O1117" s="93">
        <v>1</v>
      </c>
      <c r="P1117" s="93">
        <v>2000</v>
      </c>
      <c r="Q1117" s="93">
        <v>0</v>
      </c>
      <c r="R1117" s="69"/>
    </row>
    <row r="1118" spans="2:18">
      <c r="B1118" s="68"/>
      <c r="C1118" s="93">
        <v>17</v>
      </c>
      <c r="D1118" s="93" t="s">
        <v>1912</v>
      </c>
      <c r="E1118" s="93">
        <v>68</v>
      </c>
      <c r="F1118" s="93">
        <v>386190</v>
      </c>
      <c r="G1118" s="93">
        <v>17934</v>
      </c>
      <c r="H1118" s="94"/>
      <c r="I1118" s="93" t="s">
        <v>1393</v>
      </c>
      <c r="J1118" s="93">
        <v>1</v>
      </c>
      <c r="K1118" s="93">
        <v>2000</v>
      </c>
      <c r="L1118" s="93">
        <v>0</v>
      </c>
      <c r="M1118" s="17"/>
      <c r="N1118" s="93" t="s">
        <v>1393</v>
      </c>
      <c r="O1118" s="93">
        <v>1</v>
      </c>
      <c r="P1118" s="93">
        <v>2000</v>
      </c>
      <c r="Q1118" s="93">
        <v>0</v>
      </c>
      <c r="R1118" s="69"/>
    </row>
    <row r="1119" spans="2:18">
      <c r="B1119" s="68"/>
      <c r="C1119" s="93">
        <v>17</v>
      </c>
      <c r="D1119" s="93" t="s">
        <v>1912</v>
      </c>
      <c r="E1119" s="93">
        <v>67</v>
      </c>
      <c r="F1119" s="93">
        <v>384190</v>
      </c>
      <c r="G1119" s="93">
        <v>17934</v>
      </c>
      <c r="H1119" s="94"/>
      <c r="I1119" s="93" t="s">
        <v>1394</v>
      </c>
      <c r="J1119" s="93">
        <v>1</v>
      </c>
      <c r="K1119" s="93">
        <v>2000</v>
      </c>
      <c r="L1119" s="93">
        <v>0</v>
      </c>
      <c r="M1119" s="17"/>
      <c r="N1119" s="93" t="s">
        <v>1394</v>
      </c>
      <c r="O1119" s="93">
        <v>1</v>
      </c>
      <c r="P1119" s="93">
        <v>2000</v>
      </c>
      <c r="Q1119" s="93">
        <v>0</v>
      </c>
      <c r="R1119" s="69"/>
    </row>
    <row r="1120" spans="2:18">
      <c r="B1120" s="68"/>
      <c r="C1120" s="93">
        <v>17</v>
      </c>
      <c r="D1120" s="93" t="s">
        <v>1912</v>
      </c>
      <c r="E1120" s="93">
        <v>66</v>
      </c>
      <c r="F1120" s="93">
        <v>382190</v>
      </c>
      <c r="G1120" s="93">
        <v>17934</v>
      </c>
      <c r="H1120" s="94"/>
      <c r="I1120" s="93" t="s">
        <v>1395</v>
      </c>
      <c r="J1120" s="93">
        <v>1</v>
      </c>
      <c r="K1120" s="93">
        <v>2000</v>
      </c>
      <c r="L1120" s="93">
        <v>0</v>
      </c>
      <c r="M1120" s="17"/>
      <c r="N1120" s="93" t="s">
        <v>1395</v>
      </c>
      <c r="O1120" s="93">
        <v>1</v>
      </c>
      <c r="P1120" s="93">
        <v>2000</v>
      </c>
      <c r="Q1120" s="93">
        <v>0</v>
      </c>
      <c r="R1120" s="69"/>
    </row>
    <row r="1121" spans="2:18">
      <c r="B1121" s="68"/>
      <c r="C1121" s="93">
        <v>17</v>
      </c>
      <c r="D1121" s="93" t="s">
        <v>1912</v>
      </c>
      <c r="E1121" s="93">
        <v>65</v>
      </c>
      <c r="F1121" s="93">
        <v>380190</v>
      </c>
      <c r="G1121" s="93">
        <v>17934</v>
      </c>
      <c r="H1121" s="94"/>
      <c r="I1121" s="93" t="s">
        <v>1396</v>
      </c>
      <c r="J1121" s="93">
        <v>1</v>
      </c>
      <c r="K1121" s="93">
        <v>2000</v>
      </c>
      <c r="L1121" s="93">
        <v>0</v>
      </c>
      <c r="M1121" s="17"/>
      <c r="N1121" s="93" t="s">
        <v>1396</v>
      </c>
      <c r="O1121" s="93">
        <v>1</v>
      </c>
      <c r="P1121" s="93">
        <v>2000</v>
      </c>
      <c r="Q1121" s="93">
        <v>0</v>
      </c>
      <c r="R1121" s="69"/>
    </row>
    <row r="1122" spans="2:18">
      <c r="B1122" s="68"/>
      <c r="C1122" s="93">
        <v>17</v>
      </c>
      <c r="D1122" s="93" t="s">
        <v>1912</v>
      </c>
      <c r="E1122" s="93">
        <v>64</v>
      </c>
      <c r="F1122" s="93">
        <v>378190</v>
      </c>
      <c r="G1122" s="93">
        <v>17934</v>
      </c>
      <c r="H1122" s="94"/>
      <c r="I1122" s="93" t="s">
        <v>1397</v>
      </c>
      <c r="J1122" s="93">
        <v>1</v>
      </c>
      <c r="K1122" s="93">
        <v>2000</v>
      </c>
      <c r="L1122" s="93">
        <v>0</v>
      </c>
      <c r="M1122" s="17"/>
      <c r="N1122" s="93" t="s">
        <v>1397</v>
      </c>
      <c r="O1122" s="93">
        <v>1</v>
      </c>
      <c r="P1122" s="93">
        <v>2000</v>
      </c>
      <c r="Q1122" s="93">
        <v>0</v>
      </c>
      <c r="R1122" s="69"/>
    </row>
    <row r="1123" spans="2:18">
      <c r="B1123" s="68"/>
      <c r="C1123" s="93">
        <v>17</v>
      </c>
      <c r="D1123" s="93" t="s">
        <v>1912</v>
      </c>
      <c r="E1123" s="93">
        <v>62</v>
      </c>
      <c r="F1123" s="93">
        <v>374440</v>
      </c>
      <c r="G1123" s="93">
        <v>17902</v>
      </c>
      <c r="H1123" s="94"/>
      <c r="I1123" s="93" t="s">
        <v>1390</v>
      </c>
      <c r="J1123" s="93">
        <v>2</v>
      </c>
      <c r="K1123" s="93">
        <v>3750</v>
      </c>
      <c r="L1123" s="93">
        <v>32</v>
      </c>
      <c r="M1123" s="17"/>
      <c r="N1123" s="93" t="s">
        <v>1390</v>
      </c>
      <c r="O1123" s="93">
        <v>2</v>
      </c>
      <c r="P1123" s="93">
        <v>3750</v>
      </c>
      <c r="Q1123" s="93">
        <v>32</v>
      </c>
      <c r="R1123" s="69"/>
    </row>
    <row r="1124" spans="2:18">
      <c r="B1124" s="68"/>
      <c r="C1124" s="93">
        <v>17</v>
      </c>
      <c r="D1124" s="93" t="s">
        <v>1912</v>
      </c>
      <c r="E1124" s="93">
        <v>60</v>
      </c>
      <c r="F1124" s="93">
        <v>370690</v>
      </c>
      <c r="G1124" s="93">
        <v>17870</v>
      </c>
      <c r="H1124" s="94"/>
      <c r="I1124" s="93" t="s">
        <v>1390</v>
      </c>
      <c r="J1124" s="93">
        <v>2</v>
      </c>
      <c r="K1124" s="93">
        <v>3750</v>
      </c>
      <c r="L1124" s="93">
        <v>32</v>
      </c>
      <c r="M1124" s="17"/>
      <c r="N1124" s="93" t="s">
        <v>1390</v>
      </c>
      <c r="O1124" s="93">
        <v>2</v>
      </c>
      <c r="P1124" s="93">
        <v>3750</v>
      </c>
      <c r="Q1124" s="93">
        <v>32</v>
      </c>
      <c r="R1124" s="69"/>
    </row>
    <row r="1125" spans="2:18">
      <c r="B1125" s="68"/>
      <c r="C1125" s="93">
        <v>17</v>
      </c>
      <c r="D1125" s="93" t="s">
        <v>1912</v>
      </c>
      <c r="E1125" s="93">
        <v>58</v>
      </c>
      <c r="F1125" s="93">
        <v>366940</v>
      </c>
      <c r="G1125" s="93">
        <v>17838</v>
      </c>
      <c r="H1125" s="94"/>
      <c r="I1125" s="93" t="s">
        <v>1390</v>
      </c>
      <c r="J1125" s="93">
        <v>2</v>
      </c>
      <c r="K1125" s="93">
        <v>3750</v>
      </c>
      <c r="L1125" s="93">
        <v>32</v>
      </c>
      <c r="M1125" s="17"/>
      <c r="N1125" s="93" t="s">
        <v>1390</v>
      </c>
      <c r="O1125" s="93">
        <v>2</v>
      </c>
      <c r="P1125" s="93">
        <v>3750</v>
      </c>
      <c r="Q1125" s="93">
        <v>32</v>
      </c>
      <c r="R1125" s="69"/>
    </row>
    <row r="1126" spans="2:18">
      <c r="B1126" s="68"/>
      <c r="C1126" s="93">
        <v>17</v>
      </c>
      <c r="D1126" s="93" t="s">
        <v>1912</v>
      </c>
      <c r="E1126" s="93">
        <v>56</v>
      </c>
      <c r="F1126" s="93">
        <v>359440</v>
      </c>
      <c r="G1126" s="93">
        <v>17806</v>
      </c>
      <c r="H1126" s="94"/>
      <c r="I1126" s="93" t="s">
        <v>1398</v>
      </c>
      <c r="J1126" s="93">
        <v>2</v>
      </c>
      <c r="K1126" s="93">
        <v>7500</v>
      </c>
      <c r="L1126" s="93">
        <v>32</v>
      </c>
      <c r="M1126" s="17"/>
      <c r="N1126" s="93" t="s">
        <v>1398</v>
      </c>
      <c r="O1126" s="93">
        <v>2</v>
      </c>
      <c r="P1126" s="93">
        <v>7500</v>
      </c>
      <c r="Q1126" s="93">
        <v>32</v>
      </c>
      <c r="R1126" s="69"/>
    </row>
    <row r="1127" spans="2:18">
      <c r="B1127" s="68"/>
      <c r="C1127" s="93">
        <v>17</v>
      </c>
      <c r="D1127" s="93" t="s">
        <v>1912</v>
      </c>
      <c r="E1127" s="93">
        <v>54</v>
      </c>
      <c r="F1127" s="93">
        <v>351940</v>
      </c>
      <c r="G1127" s="93">
        <v>17774</v>
      </c>
      <c r="H1127" s="94"/>
      <c r="I1127" s="93" t="s">
        <v>1399</v>
      </c>
      <c r="J1127" s="93">
        <v>2</v>
      </c>
      <c r="K1127" s="93">
        <v>7500</v>
      </c>
      <c r="L1127" s="93">
        <v>32</v>
      </c>
      <c r="M1127" s="17"/>
      <c r="N1127" s="93" t="s">
        <v>1399</v>
      </c>
      <c r="O1127" s="93">
        <v>2</v>
      </c>
      <c r="P1127" s="93">
        <v>7500</v>
      </c>
      <c r="Q1127" s="93">
        <v>32</v>
      </c>
      <c r="R1127" s="69"/>
    </row>
    <row r="1128" spans="2:18">
      <c r="B1128" s="68"/>
      <c r="C1128" s="93">
        <v>17</v>
      </c>
      <c r="D1128" s="93" t="s">
        <v>1912</v>
      </c>
      <c r="E1128" s="93">
        <v>52</v>
      </c>
      <c r="F1128" s="93">
        <v>347940</v>
      </c>
      <c r="G1128" s="93">
        <v>17774</v>
      </c>
      <c r="H1128" s="94"/>
      <c r="I1128" s="93" t="s">
        <v>1400</v>
      </c>
      <c r="J1128" s="93">
        <v>2</v>
      </c>
      <c r="K1128" s="93">
        <v>4000</v>
      </c>
      <c r="L1128" s="93">
        <v>0</v>
      </c>
      <c r="M1128" s="17"/>
      <c r="N1128" s="93" t="s">
        <v>1400</v>
      </c>
      <c r="O1128" s="93">
        <v>2</v>
      </c>
      <c r="P1128" s="93">
        <v>4000</v>
      </c>
      <c r="Q1128" s="93">
        <v>0</v>
      </c>
      <c r="R1128" s="69"/>
    </row>
    <row r="1129" spans="2:18">
      <c r="B1129" s="68"/>
      <c r="C1129" s="93">
        <v>17</v>
      </c>
      <c r="D1129" s="93" t="s">
        <v>1912</v>
      </c>
      <c r="E1129" s="93">
        <v>50</v>
      </c>
      <c r="F1129" s="93">
        <v>340440</v>
      </c>
      <c r="G1129" s="93">
        <v>17742</v>
      </c>
      <c r="H1129" s="94"/>
      <c r="I1129" s="93" t="s">
        <v>1401</v>
      </c>
      <c r="J1129" s="93">
        <v>2</v>
      </c>
      <c r="K1129" s="93">
        <v>7500</v>
      </c>
      <c r="L1129" s="93">
        <v>32</v>
      </c>
      <c r="M1129" s="17"/>
      <c r="N1129" s="93" t="s">
        <v>1401</v>
      </c>
      <c r="O1129" s="93">
        <v>2</v>
      </c>
      <c r="P1129" s="93">
        <v>7500</v>
      </c>
      <c r="Q1129" s="93">
        <v>32</v>
      </c>
      <c r="R1129" s="69"/>
    </row>
    <row r="1130" spans="2:18">
      <c r="B1130" s="68"/>
      <c r="C1130" s="93">
        <v>17</v>
      </c>
      <c r="D1130" s="93" t="s">
        <v>1912</v>
      </c>
      <c r="E1130" s="93">
        <v>48</v>
      </c>
      <c r="F1130" s="93">
        <v>332940</v>
      </c>
      <c r="G1130" s="93">
        <v>17710</v>
      </c>
      <c r="H1130" s="94"/>
      <c r="I1130" s="93" t="s">
        <v>1402</v>
      </c>
      <c r="J1130" s="93">
        <v>2</v>
      </c>
      <c r="K1130" s="93">
        <v>7500</v>
      </c>
      <c r="L1130" s="93">
        <v>32</v>
      </c>
      <c r="M1130" s="17"/>
      <c r="N1130" s="93" t="s">
        <v>1402</v>
      </c>
      <c r="O1130" s="93">
        <v>2</v>
      </c>
      <c r="P1130" s="93">
        <v>7500</v>
      </c>
      <c r="Q1130" s="93">
        <v>32</v>
      </c>
      <c r="R1130" s="69"/>
    </row>
    <row r="1131" spans="2:18">
      <c r="B1131" s="68"/>
      <c r="C1131" s="93">
        <v>17</v>
      </c>
      <c r="D1131" s="93" t="s">
        <v>1912</v>
      </c>
      <c r="E1131" s="93">
        <v>46</v>
      </c>
      <c r="F1131" s="93">
        <v>329190</v>
      </c>
      <c r="G1131" s="93">
        <v>17678</v>
      </c>
      <c r="H1131" s="94"/>
      <c r="I1131" s="93" t="s">
        <v>1403</v>
      </c>
      <c r="J1131" s="93">
        <v>2</v>
      </c>
      <c r="K1131" s="93">
        <v>3750</v>
      </c>
      <c r="L1131" s="93">
        <v>32</v>
      </c>
      <c r="M1131" s="17"/>
      <c r="N1131" s="93" t="s">
        <v>1403</v>
      </c>
      <c r="O1131" s="93">
        <v>2</v>
      </c>
      <c r="P1131" s="93">
        <v>3750</v>
      </c>
      <c r="Q1131" s="93">
        <v>32</v>
      </c>
      <c r="R1131" s="69"/>
    </row>
    <row r="1132" spans="2:18">
      <c r="B1132" s="68"/>
      <c r="C1132" s="93">
        <v>17</v>
      </c>
      <c r="D1132" s="93" t="s">
        <v>1912</v>
      </c>
      <c r="E1132" s="93">
        <v>44</v>
      </c>
      <c r="F1132" s="93">
        <v>325440</v>
      </c>
      <c r="G1132" s="93">
        <v>17646</v>
      </c>
      <c r="H1132" s="94"/>
      <c r="I1132" s="93" t="s">
        <v>1404</v>
      </c>
      <c r="J1132" s="93">
        <v>2</v>
      </c>
      <c r="K1132" s="93">
        <v>3750</v>
      </c>
      <c r="L1132" s="93">
        <v>32</v>
      </c>
      <c r="M1132" s="17"/>
      <c r="N1132" s="93" t="s">
        <v>1404</v>
      </c>
      <c r="O1132" s="93">
        <v>2</v>
      </c>
      <c r="P1132" s="93">
        <v>3750</v>
      </c>
      <c r="Q1132" s="93">
        <v>32</v>
      </c>
      <c r="R1132" s="69"/>
    </row>
    <row r="1133" spans="2:18">
      <c r="B1133" s="68"/>
      <c r="C1133" s="93">
        <v>17</v>
      </c>
      <c r="D1133" s="93" t="s">
        <v>1912</v>
      </c>
      <c r="E1133" s="93">
        <v>42</v>
      </c>
      <c r="F1133" s="93">
        <v>321690</v>
      </c>
      <c r="G1133" s="93">
        <v>17614</v>
      </c>
      <c r="H1133" s="94"/>
      <c r="I1133" s="93" t="s">
        <v>1405</v>
      </c>
      <c r="J1133" s="93">
        <v>2</v>
      </c>
      <c r="K1133" s="93">
        <v>3750</v>
      </c>
      <c r="L1133" s="93">
        <v>32</v>
      </c>
      <c r="M1133" s="17"/>
      <c r="N1133" s="93" t="s">
        <v>1405</v>
      </c>
      <c r="O1133" s="93">
        <v>2</v>
      </c>
      <c r="P1133" s="93">
        <v>3750</v>
      </c>
      <c r="Q1133" s="93">
        <v>32</v>
      </c>
      <c r="R1133" s="69"/>
    </row>
    <row r="1134" spans="2:18">
      <c r="B1134" s="68"/>
      <c r="C1134" s="93">
        <v>17</v>
      </c>
      <c r="D1134" s="93" t="s">
        <v>1912</v>
      </c>
      <c r="E1134" s="93">
        <v>40</v>
      </c>
      <c r="F1134" s="93">
        <v>317940</v>
      </c>
      <c r="G1134" s="93">
        <v>17582</v>
      </c>
      <c r="H1134" s="94"/>
      <c r="I1134" s="93" t="s">
        <v>1406</v>
      </c>
      <c r="J1134" s="93">
        <v>2</v>
      </c>
      <c r="K1134" s="93">
        <v>3750</v>
      </c>
      <c r="L1134" s="93">
        <v>32</v>
      </c>
      <c r="M1134" s="17"/>
      <c r="N1134" s="93" t="s">
        <v>1406</v>
      </c>
      <c r="O1134" s="93">
        <v>2</v>
      </c>
      <c r="P1134" s="93">
        <v>3750</v>
      </c>
      <c r="Q1134" s="93">
        <v>32</v>
      </c>
      <c r="R1134" s="69"/>
    </row>
    <row r="1135" spans="2:18">
      <c r="B1135" s="68"/>
      <c r="C1135" s="93">
        <v>17</v>
      </c>
      <c r="D1135" s="93" t="s">
        <v>1912</v>
      </c>
      <c r="E1135" s="93">
        <v>38</v>
      </c>
      <c r="F1135" s="93">
        <v>314190</v>
      </c>
      <c r="G1135" s="93">
        <v>17550</v>
      </c>
      <c r="H1135" s="94"/>
      <c r="I1135" s="93" t="s">
        <v>1407</v>
      </c>
      <c r="J1135" s="93">
        <v>2</v>
      </c>
      <c r="K1135" s="93">
        <v>3750</v>
      </c>
      <c r="L1135" s="93">
        <v>32</v>
      </c>
      <c r="M1135" s="17"/>
      <c r="N1135" s="93" t="s">
        <v>1407</v>
      </c>
      <c r="O1135" s="93">
        <v>2</v>
      </c>
      <c r="P1135" s="93">
        <v>3750</v>
      </c>
      <c r="Q1135" s="93">
        <v>32</v>
      </c>
      <c r="R1135" s="69"/>
    </row>
    <row r="1136" spans="2:18">
      <c r="B1136" s="68"/>
      <c r="C1136" s="93">
        <v>17</v>
      </c>
      <c r="D1136" s="93" t="s">
        <v>1912</v>
      </c>
      <c r="E1136" s="93">
        <v>36</v>
      </c>
      <c r="F1136" s="93">
        <v>310440</v>
      </c>
      <c r="G1136" s="93">
        <v>17518</v>
      </c>
      <c r="H1136" s="94"/>
      <c r="I1136" s="93" t="s">
        <v>1408</v>
      </c>
      <c r="J1136" s="93">
        <v>2</v>
      </c>
      <c r="K1136" s="93">
        <v>3750</v>
      </c>
      <c r="L1136" s="93">
        <v>32</v>
      </c>
      <c r="M1136" s="17"/>
      <c r="N1136" s="93" t="s">
        <v>1408</v>
      </c>
      <c r="O1136" s="93">
        <v>2</v>
      </c>
      <c r="P1136" s="93">
        <v>3750</v>
      </c>
      <c r="Q1136" s="93">
        <v>32</v>
      </c>
      <c r="R1136" s="69"/>
    </row>
    <row r="1137" spans="2:18">
      <c r="B1137" s="68"/>
      <c r="C1137" s="93">
        <v>17</v>
      </c>
      <c r="D1137" s="93" t="s">
        <v>1912</v>
      </c>
      <c r="E1137" s="93">
        <v>34</v>
      </c>
      <c r="F1137" s="93">
        <v>306690</v>
      </c>
      <c r="G1137" s="93">
        <v>17486</v>
      </c>
      <c r="H1137" s="94"/>
      <c r="I1137" s="93" t="s">
        <v>1409</v>
      </c>
      <c r="J1137" s="93">
        <v>2</v>
      </c>
      <c r="K1137" s="93">
        <v>3750</v>
      </c>
      <c r="L1137" s="93">
        <v>32</v>
      </c>
      <c r="M1137" s="17"/>
      <c r="N1137" s="93" t="s">
        <v>1409</v>
      </c>
      <c r="O1137" s="93">
        <v>2</v>
      </c>
      <c r="P1137" s="93">
        <v>3750</v>
      </c>
      <c r="Q1137" s="93">
        <v>32</v>
      </c>
      <c r="R1137" s="69"/>
    </row>
    <row r="1138" spans="2:18">
      <c r="B1138" s="68"/>
      <c r="C1138" s="93">
        <v>17</v>
      </c>
      <c r="D1138" s="93" t="s">
        <v>1912</v>
      </c>
      <c r="E1138" s="93">
        <v>32</v>
      </c>
      <c r="F1138" s="93">
        <v>302940</v>
      </c>
      <c r="G1138" s="93">
        <v>17454</v>
      </c>
      <c r="H1138" s="94"/>
      <c r="I1138" s="93" t="s">
        <v>1410</v>
      </c>
      <c r="J1138" s="93">
        <v>2</v>
      </c>
      <c r="K1138" s="93">
        <v>3750</v>
      </c>
      <c r="L1138" s="93">
        <v>32</v>
      </c>
      <c r="M1138" s="17"/>
      <c r="N1138" s="93" t="s">
        <v>1410</v>
      </c>
      <c r="O1138" s="93">
        <v>2</v>
      </c>
      <c r="P1138" s="93">
        <v>3750</v>
      </c>
      <c r="Q1138" s="93">
        <v>32</v>
      </c>
      <c r="R1138" s="69"/>
    </row>
    <row r="1139" spans="2:18">
      <c r="B1139" s="68"/>
      <c r="C1139" s="93">
        <v>17</v>
      </c>
      <c r="D1139" s="93" t="s">
        <v>1912</v>
      </c>
      <c r="E1139" s="93">
        <v>30</v>
      </c>
      <c r="F1139" s="93">
        <v>299190</v>
      </c>
      <c r="G1139" s="93">
        <v>17422</v>
      </c>
      <c r="H1139" s="94"/>
      <c r="I1139" s="93" t="s">
        <v>1411</v>
      </c>
      <c r="J1139" s="93">
        <v>2</v>
      </c>
      <c r="K1139" s="93">
        <v>3750</v>
      </c>
      <c r="L1139" s="93">
        <v>32</v>
      </c>
      <c r="M1139" s="17"/>
      <c r="N1139" s="93" t="s">
        <v>1411</v>
      </c>
      <c r="O1139" s="93">
        <v>2</v>
      </c>
      <c r="P1139" s="93">
        <v>3750</v>
      </c>
      <c r="Q1139" s="93">
        <v>32</v>
      </c>
      <c r="R1139" s="69"/>
    </row>
    <row r="1140" spans="2:18">
      <c r="B1140" s="68"/>
      <c r="C1140" s="93">
        <v>17</v>
      </c>
      <c r="D1140" s="93" t="s">
        <v>1912</v>
      </c>
      <c r="E1140" s="93">
        <v>28</v>
      </c>
      <c r="F1140" s="93">
        <v>295440</v>
      </c>
      <c r="G1140" s="93">
        <v>17390</v>
      </c>
      <c r="H1140" s="94"/>
      <c r="I1140" s="93" t="s">
        <v>1412</v>
      </c>
      <c r="J1140" s="93">
        <v>2</v>
      </c>
      <c r="K1140" s="93">
        <v>3750</v>
      </c>
      <c r="L1140" s="93">
        <v>32</v>
      </c>
      <c r="M1140" s="17"/>
      <c r="N1140" s="93" t="s">
        <v>1412</v>
      </c>
      <c r="O1140" s="93">
        <v>2</v>
      </c>
      <c r="P1140" s="93">
        <v>3750</v>
      </c>
      <c r="Q1140" s="93">
        <v>32</v>
      </c>
      <c r="R1140" s="69"/>
    </row>
    <row r="1141" spans="2:18">
      <c r="B1141" s="68"/>
      <c r="C1141" s="93">
        <v>17</v>
      </c>
      <c r="D1141" s="93" t="s">
        <v>1912</v>
      </c>
      <c r="E1141" s="93">
        <v>26</v>
      </c>
      <c r="F1141" s="93">
        <v>291690</v>
      </c>
      <c r="G1141" s="93">
        <v>17358</v>
      </c>
      <c r="H1141" s="94"/>
      <c r="I1141" s="93" t="s">
        <v>1413</v>
      </c>
      <c r="J1141" s="93">
        <v>2</v>
      </c>
      <c r="K1141" s="93">
        <v>3750</v>
      </c>
      <c r="L1141" s="93">
        <v>32</v>
      </c>
      <c r="M1141" s="17"/>
      <c r="N1141" s="93" t="s">
        <v>1413</v>
      </c>
      <c r="O1141" s="93">
        <v>2</v>
      </c>
      <c r="P1141" s="93">
        <v>3750</v>
      </c>
      <c r="Q1141" s="93">
        <v>32</v>
      </c>
      <c r="R1141" s="69"/>
    </row>
    <row r="1142" spans="2:18">
      <c r="B1142" s="68"/>
      <c r="C1142" s="93">
        <v>17</v>
      </c>
      <c r="D1142" s="93" t="s">
        <v>1912</v>
      </c>
      <c r="E1142" s="93">
        <v>24</v>
      </c>
      <c r="F1142" s="93">
        <v>287940</v>
      </c>
      <c r="G1142" s="93">
        <v>17326</v>
      </c>
      <c r="H1142" s="94"/>
      <c r="I1142" s="93" t="s">
        <v>1414</v>
      </c>
      <c r="J1142" s="93">
        <v>2</v>
      </c>
      <c r="K1142" s="93">
        <v>3750</v>
      </c>
      <c r="L1142" s="93">
        <v>32</v>
      </c>
      <c r="M1142" s="17"/>
      <c r="N1142" s="93" t="s">
        <v>1414</v>
      </c>
      <c r="O1142" s="93">
        <v>2</v>
      </c>
      <c r="P1142" s="93">
        <v>3750</v>
      </c>
      <c r="Q1142" s="93">
        <v>32</v>
      </c>
      <c r="R1142" s="69"/>
    </row>
    <row r="1143" spans="2:18">
      <c r="B1143" s="68"/>
      <c r="C1143" s="93">
        <v>17</v>
      </c>
      <c r="D1143" s="93" t="s">
        <v>1912</v>
      </c>
      <c r="E1143" s="93">
        <v>22</v>
      </c>
      <c r="F1143" s="93">
        <v>284190</v>
      </c>
      <c r="G1143" s="93">
        <v>17294</v>
      </c>
      <c r="H1143" s="94"/>
      <c r="I1143" s="93" t="s">
        <v>1415</v>
      </c>
      <c r="J1143" s="93">
        <v>2</v>
      </c>
      <c r="K1143" s="93">
        <v>3750</v>
      </c>
      <c r="L1143" s="93">
        <v>32</v>
      </c>
      <c r="M1143" s="17"/>
      <c r="N1143" s="93" t="s">
        <v>1415</v>
      </c>
      <c r="O1143" s="93">
        <v>2</v>
      </c>
      <c r="P1143" s="93">
        <v>3750</v>
      </c>
      <c r="Q1143" s="93">
        <v>32</v>
      </c>
      <c r="R1143" s="69"/>
    </row>
    <row r="1144" spans="2:18">
      <c r="B1144" s="68"/>
      <c r="C1144" s="93">
        <v>17</v>
      </c>
      <c r="D1144" s="93" t="s">
        <v>1912</v>
      </c>
      <c r="E1144" s="93">
        <v>20</v>
      </c>
      <c r="F1144" s="93">
        <v>280440</v>
      </c>
      <c r="G1144" s="93">
        <v>17262</v>
      </c>
      <c r="H1144" s="94"/>
      <c r="I1144" s="93" t="s">
        <v>1416</v>
      </c>
      <c r="J1144" s="93">
        <v>2</v>
      </c>
      <c r="K1144" s="93">
        <v>3750</v>
      </c>
      <c r="L1144" s="93">
        <v>32</v>
      </c>
      <c r="M1144" s="17"/>
      <c r="N1144" s="93" t="s">
        <v>1416</v>
      </c>
      <c r="O1144" s="93">
        <v>2</v>
      </c>
      <c r="P1144" s="93">
        <v>3750</v>
      </c>
      <c r="Q1144" s="93">
        <v>32</v>
      </c>
      <c r="R1144" s="69"/>
    </row>
    <row r="1145" spans="2:18">
      <c r="B1145" s="68"/>
      <c r="C1145" s="93">
        <v>17</v>
      </c>
      <c r="D1145" s="93" t="s">
        <v>1912</v>
      </c>
      <c r="E1145" s="93">
        <v>18</v>
      </c>
      <c r="F1145" s="93">
        <v>276690</v>
      </c>
      <c r="G1145" s="93">
        <v>17230</v>
      </c>
      <c r="H1145" s="94"/>
      <c r="I1145" s="93" t="s">
        <v>1417</v>
      </c>
      <c r="J1145" s="93">
        <v>2</v>
      </c>
      <c r="K1145" s="93">
        <v>3750</v>
      </c>
      <c r="L1145" s="93">
        <v>32</v>
      </c>
      <c r="M1145" s="17"/>
      <c r="N1145" s="93" t="s">
        <v>1417</v>
      </c>
      <c r="O1145" s="93">
        <v>2</v>
      </c>
      <c r="P1145" s="93">
        <v>3750</v>
      </c>
      <c r="Q1145" s="93">
        <v>32</v>
      </c>
      <c r="R1145" s="69"/>
    </row>
    <row r="1146" spans="2:18">
      <c r="B1146" s="68"/>
      <c r="C1146" s="93">
        <v>17</v>
      </c>
      <c r="D1146" s="93" t="s">
        <v>1912</v>
      </c>
      <c r="E1146" s="93">
        <v>16</v>
      </c>
      <c r="F1146" s="93">
        <v>272690</v>
      </c>
      <c r="G1146" s="93">
        <v>17230</v>
      </c>
      <c r="H1146" s="94"/>
      <c r="I1146" s="93" t="s">
        <v>1418</v>
      </c>
      <c r="J1146" s="93">
        <v>2</v>
      </c>
      <c r="K1146" s="93">
        <v>4000</v>
      </c>
      <c r="L1146" s="93">
        <v>0</v>
      </c>
      <c r="M1146" s="17"/>
      <c r="N1146" s="93" t="s">
        <v>1418</v>
      </c>
      <c r="O1146" s="93">
        <v>2</v>
      </c>
      <c r="P1146" s="93">
        <v>4000</v>
      </c>
      <c r="Q1146" s="93">
        <v>0</v>
      </c>
      <c r="R1146" s="69"/>
    </row>
    <row r="1147" spans="2:18">
      <c r="B1147" s="68"/>
      <c r="C1147" s="93">
        <v>17</v>
      </c>
      <c r="D1147" s="93" t="s">
        <v>1912</v>
      </c>
      <c r="E1147" s="93">
        <v>12</v>
      </c>
      <c r="F1147" s="93">
        <v>257690</v>
      </c>
      <c r="G1147" s="93">
        <v>17150</v>
      </c>
      <c r="H1147" s="94"/>
      <c r="I1147" s="93" t="s">
        <v>1420</v>
      </c>
      <c r="J1147" s="93">
        <v>4</v>
      </c>
      <c r="K1147" s="93">
        <v>15000</v>
      </c>
      <c r="L1147" s="93">
        <v>80</v>
      </c>
      <c r="M1147" s="17"/>
      <c r="N1147" s="93" t="s">
        <v>1420</v>
      </c>
      <c r="O1147" s="93">
        <v>4</v>
      </c>
      <c r="P1147" s="93">
        <v>15000</v>
      </c>
      <c r="Q1147" s="93">
        <v>80</v>
      </c>
      <c r="R1147" s="69"/>
    </row>
    <row r="1148" spans="2:18">
      <c r="B1148" s="68"/>
      <c r="C1148" s="93">
        <v>17</v>
      </c>
      <c r="D1148" s="93" t="s">
        <v>1912</v>
      </c>
      <c r="E1148" s="93">
        <v>8</v>
      </c>
      <c r="F1148" s="93">
        <v>242690</v>
      </c>
      <c r="G1148" s="93">
        <v>17070</v>
      </c>
      <c r="H1148" s="94"/>
      <c r="I1148" s="93" t="s">
        <v>1421</v>
      </c>
      <c r="J1148" s="93">
        <v>4</v>
      </c>
      <c r="K1148" s="93">
        <v>15000</v>
      </c>
      <c r="L1148" s="93">
        <v>80</v>
      </c>
      <c r="M1148" s="17"/>
      <c r="N1148" s="93" t="s">
        <v>1421</v>
      </c>
      <c r="O1148" s="93">
        <v>4</v>
      </c>
      <c r="P1148" s="93">
        <v>15000</v>
      </c>
      <c r="Q1148" s="93">
        <v>80</v>
      </c>
      <c r="R1148" s="69"/>
    </row>
    <row r="1149" spans="2:18">
      <c r="B1149" s="68"/>
      <c r="C1149" s="93">
        <v>17</v>
      </c>
      <c r="D1149" s="93" t="s">
        <v>1912</v>
      </c>
      <c r="E1149" s="93">
        <v>4</v>
      </c>
      <c r="F1149" s="93">
        <v>227690</v>
      </c>
      <c r="G1149" s="93">
        <v>16990</v>
      </c>
      <c r="H1149" s="94"/>
      <c r="I1149" s="93" t="s">
        <v>1422</v>
      </c>
      <c r="J1149" s="93">
        <v>4</v>
      </c>
      <c r="K1149" s="93">
        <v>15000</v>
      </c>
      <c r="L1149" s="93">
        <v>80</v>
      </c>
      <c r="M1149" s="17"/>
      <c r="N1149" s="93" t="s">
        <v>1422</v>
      </c>
      <c r="O1149" s="93">
        <v>4</v>
      </c>
      <c r="P1149" s="93">
        <v>15000</v>
      </c>
      <c r="Q1149" s="93">
        <v>80</v>
      </c>
      <c r="R1149" s="69"/>
    </row>
    <row r="1150" spans="2:18">
      <c r="B1150" s="68"/>
      <c r="C1150" s="93">
        <v>18</v>
      </c>
      <c r="D1150" s="93" t="s">
        <v>1913</v>
      </c>
      <c r="E1150" s="93">
        <v>136</v>
      </c>
      <c r="F1150" s="93">
        <v>507240</v>
      </c>
      <c r="G1150" s="93">
        <v>19550</v>
      </c>
      <c r="H1150" s="94"/>
      <c r="I1150" s="93" t="s">
        <v>1423</v>
      </c>
      <c r="J1150" s="93">
        <v>4</v>
      </c>
      <c r="K1150" s="93">
        <v>15000</v>
      </c>
      <c r="L1150" s="93">
        <v>80</v>
      </c>
      <c r="M1150" s="17"/>
      <c r="N1150" s="93" t="s">
        <v>1423</v>
      </c>
      <c r="O1150" s="93">
        <v>4</v>
      </c>
      <c r="P1150" s="93">
        <v>15000</v>
      </c>
      <c r="Q1150" s="93">
        <v>80</v>
      </c>
      <c r="R1150" s="69"/>
    </row>
    <row r="1151" spans="2:18">
      <c r="B1151" s="68"/>
      <c r="C1151" s="93">
        <v>17</v>
      </c>
      <c r="D1151" s="93" t="s">
        <v>1912</v>
      </c>
      <c r="E1151" s="93">
        <v>2</v>
      </c>
      <c r="F1151" s="93">
        <v>223940</v>
      </c>
      <c r="G1151" s="93">
        <v>16958</v>
      </c>
      <c r="H1151" s="94"/>
      <c r="I1151" s="93" t="s">
        <v>1424</v>
      </c>
      <c r="J1151" s="93">
        <v>2</v>
      </c>
      <c r="K1151" s="93">
        <v>3750</v>
      </c>
      <c r="L1151" s="93">
        <v>32</v>
      </c>
      <c r="M1151" s="17"/>
      <c r="N1151" s="93" t="s">
        <v>1424</v>
      </c>
      <c r="O1151" s="93">
        <v>2</v>
      </c>
      <c r="P1151" s="93">
        <v>3750</v>
      </c>
      <c r="Q1151" s="93">
        <v>32</v>
      </c>
      <c r="R1151" s="69"/>
    </row>
    <row r="1152" spans="2:18">
      <c r="B1152" s="68"/>
      <c r="C1152" s="93">
        <v>18</v>
      </c>
      <c r="D1152" s="93" t="s">
        <v>1913</v>
      </c>
      <c r="E1152" s="93">
        <v>134</v>
      </c>
      <c r="F1152" s="93">
        <v>503490</v>
      </c>
      <c r="G1152" s="93">
        <v>19518</v>
      </c>
      <c r="H1152" s="94"/>
      <c r="I1152" s="93" t="s">
        <v>1425</v>
      </c>
      <c r="J1152" s="93">
        <v>2</v>
      </c>
      <c r="K1152" s="93">
        <v>3750</v>
      </c>
      <c r="L1152" s="93">
        <v>32</v>
      </c>
      <c r="M1152" s="17"/>
      <c r="N1152" s="93" t="s">
        <v>1425</v>
      </c>
      <c r="O1152" s="93">
        <v>2</v>
      </c>
      <c r="P1152" s="93">
        <v>3750</v>
      </c>
      <c r="Q1152" s="93">
        <v>32</v>
      </c>
      <c r="R1152" s="69"/>
    </row>
    <row r="1153" spans="2:18">
      <c r="B1153" s="68"/>
      <c r="C1153" s="93">
        <v>18</v>
      </c>
      <c r="D1153" s="93" t="s">
        <v>1913</v>
      </c>
      <c r="E1153" s="93">
        <v>132</v>
      </c>
      <c r="F1153" s="93">
        <v>499740</v>
      </c>
      <c r="G1153" s="93">
        <v>19486</v>
      </c>
      <c r="H1153" s="94"/>
      <c r="I1153" s="93" t="s">
        <v>1426</v>
      </c>
      <c r="J1153" s="93">
        <v>2</v>
      </c>
      <c r="K1153" s="93">
        <v>3750</v>
      </c>
      <c r="L1153" s="93">
        <v>32</v>
      </c>
      <c r="M1153" s="17"/>
      <c r="N1153" s="93" t="s">
        <v>1426</v>
      </c>
      <c r="O1153" s="93">
        <v>2</v>
      </c>
      <c r="P1153" s="93">
        <v>3750</v>
      </c>
      <c r="Q1153" s="93">
        <v>32</v>
      </c>
      <c r="R1153" s="69"/>
    </row>
    <row r="1154" spans="2:18">
      <c r="B1154" s="68"/>
      <c r="C1154" s="93">
        <v>18</v>
      </c>
      <c r="D1154" s="93" t="s">
        <v>1913</v>
      </c>
      <c r="E1154" s="93">
        <v>130</v>
      </c>
      <c r="F1154" s="93">
        <v>492240</v>
      </c>
      <c r="G1154" s="93">
        <v>19454</v>
      </c>
      <c r="H1154" s="94"/>
      <c r="I1154" s="93" t="s">
        <v>1427</v>
      </c>
      <c r="J1154" s="93">
        <v>2</v>
      </c>
      <c r="K1154" s="93">
        <v>7500</v>
      </c>
      <c r="L1154" s="93">
        <v>32</v>
      </c>
      <c r="M1154" s="17"/>
      <c r="N1154" s="93" t="s">
        <v>1427</v>
      </c>
      <c r="O1154" s="93">
        <v>2</v>
      </c>
      <c r="P1154" s="93">
        <v>7500</v>
      </c>
      <c r="Q1154" s="93">
        <v>32</v>
      </c>
      <c r="R1154" s="69"/>
    </row>
    <row r="1155" spans="2:18">
      <c r="B1155" s="68"/>
      <c r="C1155" s="93">
        <v>18</v>
      </c>
      <c r="D1155" s="93" t="s">
        <v>1913</v>
      </c>
      <c r="E1155" s="93">
        <v>128</v>
      </c>
      <c r="F1155" s="93">
        <v>484740</v>
      </c>
      <c r="G1155" s="93">
        <v>19422</v>
      </c>
      <c r="H1155" s="94"/>
      <c r="I1155" s="93" t="s">
        <v>1428</v>
      </c>
      <c r="J1155" s="93">
        <v>2</v>
      </c>
      <c r="K1155" s="93">
        <v>7500</v>
      </c>
      <c r="L1155" s="93">
        <v>32</v>
      </c>
      <c r="M1155" s="17"/>
      <c r="N1155" s="93" t="s">
        <v>1428</v>
      </c>
      <c r="O1155" s="93">
        <v>2</v>
      </c>
      <c r="P1155" s="93">
        <v>7500</v>
      </c>
      <c r="Q1155" s="93">
        <v>32</v>
      </c>
      <c r="R1155" s="69"/>
    </row>
    <row r="1156" spans="2:18">
      <c r="B1156" s="68"/>
      <c r="C1156" s="93">
        <v>18</v>
      </c>
      <c r="D1156" s="93" t="s">
        <v>1913</v>
      </c>
      <c r="E1156" s="93">
        <v>126</v>
      </c>
      <c r="F1156" s="93">
        <v>480990</v>
      </c>
      <c r="G1156" s="93">
        <v>19390</v>
      </c>
      <c r="H1156" s="94"/>
      <c r="I1156" s="93" t="s">
        <v>1429</v>
      </c>
      <c r="J1156" s="93">
        <v>2</v>
      </c>
      <c r="K1156" s="93">
        <v>3750</v>
      </c>
      <c r="L1156" s="93">
        <v>32</v>
      </c>
      <c r="M1156" s="17"/>
      <c r="N1156" s="93" t="s">
        <v>1429</v>
      </c>
      <c r="O1156" s="93">
        <v>2</v>
      </c>
      <c r="P1156" s="93">
        <v>3750</v>
      </c>
      <c r="Q1156" s="93">
        <v>32</v>
      </c>
      <c r="R1156" s="69"/>
    </row>
    <row r="1157" spans="2:18">
      <c r="B1157" s="68"/>
      <c r="C1157" s="93">
        <v>18</v>
      </c>
      <c r="D1157" s="93" t="s">
        <v>1913</v>
      </c>
      <c r="E1157" s="93">
        <v>122</v>
      </c>
      <c r="F1157" s="93">
        <v>465990</v>
      </c>
      <c r="G1157" s="93">
        <v>19310</v>
      </c>
      <c r="H1157" s="94"/>
      <c r="I1157" s="93" t="s">
        <v>1430</v>
      </c>
      <c r="J1157" s="93">
        <v>4</v>
      </c>
      <c r="K1157" s="93">
        <v>15000</v>
      </c>
      <c r="L1157" s="93">
        <v>80</v>
      </c>
      <c r="M1157" s="17"/>
      <c r="N1157" s="93" t="s">
        <v>1430</v>
      </c>
      <c r="O1157" s="93">
        <v>4</v>
      </c>
      <c r="P1157" s="93">
        <v>15000</v>
      </c>
      <c r="Q1157" s="93">
        <v>80</v>
      </c>
      <c r="R1157" s="69"/>
    </row>
    <row r="1158" spans="2:18">
      <c r="B1158" s="68"/>
      <c r="C1158" s="93">
        <v>18</v>
      </c>
      <c r="D1158" s="93" t="s">
        <v>1913</v>
      </c>
      <c r="E1158" s="93">
        <v>120</v>
      </c>
      <c r="F1158" s="93">
        <v>461990</v>
      </c>
      <c r="G1158" s="93">
        <v>19310</v>
      </c>
      <c r="H1158" s="94"/>
      <c r="I1158" s="93" t="s">
        <v>1431</v>
      </c>
      <c r="J1158" s="93">
        <v>2</v>
      </c>
      <c r="K1158" s="93">
        <v>4000</v>
      </c>
      <c r="L1158" s="93">
        <v>0</v>
      </c>
      <c r="M1158" s="17"/>
      <c r="N1158" s="93" t="s">
        <v>1431</v>
      </c>
      <c r="O1158" s="93">
        <v>2</v>
      </c>
      <c r="P1158" s="93">
        <v>4000</v>
      </c>
      <c r="Q1158" s="93">
        <v>0</v>
      </c>
      <c r="R1158" s="69"/>
    </row>
    <row r="1159" spans="2:18">
      <c r="B1159" s="68"/>
      <c r="C1159" s="93">
        <v>18</v>
      </c>
      <c r="D1159" s="93" t="s">
        <v>1913</v>
      </c>
      <c r="E1159" s="93">
        <v>116</v>
      </c>
      <c r="F1159" s="93">
        <v>446990</v>
      </c>
      <c r="G1159" s="93">
        <v>19230</v>
      </c>
      <c r="H1159" s="94"/>
      <c r="I1159" s="93" t="s">
        <v>1432</v>
      </c>
      <c r="J1159" s="93">
        <v>4</v>
      </c>
      <c r="K1159" s="93">
        <v>15000</v>
      </c>
      <c r="L1159" s="93">
        <v>80</v>
      </c>
      <c r="M1159" s="17"/>
      <c r="N1159" s="93" t="s">
        <v>1432</v>
      </c>
      <c r="O1159" s="93">
        <v>4</v>
      </c>
      <c r="P1159" s="93">
        <v>15000</v>
      </c>
      <c r="Q1159" s="93">
        <v>80</v>
      </c>
      <c r="R1159" s="69"/>
    </row>
    <row r="1160" spans="2:18">
      <c r="B1160" s="68"/>
      <c r="C1160" s="93">
        <v>18</v>
      </c>
      <c r="D1160" s="93" t="s">
        <v>1913</v>
      </c>
      <c r="E1160" s="93">
        <v>112</v>
      </c>
      <c r="F1160" s="93">
        <v>431990</v>
      </c>
      <c r="G1160" s="93">
        <v>19150</v>
      </c>
      <c r="H1160" s="94"/>
      <c r="I1160" s="93" t="s">
        <v>1433</v>
      </c>
      <c r="J1160" s="93">
        <v>4</v>
      </c>
      <c r="K1160" s="93">
        <v>15000</v>
      </c>
      <c r="L1160" s="93">
        <v>80</v>
      </c>
      <c r="M1160" s="17"/>
      <c r="N1160" s="93" t="s">
        <v>1433</v>
      </c>
      <c r="O1160" s="93">
        <v>4</v>
      </c>
      <c r="P1160" s="93">
        <v>15000</v>
      </c>
      <c r="Q1160" s="93">
        <v>80</v>
      </c>
      <c r="R1160" s="69"/>
    </row>
    <row r="1161" spans="2:18">
      <c r="B1161" s="68"/>
      <c r="C1161" s="93">
        <v>18</v>
      </c>
      <c r="D1161" s="93" t="s">
        <v>1913</v>
      </c>
      <c r="E1161" s="93">
        <v>110</v>
      </c>
      <c r="F1161" s="93">
        <v>427990</v>
      </c>
      <c r="G1161" s="93">
        <v>19150</v>
      </c>
      <c r="H1161" s="94"/>
      <c r="I1161" s="93" t="s">
        <v>1434</v>
      </c>
      <c r="J1161" s="93">
        <v>2</v>
      </c>
      <c r="K1161" s="93">
        <v>4000</v>
      </c>
      <c r="L1161" s="93">
        <v>0</v>
      </c>
      <c r="M1161" s="17"/>
      <c r="N1161" s="93" t="s">
        <v>1434</v>
      </c>
      <c r="O1161" s="93">
        <v>2</v>
      </c>
      <c r="P1161" s="93">
        <v>4000</v>
      </c>
      <c r="Q1161" s="93">
        <v>0</v>
      </c>
      <c r="R1161" s="69"/>
    </row>
    <row r="1162" spans="2:18">
      <c r="B1162" s="68"/>
      <c r="C1162" s="93">
        <v>18</v>
      </c>
      <c r="D1162" s="93" t="s">
        <v>1913</v>
      </c>
      <c r="E1162" s="93">
        <v>108</v>
      </c>
      <c r="F1162" s="93">
        <v>420490</v>
      </c>
      <c r="G1162" s="93">
        <v>19118</v>
      </c>
      <c r="H1162" s="94"/>
      <c r="I1162" s="93" t="s">
        <v>1435</v>
      </c>
      <c r="J1162" s="93">
        <v>2</v>
      </c>
      <c r="K1162" s="93">
        <v>7500</v>
      </c>
      <c r="L1162" s="93">
        <v>32</v>
      </c>
      <c r="M1162" s="17"/>
      <c r="N1162" s="93" t="s">
        <v>1435</v>
      </c>
      <c r="O1162" s="93">
        <v>2</v>
      </c>
      <c r="P1162" s="93">
        <v>7500</v>
      </c>
      <c r="Q1162" s="93">
        <v>32</v>
      </c>
      <c r="R1162" s="69"/>
    </row>
    <row r="1163" spans="2:18">
      <c r="B1163" s="68"/>
      <c r="C1163" s="93">
        <v>18</v>
      </c>
      <c r="D1163" s="93" t="s">
        <v>1913</v>
      </c>
      <c r="E1163" s="93">
        <v>104</v>
      </c>
      <c r="F1163" s="93">
        <v>405490</v>
      </c>
      <c r="G1163" s="93">
        <v>19038</v>
      </c>
      <c r="H1163" s="94"/>
      <c r="I1163" s="93" t="s">
        <v>1436</v>
      </c>
      <c r="J1163" s="93">
        <v>4</v>
      </c>
      <c r="K1163" s="93">
        <v>15000</v>
      </c>
      <c r="L1163" s="93">
        <v>80</v>
      </c>
      <c r="M1163" s="17"/>
      <c r="N1163" s="93" t="s">
        <v>1436</v>
      </c>
      <c r="O1163" s="93">
        <v>4</v>
      </c>
      <c r="P1163" s="93">
        <v>15000</v>
      </c>
      <c r="Q1163" s="93">
        <v>80</v>
      </c>
      <c r="R1163" s="69"/>
    </row>
    <row r="1164" spans="2:18">
      <c r="B1164" s="68"/>
      <c r="C1164" s="93">
        <v>18</v>
      </c>
      <c r="D1164" s="93" t="s">
        <v>1913</v>
      </c>
      <c r="E1164" s="93">
        <v>102</v>
      </c>
      <c r="F1164" s="93">
        <v>397990</v>
      </c>
      <c r="G1164" s="93">
        <v>19006</v>
      </c>
      <c r="H1164" s="94"/>
      <c r="I1164" s="93" t="s">
        <v>1437</v>
      </c>
      <c r="J1164" s="93">
        <v>2</v>
      </c>
      <c r="K1164" s="93">
        <v>7500</v>
      </c>
      <c r="L1164" s="93">
        <v>32</v>
      </c>
      <c r="M1164" s="17"/>
      <c r="N1164" s="93" t="s">
        <v>1437</v>
      </c>
      <c r="O1164" s="93">
        <v>2</v>
      </c>
      <c r="P1164" s="93">
        <v>7500</v>
      </c>
      <c r="Q1164" s="93">
        <v>32</v>
      </c>
      <c r="R1164" s="69"/>
    </row>
    <row r="1165" spans="2:18">
      <c r="B1165" s="68"/>
      <c r="C1165" s="93">
        <v>18</v>
      </c>
      <c r="D1165" s="93" t="s">
        <v>1913</v>
      </c>
      <c r="E1165" s="93">
        <v>100</v>
      </c>
      <c r="F1165" s="93">
        <v>394240</v>
      </c>
      <c r="G1165" s="93">
        <v>18974</v>
      </c>
      <c r="H1165" s="94"/>
      <c r="I1165" s="93" t="s">
        <v>1438</v>
      </c>
      <c r="J1165" s="93">
        <v>2</v>
      </c>
      <c r="K1165" s="93">
        <v>3750</v>
      </c>
      <c r="L1165" s="93">
        <v>32</v>
      </c>
      <c r="M1165" s="17"/>
      <c r="N1165" s="93" t="s">
        <v>1438</v>
      </c>
      <c r="O1165" s="93">
        <v>2</v>
      </c>
      <c r="P1165" s="93">
        <v>3750</v>
      </c>
      <c r="Q1165" s="93">
        <v>32</v>
      </c>
      <c r="R1165" s="69"/>
    </row>
    <row r="1166" spans="2:18">
      <c r="B1166" s="68"/>
      <c r="C1166" s="93">
        <v>18</v>
      </c>
      <c r="D1166" s="93" t="s">
        <v>1913</v>
      </c>
      <c r="E1166" s="93">
        <v>98</v>
      </c>
      <c r="F1166" s="93">
        <v>386740</v>
      </c>
      <c r="G1166" s="93">
        <v>18942</v>
      </c>
      <c r="H1166" s="94"/>
      <c r="I1166" s="93" t="s">
        <v>1439</v>
      </c>
      <c r="J1166" s="93">
        <v>2</v>
      </c>
      <c r="K1166" s="93">
        <v>7500</v>
      </c>
      <c r="L1166" s="93">
        <v>32</v>
      </c>
      <c r="M1166" s="17"/>
      <c r="N1166" s="93" t="s">
        <v>1439</v>
      </c>
      <c r="O1166" s="93">
        <v>2</v>
      </c>
      <c r="P1166" s="93">
        <v>7500</v>
      </c>
      <c r="Q1166" s="93">
        <v>32</v>
      </c>
      <c r="R1166" s="69"/>
    </row>
    <row r="1167" spans="2:18">
      <c r="B1167" s="68"/>
      <c r="C1167" s="93">
        <v>18</v>
      </c>
      <c r="D1167" s="93" t="s">
        <v>1913</v>
      </c>
      <c r="E1167" s="93">
        <v>96</v>
      </c>
      <c r="F1167" s="93">
        <v>382990</v>
      </c>
      <c r="G1167" s="93">
        <v>18910</v>
      </c>
      <c r="H1167" s="94"/>
      <c r="I1167" s="93" t="s">
        <v>1440</v>
      </c>
      <c r="J1167" s="93">
        <v>2</v>
      </c>
      <c r="K1167" s="93">
        <v>3750</v>
      </c>
      <c r="L1167" s="93">
        <v>32</v>
      </c>
      <c r="M1167" s="17"/>
      <c r="N1167" s="93" t="s">
        <v>1440</v>
      </c>
      <c r="O1167" s="93">
        <v>2</v>
      </c>
      <c r="P1167" s="93">
        <v>3750</v>
      </c>
      <c r="Q1167" s="93">
        <v>32</v>
      </c>
      <c r="R1167" s="69"/>
    </row>
    <row r="1168" spans="2:18">
      <c r="B1168" s="68"/>
      <c r="C1168" s="93">
        <v>18</v>
      </c>
      <c r="D1168" s="93" t="s">
        <v>1913</v>
      </c>
      <c r="E1168" s="93">
        <v>94</v>
      </c>
      <c r="F1168" s="93">
        <v>379240</v>
      </c>
      <c r="G1168" s="93">
        <v>18878</v>
      </c>
      <c r="H1168" s="94"/>
      <c r="I1168" s="93" t="s">
        <v>1441</v>
      </c>
      <c r="J1168" s="93">
        <v>2</v>
      </c>
      <c r="K1168" s="93">
        <v>3750</v>
      </c>
      <c r="L1168" s="93">
        <v>32</v>
      </c>
      <c r="M1168" s="17"/>
      <c r="N1168" s="93" t="s">
        <v>1441</v>
      </c>
      <c r="O1168" s="93">
        <v>2</v>
      </c>
      <c r="P1168" s="93">
        <v>3750</v>
      </c>
      <c r="Q1168" s="93">
        <v>32</v>
      </c>
      <c r="R1168" s="69"/>
    </row>
    <row r="1169" spans="2:18">
      <c r="B1169" s="68"/>
      <c r="C1169" s="93">
        <v>18</v>
      </c>
      <c r="D1169" s="93" t="s">
        <v>1913</v>
      </c>
      <c r="E1169" s="93">
        <v>92</v>
      </c>
      <c r="F1169" s="93">
        <v>375490</v>
      </c>
      <c r="G1169" s="93">
        <v>18846</v>
      </c>
      <c r="H1169" s="94"/>
      <c r="I1169" s="93" t="s">
        <v>1442</v>
      </c>
      <c r="J1169" s="93">
        <v>2</v>
      </c>
      <c r="K1169" s="93">
        <v>3750</v>
      </c>
      <c r="L1169" s="93">
        <v>32</v>
      </c>
      <c r="M1169" s="17"/>
      <c r="N1169" s="93" t="s">
        <v>1442</v>
      </c>
      <c r="O1169" s="93">
        <v>2</v>
      </c>
      <c r="P1169" s="93">
        <v>3750</v>
      </c>
      <c r="Q1169" s="93">
        <v>32</v>
      </c>
      <c r="R1169" s="69"/>
    </row>
    <row r="1170" spans="2:18">
      <c r="B1170" s="68"/>
      <c r="C1170" s="93">
        <v>18</v>
      </c>
      <c r="D1170" s="93" t="s">
        <v>1913</v>
      </c>
      <c r="E1170" s="93">
        <v>90</v>
      </c>
      <c r="F1170" s="93">
        <v>371740</v>
      </c>
      <c r="G1170" s="93">
        <v>18814</v>
      </c>
      <c r="H1170" s="94"/>
      <c r="I1170" s="93" t="s">
        <v>1443</v>
      </c>
      <c r="J1170" s="93">
        <v>2</v>
      </c>
      <c r="K1170" s="93">
        <v>3750</v>
      </c>
      <c r="L1170" s="93">
        <v>32</v>
      </c>
      <c r="M1170" s="17"/>
      <c r="N1170" s="93" t="s">
        <v>1443</v>
      </c>
      <c r="O1170" s="93">
        <v>2</v>
      </c>
      <c r="P1170" s="93">
        <v>3750</v>
      </c>
      <c r="Q1170" s="93">
        <v>32</v>
      </c>
      <c r="R1170" s="69"/>
    </row>
    <row r="1171" spans="2:18">
      <c r="B1171" s="68"/>
      <c r="C1171" s="93">
        <v>18</v>
      </c>
      <c r="D1171" s="93" t="s">
        <v>1913</v>
      </c>
      <c r="E1171" s="93">
        <v>88</v>
      </c>
      <c r="F1171" s="93">
        <v>364240</v>
      </c>
      <c r="G1171" s="93">
        <v>18782</v>
      </c>
      <c r="H1171" s="94"/>
      <c r="I1171" s="93" t="s">
        <v>1444</v>
      </c>
      <c r="J1171" s="93">
        <v>2</v>
      </c>
      <c r="K1171" s="93">
        <v>7500</v>
      </c>
      <c r="L1171" s="93">
        <v>32</v>
      </c>
      <c r="M1171" s="17"/>
      <c r="N1171" s="93" t="s">
        <v>1444</v>
      </c>
      <c r="O1171" s="93">
        <v>2</v>
      </c>
      <c r="P1171" s="93">
        <v>7500</v>
      </c>
      <c r="Q1171" s="93">
        <v>32</v>
      </c>
      <c r="R1171" s="69"/>
    </row>
    <row r="1172" spans="2:18">
      <c r="B1172" s="68"/>
      <c r="C1172" s="93">
        <v>18</v>
      </c>
      <c r="D1172" s="93" t="s">
        <v>1913</v>
      </c>
      <c r="E1172" s="93">
        <v>86</v>
      </c>
      <c r="F1172" s="93">
        <v>356740</v>
      </c>
      <c r="G1172" s="93">
        <v>18750</v>
      </c>
      <c r="H1172" s="94"/>
      <c r="I1172" s="93" t="s">
        <v>1445</v>
      </c>
      <c r="J1172" s="93">
        <v>2</v>
      </c>
      <c r="K1172" s="93">
        <v>7500</v>
      </c>
      <c r="L1172" s="93">
        <v>32</v>
      </c>
      <c r="M1172" s="17"/>
      <c r="N1172" s="93" t="s">
        <v>1445</v>
      </c>
      <c r="O1172" s="93">
        <v>2</v>
      </c>
      <c r="P1172" s="93">
        <v>7500</v>
      </c>
      <c r="Q1172" s="93">
        <v>32</v>
      </c>
      <c r="R1172" s="69"/>
    </row>
    <row r="1173" spans="2:18">
      <c r="B1173" s="68"/>
      <c r="C1173" s="93">
        <v>18</v>
      </c>
      <c r="D1173" s="93" t="s">
        <v>1913</v>
      </c>
      <c r="E1173" s="93">
        <v>84</v>
      </c>
      <c r="F1173" s="93">
        <v>352740</v>
      </c>
      <c r="G1173" s="93">
        <v>18750</v>
      </c>
      <c r="H1173" s="94"/>
      <c r="I1173" s="93" t="s">
        <v>1446</v>
      </c>
      <c r="J1173" s="93">
        <v>2</v>
      </c>
      <c r="K1173" s="93">
        <v>4000</v>
      </c>
      <c r="L1173" s="93">
        <v>0</v>
      </c>
      <c r="M1173" s="17"/>
      <c r="N1173" s="93" t="s">
        <v>1446</v>
      </c>
      <c r="O1173" s="93">
        <v>2</v>
      </c>
      <c r="P1173" s="93">
        <v>4000</v>
      </c>
      <c r="Q1173" s="93">
        <v>0</v>
      </c>
      <c r="R1173" s="69"/>
    </row>
    <row r="1174" spans="2:18">
      <c r="B1174" s="68"/>
      <c r="C1174" s="93">
        <v>18</v>
      </c>
      <c r="D1174" s="93" t="s">
        <v>1913</v>
      </c>
      <c r="E1174" s="93">
        <v>82</v>
      </c>
      <c r="F1174" s="93">
        <v>345240</v>
      </c>
      <c r="G1174" s="93">
        <v>18718</v>
      </c>
      <c r="H1174" s="94"/>
      <c r="I1174" s="93" t="s">
        <v>1447</v>
      </c>
      <c r="J1174" s="93">
        <v>2</v>
      </c>
      <c r="K1174" s="93">
        <v>7500</v>
      </c>
      <c r="L1174" s="93">
        <v>32</v>
      </c>
      <c r="M1174" s="17"/>
      <c r="N1174" s="93" t="s">
        <v>1447</v>
      </c>
      <c r="O1174" s="93">
        <v>2</v>
      </c>
      <c r="P1174" s="93">
        <v>7500</v>
      </c>
      <c r="Q1174" s="93">
        <v>32</v>
      </c>
      <c r="R1174" s="69"/>
    </row>
    <row r="1175" spans="2:18">
      <c r="B1175" s="68"/>
      <c r="C1175" s="93">
        <v>18</v>
      </c>
      <c r="D1175" s="93" t="s">
        <v>1913</v>
      </c>
      <c r="E1175" s="93">
        <v>66</v>
      </c>
      <c r="F1175" s="93">
        <v>315240</v>
      </c>
      <c r="G1175" s="93">
        <v>18398</v>
      </c>
      <c r="H1175" s="94"/>
      <c r="I1175" s="93" t="s">
        <v>1448</v>
      </c>
      <c r="J1175" s="93">
        <v>16</v>
      </c>
      <c r="K1175" s="93">
        <v>30000</v>
      </c>
      <c r="L1175" s="93">
        <v>320</v>
      </c>
      <c r="M1175" s="17"/>
      <c r="N1175" s="93" t="s">
        <v>1448</v>
      </c>
      <c r="O1175" s="93">
        <v>16</v>
      </c>
      <c r="P1175" s="93">
        <v>30000</v>
      </c>
      <c r="Q1175" s="93">
        <v>320</v>
      </c>
      <c r="R1175" s="69"/>
    </row>
    <row r="1176" spans="2:18">
      <c r="B1176" s="68"/>
      <c r="C1176" s="93">
        <v>18</v>
      </c>
      <c r="D1176" s="93" t="s">
        <v>1913</v>
      </c>
      <c r="E1176" s="93">
        <v>50</v>
      </c>
      <c r="F1176" s="93">
        <v>285240</v>
      </c>
      <c r="G1176" s="93">
        <v>18078</v>
      </c>
      <c r="H1176" s="94"/>
      <c r="I1176" s="93" t="s">
        <v>1450</v>
      </c>
      <c r="J1176" s="93">
        <v>16</v>
      </c>
      <c r="K1176" s="93">
        <v>30000</v>
      </c>
      <c r="L1176" s="93">
        <v>320</v>
      </c>
      <c r="M1176" s="17"/>
      <c r="N1176" s="93" t="s">
        <v>1450</v>
      </c>
      <c r="O1176" s="93">
        <v>16</v>
      </c>
      <c r="P1176" s="93">
        <v>30000</v>
      </c>
      <c r="Q1176" s="93">
        <v>320</v>
      </c>
      <c r="R1176" s="69"/>
    </row>
    <row r="1177" spans="2:18">
      <c r="B1177" s="68"/>
      <c r="C1177" s="93">
        <v>18</v>
      </c>
      <c r="D1177" s="93" t="s">
        <v>1913</v>
      </c>
      <c r="E1177" s="93">
        <v>34</v>
      </c>
      <c r="F1177" s="93">
        <v>255240</v>
      </c>
      <c r="G1177" s="93">
        <v>17758</v>
      </c>
      <c r="H1177" s="94"/>
      <c r="I1177" s="93" t="s">
        <v>1451</v>
      </c>
      <c r="J1177" s="93">
        <v>16</v>
      </c>
      <c r="K1177" s="93">
        <v>30000</v>
      </c>
      <c r="L1177" s="93">
        <v>320</v>
      </c>
      <c r="M1177" s="17"/>
      <c r="N1177" s="93" t="s">
        <v>1451</v>
      </c>
      <c r="O1177" s="93">
        <v>16</v>
      </c>
      <c r="P1177" s="93">
        <v>30000</v>
      </c>
      <c r="Q1177" s="93">
        <v>320</v>
      </c>
      <c r="R1177" s="69"/>
    </row>
    <row r="1178" spans="2:18">
      <c r="B1178" s="68"/>
      <c r="C1178" s="93">
        <v>18</v>
      </c>
      <c r="D1178" s="93" t="s">
        <v>1913</v>
      </c>
      <c r="E1178" s="93">
        <v>18</v>
      </c>
      <c r="F1178" s="93">
        <v>225240</v>
      </c>
      <c r="G1178" s="93">
        <v>17438</v>
      </c>
      <c r="H1178" s="94"/>
      <c r="I1178" s="93" t="s">
        <v>1452</v>
      </c>
      <c r="J1178" s="93">
        <v>16</v>
      </c>
      <c r="K1178" s="93">
        <v>30000</v>
      </c>
      <c r="L1178" s="93">
        <v>320</v>
      </c>
      <c r="M1178" s="17"/>
      <c r="N1178" s="93" t="s">
        <v>1452</v>
      </c>
      <c r="O1178" s="93">
        <v>16</v>
      </c>
      <c r="P1178" s="93">
        <v>30000</v>
      </c>
      <c r="Q1178" s="93">
        <v>320</v>
      </c>
      <c r="R1178" s="69"/>
    </row>
    <row r="1179" spans="2:18">
      <c r="B1179" s="68"/>
      <c r="C1179" s="93">
        <v>18</v>
      </c>
      <c r="D1179" s="93" t="s">
        <v>1913</v>
      </c>
      <c r="E1179" s="93">
        <v>16</v>
      </c>
      <c r="F1179" s="93">
        <v>217740</v>
      </c>
      <c r="G1179" s="93">
        <v>17406</v>
      </c>
      <c r="H1179" s="94"/>
      <c r="I1179" s="93" t="s">
        <v>1453</v>
      </c>
      <c r="J1179" s="93">
        <v>2</v>
      </c>
      <c r="K1179" s="93">
        <v>7500</v>
      </c>
      <c r="L1179" s="93">
        <v>32</v>
      </c>
      <c r="M1179" s="17"/>
      <c r="N1179" s="93" t="s">
        <v>1453</v>
      </c>
      <c r="O1179" s="93">
        <v>2</v>
      </c>
      <c r="P1179" s="93">
        <v>7500</v>
      </c>
      <c r="Q1179" s="93">
        <v>32</v>
      </c>
      <c r="R1179" s="69"/>
    </row>
    <row r="1180" spans="2:18">
      <c r="B1180" s="68"/>
      <c r="C1180" s="93">
        <v>18</v>
      </c>
      <c r="D1180" s="93" t="s">
        <v>1913</v>
      </c>
      <c r="E1180" s="93">
        <v>14</v>
      </c>
      <c r="F1180" s="93">
        <v>210240</v>
      </c>
      <c r="G1180" s="93">
        <v>17374</v>
      </c>
      <c r="H1180" s="94"/>
      <c r="I1180" s="93" t="s">
        <v>1454</v>
      </c>
      <c r="J1180" s="93">
        <v>2</v>
      </c>
      <c r="K1180" s="93">
        <v>7500</v>
      </c>
      <c r="L1180" s="93">
        <v>32</v>
      </c>
      <c r="M1180" s="17"/>
      <c r="N1180" s="93" t="s">
        <v>1454</v>
      </c>
      <c r="O1180" s="93">
        <v>2</v>
      </c>
      <c r="P1180" s="93">
        <v>7500</v>
      </c>
      <c r="Q1180" s="93">
        <v>32</v>
      </c>
      <c r="R1180" s="69"/>
    </row>
    <row r="1181" spans="2:18">
      <c r="B1181" s="68"/>
      <c r="C1181" s="93">
        <v>18</v>
      </c>
      <c r="D1181" s="93" t="s">
        <v>1913</v>
      </c>
      <c r="E1181" s="93">
        <v>12</v>
      </c>
      <c r="F1181" s="93">
        <v>206490</v>
      </c>
      <c r="G1181" s="93">
        <v>17342</v>
      </c>
      <c r="H1181" s="94"/>
      <c r="I1181" s="93" t="s">
        <v>1455</v>
      </c>
      <c r="J1181" s="93">
        <v>2</v>
      </c>
      <c r="K1181" s="93">
        <v>3750</v>
      </c>
      <c r="L1181" s="93">
        <v>32</v>
      </c>
      <c r="M1181" s="17"/>
      <c r="N1181" s="93" t="s">
        <v>1455</v>
      </c>
      <c r="O1181" s="93">
        <v>2</v>
      </c>
      <c r="P1181" s="93">
        <v>3750</v>
      </c>
      <c r="Q1181" s="93">
        <v>32</v>
      </c>
      <c r="R1181" s="69"/>
    </row>
    <row r="1182" spans="2:18">
      <c r="B1182" s="68"/>
      <c r="C1182" s="93">
        <v>18</v>
      </c>
      <c r="D1182" s="93" t="s">
        <v>1913</v>
      </c>
      <c r="E1182" s="93">
        <v>10</v>
      </c>
      <c r="F1182" s="93">
        <v>202740</v>
      </c>
      <c r="G1182" s="93">
        <v>17310</v>
      </c>
      <c r="H1182" s="94"/>
      <c r="I1182" s="93" t="s">
        <v>1456</v>
      </c>
      <c r="J1182" s="93">
        <v>2</v>
      </c>
      <c r="K1182" s="93">
        <v>3750</v>
      </c>
      <c r="L1182" s="93">
        <v>32</v>
      </c>
      <c r="M1182" s="17"/>
      <c r="N1182" s="93" t="s">
        <v>1456</v>
      </c>
      <c r="O1182" s="93">
        <v>2</v>
      </c>
      <c r="P1182" s="93">
        <v>3750</v>
      </c>
      <c r="Q1182" s="93">
        <v>32</v>
      </c>
      <c r="R1182" s="69"/>
    </row>
    <row r="1183" spans="2:18">
      <c r="B1183" s="68"/>
      <c r="C1183" s="93">
        <v>18</v>
      </c>
      <c r="D1183" s="93" t="s">
        <v>1913</v>
      </c>
      <c r="E1183" s="93">
        <v>8</v>
      </c>
      <c r="F1183" s="93">
        <v>198990</v>
      </c>
      <c r="G1183" s="93">
        <v>17278</v>
      </c>
      <c r="H1183" s="94"/>
      <c r="I1183" s="93" t="s">
        <v>1457</v>
      </c>
      <c r="J1183" s="93">
        <v>2</v>
      </c>
      <c r="K1183" s="93">
        <v>3750</v>
      </c>
      <c r="L1183" s="93">
        <v>32</v>
      </c>
      <c r="M1183" s="17"/>
      <c r="N1183" s="93" t="s">
        <v>1457</v>
      </c>
      <c r="O1183" s="93">
        <v>2</v>
      </c>
      <c r="P1183" s="93">
        <v>3750</v>
      </c>
      <c r="Q1183" s="93">
        <v>32</v>
      </c>
      <c r="R1183" s="69"/>
    </row>
    <row r="1184" spans="2:18">
      <c r="B1184" s="68"/>
      <c r="C1184" s="93">
        <v>18</v>
      </c>
      <c r="D1184" s="93" t="s">
        <v>1913</v>
      </c>
      <c r="E1184" s="93">
        <v>6</v>
      </c>
      <c r="F1184" s="93">
        <v>195240</v>
      </c>
      <c r="G1184" s="93">
        <v>17246</v>
      </c>
      <c r="H1184" s="94"/>
      <c r="I1184" s="93" t="s">
        <v>1458</v>
      </c>
      <c r="J1184" s="93">
        <v>2</v>
      </c>
      <c r="K1184" s="93">
        <v>3750</v>
      </c>
      <c r="L1184" s="93">
        <v>32</v>
      </c>
      <c r="M1184" s="17"/>
      <c r="N1184" s="93" t="s">
        <v>1458</v>
      </c>
      <c r="O1184" s="93">
        <v>2</v>
      </c>
      <c r="P1184" s="93">
        <v>3750</v>
      </c>
      <c r="Q1184" s="93">
        <v>32</v>
      </c>
      <c r="R1184" s="69"/>
    </row>
    <row r="1185" spans="2:18">
      <c r="B1185" s="68"/>
      <c r="C1185" s="93">
        <v>18</v>
      </c>
      <c r="D1185" s="93" t="s">
        <v>1913</v>
      </c>
      <c r="E1185" s="93">
        <v>4</v>
      </c>
      <c r="F1185" s="93">
        <v>191490</v>
      </c>
      <c r="G1185" s="93">
        <v>17214</v>
      </c>
      <c r="H1185" s="94"/>
      <c r="I1185" s="93" t="s">
        <v>1459</v>
      </c>
      <c r="J1185" s="93">
        <v>2</v>
      </c>
      <c r="K1185" s="93">
        <v>3750</v>
      </c>
      <c r="L1185" s="93">
        <v>32</v>
      </c>
      <c r="M1185" s="17"/>
      <c r="N1185" s="93" t="s">
        <v>1459</v>
      </c>
      <c r="O1185" s="93">
        <v>2</v>
      </c>
      <c r="P1185" s="93">
        <v>3750</v>
      </c>
      <c r="Q1185" s="93">
        <v>32</v>
      </c>
      <c r="R1185" s="69"/>
    </row>
    <row r="1186" spans="2:18">
      <c r="B1186" s="68"/>
      <c r="C1186" s="93">
        <v>18</v>
      </c>
      <c r="D1186" s="93" t="s">
        <v>1913</v>
      </c>
      <c r="E1186" s="93">
        <v>2</v>
      </c>
      <c r="F1186" s="93">
        <v>187740</v>
      </c>
      <c r="G1186" s="93">
        <v>17182</v>
      </c>
      <c r="H1186" s="94"/>
      <c r="I1186" s="93" t="s">
        <v>1460</v>
      </c>
      <c r="J1186" s="93">
        <v>2</v>
      </c>
      <c r="K1186" s="93">
        <v>3750</v>
      </c>
      <c r="L1186" s="93">
        <v>32</v>
      </c>
      <c r="M1186" s="17"/>
      <c r="N1186" s="93" t="s">
        <v>1460</v>
      </c>
      <c r="O1186" s="93">
        <v>2</v>
      </c>
      <c r="P1186" s="93">
        <v>3750</v>
      </c>
      <c r="Q1186" s="93">
        <v>32</v>
      </c>
      <c r="R1186" s="69"/>
    </row>
    <row r="1187" spans="2:18">
      <c r="B1187" s="68"/>
      <c r="C1187" s="93">
        <v>19</v>
      </c>
      <c r="D1187" s="93" t="s">
        <v>1914</v>
      </c>
      <c r="E1187" s="93">
        <v>138</v>
      </c>
      <c r="F1187" s="93">
        <v>514740</v>
      </c>
      <c r="G1187" s="93">
        <v>19598</v>
      </c>
      <c r="H1187" s="94"/>
      <c r="I1187" s="93" t="s">
        <v>1461</v>
      </c>
      <c r="J1187" s="93">
        <v>2</v>
      </c>
      <c r="K1187" s="93">
        <v>7500</v>
      </c>
      <c r="L1187" s="93">
        <v>32</v>
      </c>
      <c r="M1187" s="17"/>
      <c r="N1187" s="93" t="s">
        <v>1461</v>
      </c>
      <c r="O1187" s="93">
        <v>2</v>
      </c>
      <c r="P1187" s="93">
        <v>7500</v>
      </c>
      <c r="Q1187" s="93">
        <v>32</v>
      </c>
      <c r="R1187" s="69"/>
    </row>
    <row r="1188" spans="2:18">
      <c r="B1188" s="68"/>
      <c r="C1188" s="93">
        <v>19</v>
      </c>
      <c r="D1188" s="93" t="s">
        <v>1914</v>
      </c>
      <c r="E1188" s="93">
        <v>136</v>
      </c>
      <c r="F1188" s="93">
        <v>507240</v>
      </c>
      <c r="G1188" s="93">
        <v>19566</v>
      </c>
      <c r="H1188" s="94"/>
      <c r="I1188" s="93" t="s">
        <v>1462</v>
      </c>
      <c r="J1188" s="93">
        <v>2</v>
      </c>
      <c r="K1188" s="93">
        <v>7500</v>
      </c>
      <c r="L1188" s="93">
        <v>32</v>
      </c>
      <c r="M1188" s="17"/>
      <c r="N1188" s="93" t="s">
        <v>1462</v>
      </c>
      <c r="O1188" s="93">
        <v>2</v>
      </c>
      <c r="P1188" s="93">
        <v>7500</v>
      </c>
      <c r="Q1188" s="93">
        <v>32</v>
      </c>
      <c r="R1188" s="69"/>
    </row>
    <row r="1189" spans="2:18">
      <c r="B1189" s="68"/>
      <c r="C1189" s="93">
        <v>19</v>
      </c>
      <c r="D1189" s="93" t="s">
        <v>1914</v>
      </c>
      <c r="E1189" s="93">
        <v>134</v>
      </c>
      <c r="F1189" s="93">
        <v>503490</v>
      </c>
      <c r="G1189" s="93">
        <v>19534</v>
      </c>
      <c r="H1189" s="94"/>
      <c r="I1189" s="93" t="s">
        <v>1463</v>
      </c>
      <c r="J1189" s="93">
        <v>2</v>
      </c>
      <c r="K1189" s="93">
        <v>3750</v>
      </c>
      <c r="L1189" s="93">
        <v>32</v>
      </c>
      <c r="M1189" s="17"/>
      <c r="N1189" s="93" t="s">
        <v>1463</v>
      </c>
      <c r="O1189" s="93">
        <v>2</v>
      </c>
      <c r="P1189" s="93">
        <v>3750</v>
      </c>
      <c r="Q1189" s="93">
        <v>32</v>
      </c>
      <c r="R1189" s="69"/>
    </row>
    <row r="1190" spans="2:18">
      <c r="B1190" s="68"/>
      <c r="C1190" s="93">
        <v>19</v>
      </c>
      <c r="D1190" s="93" t="s">
        <v>1914</v>
      </c>
      <c r="E1190" s="93">
        <v>132</v>
      </c>
      <c r="F1190" s="93">
        <v>499740</v>
      </c>
      <c r="G1190" s="93">
        <v>19502</v>
      </c>
      <c r="H1190" s="94"/>
      <c r="I1190" s="93" t="s">
        <v>1464</v>
      </c>
      <c r="J1190" s="93">
        <v>2</v>
      </c>
      <c r="K1190" s="93">
        <v>3750</v>
      </c>
      <c r="L1190" s="93">
        <v>32</v>
      </c>
      <c r="M1190" s="17"/>
      <c r="N1190" s="93" t="s">
        <v>1464</v>
      </c>
      <c r="O1190" s="93">
        <v>2</v>
      </c>
      <c r="P1190" s="93">
        <v>3750</v>
      </c>
      <c r="Q1190" s="93">
        <v>32</v>
      </c>
      <c r="R1190" s="69"/>
    </row>
    <row r="1191" spans="2:18">
      <c r="B1191" s="68"/>
      <c r="C1191" s="93">
        <v>19</v>
      </c>
      <c r="D1191" s="93" t="s">
        <v>1914</v>
      </c>
      <c r="E1191" s="93">
        <v>130</v>
      </c>
      <c r="F1191" s="93">
        <v>492240</v>
      </c>
      <c r="G1191" s="93">
        <v>19470</v>
      </c>
      <c r="H1191" s="94"/>
      <c r="I1191" s="93" t="s">
        <v>1465</v>
      </c>
      <c r="J1191" s="93">
        <v>2</v>
      </c>
      <c r="K1191" s="93">
        <v>7500</v>
      </c>
      <c r="L1191" s="93">
        <v>32</v>
      </c>
      <c r="M1191" s="17"/>
      <c r="N1191" s="93" t="s">
        <v>1465</v>
      </c>
      <c r="O1191" s="93">
        <v>2</v>
      </c>
      <c r="P1191" s="93">
        <v>7500</v>
      </c>
      <c r="Q1191" s="93">
        <v>32</v>
      </c>
      <c r="R1191" s="69"/>
    </row>
    <row r="1192" spans="2:18">
      <c r="B1192" s="68"/>
      <c r="C1192" s="93">
        <v>17</v>
      </c>
      <c r="D1192" s="93" t="s">
        <v>1912</v>
      </c>
      <c r="E1192" s="93">
        <v>1</v>
      </c>
      <c r="F1192" s="93">
        <v>221940</v>
      </c>
      <c r="G1192" s="93">
        <v>16958</v>
      </c>
      <c r="H1192" s="94"/>
      <c r="I1192" s="93" t="s">
        <v>1466</v>
      </c>
      <c r="J1192" s="93">
        <v>1</v>
      </c>
      <c r="K1192" s="93">
        <v>2000</v>
      </c>
      <c r="L1192" s="93">
        <v>0</v>
      </c>
      <c r="M1192" s="17"/>
      <c r="N1192" s="93" t="s">
        <v>1466</v>
      </c>
      <c r="O1192" s="93">
        <v>1</v>
      </c>
      <c r="P1192" s="93">
        <v>2000</v>
      </c>
      <c r="Q1192" s="93">
        <v>0</v>
      </c>
      <c r="R1192" s="69"/>
    </row>
    <row r="1193" spans="2:18">
      <c r="B1193" s="68"/>
      <c r="C1193" s="93">
        <v>19</v>
      </c>
      <c r="D1193" s="93" t="s">
        <v>1914</v>
      </c>
      <c r="E1193" s="93">
        <v>128</v>
      </c>
      <c r="F1193" s="93">
        <v>484740</v>
      </c>
      <c r="G1193" s="93">
        <v>19438</v>
      </c>
      <c r="H1193" s="94"/>
      <c r="I1193" s="93" t="s">
        <v>1467</v>
      </c>
      <c r="J1193" s="93">
        <v>2</v>
      </c>
      <c r="K1193" s="93">
        <v>7500</v>
      </c>
      <c r="L1193" s="93">
        <v>32</v>
      </c>
      <c r="M1193" s="17"/>
      <c r="N1193" s="93" t="s">
        <v>1467</v>
      </c>
      <c r="O1193" s="93">
        <v>2</v>
      </c>
      <c r="P1193" s="93">
        <v>7500</v>
      </c>
      <c r="Q1193" s="93">
        <v>32</v>
      </c>
      <c r="R1193" s="69"/>
    </row>
    <row r="1194" spans="2:18">
      <c r="B1194" s="68"/>
      <c r="C1194" s="93">
        <v>19</v>
      </c>
      <c r="D1194" s="93" t="s">
        <v>1914</v>
      </c>
      <c r="E1194" s="93">
        <v>126</v>
      </c>
      <c r="F1194" s="93">
        <v>480990</v>
      </c>
      <c r="G1194" s="93">
        <v>19406</v>
      </c>
      <c r="H1194" s="94"/>
      <c r="I1194" s="93" t="s">
        <v>1468</v>
      </c>
      <c r="J1194" s="93">
        <v>2</v>
      </c>
      <c r="K1194" s="93">
        <v>3750</v>
      </c>
      <c r="L1194" s="93">
        <v>32</v>
      </c>
      <c r="M1194" s="17"/>
      <c r="N1194" s="93" t="s">
        <v>1468</v>
      </c>
      <c r="O1194" s="93">
        <v>2</v>
      </c>
      <c r="P1194" s="93">
        <v>3750</v>
      </c>
      <c r="Q1194" s="93">
        <v>32</v>
      </c>
      <c r="R1194" s="69"/>
    </row>
    <row r="1195" spans="2:18">
      <c r="B1195" s="68"/>
      <c r="C1195" s="93">
        <v>19</v>
      </c>
      <c r="D1195" s="93" t="s">
        <v>1914</v>
      </c>
      <c r="E1195" s="93">
        <v>124</v>
      </c>
      <c r="F1195" s="93">
        <v>477240</v>
      </c>
      <c r="G1195" s="93">
        <v>19374</v>
      </c>
      <c r="H1195" s="94"/>
      <c r="I1195" s="93" t="s">
        <v>1469</v>
      </c>
      <c r="J1195" s="93">
        <v>2</v>
      </c>
      <c r="K1195" s="93">
        <v>3750</v>
      </c>
      <c r="L1195" s="93">
        <v>32</v>
      </c>
      <c r="M1195" s="17"/>
      <c r="N1195" s="93" t="s">
        <v>1469</v>
      </c>
      <c r="O1195" s="93">
        <v>2</v>
      </c>
      <c r="P1195" s="93">
        <v>3750</v>
      </c>
      <c r="Q1195" s="93">
        <v>32</v>
      </c>
      <c r="R1195" s="69"/>
    </row>
    <row r="1196" spans="2:18">
      <c r="B1196" s="68"/>
      <c r="C1196" s="93">
        <v>19</v>
      </c>
      <c r="D1196" s="93" t="s">
        <v>1914</v>
      </c>
      <c r="E1196" s="93">
        <v>122</v>
      </c>
      <c r="F1196" s="93">
        <v>473240</v>
      </c>
      <c r="G1196" s="93">
        <v>19374</v>
      </c>
      <c r="H1196" s="94"/>
      <c r="I1196" s="93" t="s">
        <v>1470</v>
      </c>
      <c r="J1196" s="93">
        <v>2</v>
      </c>
      <c r="K1196" s="93">
        <v>4000</v>
      </c>
      <c r="L1196" s="93">
        <v>0</v>
      </c>
      <c r="M1196" s="17"/>
      <c r="N1196" s="93" t="s">
        <v>1470</v>
      </c>
      <c r="O1196" s="93">
        <v>2</v>
      </c>
      <c r="P1196" s="93">
        <v>4000</v>
      </c>
      <c r="Q1196" s="93">
        <v>0</v>
      </c>
      <c r="R1196" s="69"/>
    </row>
    <row r="1197" spans="2:18">
      <c r="B1197" s="68"/>
      <c r="C1197" s="93">
        <v>19</v>
      </c>
      <c r="D1197" s="93" t="s">
        <v>1914</v>
      </c>
      <c r="E1197" s="93">
        <v>120</v>
      </c>
      <c r="F1197" s="93">
        <v>469240</v>
      </c>
      <c r="G1197" s="93">
        <v>19374</v>
      </c>
      <c r="H1197" s="94"/>
      <c r="I1197" s="93" t="s">
        <v>1471</v>
      </c>
      <c r="J1197" s="93">
        <v>2</v>
      </c>
      <c r="K1197" s="93">
        <v>4000</v>
      </c>
      <c r="L1197" s="93">
        <v>0</v>
      </c>
      <c r="M1197" s="17"/>
      <c r="N1197" s="93" t="s">
        <v>1471</v>
      </c>
      <c r="O1197" s="93">
        <v>2</v>
      </c>
      <c r="P1197" s="93">
        <v>4000</v>
      </c>
      <c r="Q1197" s="93">
        <v>0</v>
      </c>
      <c r="R1197" s="69"/>
    </row>
    <row r="1198" spans="2:18">
      <c r="B1198" s="68"/>
      <c r="C1198" s="93">
        <v>19</v>
      </c>
      <c r="D1198" s="93" t="s">
        <v>1914</v>
      </c>
      <c r="E1198" s="93">
        <v>112</v>
      </c>
      <c r="F1198" s="93">
        <v>454240</v>
      </c>
      <c r="G1198" s="93">
        <v>19214</v>
      </c>
      <c r="H1198" s="94"/>
      <c r="I1198" s="93" t="s">
        <v>1472</v>
      </c>
      <c r="J1198" s="93">
        <v>8</v>
      </c>
      <c r="K1198" s="93">
        <v>15000</v>
      </c>
      <c r="L1198" s="93">
        <v>160</v>
      </c>
      <c r="M1198" s="17"/>
      <c r="N1198" s="93" t="s">
        <v>1472</v>
      </c>
      <c r="O1198" s="93">
        <v>8</v>
      </c>
      <c r="P1198" s="93">
        <v>15000</v>
      </c>
      <c r="Q1198" s="93">
        <v>160</v>
      </c>
      <c r="R1198" s="69"/>
    </row>
    <row r="1199" spans="2:18">
      <c r="B1199" s="68"/>
      <c r="C1199" s="93">
        <v>19</v>
      </c>
      <c r="D1199" s="93" t="s">
        <v>1914</v>
      </c>
      <c r="E1199" s="93">
        <v>104</v>
      </c>
      <c r="F1199" s="93">
        <v>439240</v>
      </c>
      <c r="G1199" s="93">
        <v>19054</v>
      </c>
      <c r="H1199" s="94"/>
      <c r="I1199" s="93" t="s">
        <v>1473</v>
      </c>
      <c r="J1199" s="93">
        <v>8</v>
      </c>
      <c r="K1199" s="93">
        <v>15000</v>
      </c>
      <c r="L1199" s="93">
        <v>160</v>
      </c>
      <c r="M1199" s="17"/>
      <c r="N1199" s="93" t="s">
        <v>1473</v>
      </c>
      <c r="O1199" s="93">
        <v>8</v>
      </c>
      <c r="P1199" s="93">
        <v>15000</v>
      </c>
      <c r="Q1199" s="93">
        <v>160</v>
      </c>
      <c r="R1199" s="69"/>
    </row>
    <row r="1200" spans="2:18">
      <c r="B1200" s="68"/>
      <c r="C1200" s="93">
        <v>19</v>
      </c>
      <c r="D1200" s="93" t="s">
        <v>1914</v>
      </c>
      <c r="E1200" s="93">
        <v>100</v>
      </c>
      <c r="F1200" s="93">
        <v>431740</v>
      </c>
      <c r="G1200" s="93">
        <v>18974</v>
      </c>
      <c r="H1200" s="94"/>
      <c r="I1200" s="93" t="s">
        <v>1474</v>
      </c>
      <c r="J1200" s="93">
        <v>4</v>
      </c>
      <c r="K1200" s="93">
        <v>7500</v>
      </c>
      <c r="L1200" s="93">
        <v>80</v>
      </c>
      <c r="M1200" s="17"/>
      <c r="N1200" s="93" t="s">
        <v>1474</v>
      </c>
      <c r="O1200" s="93">
        <v>4</v>
      </c>
      <c r="P1200" s="93">
        <v>7500</v>
      </c>
      <c r="Q1200" s="93">
        <v>80</v>
      </c>
      <c r="R1200" s="69"/>
    </row>
    <row r="1201" spans="2:18">
      <c r="B1201" s="68"/>
      <c r="C1201" s="93">
        <v>19</v>
      </c>
      <c r="D1201" s="93" t="s">
        <v>1914</v>
      </c>
      <c r="E1201" s="93">
        <v>96</v>
      </c>
      <c r="F1201" s="93">
        <v>424240</v>
      </c>
      <c r="G1201" s="93">
        <v>18894</v>
      </c>
      <c r="H1201" s="94"/>
      <c r="I1201" s="93" t="s">
        <v>1475</v>
      </c>
      <c r="J1201" s="93">
        <v>4</v>
      </c>
      <c r="K1201" s="93">
        <v>7500</v>
      </c>
      <c r="L1201" s="93">
        <v>80</v>
      </c>
      <c r="M1201" s="17"/>
      <c r="N1201" s="93" t="s">
        <v>1475</v>
      </c>
      <c r="O1201" s="93">
        <v>4</v>
      </c>
      <c r="P1201" s="93">
        <v>7500</v>
      </c>
      <c r="Q1201" s="93">
        <v>80</v>
      </c>
      <c r="R1201" s="69"/>
    </row>
    <row r="1202" spans="2:18">
      <c r="B1202" s="68"/>
      <c r="C1202" s="93">
        <v>19</v>
      </c>
      <c r="D1202" s="93" t="s">
        <v>1914</v>
      </c>
      <c r="E1202" s="93">
        <v>92</v>
      </c>
      <c r="F1202" s="93">
        <v>416740</v>
      </c>
      <c r="G1202" s="93">
        <v>18814</v>
      </c>
      <c r="H1202" s="94"/>
      <c r="I1202" s="93" t="s">
        <v>1476</v>
      </c>
      <c r="J1202" s="93">
        <v>4</v>
      </c>
      <c r="K1202" s="93">
        <v>7500</v>
      </c>
      <c r="L1202" s="93">
        <v>80</v>
      </c>
      <c r="M1202" s="17"/>
      <c r="N1202" s="93" t="s">
        <v>1476</v>
      </c>
      <c r="O1202" s="93">
        <v>4</v>
      </c>
      <c r="P1202" s="93">
        <v>7500</v>
      </c>
      <c r="Q1202" s="93">
        <v>80</v>
      </c>
      <c r="R1202" s="69"/>
    </row>
    <row r="1203" spans="2:18">
      <c r="B1203" s="68"/>
      <c r="C1203" s="93">
        <v>1</v>
      </c>
      <c r="D1203" s="93" t="s">
        <v>1779</v>
      </c>
      <c r="E1203" s="93">
        <v>1</v>
      </c>
      <c r="F1203" s="93">
        <v>143725</v>
      </c>
      <c r="G1203" s="93">
        <v>10044</v>
      </c>
      <c r="H1203" s="94"/>
      <c r="I1203" s="93"/>
      <c r="J1203" s="93"/>
      <c r="K1203" s="93"/>
      <c r="L1203" s="93">
        <v>0</v>
      </c>
      <c r="M1203" s="17"/>
      <c r="N1203" s="93"/>
      <c r="O1203" s="93"/>
      <c r="P1203" s="93"/>
      <c r="Q1203" s="93"/>
      <c r="R1203" s="69"/>
    </row>
    <row r="1204" spans="2:18">
      <c r="B1204" s="68"/>
      <c r="C1204" s="93"/>
      <c r="D1204" s="93"/>
      <c r="E1204" s="93"/>
      <c r="F1204" s="93"/>
      <c r="G1204" s="93"/>
      <c r="H1204" s="94"/>
      <c r="I1204" s="93"/>
      <c r="J1204" s="93"/>
      <c r="K1204" s="93"/>
      <c r="L1204" s="93"/>
      <c r="M1204" s="17"/>
      <c r="N1204" s="93"/>
      <c r="O1204" s="93"/>
      <c r="P1204" s="93"/>
      <c r="Q1204" s="93"/>
      <c r="R1204" s="69"/>
    </row>
    <row r="1205" spans="2:18">
      <c r="B1205" s="68"/>
      <c r="C1205" s="93"/>
      <c r="D1205" s="93"/>
      <c r="E1205" s="93"/>
      <c r="F1205" s="93"/>
      <c r="G1205" s="93"/>
      <c r="H1205" s="94"/>
      <c r="I1205" s="93"/>
      <c r="J1205" s="93"/>
      <c r="K1205" s="93"/>
      <c r="L1205" s="93"/>
      <c r="M1205" s="17"/>
      <c r="N1205" s="93"/>
      <c r="O1205" s="93"/>
      <c r="P1205" s="93"/>
      <c r="Q1205" s="93"/>
      <c r="R1205" s="69"/>
    </row>
    <row r="1206" spans="2:18">
      <c r="B1206" s="68"/>
      <c r="C1206" s="93"/>
      <c r="D1206" s="93"/>
      <c r="E1206" s="93"/>
      <c r="F1206" s="93"/>
      <c r="G1206" s="93"/>
      <c r="H1206" s="94"/>
      <c r="I1206" s="93"/>
      <c r="J1206" s="93"/>
      <c r="K1206" s="93"/>
      <c r="L1206" s="93"/>
      <c r="M1206" s="17"/>
      <c r="N1206" s="93"/>
      <c r="O1206" s="93"/>
      <c r="P1206" s="93"/>
      <c r="Q1206" s="93"/>
      <c r="R1206" s="69"/>
    </row>
    <row r="1207" spans="2:18">
      <c r="B1207" s="68"/>
      <c r="C1207" s="93"/>
      <c r="D1207" s="93"/>
      <c r="E1207" s="93"/>
      <c r="F1207" s="93"/>
      <c r="G1207" s="93"/>
      <c r="H1207" s="94"/>
      <c r="I1207" s="93"/>
      <c r="J1207" s="93"/>
      <c r="K1207" s="93"/>
      <c r="L1207" s="93"/>
      <c r="M1207" s="17"/>
      <c r="N1207" s="93"/>
      <c r="O1207" s="93"/>
      <c r="P1207" s="93"/>
      <c r="Q1207" s="93"/>
      <c r="R1207" s="69"/>
    </row>
    <row r="1208" spans="2:18">
      <c r="B1208" s="68"/>
      <c r="C1208" s="93"/>
      <c r="D1208" s="93"/>
      <c r="E1208" s="93"/>
      <c r="F1208" s="93"/>
      <c r="G1208" s="93"/>
      <c r="H1208" s="94"/>
      <c r="I1208" s="93"/>
      <c r="J1208" s="93"/>
      <c r="K1208" s="93"/>
      <c r="L1208" s="93"/>
      <c r="M1208" s="17"/>
      <c r="N1208" s="93"/>
      <c r="O1208" s="93"/>
      <c r="P1208" s="93"/>
      <c r="Q1208" s="93"/>
      <c r="R1208" s="69"/>
    </row>
    <row r="1209" spans="2:18">
      <c r="B1209" s="68"/>
      <c r="C1209" s="93"/>
      <c r="D1209" s="93"/>
      <c r="E1209" s="93"/>
      <c r="F1209" s="93"/>
      <c r="G1209" s="93"/>
      <c r="H1209" s="94"/>
      <c r="I1209" s="93"/>
      <c r="J1209" s="93"/>
      <c r="K1209" s="93"/>
      <c r="L1209" s="93"/>
      <c r="M1209" s="17"/>
      <c r="N1209" s="93"/>
      <c r="O1209" s="93"/>
      <c r="P1209" s="93"/>
      <c r="Q1209" s="93"/>
      <c r="R1209" s="69"/>
    </row>
    <row r="1210" spans="2:18">
      <c r="B1210" s="68"/>
      <c r="C1210" s="93"/>
      <c r="D1210" s="93"/>
      <c r="E1210" s="93"/>
      <c r="F1210" s="93"/>
      <c r="G1210" s="93"/>
      <c r="H1210" s="94"/>
      <c r="I1210" s="93"/>
      <c r="J1210" s="93"/>
      <c r="K1210" s="93"/>
      <c r="L1210" s="93"/>
      <c r="M1210" s="17"/>
      <c r="N1210" s="93"/>
      <c r="O1210" s="93"/>
      <c r="P1210" s="93"/>
      <c r="Q1210" s="93"/>
      <c r="R1210" s="69"/>
    </row>
    <row r="1211" spans="2:18">
      <c r="B1211" s="68"/>
      <c r="C1211" s="93"/>
      <c r="D1211" s="93"/>
      <c r="E1211" s="93"/>
      <c r="F1211" s="93"/>
      <c r="G1211" s="93"/>
      <c r="H1211" s="94"/>
      <c r="I1211" s="93"/>
      <c r="J1211" s="93"/>
      <c r="K1211" s="93"/>
      <c r="L1211" s="93"/>
      <c r="M1211" s="17"/>
      <c r="N1211" s="93"/>
      <c r="O1211" s="93"/>
      <c r="P1211" s="93"/>
      <c r="Q1211" s="93"/>
      <c r="R1211" s="69"/>
    </row>
    <row r="1212" spans="2:18">
      <c r="B1212" s="68"/>
      <c r="C1212" s="93"/>
      <c r="D1212" s="93"/>
      <c r="E1212" s="93"/>
      <c r="F1212" s="93"/>
      <c r="G1212" s="93"/>
      <c r="H1212" s="94"/>
      <c r="I1212" s="93"/>
      <c r="J1212" s="93"/>
      <c r="K1212" s="93"/>
      <c r="L1212" s="93"/>
      <c r="M1212" s="17"/>
      <c r="N1212" s="93"/>
      <c r="O1212" s="93"/>
      <c r="P1212" s="93"/>
      <c r="Q1212" s="93"/>
      <c r="R1212" s="69"/>
    </row>
    <row r="1213" spans="2:18">
      <c r="B1213" s="68"/>
      <c r="C1213" s="93"/>
      <c r="D1213" s="93"/>
      <c r="E1213" s="93"/>
      <c r="F1213" s="93"/>
      <c r="G1213" s="93"/>
      <c r="H1213" s="94"/>
      <c r="I1213" s="93"/>
      <c r="J1213" s="93"/>
      <c r="K1213" s="93"/>
      <c r="L1213" s="93"/>
      <c r="M1213" s="17"/>
      <c r="N1213" s="93"/>
      <c r="O1213" s="93"/>
      <c r="P1213" s="93"/>
      <c r="Q1213" s="93"/>
      <c r="R1213" s="69"/>
    </row>
    <row r="1214" spans="2:18">
      <c r="B1214" s="68"/>
      <c r="C1214" s="93"/>
      <c r="D1214" s="93"/>
      <c r="E1214" s="93"/>
      <c r="F1214" s="93"/>
      <c r="G1214" s="93"/>
      <c r="H1214" s="94"/>
      <c r="I1214" s="93"/>
      <c r="J1214" s="93"/>
      <c r="K1214" s="93"/>
      <c r="L1214" s="93"/>
      <c r="M1214" s="17"/>
      <c r="N1214" s="93"/>
      <c r="O1214" s="93"/>
      <c r="P1214" s="93"/>
      <c r="Q1214" s="93"/>
      <c r="R1214" s="69"/>
    </row>
    <row r="1215" spans="2:18">
      <c r="B1215" s="68"/>
      <c r="C1215" s="93"/>
      <c r="D1215" s="93"/>
      <c r="E1215" s="93"/>
      <c r="F1215" s="93"/>
      <c r="G1215" s="93"/>
      <c r="H1215" s="94"/>
      <c r="I1215" s="93"/>
      <c r="J1215" s="93"/>
      <c r="K1215" s="93"/>
      <c r="L1215" s="93"/>
      <c r="M1215" s="17"/>
      <c r="N1215" s="93"/>
      <c r="O1215" s="93"/>
      <c r="P1215" s="93"/>
      <c r="Q1215" s="93"/>
      <c r="R1215" s="69"/>
    </row>
    <row r="1216" spans="2:18">
      <c r="B1216" s="68"/>
      <c r="C1216" s="93"/>
      <c r="D1216" s="93"/>
      <c r="E1216" s="93"/>
      <c r="F1216" s="93"/>
      <c r="G1216" s="93"/>
      <c r="H1216" s="94"/>
      <c r="I1216" s="93"/>
      <c r="J1216" s="93"/>
      <c r="K1216" s="93"/>
      <c r="L1216" s="93"/>
      <c r="M1216" s="17"/>
      <c r="N1216" s="93"/>
      <c r="O1216" s="93"/>
      <c r="P1216" s="93"/>
      <c r="Q1216" s="93"/>
      <c r="R1216" s="69"/>
    </row>
    <row r="1217" spans="2:18">
      <c r="B1217" s="68"/>
      <c r="C1217" s="93"/>
      <c r="D1217" s="93"/>
      <c r="E1217" s="93"/>
      <c r="F1217" s="93"/>
      <c r="G1217" s="93"/>
      <c r="H1217" s="94"/>
      <c r="I1217" s="93"/>
      <c r="J1217" s="93"/>
      <c r="K1217" s="93"/>
      <c r="L1217" s="93"/>
      <c r="M1217" s="17"/>
      <c r="N1217" s="93"/>
      <c r="O1217" s="93"/>
      <c r="P1217" s="93"/>
      <c r="Q1217" s="93"/>
      <c r="R1217" s="69"/>
    </row>
    <row r="1218" spans="2:18">
      <c r="B1218" s="68"/>
      <c r="C1218" s="93"/>
      <c r="D1218" s="93"/>
      <c r="E1218" s="93"/>
      <c r="F1218" s="93"/>
      <c r="G1218" s="93"/>
      <c r="H1218" s="94"/>
      <c r="I1218" s="93"/>
      <c r="J1218" s="93"/>
      <c r="K1218" s="93"/>
      <c r="L1218" s="93"/>
      <c r="M1218" s="17"/>
      <c r="N1218" s="93"/>
      <c r="O1218" s="93"/>
      <c r="P1218" s="93"/>
      <c r="Q1218" s="93"/>
      <c r="R1218" s="69"/>
    </row>
    <row r="1219" spans="2:18">
      <c r="B1219" s="68"/>
      <c r="C1219" s="93"/>
      <c r="D1219" s="93"/>
      <c r="E1219" s="93"/>
      <c r="F1219" s="93"/>
      <c r="G1219" s="93"/>
      <c r="H1219" s="94"/>
      <c r="I1219" s="93"/>
      <c r="J1219" s="93"/>
      <c r="K1219" s="93"/>
      <c r="L1219" s="93"/>
      <c r="M1219" s="17"/>
      <c r="N1219" s="93"/>
      <c r="O1219" s="93"/>
      <c r="P1219" s="93"/>
      <c r="Q1219" s="93"/>
      <c r="R1219" s="69"/>
    </row>
    <row r="1220" spans="2:18">
      <c r="B1220" s="68"/>
      <c r="C1220" s="93"/>
      <c r="D1220" s="93"/>
      <c r="E1220" s="93"/>
      <c r="F1220" s="93"/>
      <c r="G1220" s="93"/>
      <c r="H1220" s="94"/>
      <c r="I1220" s="93"/>
      <c r="J1220" s="93"/>
      <c r="K1220" s="93"/>
      <c r="L1220" s="93"/>
      <c r="M1220" s="17"/>
      <c r="N1220" s="93"/>
      <c r="O1220" s="93"/>
      <c r="P1220" s="93"/>
      <c r="Q1220" s="93"/>
      <c r="R1220" s="69"/>
    </row>
    <row r="1221" spans="2:18">
      <c r="B1221" s="68"/>
      <c r="C1221" s="93"/>
      <c r="D1221" s="93"/>
      <c r="E1221" s="93"/>
      <c r="F1221" s="93"/>
      <c r="G1221" s="93"/>
      <c r="H1221" s="94"/>
      <c r="I1221" s="93"/>
      <c r="J1221" s="93"/>
      <c r="K1221" s="93"/>
      <c r="L1221" s="93"/>
      <c r="M1221" s="17"/>
      <c r="N1221" s="93"/>
      <c r="O1221" s="93"/>
      <c r="P1221" s="93"/>
      <c r="Q1221" s="93"/>
      <c r="R1221" s="69"/>
    </row>
    <row r="1222" spans="2:18">
      <c r="B1222" s="68"/>
      <c r="C1222" s="93"/>
      <c r="D1222" s="93"/>
      <c r="E1222" s="93"/>
      <c r="F1222" s="93"/>
      <c r="G1222" s="93"/>
      <c r="H1222" s="94"/>
      <c r="I1222" s="93"/>
      <c r="J1222" s="93"/>
      <c r="K1222" s="93"/>
      <c r="L1222" s="93"/>
      <c r="M1222" s="17"/>
      <c r="N1222" s="93"/>
      <c r="O1222" s="93"/>
      <c r="P1222" s="93"/>
      <c r="Q1222" s="93"/>
      <c r="R1222" s="69"/>
    </row>
    <row r="1223" spans="2:18">
      <c r="B1223" s="68"/>
      <c r="C1223" s="93"/>
      <c r="D1223" s="93"/>
      <c r="E1223" s="93"/>
      <c r="F1223" s="93"/>
      <c r="G1223" s="93"/>
      <c r="H1223" s="94"/>
      <c r="I1223" s="93"/>
      <c r="J1223" s="93"/>
      <c r="K1223" s="93"/>
      <c r="L1223" s="93"/>
      <c r="M1223" s="17"/>
      <c r="N1223" s="93"/>
      <c r="O1223" s="93"/>
      <c r="P1223" s="93"/>
      <c r="Q1223" s="93"/>
      <c r="R1223" s="69"/>
    </row>
    <row r="1224" spans="2:18">
      <c r="B1224" s="68"/>
      <c r="C1224" s="93"/>
      <c r="D1224" s="93"/>
      <c r="E1224" s="93"/>
      <c r="F1224" s="93"/>
      <c r="G1224" s="93"/>
      <c r="H1224" s="94"/>
      <c r="I1224" s="93"/>
      <c r="J1224" s="93"/>
      <c r="K1224" s="93"/>
      <c r="L1224" s="93"/>
      <c r="M1224" s="17"/>
      <c r="N1224" s="93"/>
      <c r="O1224" s="93"/>
      <c r="P1224" s="93"/>
      <c r="Q1224" s="93"/>
      <c r="R1224" s="69"/>
    </row>
    <row r="1225" spans="2:18">
      <c r="B1225" s="68"/>
      <c r="C1225" s="93"/>
      <c r="D1225" s="93"/>
      <c r="E1225" s="93"/>
      <c r="F1225" s="93"/>
      <c r="G1225" s="93"/>
      <c r="H1225" s="94"/>
      <c r="I1225" s="93"/>
      <c r="J1225" s="93"/>
      <c r="K1225" s="93"/>
      <c r="L1225" s="93"/>
      <c r="M1225" s="17"/>
      <c r="N1225" s="93"/>
      <c r="O1225" s="93"/>
      <c r="P1225" s="93"/>
      <c r="Q1225" s="93"/>
      <c r="R1225" s="69"/>
    </row>
    <row r="1226" spans="2:18">
      <c r="B1226" s="68"/>
      <c r="C1226" s="93"/>
      <c r="D1226" s="93"/>
      <c r="E1226" s="93"/>
      <c r="F1226" s="93"/>
      <c r="G1226" s="93"/>
      <c r="H1226" s="94"/>
      <c r="I1226" s="93"/>
      <c r="J1226" s="93"/>
      <c r="K1226" s="93"/>
      <c r="L1226" s="93"/>
      <c r="M1226" s="17"/>
      <c r="N1226" s="93"/>
      <c r="O1226" s="93"/>
      <c r="P1226" s="93"/>
      <c r="Q1226" s="93"/>
      <c r="R1226" s="69"/>
    </row>
    <row r="1227" spans="2:18">
      <c r="B1227" s="68"/>
      <c r="C1227" s="93"/>
      <c r="D1227" s="93"/>
      <c r="E1227" s="93"/>
      <c r="F1227" s="93"/>
      <c r="G1227" s="93"/>
      <c r="H1227" s="94"/>
      <c r="I1227" s="93"/>
      <c r="J1227" s="93"/>
      <c r="K1227" s="93"/>
      <c r="L1227" s="93"/>
      <c r="M1227" s="17"/>
      <c r="N1227" s="93"/>
      <c r="O1227" s="93"/>
      <c r="P1227" s="93"/>
      <c r="Q1227" s="93"/>
      <c r="R1227" s="69"/>
    </row>
    <row r="1228" spans="2:18">
      <c r="B1228" s="68"/>
      <c r="C1228" s="93"/>
      <c r="D1228" s="93"/>
      <c r="E1228" s="93"/>
      <c r="F1228" s="93"/>
      <c r="G1228" s="93"/>
      <c r="H1228" s="94"/>
      <c r="I1228" s="93"/>
      <c r="J1228" s="93"/>
      <c r="K1228" s="93"/>
      <c r="L1228" s="93"/>
      <c r="M1228" s="17"/>
      <c r="N1228" s="93"/>
      <c r="O1228" s="93"/>
      <c r="P1228" s="93"/>
      <c r="Q1228" s="93"/>
      <c r="R1228" s="69"/>
    </row>
    <row r="1229" spans="2:18">
      <c r="B1229" s="68"/>
      <c r="C1229" s="93"/>
      <c r="D1229" s="93"/>
      <c r="E1229" s="93"/>
      <c r="F1229" s="93"/>
      <c r="G1229" s="93"/>
      <c r="H1229" s="94"/>
      <c r="I1229" s="93"/>
      <c r="J1229" s="93"/>
      <c r="K1229" s="93"/>
      <c r="L1229" s="93"/>
      <c r="M1229" s="17"/>
      <c r="N1229" s="93"/>
      <c r="O1229" s="93"/>
      <c r="P1229" s="93"/>
      <c r="Q1229" s="93"/>
      <c r="R1229" s="69"/>
    </row>
    <row r="1230" spans="2:18">
      <c r="B1230" s="68"/>
      <c r="C1230" s="93"/>
      <c r="D1230" s="93"/>
      <c r="E1230" s="93"/>
      <c r="F1230" s="93"/>
      <c r="G1230" s="93"/>
      <c r="H1230" s="94"/>
      <c r="I1230" s="93"/>
      <c r="J1230" s="93"/>
      <c r="K1230" s="93"/>
      <c r="L1230" s="93"/>
      <c r="M1230" s="17"/>
      <c r="N1230" s="93"/>
      <c r="O1230" s="93"/>
      <c r="P1230" s="93"/>
      <c r="Q1230" s="93"/>
      <c r="R1230" s="69"/>
    </row>
    <row r="1231" spans="2:18">
      <c r="B1231" s="68"/>
      <c r="C1231" s="93"/>
      <c r="D1231" s="93"/>
      <c r="E1231" s="93"/>
      <c r="F1231" s="93"/>
      <c r="G1231" s="93"/>
      <c r="H1231" s="94"/>
      <c r="I1231" s="93"/>
      <c r="J1231" s="93"/>
      <c r="K1231" s="93"/>
      <c r="L1231" s="93"/>
      <c r="M1231" s="17"/>
      <c r="N1231" s="93"/>
      <c r="O1231" s="93"/>
      <c r="P1231" s="93"/>
      <c r="Q1231" s="93"/>
      <c r="R1231" s="69"/>
    </row>
    <row r="1232" spans="2:18">
      <c r="B1232" s="68"/>
      <c r="C1232" s="93"/>
      <c r="D1232" s="93"/>
      <c r="E1232" s="93"/>
      <c r="F1232" s="93"/>
      <c r="G1232" s="93"/>
      <c r="H1232" s="94"/>
      <c r="I1232" s="93"/>
      <c r="J1232" s="93"/>
      <c r="K1232" s="93"/>
      <c r="L1232" s="93"/>
      <c r="M1232" s="17"/>
      <c r="N1232" s="93"/>
      <c r="O1232" s="93"/>
      <c r="P1232" s="93"/>
      <c r="Q1232" s="93"/>
      <c r="R1232" s="69"/>
    </row>
    <row r="1233" spans="2:18">
      <c r="B1233" s="68"/>
      <c r="C1233" s="93"/>
      <c r="D1233" s="93"/>
      <c r="E1233" s="93"/>
      <c r="F1233" s="93"/>
      <c r="G1233" s="93"/>
      <c r="H1233" s="94"/>
      <c r="I1233" s="93"/>
      <c r="J1233" s="93"/>
      <c r="K1233" s="93"/>
      <c r="L1233" s="93"/>
      <c r="M1233" s="17"/>
      <c r="N1233" s="93"/>
      <c r="O1233" s="93"/>
      <c r="P1233" s="93"/>
      <c r="Q1233" s="93"/>
      <c r="R1233" s="69"/>
    </row>
    <row r="1234" spans="2:18">
      <c r="B1234" s="68"/>
      <c r="C1234" s="93"/>
      <c r="D1234" s="93"/>
      <c r="E1234" s="93"/>
      <c r="F1234" s="93"/>
      <c r="G1234" s="93"/>
      <c r="H1234" s="94"/>
      <c r="I1234" s="93"/>
      <c r="J1234" s="93"/>
      <c r="K1234" s="93"/>
      <c r="L1234" s="93"/>
      <c r="M1234" s="17"/>
      <c r="N1234" s="93"/>
      <c r="O1234" s="93"/>
      <c r="P1234" s="93"/>
      <c r="Q1234" s="93"/>
      <c r="R1234" s="69"/>
    </row>
    <row r="1235" spans="2:18">
      <c r="B1235" s="68"/>
      <c r="C1235" s="93"/>
      <c r="D1235" s="93"/>
      <c r="E1235" s="93"/>
      <c r="F1235" s="93"/>
      <c r="G1235" s="93"/>
      <c r="H1235" s="94"/>
      <c r="I1235" s="93"/>
      <c r="J1235" s="93"/>
      <c r="K1235" s="93"/>
      <c r="L1235" s="93"/>
      <c r="M1235" s="17"/>
      <c r="N1235" s="93"/>
      <c r="O1235" s="93"/>
      <c r="P1235" s="93"/>
      <c r="Q1235" s="93"/>
      <c r="R1235" s="69"/>
    </row>
    <row r="1236" spans="2:18">
      <c r="B1236" s="68"/>
      <c r="C1236" s="93"/>
      <c r="D1236" s="93"/>
      <c r="E1236" s="93"/>
      <c r="F1236" s="93"/>
      <c r="G1236" s="93"/>
      <c r="H1236" s="94"/>
      <c r="I1236" s="93"/>
      <c r="J1236" s="93"/>
      <c r="K1236" s="93"/>
      <c r="L1236" s="93"/>
      <c r="M1236" s="17"/>
      <c r="N1236" s="93"/>
      <c r="O1236" s="93"/>
      <c r="P1236" s="93"/>
      <c r="Q1236" s="93"/>
      <c r="R1236" s="69"/>
    </row>
    <row r="1237" spans="2:18">
      <c r="B1237" s="68"/>
      <c r="C1237" s="93"/>
      <c r="D1237" s="93"/>
      <c r="E1237" s="93"/>
      <c r="F1237" s="93"/>
      <c r="G1237" s="93"/>
      <c r="H1237" s="94"/>
      <c r="I1237" s="93"/>
      <c r="J1237" s="93"/>
      <c r="K1237" s="93"/>
      <c r="L1237" s="93"/>
      <c r="M1237" s="17"/>
      <c r="N1237" s="93"/>
      <c r="O1237" s="93"/>
      <c r="P1237" s="93"/>
      <c r="Q1237" s="93"/>
      <c r="R1237" s="69"/>
    </row>
    <row r="1238" spans="2:18">
      <c r="B1238" s="68"/>
      <c r="C1238" s="93"/>
      <c r="D1238" s="93"/>
      <c r="E1238" s="93"/>
      <c r="F1238" s="93"/>
      <c r="G1238" s="93"/>
      <c r="H1238" s="94"/>
      <c r="I1238" s="93"/>
      <c r="J1238" s="93"/>
      <c r="K1238" s="93"/>
      <c r="L1238" s="93"/>
      <c r="M1238" s="17"/>
      <c r="N1238" s="93"/>
      <c r="O1238" s="93"/>
      <c r="P1238" s="93"/>
      <c r="Q1238" s="93"/>
      <c r="R1238" s="69"/>
    </row>
    <row r="1239" spans="2:18">
      <c r="B1239" s="68"/>
      <c r="C1239" s="93"/>
      <c r="D1239" s="93"/>
      <c r="E1239" s="93"/>
      <c r="F1239" s="93"/>
      <c r="G1239" s="93"/>
      <c r="H1239" s="94"/>
      <c r="I1239" s="93"/>
      <c r="J1239" s="93"/>
      <c r="K1239" s="93"/>
      <c r="L1239" s="93"/>
      <c r="M1239" s="17"/>
      <c r="N1239" s="93"/>
      <c r="O1239" s="93"/>
      <c r="P1239" s="93"/>
      <c r="Q1239" s="93"/>
      <c r="R1239" s="69"/>
    </row>
    <row r="1240" spans="2:18">
      <c r="B1240" s="68"/>
      <c r="C1240" s="93"/>
      <c r="D1240" s="93"/>
      <c r="E1240" s="93"/>
      <c r="F1240" s="93"/>
      <c r="G1240" s="93"/>
      <c r="H1240" s="94"/>
      <c r="I1240" s="93"/>
      <c r="J1240" s="93"/>
      <c r="K1240" s="93"/>
      <c r="L1240" s="93"/>
      <c r="M1240" s="17"/>
      <c r="N1240" s="93"/>
      <c r="O1240" s="93"/>
      <c r="P1240" s="93"/>
      <c r="Q1240" s="93"/>
      <c r="R1240" s="69"/>
    </row>
    <row r="1241" spans="2:18">
      <c r="B1241" s="68"/>
      <c r="C1241" s="93"/>
      <c r="D1241" s="93"/>
      <c r="E1241" s="93"/>
      <c r="F1241" s="93"/>
      <c r="G1241" s="93"/>
      <c r="H1241" s="94"/>
      <c r="I1241" s="93"/>
      <c r="J1241" s="93"/>
      <c r="K1241" s="93"/>
      <c r="L1241" s="93"/>
      <c r="M1241" s="17"/>
      <c r="N1241" s="93"/>
      <c r="O1241" s="93"/>
      <c r="P1241" s="93"/>
      <c r="Q1241" s="93"/>
      <c r="R1241" s="69"/>
    </row>
    <row r="1242" spans="2:18">
      <c r="B1242" s="68"/>
      <c r="C1242" s="93"/>
      <c r="D1242" s="93"/>
      <c r="E1242" s="93"/>
      <c r="F1242" s="93"/>
      <c r="G1242" s="93"/>
      <c r="H1242" s="94"/>
      <c r="I1242" s="93"/>
      <c r="J1242" s="93"/>
      <c r="K1242" s="93"/>
      <c r="L1242" s="93"/>
      <c r="M1242" s="17"/>
      <c r="N1242" s="93"/>
      <c r="O1242" s="93"/>
      <c r="P1242" s="93"/>
      <c r="Q1242" s="93"/>
      <c r="R1242" s="69"/>
    </row>
    <row r="1243" spans="2:18">
      <c r="B1243" s="68"/>
      <c r="C1243" s="93"/>
      <c r="D1243" s="93"/>
      <c r="E1243" s="93"/>
      <c r="F1243" s="93"/>
      <c r="G1243" s="93"/>
      <c r="H1243" s="94"/>
      <c r="I1243" s="93"/>
      <c r="J1243" s="93"/>
      <c r="K1243" s="93"/>
      <c r="L1243" s="93"/>
      <c r="M1243" s="17"/>
      <c r="N1243" s="93"/>
      <c r="O1243" s="93"/>
      <c r="P1243" s="93"/>
      <c r="Q1243" s="93"/>
      <c r="R1243" s="69"/>
    </row>
    <row r="1244" spans="2:18">
      <c r="B1244" s="68"/>
      <c r="C1244" s="93"/>
      <c r="D1244" s="93"/>
      <c r="E1244" s="93"/>
      <c r="F1244" s="93"/>
      <c r="G1244" s="93"/>
      <c r="H1244" s="94"/>
      <c r="I1244" s="93"/>
      <c r="J1244" s="93"/>
      <c r="K1244" s="93"/>
      <c r="L1244" s="93"/>
      <c r="M1244" s="17"/>
      <c r="N1244" s="93"/>
      <c r="O1244" s="93"/>
      <c r="P1244" s="93"/>
      <c r="Q1244" s="93"/>
      <c r="R1244" s="69"/>
    </row>
    <row r="1245" spans="2:18">
      <c r="B1245" s="68"/>
      <c r="C1245" s="93"/>
      <c r="D1245" s="93"/>
      <c r="E1245" s="93"/>
      <c r="F1245" s="93"/>
      <c r="G1245" s="93"/>
      <c r="H1245" s="94"/>
      <c r="I1245" s="93"/>
      <c r="J1245" s="93"/>
      <c r="K1245" s="93"/>
      <c r="L1245" s="93"/>
      <c r="M1245" s="17"/>
      <c r="N1245" s="93"/>
      <c r="O1245" s="93"/>
      <c r="P1245" s="93"/>
      <c r="Q1245" s="93"/>
      <c r="R1245" s="69"/>
    </row>
    <row r="1246" spans="2:18">
      <c r="B1246" s="68"/>
      <c r="C1246" s="93"/>
      <c r="D1246" s="93"/>
      <c r="E1246" s="93"/>
      <c r="F1246" s="93"/>
      <c r="G1246" s="93"/>
      <c r="H1246" s="94"/>
      <c r="I1246" s="93"/>
      <c r="J1246" s="93"/>
      <c r="K1246" s="93"/>
      <c r="L1246" s="93"/>
      <c r="M1246" s="17"/>
      <c r="N1246" s="93"/>
      <c r="O1246" s="93"/>
      <c r="P1246" s="93"/>
      <c r="Q1246" s="93"/>
      <c r="R1246" s="69"/>
    </row>
    <row r="1247" spans="2:18">
      <c r="B1247" s="68"/>
      <c r="C1247" s="93"/>
      <c r="D1247" s="93"/>
      <c r="E1247" s="93"/>
      <c r="F1247" s="93"/>
      <c r="G1247" s="93"/>
      <c r="H1247" s="94"/>
      <c r="I1247" s="93"/>
      <c r="J1247" s="93"/>
      <c r="K1247" s="93"/>
      <c r="L1247" s="93"/>
      <c r="M1247" s="17"/>
      <c r="N1247" s="93"/>
      <c r="O1247" s="93"/>
      <c r="P1247" s="93"/>
      <c r="Q1247" s="93"/>
      <c r="R1247" s="69"/>
    </row>
    <row r="1248" spans="2:18">
      <c r="B1248" s="68"/>
      <c r="C1248" s="93"/>
      <c r="D1248" s="93"/>
      <c r="E1248" s="93"/>
      <c r="F1248" s="93"/>
      <c r="G1248" s="93"/>
      <c r="H1248" s="94"/>
      <c r="I1248" s="93"/>
      <c r="J1248" s="93"/>
      <c r="K1248" s="93"/>
      <c r="L1248" s="93"/>
      <c r="M1248" s="17"/>
      <c r="N1248" s="93"/>
      <c r="O1248" s="93"/>
      <c r="P1248" s="93"/>
      <c r="Q1248" s="93"/>
      <c r="R1248" s="69"/>
    </row>
    <row r="1249" spans="2:18">
      <c r="B1249" s="68"/>
      <c r="C1249" s="93"/>
      <c r="D1249" s="93"/>
      <c r="E1249" s="93"/>
      <c r="F1249" s="93"/>
      <c r="G1249" s="93"/>
      <c r="H1249" s="94"/>
      <c r="I1249" s="93"/>
      <c r="J1249" s="93"/>
      <c r="K1249" s="93"/>
      <c r="L1249" s="93"/>
      <c r="M1249" s="17"/>
      <c r="N1249" s="93"/>
      <c r="O1249" s="93"/>
      <c r="P1249" s="93"/>
      <c r="Q1249" s="93"/>
      <c r="R1249" s="69"/>
    </row>
    <row r="1250" spans="2:18">
      <c r="B1250" s="68"/>
      <c r="C1250" s="93"/>
      <c r="D1250" s="93"/>
      <c r="E1250" s="93"/>
      <c r="F1250" s="93"/>
      <c r="G1250" s="93"/>
      <c r="H1250" s="94"/>
      <c r="I1250" s="93"/>
      <c r="J1250" s="93"/>
      <c r="K1250" s="93"/>
      <c r="L1250" s="93"/>
      <c r="M1250" s="17"/>
      <c r="N1250" s="93"/>
      <c r="O1250" s="93"/>
      <c r="P1250" s="93"/>
      <c r="Q1250" s="93"/>
      <c r="R1250" s="69"/>
    </row>
    <row r="1251" spans="2:18">
      <c r="B1251" s="68"/>
      <c r="C1251" s="93"/>
      <c r="D1251" s="93"/>
      <c r="E1251" s="93"/>
      <c r="F1251" s="93"/>
      <c r="G1251" s="93"/>
      <c r="H1251" s="94"/>
      <c r="I1251" s="93"/>
      <c r="J1251" s="93"/>
      <c r="K1251" s="93"/>
      <c r="L1251" s="93"/>
      <c r="M1251" s="17"/>
      <c r="N1251" s="93"/>
      <c r="O1251" s="93"/>
      <c r="P1251" s="93"/>
      <c r="Q1251" s="93"/>
      <c r="R1251" s="69"/>
    </row>
    <row r="1252" spans="2:18">
      <c r="B1252" s="68"/>
      <c r="C1252" s="93"/>
      <c r="D1252" s="93"/>
      <c r="E1252" s="93"/>
      <c r="F1252" s="93"/>
      <c r="G1252" s="93"/>
      <c r="H1252" s="94"/>
      <c r="I1252" s="93"/>
      <c r="J1252" s="93"/>
      <c r="K1252" s="93"/>
      <c r="L1252" s="93"/>
      <c r="M1252" s="17"/>
      <c r="N1252" s="93"/>
      <c r="O1252" s="93"/>
      <c r="P1252" s="93"/>
      <c r="Q1252" s="93"/>
      <c r="R1252" s="69"/>
    </row>
    <row r="1253" spans="2:18">
      <c r="B1253" s="68"/>
      <c r="C1253" s="93"/>
      <c r="D1253" s="93"/>
      <c r="E1253" s="93"/>
      <c r="F1253" s="93"/>
      <c r="G1253" s="93"/>
      <c r="H1253" s="94"/>
      <c r="I1253" s="93"/>
      <c r="J1253" s="93"/>
      <c r="K1253" s="93"/>
      <c r="L1253" s="93"/>
      <c r="M1253" s="17"/>
      <c r="N1253" s="93"/>
      <c r="O1253" s="93"/>
      <c r="P1253" s="93"/>
      <c r="Q1253" s="93"/>
      <c r="R1253" s="69"/>
    </row>
    <row r="1254" spans="2:18">
      <c r="B1254" s="68"/>
      <c r="C1254" s="93"/>
      <c r="D1254" s="93"/>
      <c r="E1254" s="93"/>
      <c r="F1254" s="93"/>
      <c r="G1254" s="93"/>
      <c r="H1254" s="94"/>
      <c r="I1254" s="93"/>
      <c r="J1254" s="93"/>
      <c r="K1254" s="93"/>
      <c r="L1254" s="93"/>
      <c r="M1254" s="17"/>
      <c r="N1254" s="93"/>
      <c r="O1254" s="93"/>
      <c r="P1254" s="93"/>
      <c r="Q1254" s="93"/>
      <c r="R1254" s="69"/>
    </row>
    <row r="1255" spans="2:18">
      <c r="B1255" s="68"/>
      <c r="C1255" s="93"/>
      <c r="D1255" s="93"/>
      <c r="E1255" s="93"/>
      <c r="F1255" s="93"/>
      <c r="G1255" s="93"/>
      <c r="H1255" s="94"/>
      <c r="I1255" s="93"/>
      <c r="J1255" s="93"/>
      <c r="K1255" s="93"/>
      <c r="L1255" s="93"/>
      <c r="M1255" s="17"/>
      <c r="N1255" s="93"/>
      <c r="O1255" s="93"/>
      <c r="P1255" s="93"/>
      <c r="Q1255" s="93"/>
      <c r="R1255" s="69"/>
    </row>
    <row r="1256" spans="2:18">
      <c r="B1256" s="68"/>
      <c r="C1256" s="93"/>
      <c r="D1256" s="93"/>
      <c r="E1256" s="93"/>
      <c r="F1256" s="93"/>
      <c r="G1256" s="93"/>
      <c r="H1256" s="94"/>
      <c r="I1256" s="93"/>
      <c r="J1256" s="93"/>
      <c r="K1256" s="93"/>
      <c r="L1256" s="93"/>
      <c r="M1256" s="17"/>
      <c r="N1256" s="93"/>
      <c r="O1256" s="93"/>
      <c r="P1256" s="93"/>
      <c r="Q1256" s="93"/>
      <c r="R1256" s="69"/>
    </row>
    <row r="1257" spans="2:18">
      <c r="B1257" s="68"/>
      <c r="C1257" s="93"/>
      <c r="D1257" s="93"/>
      <c r="E1257" s="93"/>
      <c r="F1257" s="93"/>
      <c r="G1257" s="93"/>
      <c r="H1257" s="94"/>
      <c r="I1257" s="93"/>
      <c r="J1257" s="93"/>
      <c r="K1257" s="93"/>
      <c r="L1257" s="93"/>
      <c r="M1257" s="17"/>
      <c r="N1257" s="93"/>
      <c r="O1257" s="93"/>
      <c r="P1257" s="93"/>
      <c r="Q1257" s="93"/>
      <c r="R1257" s="69"/>
    </row>
    <row r="1258" spans="2:18">
      <c r="B1258" s="68"/>
      <c r="C1258" s="93"/>
      <c r="D1258" s="93"/>
      <c r="E1258" s="93"/>
      <c r="F1258" s="93"/>
      <c r="G1258" s="93"/>
      <c r="H1258" s="94"/>
      <c r="I1258" s="93"/>
      <c r="J1258" s="93"/>
      <c r="K1258" s="93"/>
      <c r="L1258" s="93"/>
      <c r="M1258" s="17"/>
      <c r="N1258" s="93"/>
      <c r="O1258" s="93"/>
      <c r="P1258" s="93"/>
      <c r="Q1258" s="93"/>
      <c r="R1258" s="69"/>
    </row>
    <row r="1259" spans="2:18">
      <c r="B1259" s="68"/>
      <c r="C1259" s="93"/>
      <c r="D1259" s="93"/>
      <c r="E1259" s="93"/>
      <c r="F1259" s="93"/>
      <c r="G1259" s="93"/>
      <c r="H1259" s="94"/>
      <c r="I1259" s="93"/>
      <c r="J1259" s="93"/>
      <c r="K1259" s="93"/>
      <c r="L1259" s="93"/>
      <c r="M1259" s="17"/>
      <c r="N1259" s="93"/>
      <c r="O1259" s="93"/>
      <c r="P1259" s="93"/>
      <c r="Q1259" s="93"/>
      <c r="R1259" s="69"/>
    </row>
    <row r="1260" spans="2:18">
      <c r="B1260" s="68"/>
      <c r="C1260" s="93"/>
      <c r="D1260" s="93"/>
      <c r="E1260" s="93"/>
      <c r="F1260" s="93"/>
      <c r="G1260" s="93"/>
      <c r="H1260" s="94"/>
      <c r="I1260" s="93"/>
      <c r="J1260" s="93"/>
      <c r="K1260" s="93"/>
      <c r="L1260" s="93"/>
      <c r="M1260" s="17"/>
      <c r="N1260" s="93"/>
      <c r="O1260" s="93"/>
      <c r="P1260" s="93"/>
      <c r="Q1260" s="93"/>
      <c r="R1260" s="69"/>
    </row>
    <row r="1261" spans="2:18">
      <c r="B1261" s="68"/>
      <c r="C1261" s="93"/>
      <c r="D1261" s="93"/>
      <c r="E1261" s="93"/>
      <c r="F1261" s="93"/>
      <c r="G1261" s="93"/>
      <c r="H1261" s="94"/>
      <c r="I1261" s="93"/>
      <c r="J1261" s="93"/>
      <c r="K1261" s="93"/>
      <c r="L1261" s="93"/>
      <c r="M1261" s="17"/>
      <c r="N1261" s="93"/>
      <c r="O1261" s="93"/>
      <c r="P1261" s="93"/>
      <c r="Q1261" s="93"/>
      <c r="R1261" s="69"/>
    </row>
    <row r="1262" spans="2:18">
      <c r="B1262" s="68"/>
      <c r="C1262" s="93"/>
      <c r="D1262" s="93"/>
      <c r="E1262" s="93"/>
      <c r="F1262" s="93"/>
      <c r="G1262" s="93"/>
      <c r="H1262" s="94"/>
      <c r="I1262" s="93"/>
      <c r="J1262" s="93"/>
      <c r="K1262" s="93"/>
      <c r="L1262" s="93"/>
      <c r="M1262" s="17"/>
      <c r="N1262" s="93"/>
      <c r="O1262" s="93"/>
      <c r="P1262" s="93"/>
      <c r="Q1262" s="93"/>
      <c r="R1262" s="69"/>
    </row>
    <row r="1263" spans="2:18">
      <c r="B1263" s="68"/>
      <c r="C1263" s="93"/>
      <c r="D1263" s="93"/>
      <c r="E1263" s="93"/>
      <c r="F1263" s="93"/>
      <c r="G1263" s="93"/>
      <c r="H1263" s="94"/>
      <c r="I1263" s="93"/>
      <c r="J1263" s="93"/>
      <c r="K1263" s="93"/>
      <c r="L1263" s="93"/>
      <c r="M1263" s="17"/>
      <c r="N1263" s="93"/>
      <c r="O1263" s="93"/>
      <c r="P1263" s="93"/>
      <c r="Q1263" s="93"/>
      <c r="R1263" s="69"/>
    </row>
    <row r="1264" spans="2:18">
      <c r="B1264" s="68"/>
      <c r="C1264" s="93"/>
      <c r="D1264" s="93"/>
      <c r="E1264" s="93"/>
      <c r="F1264" s="93"/>
      <c r="G1264" s="93"/>
      <c r="H1264" s="94"/>
      <c r="I1264" s="93"/>
      <c r="J1264" s="93"/>
      <c r="K1264" s="93"/>
      <c r="L1264" s="93"/>
      <c r="M1264" s="17"/>
      <c r="N1264" s="93"/>
      <c r="O1264" s="93"/>
      <c r="P1264" s="93"/>
      <c r="Q1264" s="93"/>
      <c r="R1264" s="69"/>
    </row>
    <row r="1265" spans="2:18">
      <c r="B1265" s="68"/>
      <c r="C1265" s="93"/>
      <c r="D1265" s="93"/>
      <c r="E1265" s="93"/>
      <c r="F1265" s="93"/>
      <c r="G1265" s="93"/>
      <c r="H1265" s="94"/>
      <c r="I1265" s="93"/>
      <c r="J1265" s="93"/>
      <c r="K1265" s="93"/>
      <c r="L1265" s="93"/>
      <c r="M1265" s="17"/>
      <c r="N1265" s="93"/>
      <c r="O1265" s="93"/>
      <c r="P1265" s="93"/>
      <c r="Q1265" s="93"/>
      <c r="R1265" s="69"/>
    </row>
    <row r="1266" spans="2:18">
      <c r="B1266" s="68"/>
      <c r="C1266" s="93"/>
      <c r="D1266" s="93"/>
      <c r="E1266" s="93"/>
      <c r="F1266" s="93"/>
      <c r="G1266" s="93"/>
      <c r="H1266" s="94"/>
      <c r="I1266" s="93"/>
      <c r="J1266" s="93"/>
      <c r="K1266" s="93"/>
      <c r="L1266" s="93"/>
      <c r="M1266" s="17"/>
      <c r="N1266" s="93"/>
      <c r="O1266" s="93"/>
      <c r="P1266" s="93"/>
      <c r="Q1266" s="93"/>
      <c r="R1266" s="69"/>
    </row>
    <row r="1267" spans="2:18">
      <c r="B1267" s="68"/>
      <c r="C1267" s="93"/>
      <c r="D1267" s="93"/>
      <c r="E1267" s="93"/>
      <c r="F1267" s="93"/>
      <c r="G1267" s="93"/>
      <c r="H1267" s="94"/>
      <c r="I1267" s="93"/>
      <c r="J1267" s="93"/>
      <c r="K1267" s="93"/>
      <c r="L1267" s="93"/>
      <c r="M1267" s="17"/>
      <c r="N1267" s="93"/>
      <c r="O1267" s="93"/>
      <c r="P1267" s="93"/>
      <c r="Q1267" s="93"/>
      <c r="R1267" s="69"/>
    </row>
    <row r="1268" spans="2:18">
      <c r="B1268" s="68"/>
      <c r="C1268" s="93"/>
      <c r="D1268" s="93"/>
      <c r="E1268" s="93"/>
      <c r="F1268" s="93"/>
      <c r="G1268" s="93"/>
      <c r="H1268" s="94"/>
      <c r="I1268" s="93"/>
      <c r="J1268" s="93"/>
      <c r="K1268" s="93"/>
      <c r="L1268" s="93"/>
      <c r="M1268" s="17"/>
      <c r="N1268" s="93"/>
      <c r="O1268" s="93"/>
      <c r="P1268" s="93"/>
      <c r="Q1268" s="93"/>
      <c r="R1268" s="69"/>
    </row>
    <row r="1269" spans="2:18">
      <c r="B1269" s="68"/>
      <c r="C1269" s="93"/>
      <c r="D1269" s="93"/>
      <c r="E1269" s="93"/>
      <c r="F1269" s="93"/>
      <c r="G1269" s="93"/>
      <c r="H1269" s="94"/>
      <c r="I1269" s="93"/>
      <c r="J1269" s="93"/>
      <c r="K1269" s="93"/>
      <c r="L1269" s="93"/>
      <c r="M1269" s="17"/>
      <c r="N1269" s="93"/>
      <c r="O1269" s="93"/>
      <c r="P1269" s="93"/>
      <c r="Q1269" s="93"/>
      <c r="R1269" s="69"/>
    </row>
    <row r="1270" spans="2:18">
      <c r="B1270" s="68"/>
      <c r="C1270" s="93"/>
      <c r="D1270" s="93"/>
      <c r="E1270" s="93"/>
      <c r="F1270" s="93"/>
      <c r="G1270" s="93"/>
      <c r="H1270" s="94"/>
      <c r="I1270" s="93"/>
      <c r="J1270" s="93"/>
      <c r="K1270" s="93"/>
      <c r="L1270" s="93"/>
      <c r="M1270" s="17"/>
      <c r="N1270" s="93"/>
      <c r="O1270" s="93"/>
      <c r="P1270" s="93"/>
      <c r="Q1270" s="93"/>
      <c r="R1270" s="69"/>
    </row>
    <row r="1271" spans="2:18">
      <c r="B1271" s="68"/>
      <c r="C1271" s="93"/>
      <c r="D1271" s="93"/>
      <c r="E1271" s="93"/>
      <c r="F1271" s="93"/>
      <c r="G1271" s="93"/>
      <c r="H1271" s="94"/>
      <c r="I1271" s="93"/>
      <c r="J1271" s="93"/>
      <c r="K1271" s="93"/>
      <c r="L1271" s="93"/>
      <c r="M1271" s="17"/>
      <c r="N1271" s="93"/>
      <c r="O1271" s="93"/>
      <c r="P1271" s="93"/>
      <c r="Q1271" s="93"/>
      <c r="R1271" s="69"/>
    </row>
    <row r="1272" spans="2:18">
      <c r="B1272" s="68"/>
      <c r="C1272" s="93"/>
      <c r="D1272" s="93"/>
      <c r="E1272" s="93"/>
      <c r="F1272" s="93"/>
      <c r="G1272" s="93"/>
      <c r="H1272" s="94"/>
      <c r="I1272" s="93"/>
      <c r="J1272" s="93"/>
      <c r="K1272" s="93"/>
      <c r="L1272" s="93"/>
      <c r="M1272" s="17"/>
      <c r="N1272" s="93"/>
      <c r="O1272" s="93"/>
      <c r="P1272" s="93"/>
      <c r="Q1272" s="93"/>
      <c r="R1272" s="69"/>
    </row>
    <row r="1273" spans="2:18">
      <c r="B1273" s="68"/>
      <c r="C1273" s="93"/>
      <c r="D1273" s="93"/>
      <c r="E1273" s="93"/>
      <c r="F1273" s="93"/>
      <c r="G1273" s="93"/>
      <c r="H1273" s="94"/>
      <c r="I1273" s="93"/>
      <c r="J1273" s="93"/>
      <c r="K1273" s="93"/>
      <c r="L1273" s="93"/>
      <c r="M1273" s="17"/>
      <c r="N1273" s="93"/>
      <c r="O1273" s="93"/>
      <c r="P1273" s="93"/>
      <c r="Q1273" s="93"/>
      <c r="R1273" s="69"/>
    </row>
    <row r="1274" spans="2:18">
      <c r="B1274" s="68"/>
      <c r="C1274" s="93"/>
      <c r="D1274" s="93"/>
      <c r="E1274" s="93"/>
      <c r="F1274" s="93"/>
      <c r="G1274" s="93"/>
      <c r="H1274" s="94"/>
      <c r="I1274" s="93"/>
      <c r="J1274" s="93"/>
      <c r="K1274" s="93"/>
      <c r="L1274" s="93"/>
      <c r="M1274" s="17"/>
      <c r="N1274" s="93"/>
      <c r="O1274" s="93"/>
      <c r="P1274" s="93"/>
      <c r="Q1274" s="93"/>
      <c r="R1274" s="69"/>
    </row>
    <row r="1275" spans="2:18">
      <c r="B1275" s="68"/>
      <c r="C1275" s="93"/>
      <c r="D1275" s="93"/>
      <c r="E1275" s="93"/>
      <c r="F1275" s="93"/>
      <c r="G1275" s="93"/>
      <c r="H1275" s="94"/>
      <c r="I1275" s="93"/>
      <c r="J1275" s="93"/>
      <c r="K1275" s="93"/>
      <c r="L1275" s="93"/>
      <c r="M1275" s="17"/>
      <c r="N1275" s="93"/>
      <c r="O1275" s="93"/>
      <c r="P1275" s="93"/>
      <c r="Q1275" s="93"/>
      <c r="R1275" s="69"/>
    </row>
    <row r="1276" spans="2:18">
      <c r="B1276" s="68"/>
      <c r="C1276" s="93"/>
      <c r="D1276" s="93"/>
      <c r="E1276" s="93"/>
      <c r="F1276" s="93"/>
      <c r="G1276" s="93"/>
      <c r="H1276" s="94"/>
      <c r="I1276" s="93"/>
      <c r="J1276" s="93"/>
      <c r="K1276" s="93"/>
      <c r="L1276" s="93"/>
      <c r="M1276" s="17"/>
      <c r="N1276" s="93"/>
      <c r="O1276" s="93"/>
      <c r="P1276" s="93"/>
      <c r="Q1276" s="93"/>
      <c r="R1276" s="69"/>
    </row>
    <row r="1277" spans="2:18">
      <c r="B1277" s="68"/>
      <c r="C1277" s="93"/>
      <c r="D1277" s="93"/>
      <c r="E1277" s="93"/>
      <c r="F1277" s="93"/>
      <c r="G1277" s="93"/>
      <c r="H1277" s="94"/>
      <c r="I1277" s="93"/>
      <c r="J1277" s="93"/>
      <c r="K1277" s="93"/>
      <c r="L1277" s="93"/>
      <c r="M1277" s="17"/>
      <c r="N1277" s="93"/>
      <c r="O1277" s="93"/>
      <c r="P1277" s="93"/>
      <c r="Q1277" s="93"/>
      <c r="R1277" s="69"/>
    </row>
    <row r="1278" spans="2:18">
      <c r="B1278" s="68"/>
      <c r="C1278" s="93"/>
      <c r="D1278" s="93"/>
      <c r="E1278" s="93"/>
      <c r="F1278" s="93"/>
      <c r="G1278" s="93"/>
      <c r="H1278" s="94"/>
      <c r="I1278" s="93"/>
      <c r="J1278" s="93"/>
      <c r="K1278" s="93"/>
      <c r="L1278" s="93"/>
      <c r="M1278" s="17"/>
      <c r="N1278" s="93"/>
      <c r="O1278" s="93"/>
      <c r="P1278" s="93"/>
      <c r="Q1278" s="93"/>
      <c r="R1278" s="69"/>
    </row>
    <row r="1279" spans="2:18">
      <c r="B1279" s="68"/>
      <c r="C1279" s="93"/>
      <c r="D1279" s="93"/>
      <c r="E1279" s="93"/>
      <c r="F1279" s="93"/>
      <c r="G1279" s="93"/>
      <c r="H1279" s="94"/>
      <c r="I1279" s="93"/>
      <c r="J1279" s="93"/>
      <c r="K1279" s="93"/>
      <c r="L1279" s="93"/>
      <c r="M1279" s="17"/>
      <c r="N1279" s="93"/>
      <c r="O1279" s="93"/>
      <c r="P1279" s="93"/>
      <c r="Q1279" s="93"/>
      <c r="R1279" s="69"/>
    </row>
    <row r="1280" spans="2:18">
      <c r="B1280" s="68"/>
      <c r="C1280" s="93"/>
      <c r="D1280" s="93"/>
      <c r="E1280" s="93"/>
      <c r="F1280" s="93"/>
      <c r="G1280" s="93"/>
      <c r="H1280" s="94"/>
      <c r="I1280" s="93"/>
      <c r="J1280" s="93"/>
      <c r="K1280" s="93"/>
      <c r="L1280" s="93"/>
      <c r="M1280" s="17"/>
      <c r="N1280" s="93"/>
      <c r="O1280" s="93"/>
      <c r="P1280" s="93"/>
      <c r="Q1280" s="93"/>
      <c r="R1280" s="69"/>
    </row>
    <row r="1281" spans="2:18">
      <c r="B1281" s="68"/>
      <c r="C1281" s="93"/>
      <c r="D1281" s="93"/>
      <c r="E1281" s="93"/>
      <c r="F1281" s="93"/>
      <c r="G1281" s="93"/>
      <c r="H1281" s="94"/>
      <c r="I1281" s="93"/>
      <c r="J1281" s="93"/>
      <c r="K1281" s="93"/>
      <c r="L1281" s="93"/>
      <c r="M1281" s="17"/>
      <c r="N1281" s="93"/>
      <c r="O1281" s="93"/>
      <c r="P1281" s="93"/>
      <c r="Q1281" s="93"/>
      <c r="R1281" s="69"/>
    </row>
    <row r="1282" spans="2:18">
      <c r="B1282" s="68"/>
      <c r="C1282" s="93"/>
      <c r="D1282" s="93"/>
      <c r="E1282" s="93"/>
      <c r="F1282" s="93"/>
      <c r="G1282" s="93"/>
      <c r="H1282" s="94"/>
      <c r="I1282" s="93"/>
      <c r="J1282" s="93"/>
      <c r="K1282" s="93"/>
      <c r="L1282" s="93"/>
      <c r="M1282" s="17"/>
      <c r="N1282" s="93"/>
      <c r="O1282" s="93"/>
      <c r="P1282" s="93"/>
      <c r="Q1282" s="93"/>
      <c r="R1282" s="69"/>
    </row>
    <row r="1283" spans="2:18">
      <c r="B1283" s="68"/>
      <c r="C1283" s="93"/>
      <c r="D1283" s="93"/>
      <c r="E1283" s="93"/>
      <c r="F1283" s="93"/>
      <c r="G1283" s="93"/>
      <c r="H1283" s="94"/>
      <c r="I1283" s="93"/>
      <c r="J1283" s="93"/>
      <c r="K1283" s="93"/>
      <c r="L1283" s="93"/>
      <c r="M1283" s="17"/>
      <c r="N1283" s="93"/>
      <c r="O1283" s="93"/>
      <c r="P1283" s="93"/>
      <c r="Q1283" s="93"/>
      <c r="R1283" s="69"/>
    </row>
    <row r="1284" spans="2:18">
      <c r="B1284" s="68"/>
      <c r="C1284" s="93"/>
      <c r="D1284" s="93"/>
      <c r="E1284" s="93"/>
      <c r="F1284" s="93"/>
      <c r="G1284" s="93"/>
      <c r="H1284" s="94"/>
      <c r="I1284" s="93"/>
      <c r="J1284" s="93"/>
      <c r="K1284" s="93"/>
      <c r="L1284" s="93"/>
      <c r="M1284" s="17"/>
      <c r="N1284" s="93"/>
      <c r="O1284" s="93"/>
      <c r="P1284" s="93"/>
      <c r="Q1284" s="93"/>
      <c r="R1284" s="69"/>
    </row>
    <row r="1285" spans="2:18">
      <c r="B1285" s="68"/>
      <c r="C1285" s="93"/>
      <c r="D1285" s="93"/>
      <c r="E1285" s="93"/>
      <c r="F1285" s="93"/>
      <c r="G1285" s="93"/>
      <c r="H1285" s="94"/>
      <c r="I1285" s="93"/>
      <c r="J1285" s="93"/>
      <c r="K1285" s="93"/>
      <c r="L1285" s="93"/>
      <c r="M1285" s="17"/>
      <c r="N1285" s="93"/>
      <c r="O1285" s="93"/>
      <c r="P1285" s="93"/>
      <c r="Q1285" s="93"/>
      <c r="R1285" s="69"/>
    </row>
    <row r="1286" spans="2:18">
      <c r="B1286" s="68"/>
      <c r="C1286" s="93"/>
      <c r="D1286" s="93"/>
      <c r="E1286" s="93"/>
      <c r="F1286" s="93"/>
      <c r="G1286" s="93"/>
      <c r="H1286" s="94"/>
      <c r="I1286" s="93"/>
      <c r="J1286" s="93"/>
      <c r="K1286" s="93"/>
      <c r="L1286" s="93"/>
      <c r="M1286" s="17"/>
      <c r="N1286" s="93"/>
      <c r="O1286" s="93"/>
      <c r="P1286" s="93"/>
      <c r="Q1286" s="93"/>
      <c r="R1286" s="69"/>
    </row>
    <row r="1287" spans="2:18">
      <c r="B1287" s="68"/>
      <c r="C1287" s="93"/>
      <c r="D1287" s="93"/>
      <c r="E1287" s="93"/>
      <c r="F1287" s="93"/>
      <c r="G1287" s="93"/>
      <c r="H1287" s="94"/>
      <c r="I1287" s="93"/>
      <c r="J1287" s="93"/>
      <c r="K1287" s="93"/>
      <c r="L1287" s="93"/>
      <c r="M1287" s="17"/>
      <c r="N1287" s="93"/>
      <c r="O1287" s="93"/>
      <c r="P1287" s="93"/>
      <c r="Q1287" s="93"/>
      <c r="R1287" s="69"/>
    </row>
    <row r="1288" spans="2:18">
      <c r="B1288" s="68"/>
      <c r="C1288" s="93"/>
      <c r="D1288" s="93"/>
      <c r="E1288" s="93"/>
      <c r="F1288" s="93"/>
      <c r="G1288" s="93"/>
      <c r="H1288" s="94"/>
      <c r="I1288" s="93"/>
      <c r="J1288" s="93"/>
      <c r="K1288" s="93"/>
      <c r="L1288" s="93"/>
      <c r="M1288" s="17"/>
      <c r="N1288" s="93"/>
      <c r="O1288" s="93"/>
      <c r="P1288" s="93"/>
      <c r="Q1288" s="93"/>
      <c r="R1288" s="69"/>
    </row>
    <row r="1289" spans="2:18">
      <c r="B1289" s="68"/>
      <c r="C1289" s="93"/>
      <c r="D1289" s="93"/>
      <c r="E1289" s="93"/>
      <c r="F1289" s="93"/>
      <c r="G1289" s="93"/>
      <c r="H1289" s="94"/>
      <c r="I1289" s="93"/>
      <c r="J1289" s="93"/>
      <c r="K1289" s="93"/>
      <c r="L1289" s="93"/>
      <c r="M1289" s="17"/>
      <c r="N1289" s="93"/>
      <c r="O1289" s="93"/>
      <c r="P1289" s="93"/>
      <c r="Q1289" s="93"/>
      <c r="R1289" s="69"/>
    </row>
    <row r="1290" spans="2:18">
      <c r="B1290" s="68"/>
      <c r="C1290" s="93"/>
      <c r="D1290" s="93"/>
      <c r="E1290" s="93"/>
      <c r="F1290" s="93"/>
      <c r="G1290" s="93"/>
      <c r="H1290" s="94"/>
      <c r="I1290" s="93"/>
      <c r="J1290" s="93"/>
      <c r="K1290" s="93"/>
      <c r="L1290" s="93"/>
      <c r="M1290" s="17"/>
      <c r="N1290" s="93"/>
      <c r="O1290" s="93"/>
      <c r="P1290" s="93"/>
      <c r="Q1290" s="93"/>
      <c r="R1290" s="69"/>
    </row>
    <row r="1291" spans="2:18">
      <c r="B1291" s="68"/>
      <c r="C1291" s="93"/>
      <c r="D1291" s="93"/>
      <c r="E1291" s="93"/>
      <c r="F1291" s="93"/>
      <c r="G1291" s="93"/>
      <c r="H1291" s="94"/>
      <c r="I1291" s="93"/>
      <c r="J1291" s="93"/>
      <c r="K1291" s="93"/>
      <c r="L1291" s="93"/>
      <c r="M1291" s="17"/>
      <c r="N1291" s="93"/>
      <c r="O1291" s="93"/>
      <c r="P1291" s="93"/>
      <c r="Q1291" s="93"/>
      <c r="R1291" s="69"/>
    </row>
    <row r="1292" spans="2:18">
      <c r="B1292" s="68"/>
      <c r="C1292" s="93"/>
      <c r="D1292" s="93"/>
      <c r="E1292" s="93"/>
      <c r="F1292" s="93"/>
      <c r="G1292" s="93"/>
      <c r="H1292" s="94"/>
      <c r="I1292" s="93"/>
      <c r="J1292" s="93"/>
      <c r="K1292" s="93"/>
      <c r="L1292" s="93"/>
      <c r="M1292" s="17"/>
      <c r="N1292" s="93"/>
      <c r="O1292" s="93"/>
      <c r="P1292" s="93"/>
      <c r="Q1292" s="93"/>
      <c r="R1292" s="69"/>
    </row>
    <row r="1293" spans="2:18">
      <c r="B1293" s="68"/>
      <c r="C1293" s="93"/>
      <c r="D1293" s="93"/>
      <c r="E1293" s="93"/>
      <c r="F1293" s="93"/>
      <c r="G1293" s="93"/>
      <c r="H1293" s="94"/>
      <c r="I1293" s="93"/>
      <c r="J1293" s="93"/>
      <c r="K1293" s="93"/>
      <c r="L1293" s="93"/>
      <c r="M1293" s="17"/>
      <c r="N1293" s="93"/>
      <c r="O1293" s="93"/>
      <c r="P1293" s="93"/>
      <c r="Q1293" s="93"/>
      <c r="R1293" s="69"/>
    </row>
    <row r="1294" spans="2:18">
      <c r="B1294" s="68"/>
      <c r="C1294" s="93"/>
      <c r="D1294" s="93"/>
      <c r="E1294" s="93"/>
      <c r="F1294" s="93"/>
      <c r="G1294" s="93"/>
      <c r="H1294" s="94"/>
      <c r="I1294" s="93"/>
      <c r="J1294" s="93"/>
      <c r="K1294" s="93"/>
      <c r="L1294" s="93"/>
      <c r="M1294" s="17"/>
      <c r="N1294" s="93"/>
      <c r="O1294" s="93"/>
      <c r="P1294" s="93"/>
      <c r="Q1294" s="93"/>
      <c r="R1294" s="69"/>
    </row>
    <row r="1295" spans="2:18">
      <c r="B1295" s="68"/>
      <c r="C1295" s="93"/>
      <c r="D1295" s="93"/>
      <c r="E1295" s="93"/>
      <c r="F1295" s="93"/>
      <c r="G1295" s="93"/>
      <c r="H1295" s="94"/>
      <c r="I1295" s="93"/>
      <c r="J1295" s="93"/>
      <c r="K1295" s="93"/>
      <c r="L1295" s="93"/>
      <c r="M1295" s="17"/>
      <c r="N1295" s="93"/>
      <c r="O1295" s="93"/>
      <c r="P1295" s="93"/>
      <c r="Q1295" s="93"/>
      <c r="R1295" s="69"/>
    </row>
    <row r="1296" spans="2:18">
      <c r="B1296" s="68"/>
      <c r="C1296" s="93"/>
      <c r="D1296" s="93"/>
      <c r="E1296" s="93"/>
      <c r="F1296" s="93"/>
      <c r="G1296" s="93"/>
      <c r="H1296" s="94"/>
      <c r="I1296" s="93"/>
      <c r="J1296" s="93"/>
      <c r="K1296" s="93"/>
      <c r="L1296" s="93"/>
      <c r="M1296" s="17"/>
      <c r="N1296" s="93"/>
      <c r="O1296" s="93"/>
      <c r="P1296" s="93"/>
      <c r="Q1296" s="93"/>
      <c r="R1296" s="69"/>
    </row>
    <row r="1297" spans="2:18">
      <c r="B1297" s="68"/>
      <c r="C1297" s="93"/>
      <c r="D1297" s="93"/>
      <c r="E1297" s="93"/>
      <c r="F1297" s="93"/>
      <c r="G1297" s="93"/>
      <c r="H1297" s="94"/>
      <c r="I1297" s="93"/>
      <c r="J1297" s="93"/>
      <c r="K1297" s="93"/>
      <c r="L1297" s="93"/>
      <c r="M1297" s="17"/>
      <c r="N1297" s="93"/>
      <c r="O1297" s="93"/>
      <c r="P1297" s="93"/>
      <c r="Q1297" s="93"/>
      <c r="R1297" s="69"/>
    </row>
    <row r="1298" spans="2:18">
      <c r="B1298" s="68"/>
      <c r="C1298" s="93"/>
      <c r="D1298" s="93"/>
      <c r="E1298" s="93"/>
      <c r="F1298" s="93"/>
      <c r="G1298" s="93"/>
      <c r="H1298" s="94"/>
      <c r="I1298" s="93"/>
      <c r="J1298" s="93"/>
      <c r="K1298" s="93"/>
      <c r="L1298" s="93"/>
      <c r="M1298" s="17"/>
      <c r="N1298" s="93"/>
      <c r="O1298" s="93"/>
      <c r="P1298" s="93"/>
      <c r="Q1298" s="93"/>
      <c r="R1298" s="69"/>
    </row>
    <row r="1299" spans="2:18">
      <c r="B1299" s="68"/>
      <c r="C1299" s="93"/>
      <c r="D1299" s="93"/>
      <c r="E1299" s="93"/>
      <c r="F1299" s="93"/>
      <c r="G1299" s="93"/>
      <c r="H1299" s="94"/>
      <c r="I1299" s="93"/>
      <c r="J1299" s="93"/>
      <c r="K1299" s="93"/>
      <c r="L1299" s="93"/>
      <c r="M1299" s="17"/>
      <c r="N1299" s="93"/>
      <c r="O1299" s="93"/>
      <c r="P1299" s="93"/>
      <c r="Q1299" s="93"/>
      <c r="R1299" s="69"/>
    </row>
    <row r="1300" spans="2:18">
      <c r="B1300" s="68"/>
      <c r="C1300" s="93"/>
      <c r="D1300" s="93"/>
      <c r="E1300" s="93"/>
      <c r="F1300" s="93"/>
      <c r="G1300" s="93"/>
      <c r="H1300" s="94"/>
      <c r="I1300" s="93"/>
      <c r="J1300" s="93"/>
      <c r="K1300" s="93"/>
      <c r="L1300" s="93"/>
      <c r="M1300" s="17"/>
      <c r="N1300" s="93"/>
      <c r="O1300" s="93"/>
      <c r="P1300" s="93"/>
      <c r="Q1300" s="93"/>
      <c r="R1300" s="69"/>
    </row>
    <row r="1301" spans="2:18">
      <c r="B1301" s="68"/>
      <c r="C1301" s="93"/>
      <c r="D1301" s="93"/>
      <c r="E1301" s="93"/>
      <c r="F1301" s="93"/>
      <c r="G1301" s="93"/>
      <c r="H1301" s="94"/>
      <c r="I1301" s="93"/>
      <c r="J1301" s="93"/>
      <c r="K1301" s="93"/>
      <c r="L1301" s="93"/>
      <c r="M1301" s="17"/>
      <c r="N1301" s="93"/>
      <c r="O1301" s="93"/>
      <c r="P1301" s="93"/>
      <c r="Q1301" s="93"/>
      <c r="R1301" s="69"/>
    </row>
    <row r="1302" spans="2:18">
      <c r="B1302" s="68"/>
      <c r="C1302" s="93"/>
      <c r="D1302" s="93"/>
      <c r="E1302" s="93"/>
      <c r="F1302" s="93"/>
      <c r="G1302" s="93"/>
      <c r="H1302" s="94"/>
      <c r="I1302" s="93"/>
      <c r="J1302" s="93"/>
      <c r="K1302" s="93"/>
      <c r="L1302" s="93"/>
      <c r="M1302" s="17"/>
      <c r="N1302" s="93"/>
      <c r="O1302" s="93"/>
      <c r="P1302" s="93"/>
      <c r="Q1302" s="93"/>
      <c r="R1302" s="69"/>
    </row>
    <row r="1303" spans="2:18">
      <c r="B1303" s="68"/>
      <c r="C1303" s="93"/>
      <c r="D1303" s="93"/>
      <c r="E1303" s="93"/>
      <c r="F1303" s="93"/>
      <c r="G1303" s="93"/>
      <c r="H1303" s="94"/>
      <c r="I1303" s="93"/>
      <c r="J1303" s="93"/>
      <c r="K1303" s="93"/>
      <c r="L1303" s="93"/>
      <c r="M1303" s="17"/>
      <c r="N1303" s="93"/>
      <c r="O1303" s="93"/>
      <c r="P1303" s="93"/>
      <c r="Q1303" s="93"/>
      <c r="R1303" s="69"/>
    </row>
    <row r="1304" spans="2:18">
      <c r="B1304" s="68"/>
      <c r="C1304" s="93"/>
      <c r="D1304" s="93"/>
      <c r="E1304" s="93"/>
      <c r="F1304" s="93"/>
      <c r="G1304" s="93"/>
      <c r="H1304" s="94"/>
      <c r="I1304" s="93"/>
      <c r="J1304" s="93"/>
      <c r="K1304" s="93"/>
      <c r="L1304" s="93"/>
      <c r="M1304" s="17"/>
      <c r="N1304" s="93"/>
      <c r="O1304" s="93"/>
      <c r="P1304" s="93"/>
      <c r="Q1304" s="93"/>
      <c r="R1304" s="69"/>
    </row>
    <row r="1305" spans="2:18">
      <c r="B1305" s="68"/>
      <c r="C1305" s="93"/>
      <c r="D1305" s="93"/>
      <c r="E1305" s="93"/>
      <c r="F1305" s="93"/>
      <c r="G1305" s="93"/>
      <c r="H1305" s="94"/>
      <c r="I1305" s="93"/>
      <c r="J1305" s="93"/>
      <c r="K1305" s="93"/>
      <c r="L1305" s="93"/>
      <c r="M1305" s="17"/>
      <c r="N1305" s="93"/>
      <c r="O1305" s="93"/>
      <c r="P1305" s="93"/>
      <c r="Q1305" s="93"/>
      <c r="R1305" s="69"/>
    </row>
    <row r="1306" spans="2:18">
      <c r="B1306" s="68"/>
      <c r="C1306" s="93"/>
      <c r="D1306" s="93"/>
      <c r="E1306" s="93"/>
      <c r="F1306" s="93"/>
      <c r="G1306" s="93"/>
      <c r="H1306" s="94"/>
      <c r="I1306" s="93"/>
      <c r="J1306" s="93"/>
      <c r="K1306" s="93"/>
      <c r="L1306" s="93"/>
      <c r="M1306" s="17"/>
      <c r="N1306" s="93"/>
      <c r="O1306" s="93"/>
      <c r="P1306" s="93"/>
      <c r="Q1306" s="93"/>
      <c r="R1306" s="69"/>
    </row>
    <row r="1307" spans="2:18">
      <c r="B1307" s="68"/>
      <c r="C1307" s="93"/>
      <c r="D1307" s="93"/>
      <c r="E1307" s="93"/>
      <c r="F1307" s="93"/>
      <c r="G1307" s="93"/>
      <c r="H1307" s="94"/>
      <c r="I1307" s="93"/>
      <c r="J1307" s="93"/>
      <c r="K1307" s="93"/>
      <c r="L1307" s="93"/>
      <c r="M1307" s="17"/>
      <c r="N1307" s="93"/>
      <c r="O1307" s="93"/>
      <c r="P1307" s="93"/>
      <c r="Q1307" s="93"/>
      <c r="R1307" s="69"/>
    </row>
    <row r="1308" spans="2:18">
      <c r="B1308" s="68"/>
      <c r="C1308" s="93"/>
      <c r="D1308" s="93"/>
      <c r="E1308" s="93"/>
      <c r="F1308" s="93"/>
      <c r="G1308" s="93"/>
      <c r="H1308" s="94"/>
      <c r="I1308" s="93"/>
      <c r="J1308" s="93"/>
      <c r="K1308" s="93"/>
      <c r="L1308" s="93"/>
      <c r="M1308" s="17"/>
      <c r="N1308" s="93"/>
      <c r="O1308" s="93"/>
      <c r="P1308" s="93"/>
      <c r="Q1308" s="93"/>
      <c r="R1308" s="69"/>
    </row>
    <row r="1309" spans="2:18">
      <c r="B1309" s="68"/>
      <c r="C1309" s="93"/>
      <c r="D1309" s="93"/>
      <c r="E1309" s="93"/>
      <c r="F1309" s="93"/>
      <c r="G1309" s="93"/>
      <c r="H1309" s="94"/>
      <c r="I1309" s="93"/>
      <c r="J1309" s="93"/>
      <c r="K1309" s="93"/>
      <c r="L1309" s="93"/>
      <c r="M1309" s="17"/>
      <c r="N1309" s="93"/>
      <c r="O1309" s="93"/>
      <c r="P1309" s="93"/>
      <c r="Q1309" s="93"/>
      <c r="R1309" s="69"/>
    </row>
    <row r="1310" spans="2:18">
      <c r="B1310" s="68"/>
      <c r="C1310" s="93"/>
      <c r="D1310" s="93"/>
      <c r="E1310" s="93"/>
      <c r="F1310" s="93"/>
      <c r="G1310" s="93"/>
      <c r="H1310" s="94"/>
      <c r="I1310" s="93"/>
      <c r="J1310" s="93"/>
      <c r="K1310" s="93"/>
      <c r="L1310" s="93"/>
      <c r="M1310" s="17"/>
      <c r="N1310" s="93"/>
      <c r="O1310" s="93"/>
      <c r="P1310" s="93"/>
      <c r="Q1310" s="93"/>
      <c r="R1310" s="69"/>
    </row>
    <row r="1311" spans="2:18">
      <c r="B1311" s="68"/>
      <c r="C1311" s="93"/>
      <c r="D1311" s="93"/>
      <c r="E1311" s="93"/>
      <c r="F1311" s="93"/>
      <c r="G1311" s="93"/>
      <c r="H1311" s="94"/>
      <c r="I1311" s="93"/>
      <c r="J1311" s="93"/>
      <c r="K1311" s="93"/>
      <c r="L1311" s="93"/>
      <c r="M1311" s="17"/>
      <c r="N1311" s="93"/>
      <c r="O1311" s="93"/>
      <c r="P1311" s="93"/>
      <c r="Q1311" s="93"/>
      <c r="R1311" s="69"/>
    </row>
    <row r="1312" spans="2:18">
      <c r="B1312" s="68"/>
      <c r="C1312" s="93"/>
      <c r="D1312" s="93"/>
      <c r="E1312" s="93"/>
      <c r="F1312" s="93"/>
      <c r="G1312" s="93"/>
      <c r="H1312" s="94"/>
      <c r="I1312" s="93"/>
      <c r="J1312" s="93"/>
      <c r="K1312" s="93"/>
      <c r="L1312" s="93"/>
      <c r="M1312" s="17"/>
      <c r="N1312" s="93"/>
      <c r="O1312" s="93"/>
      <c r="P1312" s="93"/>
      <c r="Q1312" s="93"/>
      <c r="R1312" s="69"/>
    </row>
    <row r="1313" spans="2:18">
      <c r="B1313" s="68"/>
      <c r="C1313" s="93"/>
      <c r="D1313" s="93"/>
      <c r="E1313" s="93"/>
      <c r="F1313" s="93"/>
      <c r="G1313" s="93"/>
      <c r="H1313" s="94"/>
      <c r="I1313" s="93"/>
      <c r="J1313" s="93"/>
      <c r="K1313" s="93"/>
      <c r="L1313" s="93"/>
      <c r="M1313" s="17"/>
      <c r="N1313" s="93"/>
      <c r="O1313" s="93"/>
      <c r="P1313" s="93"/>
      <c r="Q1313" s="93"/>
      <c r="R1313" s="69"/>
    </row>
    <row r="1314" spans="2:18">
      <c r="B1314" s="68"/>
      <c r="C1314" s="93"/>
      <c r="D1314" s="93"/>
      <c r="E1314" s="93"/>
      <c r="F1314" s="93"/>
      <c r="G1314" s="93"/>
      <c r="H1314" s="94"/>
      <c r="I1314" s="93"/>
      <c r="J1314" s="93"/>
      <c r="K1314" s="93"/>
      <c r="L1314" s="93"/>
      <c r="M1314" s="17"/>
      <c r="N1314" s="93"/>
      <c r="O1314" s="93"/>
      <c r="P1314" s="93"/>
      <c r="Q1314" s="93"/>
      <c r="R1314" s="69"/>
    </row>
    <row r="1315" spans="2:18">
      <c r="B1315" s="68"/>
      <c r="C1315" s="93"/>
      <c r="D1315" s="93"/>
      <c r="E1315" s="93"/>
      <c r="F1315" s="93"/>
      <c r="G1315" s="93"/>
      <c r="H1315" s="94"/>
      <c r="I1315" s="93"/>
      <c r="J1315" s="93"/>
      <c r="K1315" s="93"/>
      <c r="L1315" s="93"/>
      <c r="M1315" s="17"/>
      <c r="N1315" s="93"/>
      <c r="O1315" s="93"/>
      <c r="P1315" s="93"/>
      <c r="Q1315" s="93"/>
      <c r="R1315" s="69"/>
    </row>
    <row r="1316" spans="2:18">
      <c r="B1316" s="68"/>
      <c r="C1316" s="93"/>
      <c r="D1316" s="93"/>
      <c r="E1316" s="93"/>
      <c r="F1316" s="93"/>
      <c r="G1316" s="93"/>
      <c r="H1316" s="94"/>
      <c r="I1316" s="93"/>
      <c r="J1316" s="93"/>
      <c r="K1316" s="93"/>
      <c r="L1316" s="93"/>
      <c r="M1316" s="17"/>
      <c r="N1316" s="93"/>
      <c r="O1316" s="93"/>
      <c r="P1316" s="93"/>
      <c r="Q1316" s="93"/>
      <c r="R1316" s="69"/>
    </row>
    <row r="1317" spans="2:18">
      <c r="B1317" s="68"/>
      <c r="C1317" s="93"/>
      <c r="D1317" s="93"/>
      <c r="E1317" s="93"/>
      <c r="F1317" s="93"/>
      <c r="G1317" s="93"/>
      <c r="H1317" s="94"/>
      <c r="I1317" s="93"/>
      <c r="J1317" s="93"/>
      <c r="K1317" s="93"/>
      <c r="L1317" s="93"/>
      <c r="M1317" s="17"/>
      <c r="N1317" s="93"/>
      <c r="O1317" s="93"/>
      <c r="P1317" s="93"/>
      <c r="Q1317" s="93"/>
      <c r="R1317" s="69"/>
    </row>
    <row r="1318" spans="2:18">
      <c r="B1318" s="68"/>
      <c r="C1318" s="93"/>
      <c r="D1318" s="93"/>
      <c r="E1318" s="93"/>
      <c r="F1318" s="93"/>
      <c r="G1318" s="93"/>
      <c r="H1318" s="94"/>
      <c r="I1318" s="93"/>
      <c r="J1318" s="93"/>
      <c r="K1318" s="93"/>
      <c r="L1318" s="93"/>
      <c r="M1318" s="17"/>
      <c r="N1318" s="93"/>
      <c r="O1318" s="93"/>
      <c r="P1318" s="93"/>
      <c r="Q1318" s="93"/>
      <c r="R1318" s="69"/>
    </row>
    <row r="1319" spans="2:18">
      <c r="B1319" s="68"/>
      <c r="C1319" s="93"/>
      <c r="D1319" s="93"/>
      <c r="E1319" s="93"/>
      <c r="F1319" s="93"/>
      <c r="G1319" s="93"/>
      <c r="H1319" s="94"/>
      <c r="I1319" s="93"/>
      <c r="J1319" s="93"/>
      <c r="K1319" s="93"/>
      <c r="L1319" s="93"/>
      <c r="M1319" s="17"/>
      <c r="N1319" s="93"/>
      <c r="O1319" s="93"/>
      <c r="P1319" s="93"/>
      <c r="Q1319" s="93"/>
      <c r="R1319" s="69"/>
    </row>
    <row r="1320" spans="2:18">
      <c r="B1320" s="68"/>
      <c r="C1320" s="93"/>
      <c r="D1320" s="93"/>
      <c r="E1320" s="93"/>
      <c r="F1320" s="93"/>
      <c r="G1320" s="93"/>
      <c r="H1320" s="94"/>
      <c r="I1320" s="93"/>
      <c r="J1320" s="93"/>
      <c r="K1320" s="93"/>
      <c r="L1320" s="93"/>
      <c r="M1320" s="17"/>
      <c r="N1320" s="93"/>
      <c r="O1320" s="93"/>
      <c r="P1320" s="93"/>
      <c r="Q1320" s="93"/>
      <c r="R1320" s="69"/>
    </row>
    <row r="1321" spans="2:18">
      <c r="B1321" s="68"/>
      <c r="C1321" s="93"/>
      <c r="D1321" s="93"/>
      <c r="E1321" s="93"/>
      <c r="F1321" s="93"/>
      <c r="G1321" s="93"/>
      <c r="H1321" s="94"/>
      <c r="I1321" s="93"/>
      <c r="J1321" s="93"/>
      <c r="K1321" s="93"/>
      <c r="L1321" s="93"/>
      <c r="M1321" s="17"/>
      <c r="N1321" s="93"/>
      <c r="O1321" s="93"/>
      <c r="P1321" s="93"/>
      <c r="Q1321" s="93"/>
      <c r="R1321" s="69"/>
    </row>
    <row r="1322" spans="2:18">
      <c r="B1322" s="68"/>
      <c r="C1322" s="93"/>
      <c r="D1322" s="93"/>
      <c r="E1322" s="93"/>
      <c r="F1322" s="93"/>
      <c r="G1322" s="93"/>
      <c r="H1322" s="94"/>
      <c r="I1322" s="93"/>
      <c r="J1322" s="93"/>
      <c r="K1322" s="93"/>
      <c r="L1322" s="93"/>
      <c r="M1322" s="17"/>
      <c r="N1322" s="93"/>
      <c r="O1322" s="93"/>
      <c r="P1322" s="93"/>
      <c r="Q1322" s="93"/>
      <c r="R1322" s="69"/>
    </row>
    <row r="1323" spans="2:18">
      <c r="B1323" s="68"/>
      <c r="C1323" s="93"/>
      <c r="D1323" s="93"/>
      <c r="E1323" s="93"/>
      <c r="F1323" s="93"/>
      <c r="G1323" s="93"/>
      <c r="H1323" s="94"/>
      <c r="I1323" s="93"/>
      <c r="J1323" s="93"/>
      <c r="K1323" s="93"/>
      <c r="L1323" s="93"/>
      <c r="M1323" s="17"/>
      <c r="N1323" s="93"/>
      <c r="O1323" s="93"/>
      <c r="P1323" s="93"/>
      <c r="Q1323" s="93"/>
      <c r="R1323" s="69"/>
    </row>
    <row r="1324" spans="2:18">
      <c r="B1324" s="68"/>
      <c r="C1324" s="93"/>
      <c r="D1324" s="93"/>
      <c r="E1324" s="93"/>
      <c r="F1324" s="93"/>
      <c r="G1324" s="93"/>
      <c r="H1324" s="94"/>
      <c r="I1324" s="93"/>
      <c r="J1324" s="93"/>
      <c r="K1324" s="93"/>
      <c r="L1324" s="93"/>
      <c r="M1324" s="17"/>
      <c r="N1324" s="93"/>
      <c r="O1324" s="93"/>
      <c r="P1324" s="93"/>
      <c r="Q1324" s="93"/>
      <c r="R1324" s="69"/>
    </row>
    <row r="1325" spans="2:18">
      <c r="B1325" s="68"/>
      <c r="C1325" s="93"/>
      <c r="D1325" s="93"/>
      <c r="E1325" s="93"/>
      <c r="F1325" s="93"/>
      <c r="G1325" s="93"/>
      <c r="H1325" s="94"/>
      <c r="I1325" s="93"/>
      <c r="J1325" s="93"/>
      <c r="K1325" s="93"/>
      <c r="L1325" s="93"/>
      <c r="M1325" s="17"/>
      <c r="N1325" s="93"/>
      <c r="O1325" s="93"/>
      <c r="P1325" s="93"/>
      <c r="Q1325" s="93"/>
      <c r="R1325" s="69"/>
    </row>
    <row r="1326" spans="2:18">
      <c r="B1326" s="68"/>
      <c r="C1326" s="93"/>
      <c r="D1326" s="93"/>
      <c r="E1326" s="93"/>
      <c r="F1326" s="93"/>
      <c r="G1326" s="93"/>
      <c r="H1326" s="94"/>
      <c r="I1326" s="93"/>
      <c r="J1326" s="93"/>
      <c r="K1326" s="93"/>
      <c r="L1326" s="93"/>
      <c r="M1326" s="17"/>
      <c r="N1326" s="93"/>
      <c r="O1326" s="93"/>
      <c r="P1326" s="93"/>
      <c r="Q1326" s="93"/>
      <c r="R1326" s="69"/>
    </row>
    <row r="1327" spans="2:18">
      <c r="B1327" s="68"/>
      <c r="C1327" s="93"/>
      <c r="D1327" s="93"/>
      <c r="E1327" s="93"/>
      <c r="F1327" s="93"/>
      <c r="G1327" s="93"/>
      <c r="H1327" s="94"/>
      <c r="I1327" s="93"/>
      <c r="J1327" s="93"/>
      <c r="K1327" s="93"/>
      <c r="L1327" s="93"/>
      <c r="M1327" s="17"/>
      <c r="N1327" s="93"/>
      <c r="O1327" s="93"/>
      <c r="P1327" s="93"/>
      <c r="Q1327" s="93"/>
      <c r="R1327" s="69"/>
    </row>
    <row r="1328" spans="2:18">
      <c r="B1328" s="68"/>
      <c r="C1328" s="93"/>
      <c r="D1328" s="93"/>
      <c r="E1328" s="93"/>
      <c r="F1328" s="93"/>
      <c r="G1328" s="93"/>
      <c r="H1328" s="94"/>
      <c r="I1328" s="93"/>
      <c r="J1328" s="93"/>
      <c r="K1328" s="93"/>
      <c r="L1328" s="93"/>
      <c r="M1328" s="17"/>
      <c r="N1328" s="93"/>
      <c r="O1328" s="93"/>
      <c r="P1328" s="93"/>
      <c r="Q1328" s="93"/>
      <c r="R1328" s="69"/>
    </row>
    <row r="1329" spans="2:18">
      <c r="B1329" s="68"/>
      <c r="C1329" s="93"/>
      <c r="D1329" s="93"/>
      <c r="E1329" s="93"/>
      <c r="F1329" s="93"/>
      <c r="G1329" s="93"/>
      <c r="H1329" s="94"/>
      <c r="I1329" s="93"/>
      <c r="J1329" s="93"/>
      <c r="K1329" s="93"/>
      <c r="L1329" s="93"/>
      <c r="M1329" s="17"/>
      <c r="N1329" s="93"/>
      <c r="O1329" s="93"/>
      <c r="P1329" s="93"/>
      <c r="Q1329" s="93"/>
      <c r="R1329" s="69"/>
    </row>
    <row r="1330" spans="2:18">
      <c r="B1330" s="68"/>
      <c r="C1330" s="93"/>
      <c r="D1330" s="93"/>
      <c r="E1330" s="93"/>
      <c r="F1330" s="93"/>
      <c r="G1330" s="93"/>
      <c r="H1330" s="94"/>
      <c r="I1330" s="93"/>
      <c r="J1330" s="93"/>
      <c r="K1330" s="93"/>
      <c r="L1330" s="93"/>
      <c r="M1330" s="17"/>
      <c r="N1330" s="93"/>
      <c r="O1330" s="93"/>
      <c r="P1330" s="93"/>
      <c r="Q1330" s="93"/>
      <c r="R1330" s="69"/>
    </row>
    <row r="1331" spans="2:18">
      <c r="B1331" s="68"/>
      <c r="C1331" s="93"/>
      <c r="D1331" s="93"/>
      <c r="E1331" s="93"/>
      <c r="F1331" s="93"/>
      <c r="G1331" s="93"/>
      <c r="H1331" s="94"/>
      <c r="I1331" s="93"/>
      <c r="J1331" s="93"/>
      <c r="K1331" s="93"/>
      <c r="L1331" s="93"/>
      <c r="M1331" s="17"/>
      <c r="N1331" s="93"/>
      <c r="O1331" s="93"/>
      <c r="P1331" s="93"/>
      <c r="Q1331" s="93"/>
      <c r="R1331" s="69"/>
    </row>
    <row r="1332" spans="2:18">
      <c r="B1332" s="68"/>
      <c r="C1332" s="93"/>
      <c r="D1332" s="93"/>
      <c r="E1332" s="93"/>
      <c r="F1332" s="93"/>
      <c r="G1332" s="93"/>
      <c r="H1332" s="94"/>
      <c r="I1332" s="93"/>
      <c r="J1332" s="93"/>
      <c r="K1332" s="93"/>
      <c r="L1332" s="93"/>
      <c r="M1332" s="17"/>
      <c r="N1332" s="93"/>
      <c r="O1332" s="93"/>
      <c r="P1332" s="93"/>
      <c r="Q1332" s="93"/>
      <c r="R1332" s="69"/>
    </row>
    <row r="1333" spans="2:18">
      <c r="B1333" s="68"/>
      <c r="C1333" s="93"/>
      <c r="D1333" s="93"/>
      <c r="E1333" s="93"/>
      <c r="F1333" s="93"/>
      <c r="G1333" s="93"/>
      <c r="H1333" s="94"/>
      <c r="I1333" s="93"/>
      <c r="J1333" s="93"/>
      <c r="K1333" s="93"/>
      <c r="L1333" s="93"/>
      <c r="M1333" s="17"/>
      <c r="N1333" s="93"/>
      <c r="O1333" s="93"/>
      <c r="P1333" s="93"/>
      <c r="Q1333" s="93"/>
      <c r="R1333" s="69"/>
    </row>
    <row r="1334" spans="2:18">
      <c r="B1334" s="68"/>
      <c r="C1334" s="93"/>
      <c r="D1334" s="93"/>
      <c r="E1334" s="93"/>
      <c r="F1334" s="93"/>
      <c r="G1334" s="93"/>
      <c r="H1334" s="94"/>
      <c r="I1334" s="93"/>
      <c r="J1334" s="93"/>
      <c r="K1334" s="93"/>
      <c r="L1334" s="93"/>
      <c r="M1334" s="17"/>
      <c r="N1334" s="93"/>
      <c r="O1334" s="93"/>
      <c r="P1334" s="93"/>
      <c r="Q1334" s="93"/>
      <c r="R1334" s="69"/>
    </row>
    <row r="1335" spans="2:18">
      <c r="B1335" s="68"/>
      <c r="C1335" s="93"/>
      <c r="D1335" s="93"/>
      <c r="E1335" s="93"/>
      <c r="F1335" s="93"/>
      <c r="G1335" s="93"/>
      <c r="H1335" s="94"/>
      <c r="I1335" s="93"/>
      <c r="J1335" s="93"/>
      <c r="K1335" s="93"/>
      <c r="L1335" s="93"/>
      <c r="M1335" s="17"/>
      <c r="N1335" s="93"/>
      <c r="O1335" s="93"/>
      <c r="P1335" s="93"/>
      <c r="Q1335" s="93"/>
      <c r="R1335" s="69"/>
    </row>
    <row r="1336" spans="2:18">
      <c r="B1336" s="68"/>
      <c r="C1336" s="93"/>
      <c r="D1336" s="93"/>
      <c r="E1336" s="93"/>
      <c r="F1336" s="93"/>
      <c r="G1336" s="93"/>
      <c r="H1336" s="94"/>
      <c r="I1336" s="93"/>
      <c r="J1336" s="93"/>
      <c r="K1336" s="93"/>
      <c r="L1336" s="93"/>
      <c r="M1336" s="17"/>
      <c r="N1336" s="93"/>
      <c r="O1336" s="93"/>
      <c r="P1336" s="93"/>
      <c r="Q1336" s="93"/>
      <c r="R1336" s="69"/>
    </row>
    <row r="1337" spans="2:18">
      <c r="B1337" s="68"/>
      <c r="C1337" s="93"/>
      <c r="D1337" s="93"/>
      <c r="E1337" s="93"/>
      <c r="F1337" s="93"/>
      <c r="G1337" s="93"/>
      <c r="H1337" s="94"/>
      <c r="I1337" s="93"/>
      <c r="J1337" s="93"/>
      <c r="K1337" s="93"/>
      <c r="L1337" s="93"/>
      <c r="M1337" s="17"/>
      <c r="N1337" s="93"/>
      <c r="O1337" s="93"/>
      <c r="P1337" s="93"/>
      <c r="Q1337" s="93"/>
      <c r="R1337" s="69"/>
    </row>
    <row r="1338" spans="2:18">
      <c r="B1338" s="68"/>
      <c r="C1338" s="93"/>
      <c r="D1338" s="93"/>
      <c r="E1338" s="93"/>
      <c r="F1338" s="93"/>
      <c r="G1338" s="93"/>
      <c r="H1338" s="94"/>
      <c r="I1338" s="93"/>
      <c r="J1338" s="93"/>
      <c r="K1338" s="93"/>
      <c r="L1338" s="93"/>
      <c r="M1338" s="17"/>
      <c r="N1338" s="93"/>
      <c r="O1338" s="93"/>
      <c r="P1338" s="93"/>
      <c r="Q1338" s="93"/>
      <c r="R1338" s="69"/>
    </row>
    <row r="1339" spans="2:18">
      <c r="B1339" s="68"/>
      <c r="C1339" s="93"/>
      <c r="D1339" s="93"/>
      <c r="E1339" s="93"/>
      <c r="F1339" s="93"/>
      <c r="G1339" s="93"/>
      <c r="H1339" s="94"/>
      <c r="I1339" s="93"/>
      <c r="J1339" s="93"/>
      <c r="K1339" s="93"/>
      <c r="L1339" s="93"/>
      <c r="M1339" s="17"/>
      <c r="N1339" s="93"/>
      <c r="O1339" s="93"/>
      <c r="P1339" s="93"/>
      <c r="Q1339" s="93"/>
      <c r="R1339" s="69"/>
    </row>
    <row r="1340" spans="2:18">
      <c r="B1340" s="68"/>
      <c r="C1340" s="93"/>
      <c r="D1340" s="93"/>
      <c r="E1340" s="93"/>
      <c r="F1340" s="93"/>
      <c r="G1340" s="93"/>
      <c r="H1340" s="94"/>
      <c r="I1340" s="93"/>
      <c r="J1340" s="93"/>
      <c r="K1340" s="93"/>
      <c r="L1340" s="93"/>
      <c r="M1340" s="17"/>
      <c r="N1340" s="93"/>
      <c r="O1340" s="93"/>
      <c r="P1340" s="93"/>
      <c r="Q1340" s="93"/>
      <c r="R1340" s="69"/>
    </row>
    <row r="1341" spans="2:18">
      <c r="B1341" s="68"/>
      <c r="C1341" s="93"/>
      <c r="D1341" s="93"/>
      <c r="E1341" s="93"/>
      <c r="F1341" s="93"/>
      <c r="G1341" s="93"/>
      <c r="H1341" s="94"/>
      <c r="I1341" s="93"/>
      <c r="J1341" s="93"/>
      <c r="K1341" s="93"/>
      <c r="L1341" s="93"/>
      <c r="M1341" s="17"/>
      <c r="N1341" s="93"/>
      <c r="O1341" s="93"/>
      <c r="P1341" s="93"/>
      <c r="Q1341" s="93"/>
      <c r="R1341" s="69"/>
    </row>
    <row r="1342" spans="2:18">
      <c r="B1342" s="68"/>
      <c r="C1342" s="93"/>
      <c r="D1342" s="93"/>
      <c r="E1342" s="93"/>
      <c r="F1342" s="93"/>
      <c r="G1342" s="93"/>
      <c r="H1342" s="94"/>
      <c r="I1342" s="93"/>
      <c r="J1342" s="93"/>
      <c r="K1342" s="93"/>
      <c r="L1342" s="93"/>
      <c r="M1342" s="17"/>
      <c r="N1342" s="93"/>
      <c r="O1342" s="93"/>
      <c r="P1342" s="93"/>
      <c r="Q1342" s="93"/>
      <c r="R1342" s="69"/>
    </row>
    <row r="1343" spans="2:18">
      <c r="B1343" s="68"/>
      <c r="C1343" s="93"/>
      <c r="D1343" s="93"/>
      <c r="E1343" s="93"/>
      <c r="F1343" s="93"/>
      <c r="G1343" s="93"/>
      <c r="H1343" s="94"/>
      <c r="I1343" s="93"/>
      <c r="J1343" s="93"/>
      <c r="K1343" s="93"/>
      <c r="L1343" s="93"/>
      <c r="M1343" s="17"/>
      <c r="N1343" s="93"/>
      <c r="O1343" s="93"/>
      <c r="P1343" s="93"/>
      <c r="Q1343" s="93"/>
      <c r="R1343" s="69"/>
    </row>
    <row r="1344" spans="2:18">
      <c r="B1344" s="68"/>
      <c r="C1344" s="93"/>
      <c r="D1344" s="93"/>
      <c r="E1344" s="93"/>
      <c r="F1344" s="93"/>
      <c r="G1344" s="93"/>
      <c r="H1344" s="94"/>
      <c r="I1344" s="93"/>
      <c r="J1344" s="93"/>
      <c r="K1344" s="93"/>
      <c r="L1344" s="93"/>
      <c r="M1344" s="17"/>
      <c r="N1344" s="93"/>
      <c r="O1344" s="93"/>
      <c r="P1344" s="93"/>
      <c r="Q1344" s="93"/>
      <c r="R1344" s="69"/>
    </row>
    <row r="1345" spans="2:18">
      <c r="B1345" s="68"/>
      <c r="C1345" s="93"/>
      <c r="D1345" s="93"/>
      <c r="E1345" s="93"/>
      <c r="F1345" s="93"/>
      <c r="G1345" s="93"/>
      <c r="H1345" s="94"/>
      <c r="I1345" s="93"/>
      <c r="J1345" s="93"/>
      <c r="K1345" s="93"/>
      <c r="L1345" s="93"/>
      <c r="M1345" s="17"/>
      <c r="N1345" s="93"/>
      <c r="O1345" s="93"/>
      <c r="P1345" s="93"/>
      <c r="Q1345" s="93"/>
      <c r="R1345" s="69"/>
    </row>
    <row r="1346" spans="2:18">
      <c r="B1346" s="68"/>
      <c r="C1346" s="93"/>
      <c r="D1346" s="93"/>
      <c r="E1346" s="93"/>
      <c r="F1346" s="93"/>
      <c r="G1346" s="93"/>
      <c r="H1346" s="94"/>
      <c r="I1346" s="93"/>
      <c r="J1346" s="93"/>
      <c r="K1346" s="93"/>
      <c r="L1346" s="93"/>
      <c r="M1346" s="17"/>
      <c r="N1346" s="93"/>
      <c r="O1346" s="93"/>
      <c r="P1346" s="93"/>
      <c r="Q1346" s="93"/>
      <c r="R1346" s="69"/>
    </row>
    <row r="1347" spans="2:18">
      <c r="B1347" s="68"/>
      <c r="C1347" s="93"/>
      <c r="D1347" s="93"/>
      <c r="E1347" s="93"/>
      <c r="F1347" s="93"/>
      <c r="G1347" s="93"/>
      <c r="H1347" s="94"/>
      <c r="I1347" s="93"/>
      <c r="J1347" s="93"/>
      <c r="K1347" s="93"/>
      <c r="L1347" s="93"/>
      <c r="M1347" s="17"/>
      <c r="N1347" s="93"/>
      <c r="O1347" s="93"/>
      <c r="P1347" s="93"/>
      <c r="Q1347" s="93"/>
      <c r="R1347" s="69"/>
    </row>
    <row r="1348" spans="2:18">
      <c r="B1348" s="68"/>
      <c r="C1348" s="93"/>
      <c r="D1348" s="93"/>
      <c r="E1348" s="93"/>
      <c r="F1348" s="93"/>
      <c r="G1348" s="93"/>
      <c r="H1348" s="94"/>
      <c r="I1348" s="93"/>
      <c r="J1348" s="93"/>
      <c r="K1348" s="93"/>
      <c r="L1348" s="93"/>
      <c r="M1348" s="17"/>
      <c r="N1348" s="93"/>
      <c r="O1348" s="93"/>
      <c r="P1348" s="93"/>
      <c r="Q1348" s="93"/>
      <c r="R1348" s="69"/>
    </row>
    <row r="1349" spans="2:18">
      <c r="B1349" s="68"/>
      <c r="C1349" s="93"/>
      <c r="D1349" s="93"/>
      <c r="E1349" s="93"/>
      <c r="F1349" s="93"/>
      <c r="G1349" s="93"/>
      <c r="H1349" s="94"/>
      <c r="I1349" s="93"/>
      <c r="J1349" s="93"/>
      <c r="K1349" s="93"/>
      <c r="L1349" s="93"/>
      <c r="M1349" s="17"/>
      <c r="N1349" s="93"/>
      <c r="O1349" s="93"/>
      <c r="P1349" s="93"/>
      <c r="Q1349" s="93"/>
      <c r="R1349" s="69"/>
    </row>
    <row r="1350" spans="2:18">
      <c r="B1350" s="68"/>
      <c r="C1350" s="93"/>
      <c r="D1350" s="93"/>
      <c r="E1350" s="93"/>
      <c r="F1350" s="93"/>
      <c r="G1350" s="93"/>
      <c r="H1350" s="94"/>
      <c r="I1350" s="93"/>
      <c r="J1350" s="93"/>
      <c r="K1350" s="93"/>
      <c r="L1350" s="93"/>
      <c r="M1350" s="17"/>
      <c r="N1350" s="93"/>
      <c r="O1350" s="93"/>
      <c r="P1350" s="93"/>
      <c r="Q1350" s="93"/>
      <c r="R1350" s="69"/>
    </row>
    <row r="1351" spans="2:18">
      <c r="B1351" s="68"/>
      <c r="C1351" s="93"/>
      <c r="D1351" s="93"/>
      <c r="E1351" s="93"/>
      <c r="F1351" s="93"/>
      <c r="G1351" s="93"/>
      <c r="H1351" s="94"/>
      <c r="I1351" s="93"/>
      <c r="J1351" s="93"/>
      <c r="K1351" s="93"/>
      <c r="L1351" s="93"/>
      <c r="M1351" s="17"/>
      <c r="N1351" s="93"/>
      <c r="O1351" s="93"/>
      <c r="P1351" s="93"/>
      <c r="Q1351" s="93"/>
      <c r="R1351" s="69"/>
    </row>
    <row r="1352" spans="2:18">
      <c r="B1352" s="68"/>
      <c r="C1352" s="93"/>
      <c r="D1352" s="93"/>
      <c r="E1352" s="93"/>
      <c r="F1352" s="93"/>
      <c r="G1352" s="93"/>
      <c r="H1352" s="94"/>
      <c r="I1352" s="93"/>
      <c r="J1352" s="93"/>
      <c r="K1352" s="93"/>
      <c r="L1352" s="93"/>
      <c r="M1352" s="17"/>
      <c r="N1352" s="93"/>
      <c r="O1352" s="93"/>
      <c r="P1352" s="93"/>
      <c r="Q1352" s="93"/>
      <c r="R1352" s="69"/>
    </row>
    <row r="1353" spans="2:18">
      <c r="B1353" s="68"/>
      <c r="C1353" s="93"/>
      <c r="D1353" s="93"/>
      <c r="E1353" s="93"/>
      <c r="F1353" s="93"/>
      <c r="G1353" s="93"/>
      <c r="H1353" s="94"/>
      <c r="I1353" s="93"/>
      <c r="J1353" s="93"/>
      <c r="K1353" s="93"/>
      <c r="L1353" s="93"/>
      <c r="M1353" s="17"/>
      <c r="N1353" s="93"/>
      <c r="O1353" s="93"/>
      <c r="P1353" s="93"/>
      <c r="Q1353" s="93"/>
      <c r="R1353" s="69"/>
    </row>
    <row r="1354" spans="2:18">
      <c r="B1354" s="68"/>
      <c r="C1354" s="93"/>
      <c r="D1354" s="93"/>
      <c r="E1354" s="93"/>
      <c r="F1354" s="93"/>
      <c r="G1354" s="93"/>
      <c r="H1354" s="94"/>
      <c r="I1354" s="93"/>
      <c r="J1354" s="93"/>
      <c r="K1354" s="93"/>
      <c r="L1354" s="93"/>
      <c r="M1354" s="17"/>
      <c r="N1354" s="93"/>
      <c r="O1354" s="93"/>
      <c r="P1354" s="93"/>
      <c r="Q1354" s="93"/>
      <c r="R1354" s="69"/>
    </row>
    <row r="1355" spans="2:18">
      <c r="B1355" s="68"/>
      <c r="C1355" s="93"/>
      <c r="D1355" s="93"/>
      <c r="E1355" s="93"/>
      <c r="F1355" s="93"/>
      <c r="G1355" s="93"/>
      <c r="H1355" s="94"/>
      <c r="I1355" s="93"/>
      <c r="J1355" s="93"/>
      <c r="K1355" s="93"/>
      <c r="L1355" s="93"/>
      <c r="M1355" s="17"/>
      <c r="N1355" s="93"/>
      <c r="O1355" s="93"/>
      <c r="P1355" s="93"/>
      <c r="Q1355" s="93"/>
      <c r="R1355" s="69"/>
    </row>
    <row r="1356" spans="2:18">
      <c r="B1356" s="68"/>
      <c r="C1356" s="93"/>
      <c r="D1356" s="93"/>
      <c r="E1356" s="93"/>
      <c r="F1356" s="93"/>
      <c r="G1356" s="93"/>
      <c r="H1356" s="94"/>
      <c r="I1356" s="93"/>
      <c r="J1356" s="93"/>
      <c r="K1356" s="93"/>
      <c r="L1356" s="93"/>
      <c r="M1356" s="17"/>
      <c r="N1356" s="93"/>
      <c r="O1356" s="93"/>
      <c r="P1356" s="93"/>
      <c r="Q1356" s="93"/>
      <c r="R1356" s="69"/>
    </row>
    <row r="1357" spans="2:18">
      <c r="B1357" s="68"/>
      <c r="C1357" s="93"/>
      <c r="D1357" s="93"/>
      <c r="E1357" s="93"/>
      <c r="F1357" s="93"/>
      <c r="G1357" s="93"/>
      <c r="H1357" s="94"/>
      <c r="I1357" s="93"/>
      <c r="J1357" s="93"/>
      <c r="K1357" s="93"/>
      <c r="L1357" s="93"/>
      <c r="M1357" s="17"/>
      <c r="N1357" s="93"/>
      <c r="O1357" s="93"/>
      <c r="P1357" s="93"/>
      <c r="Q1357" s="93"/>
      <c r="R1357" s="69"/>
    </row>
    <row r="1358" spans="2:18">
      <c r="B1358" s="68"/>
      <c r="C1358" s="93"/>
      <c r="D1358" s="93"/>
      <c r="E1358" s="93"/>
      <c r="F1358" s="93"/>
      <c r="G1358" s="93"/>
      <c r="H1358" s="94"/>
      <c r="I1358" s="93"/>
      <c r="J1358" s="93"/>
      <c r="K1358" s="93"/>
      <c r="L1358" s="93"/>
      <c r="M1358" s="17"/>
      <c r="N1358" s="93"/>
      <c r="O1358" s="93"/>
      <c r="P1358" s="93"/>
      <c r="Q1358" s="93"/>
      <c r="R1358" s="69"/>
    </row>
    <row r="1359" spans="2:18">
      <c r="B1359" s="68"/>
      <c r="C1359" s="93"/>
      <c r="D1359" s="93"/>
      <c r="E1359" s="93"/>
      <c r="F1359" s="93"/>
      <c r="G1359" s="93"/>
      <c r="H1359" s="94"/>
      <c r="I1359" s="93"/>
      <c r="J1359" s="93"/>
      <c r="K1359" s="93"/>
      <c r="L1359" s="93"/>
      <c r="M1359" s="17"/>
      <c r="N1359" s="93"/>
      <c r="O1359" s="93"/>
      <c r="P1359" s="93"/>
      <c r="Q1359" s="93"/>
      <c r="R1359" s="69"/>
    </row>
    <row r="1360" spans="2:18">
      <c r="B1360" s="68"/>
      <c r="C1360" s="93"/>
      <c r="D1360" s="93"/>
      <c r="E1360" s="93"/>
      <c r="F1360" s="93"/>
      <c r="G1360" s="93"/>
      <c r="H1360" s="94"/>
      <c r="I1360" s="93"/>
      <c r="J1360" s="93"/>
      <c r="K1360" s="93"/>
      <c r="L1360" s="93"/>
      <c r="M1360" s="17"/>
      <c r="N1360" s="93"/>
      <c r="O1360" s="93"/>
      <c r="P1360" s="93"/>
      <c r="Q1360" s="93"/>
      <c r="R1360" s="69"/>
    </row>
    <row r="1361" spans="2:18">
      <c r="B1361" s="68"/>
      <c r="C1361" s="93"/>
      <c r="D1361" s="93"/>
      <c r="E1361" s="93"/>
      <c r="F1361" s="93"/>
      <c r="G1361" s="93"/>
      <c r="H1361" s="94"/>
      <c r="I1361" s="93"/>
      <c r="J1361" s="93"/>
      <c r="K1361" s="93"/>
      <c r="L1361" s="93"/>
      <c r="M1361" s="17"/>
      <c r="N1361" s="93"/>
      <c r="O1361" s="93"/>
      <c r="P1361" s="93"/>
      <c r="Q1361" s="93"/>
      <c r="R1361" s="69"/>
    </row>
    <row r="1362" spans="2:18">
      <c r="B1362" s="68"/>
      <c r="C1362" s="93"/>
      <c r="D1362" s="93"/>
      <c r="E1362" s="93"/>
      <c r="F1362" s="93"/>
      <c r="G1362" s="93"/>
      <c r="H1362" s="94"/>
      <c r="I1362" s="93"/>
      <c r="J1362" s="93"/>
      <c r="K1362" s="93"/>
      <c r="L1362" s="93"/>
      <c r="M1362" s="17"/>
      <c r="N1362" s="93"/>
      <c r="O1362" s="93"/>
      <c r="P1362" s="93"/>
      <c r="Q1362" s="93"/>
      <c r="R1362" s="69"/>
    </row>
    <row r="1363" spans="2:18">
      <c r="B1363" s="68"/>
      <c r="C1363" s="93"/>
      <c r="D1363" s="93"/>
      <c r="E1363" s="93"/>
      <c r="F1363" s="93"/>
      <c r="G1363" s="93"/>
      <c r="H1363" s="94"/>
      <c r="I1363" s="93"/>
      <c r="J1363" s="93"/>
      <c r="K1363" s="93"/>
      <c r="L1363" s="93"/>
      <c r="M1363" s="17"/>
      <c r="N1363" s="93"/>
      <c r="O1363" s="93"/>
      <c r="P1363" s="93"/>
      <c r="Q1363" s="93"/>
      <c r="R1363" s="69"/>
    </row>
    <row r="1364" spans="2:18">
      <c r="B1364" s="68"/>
      <c r="C1364" s="93"/>
      <c r="D1364" s="93"/>
      <c r="E1364" s="93"/>
      <c r="F1364" s="93"/>
      <c r="G1364" s="93"/>
      <c r="H1364" s="94"/>
      <c r="I1364" s="93"/>
      <c r="J1364" s="93"/>
      <c r="K1364" s="93"/>
      <c r="L1364" s="93"/>
      <c r="M1364" s="17"/>
      <c r="N1364" s="93"/>
      <c r="O1364" s="93"/>
      <c r="P1364" s="93"/>
      <c r="Q1364" s="93"/>
      <c r="R1364" s="69"/>
    </row>
    <row r="1365" spans="2:18">
      <c r="B1365" s="68"/>
      <c r="C1365" s="93"/>
      <c r="D1365" s="93"/>
      <c r="E1365" s="93"/>
      <c r="F1365" s="93"/>
      <c r="G1365" s="93"/>
      <c r="H1365" s="94"/>
      <c r="I1365" s="93"/>
      <c r="J1365" s="93"/>
      <c r="K1365" s="93"/>
      <c r="L1365" s="93"/>
      <c r="M1365" s="17"/>
      <c r="N1365" s="93"/>
      <c r="O1365" s="93"/>
      <c r="P1365" s="93"/>
      <c r="Q1365" s="93"/>
      <c r="R1365" s="69"/>
    </row>
    <row r="1366" spans="2:18">
      <c r="B1366" s="68"/>
      <c r="C1366" s="93"/>
      <c r="D1366" s="93"/>
      <c r="E1366" s="93"/>
      <c r="F1366" s="93"/>
      <c r="G1366" s="93"/>
      <c r="H1366" s="94"/>
      <c r="I1366" s="93"/>
      <c r="J1366" s="93"/>
      <c r="K1366" s="93"/>
      <c r="L1366" s="93"/>
      <c r="M1366" s="17"/>
      <c r="N1366" s="93"/>
      <c r="O1366" s="93"/>
      <c r="P1366" s="93"/>
      <c r="Q1366" s="93"/>
      <c r="R1366" s="69"/>
    </row>
    <row r="1367" spans="2:18">
      <c r="B1367" s="68"/>
      <c r="C1367" s="93"/>
      <c r="D1367" s="93"/>
      <c r="E1367" s="93"/>
      <c r="F1367" s="93"/>
      <c r="G1367" s="93"/>
      <c r="H1367" s="94"/>
      <c r="I1367" s="93"/>
      <c r="J1367" s="93"/>
      <c r="K1367" s="93"/>
      <c r="L1367" s="93"/>
      <c r="M1367" s="17"/>
      <c r="N1367" s="93"/>
      <c r="O1367" s="93"/>
      <c r="P1367" s="93"/>
      <c r="Q1367" s="93"/>
      <c r="R1367" s="69"/>
    </row>
    <row r="1368" spans="2:18">
      <c r="B1368" s="68"/>
      <c r="C1368" s="93"/>
      <c r="D1368" s="93"/>
      <c r="E1368" s="93"/>
      <c r="F1368" s="93"/>
      <c r="G1368" s="93"/>
      <c r="H1368" s="94"/>
      <c r="I1368" s="93"/>
      <c r="J1368" s="93"/>
      <c r="K1368" s="93"/>
      <c r="L1368" s="93"/>
      <c r="M1368" s="17"/>
      <c r="N1368" s="93"/>
      <c r="O1368" s="93"/>
      <c r="P1368" s="93"/>
      <c r="Q1368" s="93"/>
      <c r="R1368" s="69"/>
    </row>
    <row r="1369" spans="2:18">
      <c r="B1369" s="68"/>
      <c r="C1369" s="93"/>
      <c r="D1369" s="93"/>
      <c r="E1369" s="93"/>
      <c r="F1369" s="93"/>
      <c r="G1369" s="93"/>
      <c r="H1369" s="94"/>
      <c r="I1369" s="93"/>
      <c r="J1369" s="93"/>
      <c r="K1369" s="93"/>
      <c r="L1369" s="93"/>
      <c r="M1369" s="17"/>
      <c r="N1369" s="93"/>
      <c r="O1369" s="93"/>
      <c r="P1369" s="93"/>
      <c r="Q1369" s="93"/>
      <c r="R1369" s="69"/>
    </row>
    <row r="1370" spans="2:18">
      <c r="B1370" s="68"/>
      <c r="C1370" s="93"/>
      <c r="D1370" s="93"/>
      <c r="E1370" s="93"/>
      <c r="F1370" s="93"/>
      <c r="G1370" s="93"/>
      <c r="H1370" s="94"/>
      <c r="I1370" s="93"/>
      <c r="J1370" s="93"/>
      <c r="K1370" s="93"/>
      <c r="L1370" s="93"/>
      <c r="M1370" s="17"/>
      <c r="N1370" s="93"/>
      <c r="O1370" s="93"/>
      <c r="P1370" s="93"/>
      <c r="Q1370" s="93"/>
      <c r="R1370" s="69"/>
    </row>
    <row r="1371" spans="2:18">
      <c r="B1371" s="68"/>
      <c r="C1371" s="93"/>
      <c r="D1371" s="93"/>
      <c r="E1371" s="93"/>
      <c r="F1371" s="93"/>
      <c r="G1371" s="93"/>
      <c r="H1371" s="94"/>
      <c r="I1371" s="93"/>
      <c r="J1371" s="93"/>
      <c r="K1371" s="93"/>
      <c r="L1371" s="93"/>
      <c r="M1371" s="17"/>
      <c r="N1371" s="93"/>
      <c r="O1371" s="93"/>
      <c r="P1371" s="93"/>
      <c r="Q1371" s="93"/>
      <c r="R1371" s="69"/>
    </row>
    <row r="1372" spans="2:18">
      <c r="B1372" s="68"/>
      <c r="C1372" s="93"/>
      <c r="D1372" s="93"/>
      <c r="E1372" s="93"/>
      <c r="F1372" s="93"/>
      <c r="G1372" s="93"/>
      <c r="H1372" s="94"/>
      <c r="I1372" s="93"/>
      <c r="J1372" s="93"/>
      <c r="K1372" s="93"/>
      <c r="L1372" s="93"/>
      <c r="M1372" s="17"/>
      <c r="N1372" s="93"/>
      <c r="O1372" s="93"/>
      <c r="P1372" s="93"/>
      <c r="Q1372" s="93"/>
      <c r="R1372" s="69"/>
    </row>
    <row r="1373" spans="2:18">
      <c r="B1373" s="68"/>
      <c r="C1373" s="93"/>
      <c r="D1373" s="93"/>
      <c r="E1373" s="93"/>
      <c r="F1373" s="93"/>
      <c r="G1373" s="93"/>
      <c r="H1373" s="94"/>
      <c r="I1373" s="93"/>
      <c r="J1373" s="93"/>
      <c r="K1373" s="93"/>
      <c r="L1373" s="93"/>
      <c r="M1373" s="17"/>
      <c r="N1373" s="93"/>
      <c r="O1373" s="93"/>
      <c r="P1373" s="93"/>
      <c r="Q1373" s="93"/>
      <c r="R1373" s="69"/>
    </row>
    <row r="1374" spans="2:18">
      <c r="B1374" s="68"/>
      <c r="C1374" s="93"/>
      <c r="D1374" s="93"/>
      <c r="E1374" s="93"/>
      <c r="F1374" s="93"/>
      <c r="G1374" s="93"/>
      <c r="H1374" s="94"/>
      <c r="I1374" s="93"/>
      <c r="J1374" s="93"/>
      <c r="K1374" s="93"/>
      <c r="L1374" s="93"/>
      <c r="M1374" s="17"/>
      <c r="N1374" s="93"/>
      <c r="O1374" s="93"/>
      <c r="P1374" s="93"/>
      <c r="Q1374" s="93"/>
      <c r="R1374" s="69"/>
    </row>
    <row r="1375" spans="2:18">
      <c r="B1375" s="68"/>
      <c r="C1375" s="93"/>
      <c r="D1375" s="93"/>
      <c r="E1375" s="93"/>
      <c r="F1375" s="93"/>
      <c r="G1375" s="93"/>
      <c r="H1375" s="94"/>
      <c r="I1375" s="93"/>
      <c r="J1375" s="93"/>
      <c r="K1375" s="93"/>
      <c r="L1375" s="93"/>
      <c r="M1375" s="17"/>
      <c r="N1375" s="93"/>
      <c r="O1375" s="93"/>
      <c r="P1375" s="93"/>
      <c r="Q1375" s="93"/>
      <c r="R1375" s="69"/>
    </row>
    <row r="1376" spans="2:18">
      <c r="B1376" s="68"/>
      <c r="C1376" s="93"/>
      <c r="D1376" s="93"/>
      <c r="E1376" s="93"/>
      <c r="F1376" s="93"/>
      <c r="G1376" s="93"/>
      <c r="H1376" s="94"/>
      <c r="I1376" s="93"/>
      <c r="J1376" s="93"/>
      <c r="K1376" s="93"/>
      <c r="L1376" s="93"/>
      <c r="M1376" s="17"/>
      <c r="N1376" s="93"/>
      <c r="O1376" s="93"/>
      <c r="P1376" s="93"/>
      <c r="Q1376" s="93"/>
      <c r="R1376" s="69"/>
    </row>
    <row r="1377" spans="2:18">
      <c r="B1377" s="68"/>
      <c r="C1377" s="93"/>
      <c r="D1377" s="93"/>
      <c r="E1377" s="93"/>
      <c r="F1377" s="93"/>
      <c r="G1377" s="93"/>
      <c r="H1377" s="94"/>
      <c r="I1377" s="93"/>
      <c r="J1377" s="93"/>
      <c r="K1377" s="93"/>
      <c r="L1377" s="93"/>
      <c r="M1377" s="17"/>
      <c r="N1377" s="93"/>
      <c r="O1377" s="93"/>
      <c r="P1377" s="93"/>
      <c r="Q1377" s="93"/>
      <c r="R1377" s="69"/>
    </row>
    <row r="1378" spans="2:18">
      <c r="B1378" s="68"/>
      <c r="C1378" s="93"/>
      <c r="D1378" s="93"/>
      <c r="E1378" s="93"/>
      <c r="F1378" s="93"/>
      <c r="G1378" s="93"/>
      <c r="H1378" s="94"/>
      <c r="I1378" s="93"/>
      <c r="J1378" s="93"/>
      <c r="K1378" s="93"/>
      <c r="L1378" s="93"/>
      <c r="M1378" s="17"/>
      <c r="N1378" s="93"/>
      <c r="O1378" s="93"/>
      <c r="P1378" s="93"/>
      <c r="Q1378" s="93"/>
      <c r="R1378" s="69"/>
    </row>
    <row r="1379" spans="2:18">
      <c r="B1379" s="68"/>
      <c r="C1379" s="93"/>
      <c r="D1379" s="93"/>
      <c r="E1379" s="93"/>
      <c r="F1379" s="93"/>
      <c r="G1379" s="93"/>
      <c r="H1379" s="94"/>
      <c r="I1379" s="93"/>
      <c r="J1379" s="93"/>
      <c r="K1379" s="93"/>
      <c r="L1379" s="93"/>
      <c r="M1379" s="17"/>
      <c r="N1379" s="93"/>
      <c r="O1379" s="93"/>
      <c r="P1379" s="93"/>
      <c r="Q1379" s="93"/>
      <c r="R1379" s="69"/>
    </row>
    <row r="1380" spans="2:18">
      <c r="B1380" s="68"/>
      <c r="C1380" s="93"/>
      <c r="D1380" s="93"/>
      <c r="E1380" s="93"/>
      <c r="F1380" s="93"/>
      <c r="G1380" s="93"/>
      <c r="H1380" s="94"/>
      <c r="I1380" s="93"/>
      <c r="J1380" s="93"/>
      <c r="K1380" s="93"/>
      <c r="L1380" s="93"/>
      <c r="M1380" s="17"/>
      <c r="N1380" s="93"/>
      <c r="O1380" s="93"/>
      <c r="P1380" s="93"/>
      <c r="Q1380" s="93"/>
      <c r="R1380" s="69"/>
    </row>
    <row r="1381" spans="2:18">
      <c r="B1381" s="68"/>
      <c r="C1381" s="93"/>
      <c r="D1381" s="93"/>
      <c r="E1381" s="93"/>
      <c r="F1381" s="93"/>
      <c r="G1381" s="93"/>
      <c r="H1381" s="94"/>
      <c r="I1381" s="93"/>
      <c r="J1381" s="93"/>
      <c r="K1381" s="93"/>
      <c r="L1381" s="93"/>
      <c r="M1381" s="17"/>
      <c r="N1381" s="93"/>
      <c r="O1381" s="93"/>
      <c r="P1381" s="93"/>
      <c r="Q1381" s="93"/>
      <c r="R1381" s="69"/>
    </row>
    <row r="1382" spans="2:18">
      <c r="B1382" s="68"/>
      <c r="C1382" s="93"/>
      <c r="D1382" s="93"/>
      <c r="E1382" s="93"/>
      <c r="F1382" s="93"/>
      <c r="G1382" s="93"/>
      <c r="H1382" s="94"/>
      <c r="I1382" s="93"/>
      <c r="J1382" s="93"/>
      <c r="K1382" s="93"/>
      <c r="L1382" s="93"/>
      <c r="M1382" s="17"/>
      <c r="N1382" s="93"/>
      <c r="O1382" s="93"/>
      <c r="P1382" s="93"/>
      <c r="Q1382" s="93"/>
      <c r="R1382" s="69"/>
    </row>
    <row r="1383" spans="2:18">
      <c r="B1383" s="68"/>
      <c r="C1383" s="93"/>
      <c r="D1383" s="93"/>
      <c r="E1383" s="93"/>
      <c r="F1383" s="93"/>
      <c r="G1383" s="93"/>
      <c r="H1383" s="94"/>
      <c r="I1383" s="93"/>
      <c r="J1383" s="93"/>
      <c r="K1383" s="93"/>
      <c r="L1383" s="93"/>
      <c r="M1383" s="17"/>
      <c r="N1383" s="93"/>
      <c r="O1383" s="93"/>
      <c r="P1383" s="93"/>
      <c r="Q1383" s="93"/>
      <c r="R1383" s="69"/>
    </row>
    <row r="1384" spans="2:18">
      <c r="B1384" s="68"/>
      <c r="C1384" s="93"/>
      <c r="D1384" s="93"/>
      <c r="E1384" s="93"/>
      <c r="F1384" s="93"/>
      <c r="G1384" s="93"/>
      <c r="H1384" s="94"/>
      <c r="I1384" s="93"/>
      <c r="J1384" s="93"/>
      <c r="K1384" s="93"/>
      <c r="L1384" s="93"/>
      <c r="M1384" s="17"/>
      <c r="N1384" s="93"/>
      <c r="O1384" s="93"/>
      <c r="P1384" s="93"/>
      <c r="Q1384" s="93"/>
      <c r="R1384" s="69"/>
    </row>
    <row r="1385" spans="2:18">
      <c r="B1385" s="68"/>
      <c r="C1385" s="93"/>
      <c r="D1385" s="93"/>
      <c r="E1385" s="93"/>
      <c r="F1385" s="93"/>
      <c r="G1385" s="93"/>
      <c r="H1385" s="94"/>
      <c r="I1385" s="93"/>
      <c r="J1385" s="93"/>
      <c r="K1385" s="93"/>
      <c r="L1385" s="93"/>
      <c r="M1385" s="17"/>
      <c r="N1385" s="93"/>
      <c r="O1385" s="93"/>
      <c r="P1385" s="93"/>
      <c r="Q1385" s="93"/>
      <c r="R1385" s="69"/>
    </row>
    <row r="1386" spans="2:18">
      <c r="B1386" s="68"/>
      <c r="C1386" s="93"/>
      <c r="D1386" s="93"/>
      <c r="E1386" s="93"/>
      <c r="F1386" s="93"/>
      <c r="G1386" s="93"/>
      <c r="H1386" s="94"/>
      <c r="I1386" s="93"/>
      <c r="J1386" s="93"/>
      <c r="K1386" s="93"/>
      <c r="L1386" s="93"/>
      <c r="M1386" s="17"/>
      <c r="N1386" s="93"/>
      <c r="O1386" s="93"/>
      <c r="P1386" s="93"/>
      <c r="Q1386" s="93"/>
      <c r="R1386" s="69"/>
    </row>
    <row r="1387" spans="2:18">
      <c r="B1387" s="68"/>
      <c r="C1387" s="93"/>
      <c r="D1387" s="93"/>
      <c r="E1387" s="93"/>
      <c r="F1387" s="93"/>
      <c r="G1387" s="93"/>
      <c r="H1387" s="94"/>
      <c r="I1387" s="93"/>
      <c r="J1387" s="93"/>
      <c r="K1387" s="93"/>
      <c r="L1387" s="93"/>
      <c r="M1387" s="17"/>
      <c r="N1387" s="93"/>
      <c r="O1387" s="93"/>
      <c r="P1387" s="93"/>
      <c r="Q1387" s="93"/>
      <c r="R1387" s="69"/>
    </row>
    <row r="1388" spans="2:18">
      <c r="B1388" s="68"/>
      <c r="C1388" s="93"/>
      <c r="D1388" s="93"/>
      <c r="E1388" s="93"/>
      <c r="F1388" s="93"/>
      <c r="G1388" s="93"/>
      <c r="H1388" s="94"/>
      <c r="I1388" s="93"/>
      <c r="J1388" s="93"/>
      <c r="K1388" s="93"/>
      <c r="L1388" s="93"/>
      <c r="M1388" s="17"/>
      <c r="N1388" s="93"/>
      <c r="O1388" s="93"/>
      <c r="P1388" s="93"/>
      <c r="Q1388" s="93"/>
      <c r="R1388" s="69"/>
    </row>
    <row r="1389" spans="2:18">
      <c r="B1389" s="68"/>
      <c r="C1389" s="93"/>
      <c r="D1389" s="93"/>
      <c r="E1389" s="93"/>
      <c r="F1389" s="93"/>
      <c r="G1389" s="93"/>
      <c r="H1389" s="94"/>
      <c r="I1389" s="93"/>
      <c r="J1389" s="93"/>
      <c r="K1389" s="93"/>
      <c r="L1389" s="93"/>
      <c r="M1389" s="17"/>
      <c r="N1389" s="93"/>
      <c r="O1389" s="93"/>
      <c r="P1389" s="93"/>
      <c r="Q1389" s="93"/>
      <c r="R1389" s="69"/>
    </row>
    <row r="1390" spans="2:18">
      <c r="B1390" s="68"/>
      <c r="C1390" s="93"/>
      <c r="D1390" s="93"/>
      <c r="E1390" s="93"/>
      <c r="F1390" s="93"/>
      <c r="G1390" s="93"/>
      <c r="H1390" s="94"/>
      <c r="I1390" s="93"/>
      <c r="J1390" s="93"/>
      <c r="K1390" s="93"/>
      <c r="L1390" s="93"/>
      <c r="M1390" s="17"/>
      <c r="N1390" s="93"/>
      <c r="O1390" s="93"/>
      <c r="P1390" s="93"/>
      <c r="Q1390" s="93"/>
      <c r="R1390" s="69"/>
    </row>
    <row r="1391" spans="2:18">
      <c r="B1391" s="68"/>
      <c r="C1391" s="93"/>
      <c r="D1391" s="93"/>
      <c r="E1391" s="93"/>
      <c r="F1391" s="93"/>
      <c r="G1391" s="93"/>
      <c r="H1391" s="94"/>
      <c r="I1391" s="93"/>
      <c r="J1391" s="93"/>
      <c r="K1391" s="93"/>
      <c r="L1391" s="93"/>
      <c r="M1391" s="17"/>
      <c r="N1391" s="93"/>
      <c r="O1391" s="93"/>
      <c r="P1391" s="93"/>
      <c r="Q1391" s="93"/>
      <c r="R1391" s="69"/>
    </row>
    <row r="1392" spans="2:18">
      <c r="B1392" s="68"/>
      <c r="C1392" s="93"/>
      <c r="D1392" s="93"/>
      <c r="E1392" s="93"/>
      <c r="F1392" s="93"/>
      <c r="G1392" s="93"/>
      <c r="H1392" s="94"/>
      <c r="I1392" s="93"/>
      <c r="J1392" s="93"/>
      <c r="K1392" s="93"/>
      <c r="L1392" s="93"/>
      <c r="M1392" s="17"/>
      <c r="N1392" s="93"/>
      <c r="O1392" s="93"/>
      <c r="P1392" s="93"/>
      <c r="Q1392" s="93"/>
      <c r="R1392" s="69"/>
    </row>
    <row r="1393" spans="2:18">
      <c r="B1393" s="68"/>
      <c r="C1393" s="93"/>
      <c r="D1393" s="93"/>
      <c r="E1393" s="93"/>
      <c r="F1393" s="93"/>
      <c r="G1393" s="93"/>
      <c r="H1393" s="94"/>
      <c r="I1393" s="93"/>
      <c r="J1393" s="93"/>
      <c r="K1393" s="93"/>
      <c r="L1393" s="93"/>
      <c r="M1393" s="17"/>
      <c r="N1393" s="93"/>
      <c r="O1393" s="93"/>
      <c r="P1393" s="93"/>
      <c r="Q1393" s="93"/>
      <c r="R1393" s="69"/>
    </row>
    <row r="1394" spans="2:18">
      <c r="B1394" s="68"/>
      <c r="C1394" s="93"/>
      <c r="D1394" s="93"/>
      <c r="E1394" s="93"/>
      <c r="F1394" s="93"/>
      <c r="G1394" s="93"/>
      <c r="H1394" s="94"/>
      <c r="I1394" s="93"/>
      <c r="J1394" s="93"/>
      <c r="K1394" s="93"/>
      <c r="L1394" s="93"/>
      <c r="M1394" s="17"/>
      <c r="N1394" s="93"/>
      <c r="O1394" s="93"/>
      <c r="P1394" s="93"/>
      <c r="Q1394" s="93"/>
      <c r="R1394" s="69"/>
    </row>
    <row r="1395" spans="2:18">
      <c r="B1395" s="68"/>
      <c r="C1395" s="93"/>
      <c r="D1395" s="93"/>
      <c r="E1395" s="93"/>
      <c r="F1395" s="93"/>
      <c r="G1395" s="93"/>
      <c r="H1395" s="94"/>
      <c r="I1395" s="93"/>
      <c r="J1395" s="93"/>
      <c r="K1395" s="93"/>
      <c r="L1395" s="93"/>
      <c r="M1395" s="17"/>
      <c r="N1395" s="93"/>
      <c r="O1395" s="93"/>
      <c r="P1395" s="93"/>
      <c r="Q1395" s="93"/>
      <c r="R1395" s="69"/>
    </row>
    <row r="1396" spans="2:18">
      <c r="B1396" s="68"/>
      <c r="C1396" s="93"/>
      <c r="D1396" s="93"/>
      <c r="E1396" s="93"/>
      <c r="F1396" s="93"/>
      <c r="G1396" s="93"/>
      <c r="H1396" s="94"/>
      <c r="I1396" s="93"/>
      <c r="J1396" s="93"/>
      <c r="K1396" s="93"/>
      <c r="L1396" s="93"/>
      <c r="M1396" s="17"/>
      <c r="N1396" s="93"/>
      <c r="O1396" s="93"/>
      <c r="P1396" s="93"/>
      <c r="Q1396" s="93"/>
      <c r="R1396" s="69"/>
    </row>
    <row r="1397" spans="2:18">
      <c r="B1397" s="68"/>
      <c r="C1397" s="93"/>
      <c r="D1397" s="93"/>
      <c r="E1397" s="93"/>
      <c r="F1397" s="93"/>
      <c r="G1397" s="93"/>
      <c r="H1397" s="94"/>
      <c r="I1397" s="93"/>
      <c r="J1397" s="93"/>
      <c r="K1397" s="93"/>
      <c r="L1397" s="93"/>
      <c r="M1397" s="17"/>
      <c r="N1397" s="93"/>
      <c r="O1397" s="93"/>
      <c r="P1397" s="93"/>
      <c r="Q1397" s="93"/>
      <c r="R1397" s="69"/>
    </row>
    <row r="1398" spans="2:18">
      <c r="B1398" s="68"/>
      <c r="C1398" s="93"/>
      <c r="D1398" s="93"/>
      <c r="E1398" s="93"/>
      <c r="F1398" s="93"/>
      <c r="G1398" s="93"/>
      <c r="H1398" s="94"/>
      <c r="I1398" s="93"/>
      <c r="J1398" s="93"/>
      <c r="K1398" s="93"/>
      <c r="L1398" s="93"/>
      <c r="M1398" s="17"/>
      <c r="N1398" s="93"/>
      <c r="O1398" s="93"/>
      <c r="P1398" s="93"/>
      <c r="Q1398" s="93"/>
      <c r="R1398" s="69"/>
    </row>
    <row r="1399" spans="2:18">
      <c r="B1399" s="68"/>
      <c r="C1399" s="93"/>
      <c r="D1399" s="93"/>
      <c r="E1399" s="93"/>
      <c r="F1399" s="93"/>
      <c r="G1399" s="93"/>
      <c r="H1399" s="94"/>
      <c r="I1399" s="93"/>
      <c r="J1399" s="93"/>
      <c r="K1399" s="93"/>
      <c r="L1399" s="93"/>
      <c r="M1399" s="17"/>
      <c r="N1399" s="93"/>
      <c r="O1399" s="93"/>
      <c r="P1399" s="93"/>
      <c r="Q1399" s="93"/>
      <c r="R1399" s="69"/>
    </row>
    <row r="1400" spans="2:18">
      <c r="B1400" s="68"/>
      <c r="C1400" s="93"/>
      <c r="D1400" s="93"/>
      <c r="E1400" s="93"/>
      <c r="F1400" s="93"/>
      <c r="G1400" s="93"/>
      <c r="H1400" s="94"/>
      <c r="I1400" s="93"/>
      <c r="J1400" s="93"/>
      <c r="K1400" s="93"/>
      <c r="L1400" s="93"/>
      <c r="M1400" s="17"/>
      <c r="N1400" s="93"/>
      <c r="O1400" s="93"/>
      <c r="P1400" s="93"/>
      <c r="Q1400" s="93"/>
      <c r="R1400" s="69"/>
    </row>
    <row r="1401" spans="2:18">
      <c r="B1401" s="68"/>
      <c r="C1401" s="93"/>
      <c r="D1401" s="93"/>
      <c r="E1401" s="93"/>
      <c r="F1401" s="93"/>
      <c r="G1401" s="93"/>
      <c r="H1401" s="94"/>
      <c r="I1401" s="93"/>
      <c r="J1401" s="93"/>
      <c r="K1401" s="93"/>
      <c r="L1401" s="93"/>
      <c r="M1401" s="17"/>
      <c r="N1401" s="93"/>
      <c r="O1401" s="93"/>
      <c r="P1401" s="93"/>
      <c r="Q1401" s="93"/>
      <c r="R1401" s="69"/>
    </row>
    <row r="1402" spans="2:18">
      <c r="B1402" s="68"/>
      <c r="C1402" s="93"/>
      <c r="D1402" s="93"/>
      <c r="E1402" s="93"/>
      <c r="F1402" s="93"/>
      <c r="G1402" s="93"/>
      <c r="H1402" s="94"/>
      <c r="I1402" s="93"/>
      <c r="J1402" s="93"/>
      <c r="K1402" s="93"/>
      <c r="L1402" s="93"/>
      <c r="M1402" s="17"/>
      <c r="N1402" s="93"/>
      <c r="O1402" s="93"/>
      <c r="P1402" s="93"/>
      <c r="Q1402" s="93"/>
      <c r="R1402" s="69"/>
    </row>
    <row r="1403" spans="2:18">
      <c r="B1403" s="68"/>
      <c r="C1403" s="93"/>
      <c r="D1403" s="93"/>
      <c r="E1403" s="93"/>
      <c r="F1403" s="93"/>
      <c r="G1403" s="93"/>
      <c r="H1403" s="94"/>
      <c r="I1403" s="93"/>
      <c r="J1403" s="93"/>
      <c r="K1403" s="93"/>
      <c r="L1403" s="93"/>
      <c r="M1403" s="17"/>
      <c r="N1403" s="93"/>
      <c r="O1403" s="93"/>
      <c r="P1403" s="93"/>
      <c r="Q1403" s="93"/>
      <c r="R1403" s="69"/>
    </row>
    <row r="1404" spans="2:18">
      <c r="B1404" s="68"/>
      <c r="C1404" s="93"/>
      <c r="D1404" s="93"/>
      <c r="E1404" s="93"/>
      <c r="F1404" s="93"/>
      <c r="G1404" s="93"/>
      <c r="H1404" s="94"/>
      <c r="I1404" s="93"/>
      <c r="J1404" s="93"/>
      <c r="K1404" s="93"/>
      <c r="L1404" s="93"/>
      <c r="M1404" s="17"/>
      <c r="N1404" s="93"/>
      <c r="O1404" s="93"/>
      <c r="P1404" s="93"/>
      <c r="Q1404" s="93"/>
      <c r="R1404" s="69"/>
    </row>
    <row r="1405" spans="2:18">
      <c r="B1405" s="68"/>
      <c r="C1405" s="93"/>
      <c r="D1405" s="93"/>
      <c r="E1405" s="93"/>
      <c r="F1405" s="93"/>
      <c r="G1405" s="93"/>
      <c r="H1405" s="94"/>
      <c r="I1405" s="93"/>
      <c r="J1405" s="93"/>
      <c r="K1405" s="93"/>
      <c r="L1405" s="93"/>
      <c r="M1405" s="17"/>
      <c r="N1405" s="93"/>
      <c r="O1405" s="93"/>
      <c r="P1405" s="93"/>
      <c r="Q1405" s="93"/>
      <c r="R1405" s="69"/>
    </row>
    <row r="1406" spans="2:18">
      <c r="B1406" s="68"/>
      <c r="C1406" s="93"/>
      <c r="D1406" s="93"/>
      <c r="E1406" s="93"/>
      <c r="F1406" s="93"/>
      <c r="G1406" s="93"/>
      <c r="H1406" s="94"/>
      <c r="I1406" s="93"/>
      <c r="J1406" s="93"/>
      <c r="K1406" s="93"/>
      <c r="L1406" s="93"/>
      <c r="M1406" s="17"/>
      <c r="N1406" s="93"/>
      <c r="O1406" s="93"/>
      <c r="P1406" s="93"/>
      <c r="Q1406" s="93"/>
      <c r="R1406" s="69"/>
    </row>
    <row r="1407" spans="2:18">
      <c r="B1407" s="68"/>
      <c r="C1407" s="93"/>
      <c r="D1407" s="93"/>
      <c r="E1407" s="93"/>
      <c r="F1407" s="93"/>
      <c r="G1407" s="93"/>
      <c r="H1407" s="94"/>
      <c r="I1407" s="93"/>
      <c r="J1407" s="93"/>
      <c r="K1407" s="93"/>
      <c r="L1407" s="93"/>
      <c r="M1407" s="17"/>
      <c r="N1407" s="93"/>
      <c r="O1407" s="93"/>
      <c r="P1407" s="93"/>
      <c r="Q1407" s="93"/>
      <c r="R1407" s="69"/>
    </row>
    <row r="1408" spans="2:18">
      <c r="B1408" s="68"/>
      <c r="C1408" s="93"/>
      <c r="D1408" s="93"/>
      <c r="E1408" s="93"/>
      <c r="F1408" s="93"/>
      <c r="G1408" s="93"/>
      <c r="H1408" s="94"/>
      <c r="I1408" s="93"/>
      <c r="J1408" s="93"/>
      <c r="K1408" s="93"/>
      <c r="L1408" s="93"/>
      <c r="M1408" s="17"/>
      <c r="N1408" s="93"/>
      <c r="O1408" s="93"/>
      <c r="P1408" s="93"/>
      <c r="Q1408" s="93"/>
      <c r="R1408" s="69"/>
    </row>
    <row r="1409" spans="2:18">
      <c r="B1409" s="68"/>
      <c r="C1409" s="93"/>
      <c r="D1409" s="93"/>
      <c r="E1409" s="93"/>
      <c r="F1409" s="93"/>
      <c r="G1409" s="93"/>
      <c r="H1409" s="94"/>
      <c r="I1409" s="93"/>
      <c r="J1409" s="93"/>
      <c r="K1409" s="93"/>
      <c r="L1409" s="93"/>
      <c r="M1409" s="17"/>
      <c r="N1409" s="93"/>
      <c r="O1409" s="93"/>
      <c r="P1409" s="93"/>
      <c r="Q1409" s="93"/>
      <c r="R1409" s="69"/>
    </row>
    <row r="1410" spans="2:18">
      <c r="B1410" s="68"/>
      <c r="C1410" s="93"/>
      <c r="D1410" s="93"/>
      <c r="E1410" s="93"/>
      <c r="F1410" s="93"/>
      <c r="G1410" s="93"/>
      <c r="H1410" s="94"/>
      <c r="I1410" s="93"/>
      <c r="J1410" s="93"/>
      <c r="K1410" s="93"/>
      <c r="L1410" s="93"/>
      <c r="M1410" s="17"/>
      <c r="N1410" s="93"/>
      <c r="O1410" s="93"/>
      <c r="P1410" s="93"/>
      <c r="Q1410" s="93"/>
      <c r="R1410" s="69"/>
    </row>
    <row r="1411" spans="2:18">
      <c r="B1411" s="68"/>
      <c r="C1411" s="93"/>
      <c r="D1411" s="93"/>
      <c r="E1411" s="93"/>
      <c r="F1411" s="93"/>
      <c r="G1411" s="93"/>
      <c r="H1411" s="94"/>
      <c r="I1411" s="93"/>
      <c r="J1411" s="93"/>
      <c r="K1411" s="93"/>
      <c r="L1411" s="93"/>
      <c r="M1411" s="17"/>
      <c r="N1411" s="93"/>
      <c r="O1411" s="93"/>
      <c r="P1411" s="93"/>
      <c r="Q1411" s="93"/>
      <c r="R1411" s="69"/>
    </row>
    <row r="1412" spans="2:18">
      <c r="B1412" s="68"/>
      <c r="C1412" s="93"/>
      <c r="D1412" s="93"/>
      <c r="E1412" s="93"/>
      <c r="F1412" s="93"/>
      <c r="G1412" s="93"/>
      <c r="H1412" s="94"/>
      <c r="I1412" s="93"/>
      <c r="J1412" s="93"/>
      <c r="K1412" s="93"/>
      <c r="L1412" s="93"/>
      <c r="M1412" s="17"/>
      <c r="N1412" s="93"/>
      <c r="O1412" s="93"/>
      <c r="P1412" s="93"/>
      <c r="Q1412" s="93"/>
      <c r="R1412" s="69"/>
    </row>
    <row r="1413" spans="2:18">
      <c r="B1413" s="68"/>
      <c r="C1413" s="93"/>
      <c r="D1413" s="93"/>
      <c r="E1413" s="93"/>
      <c r="F1413" s="93"/>
      <c r="G1413" s="93"/>
      <c r="H1413" s="94"/>
      <c r="I1413" s="93"/>
      <c r="J1413" s="93"/>
      <c r="K1413" s="93"/>
      <c r="L1413" s="93"/>
      <c r="M1413" s="17"/>
      <c r="N1413" s="93"/>
      <c r="O1413" s="93"/>
      <c r="P1413" s="93"/>
      <c r="Q1413" s="93"/>
      <c r="R1413" s="69"/>
    </row>
    <row r="1414" spans="2:18">
      <c r="B1414" s="68"/>
      <c r="C1414" s="93"/>
      <c r="D1414" s="93"/>
      <c r="E1414" s="93"/>
      <c r="F1414" s="93"/>
      <c r="G1414" s="93"/>
      <c r="H1414" s="94"/>
      <c r="I1414" s="93"/>
      <c r="J1414" s="93"/>
      <c r="K1414" s="93"/>
      <c r="L1414" s="93"/>
      <c r="M1414" s="17"/>
      <c r="N1414" s="93"/>
      <c r="O1414" s="93"/>
      <c r="P1414" s="93"/>
      <c r="Q1414" s="93"/>
      <c r="R1414" s="69"/>
    </row>
    <row r="1415" spans="2:18">
      <c r="B1415" s="68"/>
      <c r="C1415" s="93"/>
      <c r="D1415" s="93"/>
      <c r="E1415" s="93"/>
      <c r="F1415" s="93"/>
      <c r="G1415" s="93"/>
      <c r="H1415" s="94"/>
      <c r="I1415" s="93"/>
      <c r="J1415" s="93"/>
      <c r="K1415" s="93"/>
      <c r="L1415" s="93"/>
      <c r="M1415" s="17"/>
      <c r="N1415" s="93"/>
      <c r="O1415" s="93"/>
      <c r="P1415" s="93"/>
      <c r="Q1415" s="93"/>
      <c r="R1415" s="69"/>
    </row>
    <row r="1416" spans="2:18">
      <c r="B1416" s="68"/>
      <c r="C1416" s="93"/>
      <c r="D1416" s="93"/>
      <c r="E1416" s="93"/>
      <c r="F1416" s="93"/>
      <c r="G1416" s="93"/>
      <c r="H1416" s="94"/>
      <c r="I1416" s="93"/>
      <c r="J1416" s="93"/>
      <c r="K1416" s="93"/>
      <c r="L1416" s="93"/>
      <c r="M1416" s="17"/>
      <c r="N1416" s="93"/>
      <c r="O1416" s="93"/>
      <c r="P1416" s="93"/>
      <c r="Q1416" s="93"/>
      <c r="R1416" s="69"/>
    </row>
    <row r="1417" spans="2:18">
      <c r="B1417" s="68"/>
      <c r="C1417" s="93"/>
      <c r="D1417" s="93"/>
      <c r="E1417" s="93"/>
      <c r="F1417" s="93"/>
      <c r="G1417" s="93"/>
      <c r="H1417" s="94"/>
      <c r="I1417" s="93"/>
      <c r="J1417" s="93"/>
      <c r="K1417" s="93"/>
      <c r="L1417" s="93"/>
      <c r="M1417" s="17"/>
      <c r="N1417" s="93"/>
      <c r="O1417" s="93"/>
      <c r="P1417" s="93"/>
      <c r="Q1417" s="93"/>
      <c r="R1417" s="69"/>
    </row>
    <row r="1418" spans="2:18">
      <c r="B1418" s="68"/>
      <c r="C1418" s="93"/>
      <c r="D1418" s="93"/>
      <c r="E1418" s="93"/>
      <c r="F1418" s="93"/>
      <c r="G1418" s="93"/>
      <c r="H1418" s="94"/>
      <c r="I1418" s="93"/>
      <c r="J1418" s="93"/>
      <c r="K1418" s="93"/>
      <c r="L1418" s="93"/>
      <c r="M1418" s="17"/>
      <c r="N1418" s="93"/>
      <c r="O1418" s="93"/>
      <c r="P1418" s="93"/>
      <c r="Q1418" s="93"/>
      <c r="R1418" s="69"/>
    </row>
    <row r="1419" spans="2:18">
      <c r="B1419" s="68"/>
      <c r="C1419" s="93"/>
      <c r="D1419" s="93"/>
      <c r="E1419" s="93"/>
      <c r="F1419" s="93"/>
      <c r="G1419" s="93"/>
      <c r="H1419" s="94"/>
      <c r="I1419" s="93"/>
      <c r="J1419" s="93"/>
      <c r="K1419" s="93"/>
      <c r="L1419" s="93"/>
      <c r="M1419" s="17"/>
      <c r="N1419" s="93"/>
      <c r="O1419" s="93"/>
      <c r="P1419" s="93"/>
      <c r="Q1419" s="93"/>
      <c r="R1419" s="69"/>
    </row>
    <row r="1420" spans="2:18">
      <c r="B1420" s="68"/>
      <c r="C1420" s="93"/>
      <c r="D1420" s="93"/>
      <c r="E1420" s="93"/>
      <c r="F1420" s="93"/>
      <c r="G1420" s="93"/>
      <c r="H1420" s="94"/>
      <c r="I1420" s="93"/>
      <c r="J1420" s="93"/>
      <c r="K1420" s="93"/>
      <c r="L1420" s="93"/>
      <c r="M1420" s="17"/>
      <c r="N1420" s="93"/>
      <c r="O1420" s="93"/>
      <c r="P1420" s="93"/>
      <c r="Q1420" s="93"/>
      <c r="R1420" s="69"/>
    </row>
    <row r="1421" spans="2:18">
      <c r="B1421" s="68"/>
      <c r="C1421" s="93"/>
      <c r="D1421" s="93"/>
      <c r="E1421" s="93"/>
      <c r="F1421" s="93"/>
      <c r="G1421" s="93"/>
      <c r="H1421" s="94"/>
      <c r="I1421" s="93"/>
      <c r="J1421" s="93"/>
      <c r="K1421" s="93"/>
      <c r="L1421" s="93"/>
      <c r="M1421" s="17"/>
      <c r="N1421" s="93"/>
      <c r="O1421" s="93"/>
      <c r="P1421" s="93"/>
      <c r="Q1421" s="93"/>
      <c r="R1421" s="69"/>
    </row>
    <row r="1422" spans="2:18">
      <c r="B1422" s="68"/>
      <c r="C1422" s="93"/>
      <c r="D1422" s="93"/>
      <c r="E1422" s="93"/>
      <c r="F1422" s="93"/>
      <c r="G1422" s="93"/>
      <c r="H1422" s="94"/>
      <c r="I1422" s="93"/>
      <c r="J1422" s="93"/>
      <c r="K1422" s="93"/>
      <c r="L1422" s="93"/>
      <c r="M1422" s="17"/>
      <c r="N1422" s="93"/>
      <c r="O1422" s="93"/>
      <c r="P1422" s="93"/>
      <c r="Q1422" s="93"/>
      <c r="R1422" s="69"/>
    </row>
    <row r="1423" spans="2:18">
      <c r="B1423" s="68"/>
      <c r="C1423" s="93"/>
      <c r="D1423" s="93"/>
      <c r="E1423" s="93"/>
      <c r="F1423" s="93"/>
      <c r="G1423" s="93"/>
      <c r="H1423" s="94"/>
      <c r="I1423" s="93"/>
      <c r="J1423" s="93"/>
      <c r="K1423" s="93"/>
      <c r="L1423" s="93"/>
      <c r="M1423" s="17"/>
      <c r="N1423" s="93"/>
      <c r="O1423" s="93"/>
      <c r="P1423" s="93"/>
      <c r="Q1423" s="93"/>
      <c r="R1423" s="69"/>
    </row>
    <row r="1424" spans="2:18">
      <c r="B1424" s="68"/>
      <c r="C1424" s="93"/>
      <c r="D1424" s="93"/>
      <c r="E1424" s="93"/>
      <c r="F1424" s="93"/>
      <c r="G1424" s="93"/>
      <c r="H1424" s="94"/>
      <c r="I1424" s="93"/>
      <c r="J1424" s="93"/>
      <c r="K1424" s="93"/>
      <c r="L1424" s="93"/>
      <c r="M1424" s="17"/>
      <c r="N1424" s="93"/>
      <c r="O1424" s="93"/>
      <c r="P1424" s="93"/>
      <c r="Q1424" s="93"/>
      <c r="R1424" s="69"/>
    </row>
    <row r="1425" spans="2:18">
      <c r="B1425" s="68"/>
      <c r="C1425" s="93"/>
      <c r="D1425" s="93"/>
      <c r="E1425" s="93"/>
      <c r="F1425" s="93"/>
      <c r="G1425" s="93"/>
      <c r="H1425" s="94"/>
      <c r="I1425" s="93"/>
      <c r="J1425" s="93"/>
      <c r="K1425" s="93"/>
      <c r="L1425" s="93"/>
      <c r="M1425" s="17"/>
      <c r="N1425" s="93"/>
      <c r="O1425" s="93"/>
      <c r="P1425" s="93"/>
      <c r="Q1425" s="93"/>
      <c r="R1425" s="69"/>
    </row>
    <row r="1426" spans="2:18">
      <c r="B1426" s="68"/>
      <c r="C1426" s="93"/>
      <c r="D1426" s="93"/>
      <c r="E1426" s="93"/>
      <c r="F1426" s="93"/>
      <c r="G1426" s="93"/>
      <c r="H1426" s="94"/>
      <c r="I1426" s="93"/>
      <c r="J1426" s="93"/>
      <c r="K1426" s="93"/>
      <c r="L1426" s="93"/>
      <c r="M1426" s="17"/>
      <c r="N1426" s="93"/>
      <c r="O1426" s="93"/>
      <c r="P1426" s="93"/>
      <c r="Q1426" s="93"/>
      <c r="R1426" s="69"/>
    </row>
    <row r="1427" spans="2:18">
      <c r="B1427" s="68"/>
      <c r="C1427" s="93"/>
      <c r="D1427" s="93"/>
      <c r="E1427" s="93"/>
      <c r="F1427" s="93"/>
      <c r="G1427" s="93"/>
      <c r="H1427" s="94"/>
      <c r="I1427" s="93"/>
      <c r="J1427" s="93"/>
      <c r="K1427" s="93"/>
      <c r="L1427" s="93"/>
      <c r="M1427" s="17"/>
      <c r="N1427" s="93"/>
      <c r="O1427" s="93"/>
      <c r="P1427" s="93"/>
      <c r="Q1427" s="93"/>
      <c r="R1427" s="69"/>
    </row>
    <row r="1428" spans="2:18">
      <c r="B1428" s="68"/>
      <c r="C1428" s="93"/>
      <c r="D1428" s="93"/>
      <c r="E1428" s="93"/>
      <c r="F1428" s="93"/>
      <c r="G1428" s="93"/>
      <c r="H1428" s="94"/>
      <c r="I1428" s="93"/>
      <c r="J1428" s="93"/>
      <c r="K1428" s="93"/>
      <c r="L1428" s="93"/>
      <c r="M1428" s="17"/>
      <c r="N1428" s="93"/>
      <c r="O1428" s="93"/>
      <c r="P1428" s="93"/>
      <c r="Q1428" s="93"/>
      <c r="R1428" s="69"/>
    </row>
    <row r="1429" spans="2:18">
      <c r="B1429" s="68"/>
      <c r="C1429" s="93"/>
      <c r="D1429" s="93"/>
      <c r="E1429" s="93"/>
      <c r="F1429" s="93"/>
      <c r="G1429" s="93"/>
      <c r="H1429" s="94"/>
      <c r="I1429" s="93"/>
      <c r="J1429" s="93"/>
      <c r="K1429" s="93"/>
      <c r="L1429" s="93"/>
      <c r="M1429" s="17"/>
      <c r="N1429" s="93"/>
      <c r="O1429" s="93"/>
      <c r="P1429" s="93"/>
      <c r="Q1429" s="93"/>
      <c r="R1429" s="69"/>
    </row>
    <row r="1430" spans="2:18">
      <c r="B1430" s="68"/>
      <c r="C1430" s="93"/>
      <c r="D1430" s="93"/>
      <c r="E1430" s="93"/>
      <c r="F1430" s="93"/>
      <c r="G1430" s="93"/>
      <c r="H1430" s="94"/>
      <c r="I1430" s="93"/>
      <c r="J1430" s="93"/>
      <c r="K1430" s="93"/>
      <c r="L1430" s="93"/>
      <c r="M1430" s="17"/>
      <c r="N1430" s="93"/>
      <c r="O1430" s="93"/>
      <c r="P1430" s="93"/>
      <c r="Q1430" s="93"/>
      <c r="R1430" s="69"/>
    </row>
    <row r="1431" spans="2:18">
      <c r="B1431" s="68"/>
      <c r="C1431" s="93"/>
      <c r="D1431" s="93"/>
      <c r="E1431" s="93"/>
      <c r="F1431" s="93"/>
      <c r="G1431" s="93"/>
      <c r="H1431" s="94"/>
      <c r="I1431" s="93"/>
      <c r="J1431" s="93"/>
      <c r="K1431" s="93"/>
      <c r="L1431" s="93"/>
      <c r="M1431" s="17"/>
      <c r="N1431" s="93"/>
      <c r="O1431" s="93"/>
      <c r="P1431" s="93"/>
      <c r="Q1431" s="93"/>
      <c r="R1431" s="69"/>
    </row>
    <row r="1432" spans="2:18">
      <c r="B1432" s="68"/>
      <c r="C1432" s="93"/>
      <c r="D1432" s="93"/>
      <c r="E1432" s="93"/>
      <c r="F1432" s="93"/>
      <c r="G1432" s="93"/>
      <c r="H1432" s="94"/>
      <c r="I1432" s="93"/>
      <c r="J1432" s="93"/>
      <c r="K1432" s="93"/>
      <c r="L1432" s="93"/>
      <c r="M1432" s="17"/>
      <c r="N1432" s="93"/>
      <c r="O1432" s="93"/>
      <c r="P1432" s="93"/>
      <c r="Q1432" s="93"/>
      <c r="R1432" s="69"/>
    </row>
    <row r="1433" spans="2:18">
      <c r="B1433" s="68"/>
      <c r="C1433" s="93"/>
      <c r="D1433" s="93"/>
      <c r="E1433" s="93"/>
      <c r="F1433" s="93"/>
      <c r="G1433" s="93"/>
      <c r="H1433" s="94"/>
      <c r="I1433" s="93"/>
      <c r="J1433" s="93"/>
      <c r="K1433" s="93"/>
      <c r="L1433" s="93"/>
      <c r="M1433" s="17"/>
      <c r="N1433" s="93"/>
      <c r="O1433" s="93"/>
      <c r="P1433" s="93"/>
      <c r="Q1433" s="93"/>
      <c r="R1433" s="69"/>
    </row>
    <row r="1434" spans="2:18">
      <c r="B1434" s="68"/>
      <c r="C1434" s="93"/>
      <c r="D1434" s="93"/>
      <c r="E1434" s="93"/>
      <c r="F1434" s="93"/>
      <c r="G1434" s="93"/>
      <c r="H1434" s="94"/>
      <c r="I1434" s="93"/>
      <c r="J1434" s="93"/>
      <c r="K1434" s="93"/>
      <c r="L1434" s="93"/>
      <c r="M1434" s="17"/>
      <c r="N1434" s="93"/>
      <c r="O1434" s="93"/>
      <c r="P1434" s="93"/>
      <c r="Q1434" s="93"/>
      <c r="R1434" s="69"/>
    </row>
    <row r="1435" spans="2:18">
      <c r="B1435" s="68"/>
      <c r="C1435" s="93"/>
      <c r="D1435" s="93"/>
      <c r="E1435" s="93"/>
      <c r="F1435" s="93"/>
      <c r="G1435" s="93"/>
      <c r="H1435" s="94"/>
      <c r="I1435" s="93"/>
      <c r="J1435" s="93"/>
      <c r="K1435" s="93"/>
      <c r="L1435" s="93"/>
      <c r="M1435" s="17"/>
      <c r="N1435" s="93"/>
      <c r="O1435" s="93"/>
      <c r="P1435" s="93"/>
      <c r="Q1435" s="93"/>
      <c r="R1435" s="69"/>
    </row>
    <row r="1436" spans="2:18">
      <c r="B1436" s="68"/>
      <c r="C1436" s="93"/>
      <c r="D1436" s="93"/>
      <c r="E1436" s="93"/>
      <c r="F1436" s="93"/>
      <c r="G1436" s="93"/>
      <c r="H1436" s="94"/>
      <c r="I1436" s="93"/>
      <c r="J1436" s="93"/>
      <c r="K1436" s="93"/>
      <c r="L1436" s="93"/>
      <c r="M1436" s="17"/>
      <c r="N1436" s="93"/>
      <c r="O1436" s="93"/>
      <c r="P1436" s="93"/>
      <c r="Q1436" s="93"/>
      <c r="R1436" s="69"/>
    </row>
    <row r="1437" spans="2:18">
      <c r="B1437" s="68"/>
      <c r="C1437" s="93"/>
      <c r="D1437" s="93"/>
      <c r="E1437" s="93"/>
      <c r="F1437" s="93"/>
      <c r="G1437" s="93"/>
      <c r="H1437" s="94"/>
      <c r="I1437" s="93"/>
      <c r="J1437" s="93"/>
      <c r="K1437" s="93"/>
      <c r="L1437" s="93"/>
      <c r="M1437" s="17"/>
      <c r="N1437" s="93"/>
      <c r="O1437" s="93"/>
      <c r="P1437" s="93"/>
      <c r="Q1437" s="93"/>
      <c r="R1437" s="69"/>
    </row>
    <row r="1438" spans="2:18">
      <c r="B1438" s="68"/>
      <c r="C1438" s="93"/>
      <c r="D1438" s="93"/>
      <c r="E1438" s="93"/>
      <c r="F1438" s="93"/>
      <c r="G1438" s="93"/>
      <c r="H1438" s="94"/>
      <c r="I1438" s="93"/>
      <c r="J1438" s="93"/>
      <c r="K1438" s="93"/>
      <c r="L1438" s="93"/>
      <c r="M1438" s="17"/>
      <c r="N1438" s="93"/>
      <c r="O1438" s="93"/>
      <c r="P1438" s="93"/>
      <c r="Q1438" s="93"/>
      <c r="R1438" s="69"/>
    </row>
    <row r="1439" spans="2:18">
      <c r="B1439" s="68"/>
      <c r="C1439" s="93"/>
      <c r="D1439" s="93"/>
      <c r="E1439" s="93"/>
      <c r="F1439" s="93"/>
      <c r="G1439" s="93"/>
      <c r="H1439" s="94"/>
      <c r="I1439" s="93"/>
      <c r="J1439" s="93"/>
      <c r="K1439" s="93"/>
      <c r="L1439" s="93"/>
      <c r="M1439" s="17"/>
      <c r="N1439" s="93"/>
      <c r="O1439" s="93"/>
      <c r="P1439" s="93"/>
      <c r="Q1439" s="93"/>
      <c r="R1439" s="69"/>
    </row>
    <row r="1440" spans="2:18">
      <c r="B1440" s="68"/>
      <c r="C1440" s="93"/>
      <c r="D1440" s="93"/>
      <c r="E1440" s="93"/>
      <c r="F1440" s="93"/>
      <c r="G1440" s="93"/>
      <c r="H1440" s="94"/>
      <c r="I1440" s="93"/>
      <c r="J1440" s="93"/>
      <c r="K1440" s="93"/>
      <c r="L1440" s="93"/>
      <c r="M1440" s="17"/>
      <c r="N1440" s="93"/>
      <c r="O1440" s="93"/>
      <c r="P1440" s="93"/>
      <c r="Q1440" s="93"/>
      <c r="R1440" s="69"/>
    </row>
    <row r="1441" spans="2:18">
      <c r="B1441" s="68"/>
      <c r="C1441" s="93"/>
      <c r="D1441" s="93"/>
      <c r="E1441" s="93"/>
      <c r="F1441" s="93"/>
      <c r="G1441" s="93"/>
      <c r="H1441" s="94"/>
      <c r="I1441" s="93"/>
      <c r="J1441" s="93"/>
      <c r="K1441" s="93"/>
      <c r="L1441" s="93"/>
      <c r="M1441" s="17"/>
      <c r="N1441" s="93"/>
      <c r="O1441" s="93"/>
      <c r="P1441" s="93"/>
      <c r="Q1441" s="93"/>
      <c r="R1441" s="69"/>
    </row>
    <row r="1442" spans="2:18">
      <c r="B1442" s="68"/>
      <c r="C1442" s="93"/>
      <c r="D1442" s="93"/>
      <c r="E1442" s="93"/>
      <c r="F1442" s="93"/>
      <c r="G1442" s="93"/>
      <c r="H1442" s="94"/>
      <c r="I1442" s="93"/>
      <c r="J1442" s="93"/>
      <c r="K1442" s="93"/>
      <c r="L1442" s="93"/>
      <c r="M1442" s="17"/>
      <c r="N1442" s="93"/>
      <c r="O1442" s="93"/>
      <c r="P1442" s="93"/>
      <c r="Q1442" s="93"/>
      <c r="R1442" s="69"/>
    </row>
    <row r="1443" spans="2:18">
      <c r="B1443" s="68"/>
      <c r="C1443" s="93"/>
      <c r="D1443" s="93"/>
      <c r="E1443" s="93"/>
      <c r="F1443" s="93"/>
      <c r="G1443" s="93"/>
      <c r="H1443" s="94"/>
      <c r="I1443" s="93"/>
      <c r="J1443" s="93"/>
      <c r="K1443" s="93"/>
      <c r="L1443" s="93"/>
      <c r="M1443" s="17"/>
      <c r="N1443" s="93"/>
      <c r="O1443" s="93"/>
      <c r="P1443" s="93"/>
      <c r="Q1443" s="93"/>
      <c r="R1443" s="69"/>
    </row>
    <row r="1444" spans="2:18">
      <c r="B1444" s="68"/>
      <c r="C1444" s="93"/>
      <c r="D1444" s="93"/>
      <c r="E1444" s="93"/>
      <c r="F1444" s="93"/>
      <c r="G1444" s="93"/>
      <c r="H1444" s="94"/>
      <c r="I1444" s="93"/>
      <c r="J1444" s="93"/>
      <c r="K1444" s="93"/>
      <c r="L1444" s="93"/>
      <c r="M1444" s="17"/>
      <c r="N1444" s="93"/>
      <c r="O1444" s="93"/>
      <c r="P1444" s="93"/>
      <c r="Q1444" s="93"/>
      <c r="R1444" s="69"/>
    </row>
    <row r="1445" spans="2:18">
      <c r="B1445" s="68"/>
      <c r="C1445" s="93"/>
      <c r="D1445" s="93"/>
      <c r="E1445" s="93"/>
      <c r="F1445" s="93"/>
      <c r="G1445" s="93"/>
      <c r="H1445" s="94"/>
      <c r="I1445" s="93"/>
      <c r="J1445" s="93"/>
      <c r="K1445" s="93"/>
      <c r="L1445" s="93"/>
      <c r="M1445" s="17"/>
      <c r="N1445" s="93"/>
      <c r="O1445" s="93"/>
      <c r="P1445" s="93"/>
      <c r="Q1445" s="93"/>
      <c r="R1445" s="69"/>
    </row>
    <row r="1446" spans="2:18">
      <c r="B1446" s="68"/>
      <c r="C1446" s="93"/>
      <c r="D1446" s="93"/>
      <c r="E1446" s="93"/>
      <c r="F1446" s="93"/>
      <c r="G1446" s="93"/>
      <c r="H1446" s="94"/>
      <c r="I1446" s="93"/>
      <c r="J1446" s="93"/>
      <c r="K1446" s="93"/>
      <c r="L1446" s="93"/>
      <c r="M1446" s="17"/>
      <c r="N1446" s="93"/>
      <c r="O1446" s="93"/>
      <c r="P1446" s="93"/>
      <c r="Q1446" s="93"/>
      <c r="R1446" s="69"/>
    </row>
    <row r="1447" spans="2:18">
      <c r="B1447" s="68"/>
      <c r="C1447" s="93"/>
      <c r="D1447" s="93"/>
      <c r="E1447" s="93"/>
      <c r="F1447" s="93"/>
      <c r="G1447" s="93"/>
      <c r="H1447" s="94"/>
      <c r="I1447" s="93"/>
      <c r="J1447" s="93"/>
      <c r="K1447" s="93"/>
      <c r="L1447" s="93"/>
      <c r="M1447" s="17"/>
      <c r="N1447" s="93"/>
      <c r="O1447" s="93"/>
      <c r="P1447" s="93"/>
      <c r="Q1447" s="93"/>
      <c r="R1447" s="69"/>
    </row>
    <row r="1448" spans="2:18">
      <c r="B1448" s="68"/>
      <c r="C1448" s="93"/>
      <c r="D1448" s="93"/>
      <c r="E1448" s="93"/>
      <c r="F1448" s="93"/>
      <c r="G1448" s="93"/>
      <c r="H1448" s="94"/>
      <c r="I1448" s="93"/>
      <c r="J1448" s="93"/>
      <c r="K1448" s="93"/>
      <c r="L1448" s="93"/>
      <c r="M1448" s="17"/>
      <c r="N1448" s="93"/>
      <c r="O1448" s="93"/>
      <c r="P1448" s="93"/>
      <c r="Q1448" s="93"/>
      <c r="R1448" s="69"/>
    </row>
    <row r="1449" spans="2:18">
      <c r="B1449" s="68"/>
      <c r="C1449" s="93"/>
      <c r="D1449" s="93"/>
      <c r="E1449" s="93"/>
      <c r="F1449" s="93"/>
      <c r="G1449" s="93"/>
      <c r="H1449" s="94"/>
      <c r="I1449" s="93"/>
      <c r="J1449" s="93"/>
      <c r="K1449" s="93"/>
      <c r="L1449" s="93"/>
      <c r="M1449" s="17"/>
      <c r="N1449" s="93"/>
      <c r="O1449" s="93"/>
      <c r="P1449" s="93"/>
      <c r="Q1449" s="93"/>
      <c r="R1449" s="69"/>
    </row>
    <row r="1450" spans="2:18">
      <c r="B1450" s="68"/>
      <c r="C1450" s="93"/>
      <c r="D1450" s="93"/>
      <c r="E1450" s="93"/>
      <c r="F1450" s="93"/>
      <c r="G1450" s="93"/>
      <c r="H1450" s="94"/>
      <c r="I1450" s="93"/>
      <c r="J1450" s="93"/>
      <c r="K1450" s="93"/>
      <c r="L1450" s="93"/>
      <c r="M1450" s="17"/>
      <c r="N1450" s="93"/>
      <c r="O1450" s="93"/>
      <c r="P1450" s="93"/>
      <c r="Q1450" s="93"/>
      <c r="R1450" s="69"/>
    </row>
    <row r="1451" spans="2:18">
      <c r="B1451" s="68"/>
      <c r="C1451" s="93"/>
      <c r="D1451" s="93"/>
      <c r="E1451" s="93"/>
      <c r="F1451" s="93"/>
      <c r="G1451" s="93"/>
      <c r="H1451" s="94"/>
      <c r="I1451" s="93"/>
      <c r="J1451" s="93"/>
      <c r="K1451" s="93"/>
      <c r="L1451" s="93"/>
      <c r="M1451" s="17"/>
      <c r="N1451" s="93"/>
      <c r="O1451" s="93"/>
      <c r="P1451" s="93"/>
      <c r="Q1451" s="93"/>
      <c r="R1451" s="69"/>
    </row>
    <row r="1452" spans="2:18">
      <c r="B1452" s="68"/>
      <c r="C1452" s="93"/>
      <c r="D1452" s="93"/>
      <c r="E1452" s="93"/>
      <c r="F1452" s="93"/>
      <c r="G1452" s="93"/>
      <c r="H1452" s="94"/>
      <c r="I1452" s="93"/>
      <c r="J1452" s="93"/>
      <c r="K1452" s="93"/>
      <c r="L1452" s="93"/>
      <c r="M1452" s="17"/>
      <c r="N1452" s="93"/>
      <c r="O1452" s="93"/>
      <c r="P1452" s="93"/>
      <c r="Q1452" s="93"/>
      <c r="R1452" s="69"/>
    </row>
    <row r="1453" spans="2:18">
      <c r="B1453" s="68"/>
      <c r="C1453" s="93"/>
      <c r="D1453" s="93"/>
      <c r="E1453" s="93"/>
      <c r="F1453" s="93"/>
      <c r="G1453" s="93"/>
      <c r="H1453" s="94"/>
      <c r="I1453" s="93"/>
      <c r="J1453" s="93"/>
      <c r="K1453" s="93"/>
      <c r="L1453" s="93"/>
      <c r="M1453" s="17"/>
      <c r="N1453" s="93"/>
      <c r="O1453" s="93"/>
      <c r="P1453" s="93"/>
      <c r="Q1453" s="93"/>
      <c r="R1453" s="69"/>
    </row>
    <row r="1454" spans="2:18">
      <c r="B1454" s="68"/>
      <c r="C1454" s="93"/>
      <c r="D1454" s="93"/>
      <c r="E1454" s="93"/>
      <c r="F1454" s="93"/>
      <c r="G1454" s="93"/>
      <c r="H1454" s="94"/>
      <c r="I1454" s="93"/>
      <c r="J1454" s="93"/>
      <c r="K1454" s="93"/>
      <c r="L1454" s="93"/>
      <c r="M1454" s="17"/>
      <c r="N1454" s="93"/>
      <c r="O1454" s="93"/>
      <c r="P1454" s="93"/>
      <c r="Q1454" s="93"/>
      <c r="R1454" s="69"/>
    </row>
    <row r="1455" spans="2:18">
      <c r="B1455" s="68"/>
      <c r="C1455" s="93"/>
      <c r="D1455" s="93"/>
      <c r="E1455" s="93"/>
      <c r="F1455" s="93"/>
      <c r="G1455" s="93"/>
      <c r="H1455" s="94"/>
      <c r="I1455" s="93"/>
      <c r="J1455" s="93"/>
      <c r="K1455" s="93"/>
      <c r="L1455" s="93"/>
      <c r="M1455" s="17"/>
      <c r="N1455" s="93"/>
      <c r="O1455" s="93"/>
      <c r="P1455" s="93"/>
      <c r="Q1455" s="93"/>
      <c r="R1455" s="69"/>
    </row>
    <row r="1456" spans="2:18">
      <c r="B1456" s="68"/>
      <c r="C1456" s="93"/>
      <c r="D1456" s="93"/>
      <c r="E1456" s="93"/>
      <c r="F1456" s="93"/>
      <c r="G1456" s="93"/>
      <c r="H1456" s="94"/>
      <c r="I1456" s="93"/>
      <c r="J1456" s="93"/>
      <c r="K1456" s="93"/>
      <c r="L1456" s="93"/>
      <c r="M1456" s="17"/>
      <c r="N1456" s="93"/>
      <c r="O1456" s="93"/>
      <c r="P1456" s="93"/>
      <c r="Q1456" s="93"/>
      <c r="R1456" s="69"/>
    </row>
    <row r="1457" spans="2:18">
      <c r="B1457" s="68"/>
      <c r="C1457" s="93"/>
      <c r="D1457" s="93"/>
      <c r="E1457" s="93"/>
      <c r="F1457" s="93"/>
      <c r="G1457" s="93"/>
      <c r="H1457" s="94"/>
      <c r="I1457" s="93"/>
      <c r="J1457" s="93"/>
      <c r="K1457" s="93"/>
      <c r="L1457" s="93"/>
      <c r="M1457" s="17"/>
      <c r="N1457" s="93"/>
      <c r="O1457" s="93"/>
      <c r="P1457" s="93"/>
      <c r="Q1457" s="93"/>
      <c r="R1457" s="69"/>
    </row>
    <row r="1458" spans="2:18">
      <c r="B1458" s="68"/>
      <c r="C1458" s="93"/>
      <c r="D1458" s="93"/>
      <c r="E1458" s="93"/>
      <c r="F1458" s="93"/>
      <c r="G1458" s="93"/>
      <c r="H1458" s="94"/>
      <c r="I1458" s="93"/>
      <c r="J1458" s="93"/>
      <c r="K1458" s="93"/>
      <c r="L1458" s="93"/>
      <c r="M1458" s="17"/>
      <c r="N1458" s="93"/>
      <c r="O1458" s="93"/>
      <c r="P1458" s="93"/>
      <c r="Q1458" s="93"/>
      <c r="R1458" s="69"/>
    </row>
    <row r="1459" spans="2:18">
      <c r="B1459" s="68"/>
      <c r="C1459" s="93"/>
      <c r="D1459" s="93"/>
      <c r="E1459" s="93"/>
      <c r="F1459" s="93"/>
      <c r="G1459" s="93"/>
      <c r="H1459" s="94"/>
      <c r="I1459" s="93"/>
      <c r="J1459" s="93"/>
      <c r="K1459" s="93"/>
      <c r="L1459" s="93"/>
      <c r="M1459" s="17"/>
      <c r="N1459" s="93"/>
      <c r="O1459" s="93"/>
      <c r="P1459" s="93"/>
      <c r="Q1459" s="93"/>
      <c r="R1459" s="69"/>
    </row>
    <row r="1460" spans="2:18">
      <c r="B1460" s="68"/>
      <c r="C1460" s="93"/>
      <c r="D1460" s="93"/>
      <c r="E1460" s="93"/>
      <c r="F1460" s="93"/>
      <c r="G1460" s="93"/>
      <c r="H1460" s="94"/>
      <c r="I1460" s="93"/>
      <c r="J1460" s="93"/>
      <c r="K1460" s="93"/>
      <c r="L1460" s="93"/>
      <c r="M1460" s="17"/>
      <c r="N1460" s="93"/>
      <c r="O1460" s="93"/>
      <c r="P1460" s="93"/>
      <c r="Q1460" s="93"/>
      <c r="R1460" s="69"/>
    </row>
    <row r="1461" spans="2:18">
      <c r="B1461" s="68"/>
      <c r="C1461" s="93"/>
      <c r="D1461" s="93"/>
      <c r="E1461" s="93"/>
      <c r="F1461" s="93"/>
      <c r="G1461" s="93"/>
      <c r="H1461" s="94"/>
      <c r="I1461" s="93"/>
      <c r="J1461" s="93"/>
      <c r="K1461" s="93"/>
      <c r="L1461" s="93"/>
      <c r="M1461" s="17"/>
      <c r="N1461" s="93"/>
      <c r="O1461" s="93"/>
      <c r="P1461" s="93"/>
      <c r="Q1461" s="93"/>
      <c r="R1461" s="69"/>
    </row>
    <row r="1462" spans="2:18">
      <c r="B1462" s="68"/>
      <c r="C1462" s="93"/>
      <c r="D1462" s="93"/>
      <c r="E1462" s="93"/>
      <c r="F1462" s="93"/>
      <c r="G1462" s="93"/>
      <c r="H1462" s="94"/>
      <c r="I1462" s="93"/>
      <c r="J1462" s="93"/>
      <c r="K1462" s="93"/>
      <c r="L1462" s="93"/>
      <c r="M1462" s="17"/>
      <c r="N1462" s="93"/>
      <c r="O1462" s="93"/>
      <c r="P1462" s="93"/>
      <c r="Q1462" s="93"/>
      <c r="R1462" s="69"/>
    </row>
    <row r="1463" spans="2:18">
      <c r="B1463" s="68"/>
      <c r="C1463" s="93"/>
      <c r="D1463" s="93"/>
      <c r="E1463" s="93"/>
      <c r="F1463" s="93"/>
      <c r="G1463" s="93"/>
      <c r="H1463" s="94"/>
      <c r="I1463" s="93"/>
      <c r="J1463" s="93"/>
      <c r="K1463" s="93"/>
      <c r="L1463" s="93"/>
      <c r="M1463" s="17"/>
      <c r="N1463" s="93"/>
      <c r="O1463" s="93"/>
      <c r="P1463" s="93"/>
      <c r="Q1463" s="93"/>
      <c r="R1463" s="69"/>
    </row>
    <row r="1464" spans="2:18">
      <c r="B1464" s="68"/>
      <c r="C1464" s="93"/>
      <c r="D1464" s="93"/>
      <c r="E1464" s="93"/>
      <c r="F1464" s="93"/>
      <c r="G1464" s="93"/>
      <c r="H1464" s="94"/>
      <c r="I1464" s="93"/>
      <c r="J1464" s="93"/>
      <c r="K1464" s="93"/>
      <c r="L1464" s="93"/>
      <c r="M1464" s="17"/>
      <c r="N1464" s="93"/>
      <c r="O1464" s="93"/>
      <c r="P1464" s="93"/>
      <c r="Q1464" s="93"/>
      <c r="R1464" s="69"/>
    </row>
    <row r="1465" spans="2:18">
      <c r="B1465" s="68"/>
      <c r="C1465" s="93"/>
      <c r="D1465" s="93"/>
      <c r="E1465" s="93"/>
      <c r="F1465" s="93"/>
      <c r="G1465" s="93"/>
      <c r="H1465" s="94"/>
      <c r="I1465" s="93"/>
      <c r="J1465" s="93"/>
      <c r="K1465" s="93"/>
      <c r="L1465" s="93"/>
      <c r="M1465" s="17"/>
      <c r="N1465" s="93"/>
      <c r="O1465" s="93"/>
      <c r="P1465" s="93"/>
      <c r="Q1465" s="93"/>
      <c r="R1465" s="69"/>
    </row>
    <row r="1466" spans="2:18">
      <c r="B1466" s="68"/>
      <c r="C1466" s="93"/>
      <c r="D1466" s="93"/>
      <c r="E1466" s="93"/>
      <c r="F1466" s="93"/>
      <c r="G1466" s="93"/>
      <c r="H1466" s="94"/>
      <c r="I1466" s="93"/>
      <c r="J1466" s="93"/>
      <c r="K1466" s="93"/>
      <c r="L1466" s="93"/>
      <c r="M1466" s="17"/>
      <c r="N1466" s="93"/>
      <c r="O1466" s="93"/>
      <c r="P1466" s="93"/>
      <c r="Q1466" s="93"/>
      <c r="R1466" s="69"/>
    </row>
    <row r="1467" spans="2:18">
      <c r="B1467" s="68"/>
      <c r="C1467" s="93"/>
      <c r="D1467" s="93"/>
      <c r="E1467" s="93"/>
      <c r="F1467" s="93"/>
      <c r="G1467" s="93"/>
      <c r="H1467" s="94"/>
      <c r="I1467" s="93"/>
      <c r="J1467" s="93"/>
      <c r="K1467" s="93"/>
      <c r="L1467" s="93"/>
      <c r="M1467" s="17"/>
      <c r="N1467" s="93"/>
      <c r="O1467" s="93"/>
      <c r="P1467" s="93"/>
      <c r="Q1467" s="93"/>
      <c r="R1467" s="69"/>
    </row>
    <row r="1468" spans="2:18">
      <c r="B1468" s="68"/>
      <c r="C1468" s="93"/>
      <c r="D1468" s="93"/>
      <c r="E1468" s="93"/>
      <c r="F1468" s="93"/>
      <c r="G1468" s="93"/>
      <c r="H1468" s="94"/>
      <c r="I1468" s="93"/>
      <c r="J1468" s="93"/>
      <c r="K1468" s="93"/>
      <c r="L1468" s="93"/>
      <c r="M1468" s="17"/>
      <c r="N1468" s="93"/>
      <c r="O1468" s="93"/>
      <c r="P1468" s="93"/>
      <c r="Q1468" s="93"/>
      <c r="R1468" s="69"/>
    </row>
    <row r="1469" spans="2:18">
      <c r="B1469" s="68"/>
      <c r="C1469" s="93"/>
      <c r="D1469" s="93"/>
      <c r="E1469" s="93"/>
      <c r="F1469" s="93"/>
      <c r="G1469" s="93"/>
      <c r="H1469" s="94"/>
      <c r="I1469" s="93"/>
      <c r="J1469" s="93"/>
      <c r="K1469" s="93"/>
      <c r="L1469" s="93"/>
      <c r="M1469" s="17"/>
      <c r="N1469" s="93"/>
      <c r="O1469" s="93"/>
      <c r="P1469" s="93"/>
      <c r="Q1469" s="93"/>
      <c r="R1469" s="69"/>
    </row>
    <row r="1470" spans="2:18">
      <c r="B1470" s="68"/>
      <c r="C1470" s="93"/>
      <c r="D1470" s="93"/>
      <c r="E1470" s="93"/>
      <c r="F1470" s="93"/>
      <c r="G1470" s="93"/>
      <c r="H1470" s="94"/>
      <c r="I1470" s="93"/>
      <c r="J1470" s="93"/>
      <c r="K1470" s="93"/>
      <c r="L1470" s="93"/>
      <c r="M1470" s="17"/>
      <c r="N1470" s="93"/>
      <c r="O1470" s="93"/>
      <c r="P1470" s="93"/>
      <c r="Q1470" s="93"/>
      <c r="R1470" s="69"/>
    </row>
    <row r="1471" spans="2:18">
      <c r="B1471" s="68"/>
      <c r="C1471" s="93"/>
      <c r="D1471" s="93"/>
      <c r="E1471" s="93"/>
      <c r="F1471" s="93"/>
      <c r="G1471" s="93"/>
      <c r="H1471" s="94"/>
      <c r="I1471" s="93"/>
      <c r="J1471" s="93"/>
      <c r="K1471" s="93"/>
      <c r="L1471" s="93"/>
      <c r="M1471" s="17"/>
      <c r="N1471" s="93"/>
      <c r="O1471" s="93"/>
      <c r="P1471" s="93"/>
      <c r="Q1471" s="93"/>
      <c r="R1471" s="69"/>
    </row>
    <row r="1472" spans="2:18">
      <c r="B1472" s="68"/>
      <c r="C1472" s="93"/>
      <c r="D1472" s="93"/>
      <c r="E1472" s="93"/>
      <c r="F1472" s="93"/>
      <c r="G1472" s="93"/>
      <c r="H1472" s="94"/>
      <c r="I1472" s="93"/>
      <c r="J1472" s="93"/>
      <c r="K1472" s="93"/>
      <c r="L1472" s="93"/>
      <c r="M1472" s="17"/>
      <c r="N1472" s="93"/>
      <c r="O1472" s="93"/>
      <c r="P1472" s="93"/>
      <c r="Q1472" s="93"/>
      <c r="R1472" s="69"/>
    </row>
    <row r="1473" spans="2:18">
      <c r="B1473" s="68"/>
      <c r="C1473" s="93"/>
      <c r="D1473" s="93"/>
      <c r="E1473" s="93"/>
      <c r="F1473" s="93"/>
      <c r="G1473" s="93"/>
      <c r="H1473" s="94"/>
      <c r="I1473" s="93"/>
      <c r="J1473" s="93"/>
      <c r="K1473" s="93"/>
      <c r="L1473" s="93"/>
      <c r="M1473" s="17"/>
      <c r="N1473" s="93"/>
      <c r="O1473" s="93"/>
      <c r="P1473" s="93"/>
      <c r="Q1473" s="93"/>
      <c r="R1473" s="69"/>
    </row>
    <row r="1474" spans="2:18">
      <c r="B1474" s="68"/>
      <c r="C1474" s="93"/>
      <c r="D1474" s="93"/>
      <c r="E1474" s="93"/>
      <c r="F1474" s="93"/>
      <c r="G1474" s="93"/>
      <c r="H1474" s="94"/>
      <c r="I1474" s="93"/>
      <c r="J1474" s="93"/>
      <c r="K1474" s="93"/>
      <c r="L1474" s="93"/>
      <c r="M1474" s="17"/>
      <c r="N1474" s="93"/>
      <c r="O1474" s="93"/>
      <c r="P1474" s="93"/>
      <c r="Q1474" s="93"/>
      <c r="R1474" s="69"/>
    </row>
    <row r="1475" spans="2:18">
      <c r="B1475" s="68"/>
      <c r="C1475" s="93"/>
      <c r="D1475" s="93"/>
      <c r="E1475" s="93"/>
      <c r="F1475" s="93"/>
      <c r="G1475" s="93"/>
      <c r="H1475" s="94"/>
      <c r="I1475" s="93"/>
      <c r="J1475" s="93"/>
      <c r="K1475" s="93"/>
      <c r="L1475" s="93"/>
      <c r="M1475" s="17"/>
      <c r="N1475" s="93"/>
      <c r="O1475" s="93"/>
      <c r="P1475" s="93"/>
      <c r="Q1475" s="93"/>
      <c r="R1475" s="69"/>
    </row>
    <row r="1476" spans="2:18">
      <c r="B1476" s="68"/>
      <c r="C1476" s="93"/>
      <c r="D1476" s="93"/>
      <c r="E1476" s="93"/>
      <c r="F1476" s="93"/>
      <c r="G1476" s="93"/>
      <c r="H1476" s="94"/>
      <c r="I1476" s="93"/>
      <c r="J1476" s="93"/>
      <c r="K1476" s="93"/>
      <c r="L1476" s="93"/>
      <c r="M1476" s="17"/>
      <c r="N1476" s="93"/>
      <c r="O1476" s="93"/>
      <c r="P1476" s="93"/>
      <c r="Q1476" s="93"/>
      <c r="R1476" s="69"/>
    </row>
    <row r="1477" spans="2:18">
      <c r="B1477" s="68"/>
      <c r="C1477" s="93"/>
      <c r="D1477" s="93"/>
      <c r="E1477" s="93"/>
      <c r="F1477" s="93"/>
      <c r="G1477" s="93"/>
      <c r="H1477" s="94"/>
      <c r="I1477" s="93"/>
      <c r="J1477" s="93"/>
      <c r="K1477" s="93"/>
      <c r="L1477" s="93"/>
      <c r="M1477" s="17"/>
      <c r="N1477" s="93"/>
      <c r="O1477" s="93"/>
      <c r="P1477" s="93"/>
      <c r="Q1477" s="93"/>
      <c r="R1477" s="69"/>
    </row>
    <row r="1478" spans="2:18">
      <c r="B1478" s="68"/>
      <c r="C1478" s="93"/>
      <c r="D1478" s="93"/>
      <c r="E1478" s="93"/>
      <c r="F1478" s="93"/>
      <c r="G1478" s="93"/>
      <c r="H1478" s="94"/>
      <c r="I1478" s="93"/>
      <c r="J1478" s="93"/>
      <c r="K1478" s="93"/>
      <c r="L1478" s="93"/>
      <c r="M1478" s="17"/>
      <c r="N1478" s="93"/>
      <c r="O1478" s="93"/>
      <c r="P1478" s="93"/>
      <c r="Q1478" s="93"/>
      <c r="R1478" s="69"/>
    </row>
    <row r="1479" spans="2:18">
      <c r="B1479" s="68"/>
      <c r="C1479" s="93"/>
      <c r="D1479" s="93"/>
      <c r="E1479" s="93"/>
      <c r="F1479" s="93"/>
      <c r="G1479" s="93"/>
      <c r="H1479" s="94"/>
      <c r="I1479" s="93"/>
      <c r="J1479" s="93"/>
      <c r="K1479" s="93"/>
      <c r="L1479" s="93"/>
      <c r="M1479" s="17"/>
      <c r="N1479" s="93"/>
      <c r="O1479" s="93"/>
      <c r="P1479" s="93"/>
      <c r="Q1479" s="93"/>
      <c r="R1479" s="69"/>
    </row>
    <row r="1480" spans="2:18">
      <c r="B1480" s="68"/>
      <c r="C1480" s="93"/>
      <c r="D1480" s="93"/>
      <c r="E1480" s="93"/>
      <c r="F1480" s="93"/>
      <c r="G1480" s="93"/>
      <c r="H1480" s="94"/>
      <c r="I1480" s="93"/>
      <c r="J1480" s="93"/>
      <c r="K1480" s="93"/>
      <c r="L1480" s="93"/>
      <c r="M1480" s="17"/>
      <c r="N1480" s="93"/>
      <c r="O1480" s="93"/>
      <c r="P1480" s="93"/>
      <c r="Q1480" s="93"/>
      <c r="R1480" s="69"/>
    </row>
    <row r="1481" spans="2:18">
      <c r="B1481" s="68"/>
      <c r="C1481" s="93"/>
      <c r="D1481" s="93"/>
      <c r="E1481" s="93"/>
      <c r="F1481" s="93"/>
      <c r="G1481" s="93"/>
      <c r="H1481" s="94"/>
      <c r="I1481" s="93"/>
      <c r="J1481" s="93"/>
      <c r="K1481" s="93"/>
      <c r="L1481" s="93"/>
      <c r="M1481" s="17"/>
      <c r="N1481" s="93"/>
      <c r="O1481" s="93"/>
      <c r="P1481" s="93"/>
      <c r="Q1481" s="93"/>
      <c r="R1481" s="69"/>
    </row>
    <row r="1482" spans="2:18">
      <c r="B1482" s="68"/>
      <c r="C1482" s="93"/>
      <c r="D1482" s="93"/>
      <c r="E1482" s="93"/>
      <c r="F1482" s="93"/>
      <c r="G1482" s="93"/>
      <c r="H1482" s="94"/>
      <c r="I1482" s="93"/>
      <c r="J1482" s="93"/>
      <c r="K1482" s="93"/>
      <c r="L1482" s="93"/>
      <c r="M1482" s="17"/>
      <c r="N1482" s="93"/>
      <c r="O1482" s="93"/>
      <c r="P1482" s="93"/>
      <c r="Q1482" s="93"/>
      <c r="R1482" s="69"/>
    </row>
    <row r="1483" spans="2:18">
      <c r="B1483" s="68"/>
      <c r="C1483" s="93"/>
      <c r="D1483" s="93"/>
      <c r="E1483" s="93"/>
      <c r="F1483" s="93"/>
      <c r="G1483" s="93"/>
      <c r="H1483" s="94"/>
      <c r="I1483" s="93"/>
      <c r="J1483" s="93"/>
      <c r="K1483" s="93"/>
      <c r="L1483" s="93"/>
      <c r="M1483" s="17"/>
      <c r="N1483" s="93"/>
      <c r="O1483" s="93"/>
      <c r="P1483" s="93"/>
      <c r="Q1483" s="93"/>
      <c r="R1483" s="69"/>
    </row>
    <row r="1484" spans="2:18">
      <c r="B1484" s="68"/>
      <c r="C1484" s="93"/>
      <c r="D1484" s="93"/>
      <c r="E1484" s="93"/>
      <c r="F1484" s="93"/>
      <c r="G1484" s="93"/>
      <c r="H1484" s="94"/>
      <c r="I1484" s="93"/>
      <c r="J1484" s="93"/>
      <c r="K1484" s="93"/>
      <c r="L1484" s="93"/>
      <c r="M1484" s="17"/>
      <c r="N1484" s="93"/>
      <c r="O1484" s="93"/>
      <c r="P1484" s="93"/>
      <c r="Q1484" s="93"/>
      <c r="R1484" s="69"/>
    </row>
    <row r="1485" spans="2:18">
      <c r="B1485" s="68"/>
      <c r="C1485" s="93"/>
      <c r="D1485" s="93"/>
      <c r="E1485" s="93"/>
      <c r="F1485" s="93"/>
      <c r="G1485" s="93"/>
      <c r="H1485" s="94"/>
      <c r="I1485" s="93"/>
      <c r="J1485" s="93"/>
      <c r="K1485" s="93"/>
      <c r="L1485" s="93"/>
      <c r="M1485" s="17"/>
      <c r="N1485" s="93"/>
      <c r="O1485" s="93"/>
      <c r="P1485" s="93"/>
      <c r="Q1485" s="93"/>
      <c r="R1485" s="69"/>
    </row>
    <row r="1486" spans="2:18">
      <c r="B1486" s="68"/>
      <c r="C1486" s="93"/>
      <c r="D1486" s="93"/>
      <c r="E1486" s="93"/>
      <c r="F1486" s="93"/>
      <c r="G1486" s="93"/>
      <c r="H1486" s="94"/>
      <c r="I1486" s="93"/>
      <c r="J1486" s="93"/>
      <c r="K1486" s="93"/>
      <c r="L1486" s="93"/>
      <c r="M1486" s="17"/>
      <c r="N1486" s="93"/>
      <c r="O1486" s="93"/>
      <c r="P1486" s="93"/>
      <c r="Q1486" s="93"/>
      <c r="R1486" s="69"/>
    </row>
    <row r="1487" spans="2:18">
      <c r="B1487" s="68"/>
      <c r="C1487" s="93"/>
      <c r="D1487" s="93"/>
      <c r="E1487" s="93"/>
      <c r="F1487" s="93"/>
      <c r="G1487" s="93"/>
      <c r="H1487" s="94"/>
      <c r="I1487" s="93"/>
      <c r="J1487" s="93"/>
      <c r="K1487" s="93"/>
      <c r="L1487" s="93"/>
      <c r="M1487" s="17"/>
      <c r="N1487" s="93"/>
      <c r="O1487" s="93"/>
      <c r="P1487" s="93"/>
      <c r="Q1487" s="93"/>
      <c r="R1487" s="69"/>
    </row>
    <row r="1488" spans="2:18">
      <c r="B1488" s="68"/>
      <c r="C1488" s="93"/>
      <c r="D1488" s="93"/>
      <c r="E1488" s="93"/>
      <c r="F1488" s="93"/>
      <c r="G1488" s="93"/>
      <c r="H1488" s="94"/>
      <c r="I1488" s="93"/>
      <c r="J1488" s="93"/>
      <c r="K1488" s="93"/>
      <c r="L1488" s="93"/>
      <c r="M1488" s="17"/>
      <c r="N1488" s="93"/>
      <c r="O1488" s="93"/>
      <c r="P1488" s="93"/>
      <c r="Q1488" s="93"/>
      <c r="R1488" s="69"/>
    </row>
    <row r="1489" spans="2:18">
      <c r="B1489" s="68"/>
      <c r="C1489" s="93"/>
      <c r="D1489" s="93"/>
      <c r="E1489" s="93"/>
      <c r="F1489" s="93"/>
      <c r="G1489" s="93"/>
      <c r="H1489" s="94"/>
      <c r="I1489" s="93"/>
      <c r="J1489" s="93"/>
      <c r="K1489" s="93"/>
      <c r="L1489" s="93"/>
      <c r="M1489" s="17"/>
      <c r="N1489" s="93"/>
      <c r="O1489" s="93"/>
      <c r="P1489" s="93"/>
      <c r="Q1489" s="93"/>
      <c r="R1489" s="69"/>
    </row>
    <row r="1490" spans="2:18">
      <c r="B1490" s="68"/>
      <c r="C1490" s="93"/>
      <c r="D1490" s="93"/>
      <c r="E1490" s="93"/>
      <c r="F1490" s="93"/>
      <c r="G1490" s="93"/>
      <c r="H1490" s="94"/>
      <c r="I1490" s="93"/>
      <c r="J1490" s="93"/>
      <c r="K1490" s="93"/>
      <c r="L1490" s="93"/>
      <c r="M1490" s="17"/>
      <c r="N1490" s="93"/>
      <c r="O1490" s="93"/>
      <c r="P1490" s="93"/>
      <c r="Q1490" s="93"/>
      <c r="R1490" s="69"/>
    </row>
    <row r="1491" spans="2:18">
      <c r="B1491" s="68"/>
      <c r="C1491" s="93"/>
      <c r="D1491" s="93"/>
      <c r="E1491" s="93"/>
      <c r="F1491" s="93"/>
      <c r="G1491" s="93"/>
      <c r="H1491" s="94"/>
      <c r="I1491" s="93"/>
      <c r="J1491" s="93"/>
      <c r="K1491" s="93"/>
      <c r="L1491" s="93"/>
      <c r="M1491" s="17"/>
      <c r="N1491" s="93"/>
      <c r="O1491" s="93"/>
      <c r="P1491" s="93"/>
      <c r="Q1491" s="93"/>
      <c r="R1491" s="69"/>
    </row>
    <row r="1492" spans="2:18">
      <c r="B1492" s="68"/>
      <c r="C1492" s="93"/>
      <c r="D1492" s="93"/>
      <c r="E1492" s="93"/>
      <c r="F1492" s="93"/>
      <c r="G1492" s="93"/>
      <c r="H1492" s="94"/>
      <c r="I1492" s="93"/>
      <c r="J1492" s="93"/>
      <c r="K1492" s="93"/>
      <c r="L1492" s="93"/>
      <c r="M1492" s="17"/>
      <c r="N1492" s="93"/>
      <c r="O1492" s="93"/>
      <c r="P1492" s="93"/>
      <c r="Q1492" s="93"/>
      <c r="R1492" s="69"/>
    </row>
    <row r="1493" spans="2:18">
      <c r="B1493" s="68"/>
      <c r="C1493" s="93"/>
      <c r="D1493" s="93"/>
      <c r="E1493" s="93"/>
      <c r="F1493" s="93"/>
      <c r="G1493" s="93"/>
      <c r="H1493" s="94"/>
      <c r="I1493" s="93"/>
      <c r="J1493" s="93"/>
      <c r="K1493" s="93"/>
      <c r="L1493" s="93"/>
      <c r="M1493" s="17"/>
      <c r="N1493" s="93"/>
      <c r="O1493" s="93"/>
      <c r="P1493" s="93"/>
      <c r="Q1493" s="93"/>
      <c r="R1493" s="69"/>
    </row>
    <row r="1494" spans="2:18">
      <c r="B1494" s="68"/>
      <c r="C1494" s="93"/>
      <c r="D1494" s="93"/>
      <c r="E1494" s="93"/>
      <c r="F1494" s="93"/>
      <c r="G1494" s="93"/>
      <c r="H1494" s="94"/>
      <c r="I1494" s="93"/>
      <c r="J1494" s="93"/>
      <c r="K1494" s="93"/>
      <c r="L1494" s="93"/>
      <c r="M1494" s="17"/>
      <c r="N1494" s="93"/>
      <c r="O1494" s="93"/>
      <c r="P1494" s="93"/>
      <c r="Q1494" s="93"/>
      <c r="R1494" s="69"/>
    </row>
    <row r="1495" spans="2:18">
      <c r="B1495" s="68"/>
      <c r="C1495" s="93"/>
      <c r="D1495" s="93"/>
      <c r="E1495" s="93"/>
      <c r="F1495" s="93"/>
      <c r="G1495" s="93"/>
      <c r="H1495" s="94"/>
      <c r="I1495" s="93"/>
      <c r="J1495" s="93"/>
      <c r="K1495" s="93"/>
      <c r="L1495" s="93"/>
      <c r="M1495" s="17"/>
      <c r="N1495" s="93"/>
      <c r="O1495" s="93"/>
      <c r="P1495" s="93"/>
      <c r="Q1495" s="93"/>
      <c r="R1495" s="69"/>
    </row>
    <row r="1496" spans="2:18">
      <c r="B1496" s="68"/>
      <c r="C1496" s="93"/>
      <c r="D1496" s="93"/>
      <c r="E1496" s="93"/>
      <c r="F1496" s="93"/>
      <c r="G1496" s="93"/>
      <c r="H1496" s="94"/>
      <c r="I1496" s="93"/>
      <c r="J1496" s="93"/>
      <c r="K1496" s="93"/>
      <c r="L1496" s="93"/>
      <c r="M1496" s="17"/>
      <c r="N1496" s="93"/>
      <c r="O1496" s="93"/>
      <c r="P1496" s="93"/>
      <c r="Q1496" s="93"/>
      <c r="R1496" s="69"/>
    </row>
    <row r="1497" spans="2:18">
      <c r="B1497" s="68"/>
      <c r="C1497" s="93"/>
      <c r="D1497" s="93"/>
      <c r="E1497" s="93"/>
      <c r="F1497" s="93"/>
      <c r="G1497" s="93"/>
      <c r="H1497" s="94"/>
      <c r="I1497" s="93"/>
      <c r="J1497" s="93"/>
      <c r="K1497" s="93"/>
      <c r="L1497" s="93"/>
      <c r="M1497" s="17"/>
      <c r="N1497" s="93"/>
      <c r="O1497" s="93"/>
      <c r="P1497" s="93"/>
      <c r="Q1497" s="93"/>
      <c r="R1497" s="69"/>
    </row>
    <row r="1498" spans="2:18">
      <c r="B1498" s="68"/>
      <c r="C1498" s="93"/>
      <c r="D1498" s="93"/>
      <c r="E1498" s="93"/>
      <c r="F1498" s="93"/>
      <c r="G1498" s="93"/>
      <c r="H1498" s="94"/>
      <c r="I1498" s="93"/>
      <c r="J1498" s="93"/>
      <c r="K1498" s="93"/>
      <c r="L1498" s="93"/>
      <c r="M1498" s="17"/>
      <c r="N1498" s="93"/>
      <c r="O1498" s="93"/>
      <c r="P1498" s="93"/>
      <c r="Q1498" s="93"/>
      <c r="R1498" s="69"/>
    </row>
    <row r="1499" spans="2:18">
      <c r="B1499" s="68"/>
      <c r="C1499" s="93"/>
      <c r="D1499" s="93"/>
      <c r="E1499" s="93"/>
      <c r="F1499" s="93"/>
      <c r="G1499" s="93"/>
      <c r="H1499" s="94"/>
      <c r="I1499" s="93"/>
      <c r="J1499" s="93"/>
      <c r="K1499" s="93"/>
      <c r="L1499" s="93"/>
      <c r="M1499" s="17"/>
      <c r="N1499" s="93"/>
      <c r="O1499" s="93"/>
      <c r="P1499" s="93"/>
      <c r="Q1499" s="93"/>
      <c r="R1499" s="69"/>
    </row>
    <row r="1500" spans="2:18">
      <c r="B1500" s="68"/>
      <c r="C1500" s="93"/>
      <c r="D1500" s="93"/>
      <c r="E1500" s="93"/>
      <c r="F1500" s="93"/>
      <c r="G1500" s="93"/>
      <c r="H1500" s="94"/>
      <c r="I1500" s="93"/>
      <c r="J1500" s="93"/>
      <c r="K1500" s="93"/>
      <c r="L1500" s="93"/>
      <c r="M1500" s="17"/>
      <c r="N1500" s="93"/>
      <c r="O1500" s="93"/>
      <c r="P1500" s="93"/>
      <c r="Q1500" s="93"/>
      <c r="R1500" s="69"/>
    </row>
    <row r="1501" spans="2:18">
      <c r="B1501" s="68"/>
      <c r="C1501" s="93"/>
      <c r="D1501" s="93"/>
      <c r="E1501" s="93"/>
      <c r="F1501" s="93"/>
      <c r="G1501" s="93"/>
      <c r="H1501" s="94"/>
      <c r="I1501" s="93"/>
      <c r="J1501" s="93"/>
      <c r="K1501" s="93"/>
      <c r="L1501" s="93"/>
      <c r="M1501" s="17"/>
      <c r="N1501" s="93"/>
      <c r="O1501" s="93"/>
      <c r="P1501" s="93"/>
      <c r="Q1501" s="93"/>
      <c r="R1501" s="69"/>
    </row>
    <row r="1502" spans="2:18">
      <c r="B1502" s="68"/>
      <c r="C1502" s="93"/>
      <c r="D1502" s="93"/>
      <c r="E1502" s="93"/>
      <c r="F1502" s="93"/>
      <c r="G1502" s="93"/>
      <c r="H1502" s="94"/>
      <c r="I1502" s="93"/>
      <c r="J1502" s="93"/>
      <c r="K1502" s="93"/>
      <c r="L1502" s="93"/>
      <c r="M1502" s="17"/>
      <c r="N1502" s="93"/>
      <c r="O1502" s="93"/>
      <c r="P1502" s="93"/>
      <c r="Q1502" s="93"/>
      <c r="R1502" s="69"/>
    </row>
    <row r="1503" spans="2:18">
      <c r="B1503" s="68"/>
      <c r="C1503" s="93"/>
      <c r="D1503" s="93"/>
      <c r="E1503" s="93"/>
      <c r="F1503" s="93"/>
      <c r="G1503" s="93"/>
      <c r="H1503" s="94"/>
      <c r="I1503" s="93"/>
      <c r="J1503" s="93"/>
      <c r="K1503" s="93"/>
      <c r="L1503" s="93"/>
      <c r="M1503" s="17"/>
      <c r="N1503" s="93"/>
      <c r="O1503" s="93"/>
      <c r="P1503" s="93"/>
      <c r="Q1503" s="93"/>
      <c r="R1503" s="69"/>
    </row>
    <row r="1504" spans="2:18">
      <c r="B1504" s="68"/>
      <c r="C1504" s="93"/>
      <c r="D1504" s="93"/>
      <c r="E1504" s="93"/>
      <c r="F1504" s="93"/>
      <c r="G1504" s="93"/>
      <c r="H1504" s="94"/>
      <c r="I1504" s="93"/>
      <c r="J1504" s="93"/>
      <c r="K1504" s="93"/>
      <c r="L1504" s="93"/>
      <c r="M1504" s="17"/>
      <c r="N1504" s="93"/>
      <c r="O1504" s="93"/>
      <c r="P1504" s="93"/>
      <c r="Q1504" s="93"/>
      <c r="R1504" s="69"/>
    </row>
    <row r="1505" spans="2:18">
      <c r="B1505" s="68"/>
      <c r="C1505" s="93"/>
      <c r="D1505" s="93"/>
      <c r="E1505" s="93"/>
      <c r="F1505" s="93"/>
      <c r="G1505" s="93"/>
      <c r="H1505" s="94"/>
      <c r="I1505" s="93"/>
      <c r="J1505" s="93"/>
      <c r="K1505" s="93"/>
      <c r="L1505" s="93"/>
      <c r="M1505" s="17"/>
      <c r="N1505" s="93"/>
      <c r="O1505" s="93"/>
      <c r="P1505" s="93"/>
      <c r="Q1505" s="93"/>
      <c r="R1505" s="69"/>
    </row>
    <row r="1506" spans="2:18">
      <c r="B1506" s="68"/>
      <c r="C1506" s="93"/>
      <c r="D1506" s="93"/>
      <c r="E1506" s="93"/>
      <c r="F1506" s="93"/>
      <c r="G1506" s="93"/>
      <c r="H1506" s="94"/>
      <c r="I1506" s="93"/>
      <c r="J1506" s="93"/>
      <c r="K1506" s="93"/>
      <c r="L1506" s="93"/>
      <c r="M1506" s="17"/>
      <c r="N1506" s="93"/>
      <c r="O1506" s="93"/>
      <c r="P1506" s="93"/>
      <c r="Q1506" s="93"/>
      <c r="R1506" s="69"/>
    </row>
    <row r="1507" spans="2:18">
      <c r="B1507" s="68"/>
      <c r="C1507" s="93"/>
      <c r="D1507" s="93"/>
      <c r="E1507" s="93"/>
      <c r="F1507" s="93"/>
      <c r="G1507" s="93"/>
      <c r="H1507" s="94"/>
      <c r="I1507" s="93"/>
      <c r="J1507" s="93"/>
      <c r="K1507" s="93"/>
      <c r="L1507" s="93"/>
      <c r="M1507" s="17"/>
      <c r="N1507" s="93"/>
      <c r="O1507" s="93"/>
      <c r="P1507" s="93"/>
      <c r="Q1507" s="93"/>
      <c r="R1507" s="69"/>
    </row>
    <row r="1508" spans="2:18">
      <c r="B1508" s="68"/>
      <c r="C1508" s="93"/>
      <c r="D1508" s="93"/>
      <c r="E1508" s="93"/>
      <c r="F1508" s="93"/>
      <c r="G1508" s="93"/>
      <c r="H1508" s="94"/>
      <c r="I1508" s="93"/>
      <c r="J1508" s="93"/>
      <c r="K1508" s="93"/>
      <c r="L1508" s="93"/>
      <c r="M1508" s="17"/>
      <c r="N1508" s="93"/>
      <c r="O1508" s="93"/>
      <c r="P1508" s="93"/>
      <c r="Q1508" s="93"/>
      <c r="R1508" s="69"/>
    </row>
    <row r="1509" spans="2:18">
      <c r="B1509" s="68"/>
      <c r="C1509" s="93"/>
      <c r="D1509" s="93"/>
      <c r="E1509" s="93"/>
      <c r="F1509" s="93"/>
      <c r="G1509" s="93"/>
      <c r="H1509" s="94"/>
      <c r="I1509" s="93"/>
      <c r="J1509" s="93"/>
      <c r="K1509" s="93"/>
      <c r="L1509" s="93"/>
      <c r="M1509" s="17"/>
      <c r="N1509" s="93"/>
      <c r="O1509" s="93"/>
      <c r="P1509" s="93"/>
      <c r="Q1509" s="93"/>
      <c r="R1509" s="69"/>
    </row>
    <row r="1510" spans="2:18">
      <c r="B1510" s="68"/>
      <c r="C1510" s="93"/>
      <c r="D1510" s="93"/>
      <c r="E1510" s="93"/>
      <c r="F1510" s="93"/>
      <c r="G1510" s="93"/>
      <c r="H1510" s="94"/>
      <c r="I1510" s="93"/>
      <c r="J1510" s="93"/>
      <c r="K1510" s="93"/>
      <c r="L1510" s="93"/>
      <c r="M1510" s="17"/>
      <c r="N1510" s="93"/>
      <c r="O1510" s="93"/>
      <c r="P1510" s="93"/>
      <c r="Q1510" s="93"/>
      <c r="R1510" s="69"/>
    </row>
    <row r="1511" spans="2:18">
      <c r="B1511" s="68"/>
      <c r="C1511" s="93"/>
      <c r="D1511" s="93"/>
      <c r="E1511" s="93"/>
      <c r="F1511" s="93"/>
      <c r="G1511" s="93"/>
      <c r="H1511" s="94"/>
      <c r="I1511" s="93"/>
      <c r="J1511" s="93"/>
      <c r="K1511" s="93"/>
      <c r="L1511" s="93"/>
      <c r="M1511" s="17"/>
      <c r="N1511" s="93"/>
      <c r="O1511" s="93"/>
      <c r="P1511" s="93"/>
      <c r="Q1511" s="93"/>
      <c r="R1511" s="69"/>
    </row>
    <row r="1512" spans="2:18">
      <c r="B1512" s="68"/>
      <c r="C1512" s="93"/>
      <c r="D1512" s="93"/>
      <c r="E1512" s="93"/>
      <c r="F1512" s="93"/>
      <c r="G1512" s="93"/>
      <c r="H1512" s="94"/>
      <c r="I1512" s="93"/>
      <c r="J1512" s="93"/>
      <c r="K1512" s="93"/>
      <c r="L1512" s="93"/>
      <c r="M1512" s="17"/>
      <c r="N1512" s="93"/>
      <c r="O1512" s="93"/>
      <c r="P1512" s="93"/>
      <c r="Q1512" s="93"/>
      <c r="R1512" s="69"/>
    </row>
    <row r="1513" spans="2:18">
      <c r="B1513" s="68"/>
      <c r="C1513" s="93"/>
      <c r="D1513" s="93"/>
      <c r="E1513" s="93"/>
      <c r="F1513" s="93"/>
      <c r="G1513" s="93"/>
      <c r="H1513" s="94"/>
      <c r="I1513" s="93"/>
      <c r="J1513" s="93"/>
      <c r="K1513" s="93"/>
      <c r="L1513" s="93"/>
      <c r="M1513" s="17"/>
      <c r="N1513" s="93"/>
      <c r="O1513" s="93"/>
      <c r="P1513" s="93"/>
      <c r="Q1513" s="93"/>
      <c r="R1513" s="69"/>
    </row>
    <row r="1514" spans="2:18">
      <c r="B1514" s="70"/>
      <c r="C1514" s="21"/>
      <c r="D1514" s="21"/>
      <c r="E1514" s="21"/>
      <c r="F1514" s="21"/>
      <c r="G1514" s="21"/>
      <c r="H1514" s="21"/>
      <c r="I1514" s="21"/>
      <c r="J1514" s="21"/>
      <c r="K1514" s="21"/>
      <c r="L1514" s="21"/>
      <c r="M1514" s="21"/>
      <c r="N1514" s="21"/>
      <c r="O1514" s="21"/>
      <c r="P1514" s="21"/>
      <c r="Q1514" s="21"/>
      <c r="R1514" s="71"/>
    </row>
  </sheetData>
  <sortState ref="C10:Q298">
    <sortCondition ref="C10"/>
    <sortCondition ref="E10"/>
    <sortCondition ref="F10"/>
  </sortState>
  <mergeCells count="3">
    <mergeCell ref="I8:L8"/>
    <mergeCell ref="N8:Q8"/>
    <mergeCell ref="C8:G8"/>
  </mergeCells>
  <phoneticPr fontId="33" type="noConversion"/>
  <conditionalFormatting sqref="C10:G1513 I302:L1513 N302:Q1513">
    <cfRule type="expression" dxfId="6" priority="15">
      <formula>ISEVEN($C10)</formula>
    </cfRule>
    <cfRule type="expression" dxfId="5" priority="16">
      <formula>ISODD($C10)</formula>
    </cfRule>
  </conditionalFormatting>
  <conditionalFormatting sqref="I10:L301">
    <cfRule type="expression" dxfId="4" priority="13">
      <formula>ISEVEN($C10)</formula>
    </cfRule>
    <cfRule type="expression" dxfId="3" priority="14">
      <formula>ISODD($C10)</formula>
    </cfRule>
  </conditionalFormatting>
  <conditionalFormatting sqref="N10:Q301">
    <cfRule type="expression" dxfId="2" priority="9">
      <formula>ISEVEN($C10)</formula>
    </cfRule>
    <cfRule type="expression" dxfId="1" priority="10">
      <formula>ISODD($C10)</formula>
    </cfRule>
  </conditionalFormatting>
  <conditionalFormatting sqref="C10:D1513">
    <cfRule type="expression" dxfId="0" priority="8">
      <formula>COUNTIF($C$10:C10,C10)=1</formula>
    </cfRule>
  </conditionalFormatting>
  <pageMargins left="0.7" right="0.7" top="0.75" bottom="0.75" header="0.3" footer="0.3"/>
  <pageSetup paperSize="158" orientation="portrait" horizontalDpi="360" verticalDpi="360"/>
  <ignoredErrors>
    <ignoredError sqref="C8" emptyCellReference="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Button 6">
              <controlPr defaultSize="0" print="0" autoFill="0" autoPict="0" macro="[0]!Sheet7.Assign_Instances_Click">
                <anchor moveWithCells="1" sizeWithCells="1">
                  <from>
                    <xdr:col>16</xdr:col>
                    <xdr:colOff>25400</xdr:colOff>
                    <xdr:row>2</xdr:row>
                    <xdr:rowOff>63500</xdr:rowOff>
                  </from>
                  <to>
                    <xdr:col>16</xdr:col>
                    <xdr:colOff>520700</xdr:colOff>
                    <xdr:row>3</xdr:row>
                    <xdr:rowOff>139700</xdr:rowOff>
                  </to>
                </anchor>
              </controlPr>
            </control>
          </mc:Choice>
          <mc:Fallback/>
        </mc:AlternateContent>
        <mc:AlternateContent xmlns:mc="http://schemas.openxmlformats.org/markup-compatibility/2006">
          <mc:Choice Requires="x14">
            <control shapeId="8202" r:id="rId4" name="Button 10">
              <controlPr defaultSize="0" print="0" autoFill="0" autoPict="0" macro="[0]!Sheet7.Clear_Data_Click">
                <anchor moveWithCells="1" sizeWithCells="1">
                  <from>
                    <xdr:col>8</xdr:col>
                    <xdr:colOff>1485900</xdr:colOff>
                    <xdr:row>2</xdr:row>
                    <xdr:rowOff>88900</xdr:rowOff>
                  </from>
                  <to>
                    <xdr:col>8</xdr:col>
                    <xdr:colOff>2209800</xdr:colOff>
                    <xdr:row>3</xdr:row>
                    <xdr:rowOff>114300</xdr:rowOff>
                  </to>
                </anchor>
              </controlPr>
            </control>
          </mc:Choice>
          <mc:Fallback/>
        </mc:AlternateContent>
        <mc:AlternateContent xmlns:mc="http://schemas.openxmlformats.org/markup-compatibility/2006">
          <mc:Choice Requires="x14">
            <control shapeId="8204" r:id="rId5" name="Button 12">
              <controlPr defaultSize="0" print="0" autoFill="0" autoPict="0" macro="[0]!Sheet7.Import_Data_Click">
                <anchor moveWithCells="1" sizeWithCells="1">
                  <from>
                    <xdr:col>13</xdr:col>
                    <xdr:colOff>863600</xdr:colOff>
                    <xdr:row>2</xdr:row>
                    <xdr:rowOff>63500</xdr:rowOff>
                  </from>
                  <to>
                    <xdr:col>13</xdr:col>
                    <xdr:colOff>1447800</xdr:colOff>
                    <xdr:row>3</xdr:row>
                    <xdr:rowOff>114300</xdr:rowOff>
                  </to>
                </anchor>
              </controlPr>
            </control>
          </mc:Choice>
          <mc:Fallback/>
        </mc:AlternateContent>
        <mc:AlternateContent xmlns:mc="http://schemas.openxmlformats.org/markup-compatibility/2006">
          <mc:Choice Requires="x14">
            <control shapeId="8208" r:id="rId6" name="Button 16">
              <controlPr defaultSize="0" print="0" autoFill="0" autoPict="0" macro="[0]!Sheet7.Sort_Data_Click">
                <anchor moveWithCells="1" sizeWithCells="1">
                  <from>
                    <xdr:col>19</xdr:col>
                    <xdr:colOff>114300</xdr:colOff>
                    <xdr:row>8</xdr:row>
                    <xdr:rowOff>139700</xdr:rowOff>
                  </from>
                  <to>
                    <xdr:col>20</xdr:col>
                    <xdr:colOff>38100</xdr:colOff>
                    <xdr:row>10</xdr:row>
                    <xdr:rowOff>63500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Inputs!$A$2:$A$5</xm:f>
          </x14:formula1>
          <xm:sqref>F3</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6" tint="0.39997558519241921"/>
  </sheetPr>
  <dimension ref="B1:P232"/>
  <sheetViews>
    <sheetView showGridLines="0" topLeftCell="G1" zoomScale="125" zoomScaleNormal="125" zoomScalePageLayoutView="125" workbookViewId="0">
      <selection activeCell="O5" sqref="O5"/>
    </sheetView>
  </sheetViews>
  <sheetFormatPr baseColWidth="10" defaultColWidth="8.83203125" defaultRowHeight="12" x14ac:dyDescent="0"/>
  <cols>
    <col min="1" max="2" width="0.83203125" style="229" customWidth="1"/>
    <col min="3" max="3" width="27.5" style="229" customWidth="1"/>
    <col min="4" max="5" width="9" style="229" bestFit="1" customWidth="1"/>
    <col min="6" max="6" width="16.83203125" style="229" bestFit="1" customWidth="1"/>
    <col min="7" max="7" width="10.1640625" style="229" bestFit="1" customWidth="1"/>
    <col min="8" max="8" width="4.33203125" style="229" customWidth="1"/>
    <col min="9" max="9" width="6.5" style="229" bestFit="1" customWidth="1"/>
    <col min="10" max="10" width="5" style="229" bestFit="1" customWidth="1"/>
    <col min="11" max="11" width="5.5" style="230" customWidth="1"/>
    <col min="12" max="12" width="1" style="229" customWidth="1"/>
    <col min="13" max="13" width="1.83203125" style="229" customWidth="1"/>
    <col min="14" max="14" width="2" style="229" customWidth="1"/>
    <col min="15" max="15" width="98.83203125" style="229" bestFit="1" customWidth="1"/>
    <col min="16" max="16" width="1.1640625" style="229" customWidth="1"/>
    <col min="17" max="16384" width="8.83203125" style="229"/>
  </cols>
  <sheetData>
    <row r="1" spans="2:16" ht="6" customHeight="1"/>
    <row r="2" spans="2:16" ht="7" customHeight="1">
      <c r="B2" s="231"/>
      <c r="C2" s="232"/>
      <c r="D2" s="232"/>
      <c r="E2" s="232"/>
      <c r="F2" s="232"/>
      <c r="G2" s="232"/>
      <c r="H2" s="233"/>
      <c r="I2" s="233"/>
      <c r="J2" s="233"/>
      <c r="K2" s="233"/>
      <c r="L2" s="234"/>
      <c r="N2" s="231"/>
      <c r="O2" s="233"/>
      <c r="P2" s="234"/>
    </row>
    <row r="3" spans="2:16" ht="7" customHeight="1">
      <c r="B3" s="235"/>
      <c r="C3" s="236"/>
      <c r="D3" s="236"/>
      <c r="E3" s="236"/>
      <c r="F3" s="236"/>
      <c r="G3" s="236"/>
      <c r="H3" s="237"/>
      <c r="I3" s="237"/>
      <c r="J3" s="237"/>
      <c r="K3" s="237"/>
      <c r="L3" s="238"/>
      <c r="N3" s="235"/>
      <c r="O3" s="239"/>
      <c r="P3" s="238"/>
    </row>
    <row r="4" spans="2:16">
      <c r="B4" s="235"/>
      <c r="C4" s="240" t="s">
        <v>1729</v>
      </c>
      <c r="D4" s="236"/>
      <c r="E4" s="236"/>
      <c r="F4" s="236"/>
      <c r="G4" s="236"/>
      <c r="H4" s="237"/>
      <c r="I4" s="241" t="s">
        <v>1730</v>
      </c>
      <c r="J4" s="241"/>
      <c r="K4" s="237"/>
      <c r="L4" s="238"/>
      <c r="N4" s="235"/>
      <c r="O4" s="242" t="s">
        <v>1932</v>
      </c>
      <c r="P4" s="238"/>
    </row>
    <row r="5" spans="2:16">
      <c r="B5" s="235"/>
      <c r="C5" s="236" t="s">
        <v>1907</v>
      </c>
      <c r="D5" s="243" t="s">
        <v>1725</v>
      </c>
      <c r="E5" s="243" t="s">
        <v>1904</v>
      </c>
      <c r="F5" s="243" t="s">
        <v>1905</v>
      </c>
      <c r="G5" s="243" t="s">
        <v>1906</v>
      </c>
      <c r="H5" s="237"/>
      <c r="I5" s="244" t="s">
        <v>1915</v>
      </c>
      <c r="J5" s="243" t="s">
        <v>1725</v>
      </c>
      <c r="K5" s="243" t="s">
        <v>1477</v>
      </c>
      <c r="L5" s="238"/>
      <c r="N5" s="235"/>
      <c r="O5" s="245" t="str">
        <f ca="1">SUBSTITUTE(LEFT(CELL("filename"),FIND("]",CELL("filename"))-1),"[","")</f>
        <v>Macintosh HD:Users:jasgrimm:Documents:projects:epic.games:epic.games.sizing.calc.v23.all.jtg.7.17.2015.xlsm</v>
      </c>
      <c r="P5" s="238"/>
    </row>
    <row r="6" spans="2:16">
      <c r="B6" s="235"/>
      <c r="C6" s="246" t="str">
        <f>IF('Data-Source-EC2'!A5="Grand Total","",IF('Data-Source-EC2'!A5="","",'Data-Source-EC2'!A5))</f>
        <v>c3.2xlarge</v>
      </c>
      <c r="D6" s="247">
        <f>IF(C6="","",IF('Data-Source-EC2'!B5="","",'Data-Source-EC2'!B5))</f>
        <v>25</v>
      </c>
      <c r="E6" s="248">
        <f>IF(D6="","",IF('Data-Source-EC2'!C5="","",'Data-Source-EC2'!C5))</f>
        <v>10.5</v>
      </c>
      <c r="F6" s="247">
        <f>IF(E6="","",IF('Data-Source-EC2'!D5="","",'Data-Source-EC2'!D5))</f>
        <v>6.2000000000000037</v>
      </c>
      <c r="G6" s="247">
        <f>IF(F6="","",IF('Data-Source-EC2'!E5="","",'Data-Source-EC2'!E5))</f>
        <v>3.9250000000000003</v>
      </c>
      <c r="H6" s="249"/>
      <c r="I6" s="246">
        <f>IF('Data-Source-EBS'!A5="","",IF('Data-Source-EBS'!A5="(blank)","",IF('Data-Source-EBS'!A5="Grand Total","",'Data-Source-EBS'!A5)))</f>
        <v>8</v>
      </c>
      <c r="J6" s="247">
        <f>IF(I6="","",IF('Data-Source-EBS'!B5="","",IF(I6="Grand Total","",'Data-Source-EBS'!B5)))</f>
        <v>15</v>
      </c>
      <c r="K6" s="248">
        <f>IF(I6="","",IF(I6="Grand Total","",I6*J6))</f>
        <v>120</v>
      </c>
      <c r="L6" s="238"/>
      <c r="N6" s="235"/>
      <c r="O6" s="250"/>
      <c r="P6" s="238"/>
    </row>
    <row r="7" spans="2:16">
      <c r="B7" s="235"/>
      <c r="C7" s="251" t="str">
        <f>IF('Data-Source-EC2'!A6="Grand Total","",IF('Data-Source-EC2'!A6="","",'Data-Source-EC2'!A6))</f>
        <v>c3.4xlarge</v>
      </c>
      <c r="D7" s="252">
        <f>IF(C7="","",IF('Data-Source-EC2'!B6="","",'Data-Source-EC2'!B6))</f>
        <v>15</v>
      </c>
      <c r="E7" s="253">
        <f>IF(D7="","",IF('Data-Source-EC2'!C6="","",'Data-Source-EC2'!C6))</f>
        <v>12.6</v>
      </c>
      <c r="F7" s="252">
        <f>IF(E7="","",IF('Data-Source-EC2'!D6="","",'Data-Source-EC2'!D6))</f>
        <v>7.4549999999999992</v>
      </c>
      <c r="G7" s="252">
        <f>IF(F7="","",IF('Data-Source-EC2'!E6="","",'Data-Source-EC2'!E6))</f>
        <v>4.71</v>
      </c>
      <c r="H7" s="249"/>
      <c r="I7" s="251">
        <f>IF('Data-Source-EBS'!A6="","",IF('Data-Source-EBS'!A6="(blank)","",IF('Data-Source-EBS'!A6="Grand Total","",'Data-Source-EBS'!A6)))</f>
        <v>20</v>
      </c>
      <c r="J7" s="252">
        <f>IF(I7="","",IF('Data-Source-EBS'!B6="","",IF(I7="Grand Total","",'Data-Source-EBS'!B6)))</f>
        <v>873</v>
      </c>
      <c r="K7" s="253">
        <f t="shared" ref="K7:K43" si="0">IF(I7="","",IF(I7="Grand Total","",I7*J7))</f>
        <v>17460</v>
      </c>
      <c r="L7" s="238"/>
      <c r="N7" s="235"/>
      <c r="O7" s="242" t="s">
        <v>1931</v>
      </c>
      <c r="P7" s="254"/>
    </row>
    <row r="8" spans="2:16">
      <c r="B8" s="235"/>
      <c r="C8" s="251" t="str">
        <f>IF('Data-Source-EC2'!A7="Grand Total","",IF('Data-Source-EC2'!A7="","",'Data-Source-EC2'!A7))</f>
        <v>c3.8xlarge</v>
      </c>
      <c r="D8" s="252">
        <f>IF(C8="","",IF('Data-Source-EC2'!B7="","",'Data-Source-EC2'!B7))</f>
        <v>6</v>
      </c>
      <c r="E8" s="253">
        <f>IF(D8="","",IF('Data-Source-EC2'!C7="","",'Data-Source-EC2'!C7))</f>
        <v>10.08</v>
      </c>
      <c r="F8" s="252">
        <f>IF(E8="","",IF('Data-Source-EC2'!D7="","",'Data-Source-EC2'!D7))</f>
        <v>5.952</v>
      </c>
      <c r="G8" s="252">
        <f>IF(F8="","",IF('Data-Source-EC2'!E7="","",'Data-Source-EC2'!E7))</f>
        <v>3.7680000000000002</v>
      </c>
      <c r="H8" s="249"/>
      <c r="I8" s="251">
        <f>IF('Data-Source-EBS'!A7="","",IF('Data-Source-EBS'!A7="(blank)","",IF('Data-Source-EBS'!A7="Grand Total","",'Data-Source-EBS'!A7)))</f>
        <v>30</v>
      </c>
      <c r="J8" s="252">
        <f>IF(I8="","",IF('Data-Source-EBS'!B7="","",IF(I8="Grand Total","",'Data-Source-EBS'!B7)))</f>
        <v>4</v>
      </c>
      <c r="K8" s="253">
        <f t="shared" si="0"/>
        <v>120</v>
      </c>
      <c r="L8" s="238"/>
      <c r="N8" s="235"/>
      <c r="O8" s="245" t="str">
        <f ca="1">SUBSTITUTE(LEFT(CELL("filename"),FIND("]",CELL("filename"))-6),"[","") &amp; ".pdf"</f>
        <v>Macintosh HD:Users:jasgrimm:Documents:projects:epic.games:epic.games.sizing.calc.v23.all.jtg.7.17.2015.pdf</v>
      </c>
      <c r="P8" s="238"/>
    </row>
    <row r="9" spans="2:16">
      <c r="B9" s="235"/>
      <c r="C9" s="251" t="str">
        <f>IF('Data-Source-EC2'!A8="Grand Total","",IF('Data-Source-EC2'!A8="","",'Data-Source-EC2'!A8))</f>
        <v>c3.large</v>
      </c>
      <c r="D9" s="252">
        <f>IF(C9="","",IF('Data-Source-EC2'!B8="","",'Data-Source-EC2'!B8))</f>
        <v>220</v>
      </c>
      <c r="E9" s="253">
        <f>IF(D9="","",IF('Data-Source-EC2'!C8="","",'Data-Source-EC2'!C8))</f>
        <v>23.100000000000076</v>
      </c>
      <c r="F9" s="252">
        <f>IF(E9="","",IF('Data-Source-EC2'!D8="","",'Data-Source-EC2'!D8))</f>
        <v>13.639999999999958</v>
      </c>
      <c r="G9" s="252">
        <f>IF(F9="","",IF('Data-Source-EC2'!E8="","",'Data-Source-EC2'!E8))</f>
        <v>8.5799999999999716</v>
      </c>
      <c r="H9" s="249"/>
      <c r="I9" s="251">
        <f>IF('Data-Source-EBS'!A8="","",IF('Data-Source-EBS'!A8="(blank)","",IF('Data-Source-EBS'!A8="Grand Total","",'Data-Source-EBS'!A8)))</f>
        <v>50</v>
      </c>
      <c r="J9" s="252">
        <f>IF(I9="","",IF('Data-Source-EBS'!B8="","",IF(I9="Grand Total","",'Data-Source-EBS'!B8)))</f>
        <v>1</v>
      </c>
      <c r="K9" s="253">
        <f t="shared" si="0"/>
        <v>50</v>
      </c>
      <c r="L9" s="238"/>
      <c r="N9" s="235"/>
      <c r="O9" s="255"/>
      <c r="P9" s="238"/>
    </row>
    <row r="10" spans="2:16">
      <c r="B10" s="235"/>
      <c r="C10" s="251" t="str">
        <f>IF('Data-Source-EC2'!A9="Grand Total","",IF('Data-Source-EC2'!A9="","",'Data-Source-EC2'!A9))</f>
        <v>c3.xlarge</v>
      </c>
      <c r="D10" s="252">
        <f>IF(C10="","",IF('Data-Source-EC2'!B9="","",'Data-Source-EC2'!B9))</f>
        <v>12</v>
      </c>
      <c r="E10" s="253">
        <f>IF(D10="","",IF('Data-Source-EC2'!C9="","",'Data-Source-EC2'!C9))</f>
        <v>2.52</v>
      </c>
      <c r="F10" s="252">
        <f>IF(E10="","",IF('Data-Source-EC2'!D9="","",'Data-Source-EC2'!D9))</f>
        <v>1.5</v>
      </c>
      <c r="G10" s="252">
        <f>IF(F10="","",IF('Data-Source-EC2'!E9="","",'Data-Source-EC2'!E9))</f>
        <v>0.94799999999999984</v>
      </c>
      <c r="H10" s="249"/>
      <c r="I10" s="251">
        <f>IF('Data-Source-EBS'!A9="","",IF('Data-Source-EBS'!A9="(blank)","",IF('Data-Source-EBS'!A9="Grand Total","",'Data-Source-EBS'!A9)))</f>
        <v>70</v>
      </c>
      <c r="J10" s="252">
        <f>IF(I10="","",IF('Data-Source-EBS'!B9="","",IF(I10="Grand Total","",'Data-Source-EBS'!B9)))</f>
        <v>13</v>
      </c>
      <c r="K10" s="253">
        <f t="shared" si="0"/>
        <v>910</v>
      </c>
      <c r="L10" s="238"/>
      <c r="N10" s="235"/>
      <c r="O10" s="242" t="s">
        <v>1934</v>
      </c>
      <c r="P10" s="238"/>
    </row>
    <row r="11" spans="2:16">
      <c r="B11" s="235"/>
      <c r="C11" s="251" t="str">
        <f>IF('Data-Source-EC2'!A10="Grand Total","",IF('Data-Source-EC2'!A10="","",'Data-Source-EC2'!A10))</f>
        <v>i2.2xlarge</v>
      </c>
      <c r="D11" s="252">
        <f>IF(C11="","",IF('Data-Source-EC2'!B10="","",'Data-Source-EC2'!B10))</f>
        <v>4</v>
      </c>
      <c r="E11" s="253">
        <f>IF(D11="","",IF('Data-Source-EC2'!C10="","",'Data-Source-EC2'!C10))</f>
        <v>6.82</v>
      </c>
      <c r="F11" s="252">
        <f>IF(E11="","",IF('Data-Source-EC2'!D10="","",'Data-Source-EC2'!D10))</f>
        <v>2.8479999999999999</v>
      </c>
      <c r="G11" s="252">
        <f>IF(F11="","",IF('Data-Source-EC2'!E10="","",'Data-Source-EC2'!E10))</f>
        <v>1.6919999999999999</v>
      </c>
      <c r="H11" s="249"/>
      <c r="I11" s="251">
        <f>IF('Data-Source-EBS'!A10="","",IF('Data-Source-EBS'!A10="(blank)","",IF('Data-Source-EBS'!A10="Grand Total","",'Data-Source-EBS'!A10)))</f>
        <v>100</v>
      </c>
      <c r="J11" s="252">
        <f>IF(I11="","",IF('Data-Source-EBS'!B10="","",IF(I11="Grand Total","",'Data-Source-EBS'!B10)))</f>
        <v>1</v>
      </c>
      <c r="K11" s="253">
        <f t="shared" si="0"/>
        <v>100</v>
      </c>
      <c r="L11" s="238"/>
      <c r="N11" s="235"/>
      <c r="O11" s="245" t="str">
        <f ca="1">TRIM(RIGHT(SUBSTITUTE(O5,":",REPT(" ",100)),99))</f>
        <v>epic.games.sizing.calc.v23.all.jtg.7.17.2015.xlsm</v>
      </c>
      <c r="P11" s="238"/>
    </row>
    <row r="12" spans="2:16">
      <c r="B12" s="235"/>
      <c r="C12" s="251" t="str">
        <f>IF('Data-Source-EC2'!A11="Grand Total","",IF('Data-Source-EC2'!A11="","",'Data-Source-EC2'!A11))</f>
        <v>i2.xlarge</v>
      </c>
      <c r="D12" s="252">
        <f>IF(C12="","",IF('Data-Source-EC2'!B11="","",'Data-Source-EC2'!B11))</f>
        <v>4</v>
      </c>
      <c r="E12" s="253">
        <f>IF(D12="","",IF('Data-Source-EC2'!C11="","",'Data-Source-EC2'!C11))</f>
        <v>3.4119999999999999</v>
      </c>
      <c r="F12" s="252">
        <f>IF(E12="","",IF('Data-Source-EC2'!D11="","",'Data-Source-EC2'!D11))</f>
        <v>1.42</v>
      </c>
      <c r="G12" s="252">
        <f>IF(F12="","",IF('Data-Source-EC2'!E11="","",'Data-Source-EC2'!E11))</f>
        <v>0.84799999999999998</v>
      </c>
      <c r="H12" s="249"/>
      <c r="I12" s="251">
        <f>IF('Data-Source-EBS'!A11="","",IF('Data-Source-EBS'!A11="(blank)","",IF('Data-Source-EBS'!A11="Grand Total","",'Data-Source-EBS'!A11)))</f>
        <v>108</v>
      </c>
      <c r="J12" s="252">
        <f>IF(I12="","",IF('Data-Source-EBS'!B11="","",IF(I12="Grand Total","",'Data-Source-EBS'!B11)))</f>
        <v>3</v>
      </c>
      <c r="K12" s="253">
        <f t="shared" si="0"/>
        <v>324</v>
      </c>
      <c r="L12" s="238"/>
      <c r="N12" s="235"/>
      <c r="O12" s="255"/>
      <c r="P12" s="238"/>
    </row>
    <row r="13" spans="2:16">
      <c r="B13" s="235"/>
      <c r="C13" s="251" t="str">
        <f>IF('Data-Source-EC2'!A12="Grand Total","",IF('Data-Source-EC2'!A12="","",'Data-Source-EC2'!A12))</f>
        <v>m1.large</v>
      </c>
      <c r="D13" s="252">
        <f>IF(C13="","",IF('Data-Source-EC2'!B12="","",'Data-Source-EC2'!B12))</f>
        <v>7</v>
      </c>
      <c r="E13" s="253">
        <f>IF(D13="","",IF('Data-Source-EC2'!C12="","",'Data-Source-EC2'!C12))</f>
        <v>1.2250000000000001</v>
      </c>
      <c r="F13" s="252">
        <f>IF(E13="","",IF('Data-Source-EC2'!D12="","",'Data-Source-EC2'!D12))</f>
        <v>0.66499999999999992</v>
      </c>
      <c r="G13" s="252">
        <f>IF(F13="","",IF('Data-Source-EC2'!E12="","",'Data-Source-EC2'!E12))</f>
        <v>0.41299999999999998</v>
      </c>
      <c r="H13" s="249"/>
      <c r="I13" s="251">
        <f>IF('Data-Source-EBS'!A12="","",IF('Data-Source-EBS'!A12="(blank)","",IF('Data-Source-EBS'!A12="Grand Total","",'Data-Source-EBS'!A12)))</f>
        <v>120</v>
      </c>
      <c r="J13" s="252">
        <f>IF(I13="","",IF('Data-Source-EBS'!B12="","",IF(I13="Grand Total","",'Data-Source-EBS'!B12)))</f>
        <v>6</v>
      </c>
      <c r="K13" s="253">
        <f t="shared" si="0"/>
        <v>720</v>
      </c>
      <c r="L13" s="238"/>
      <c r="N13" s="235"/>
      <c r="O13" s="242" t="s">
        <v>1933</v>
      </c>
      <c r="P13" s="238"/>
    </row>
    <row r="14" spans="2:16">
      <c r="B14" s="235"/>
      <c r="C14" s="251" t="str">
        <f>IF('Data-Source-EC2'!A13="Grand Total","",IF('Data-Source-EC2'!A13="","",'Data-Source-EC2'!A13))</f>
        <v>m1.medium</v>
      </c>
      <c r="D14" s="252">
        <f>IF(C14="","",IF('Data-Source-EC2'!B13="","",'Data-Source-EC2'!B13))</f>
        <v>19</v>
      </c>
      <c r="E14" s="253">
        <f>IF(D14="","",IF('Data-Source-EC2'!C13="","",'Data-Source-EC2'!C13))</f>
        <v>1.7769999999999995</v>
      </c>
      <c r="F14" s="252">
        <f>IF(E14="","",IF('Data-Source-EC2'!D13="","",'Data-Source-EC2'!D13))</f>
        <v>0.99100000000000021</v>
      </c>
      <c r="G14" s="252">
        <f>IF(F14="","",IF('Data-Source-EC2'!E13="","",'Data-Source-EC2'!E13))</f>
        <v>0.63700000000000023</v>
      </c>
      <c r="H14" s="249"/>
      <c r="I14" s="251">
        <f>IF('Data-Source-EBS'!A13="","",IF('Data-Source-EBS'!A13="(blank)","",IF('Data-Source-EBS'!A13="Grand Total","",'Data-Source-EBS'!A13)))</f>
        <v>130</v>
      </c>
      <c r="J14" s="252">
        <f>IF(I14="","",IF('Data-Source-EBS'!B13="","",IF(I14="Grand Total","",'Data-Source-EBS'!B13)))</f>
        <v>1</v>
      </c>
      <c r="K14" s="253">
        <f t="shared" si="0"/>
        <v>130</v>
      </c>
      <c r="L14" s="238"/>
      <c r="N14" s="235"/>
      <c r="O14" s="245" t="str">
        <f ca="1">TRIM(RIGHT(SUBSTITUTE(O8,":",REPT(" ",100)),99))</f>
        <v>epic.games.sizing.calc.v23.all.jtg.7.17.2015.pdf</v>
      </c>
      <c r="P14" s="238"/>
    </row>
    <row r="15" spans="2:16">
      <c r="B15" s="235"/>
      <c r="C15" s="251" t="str">
        <f>IF('Data-Source-EC2'!A14="Grand Total","",IF('Data-Source-EC2'!A14="","",'Data-Source-EC2'!A14))</f>
        <v>m1.small</v>
      </c>
      <c r="D15" s="252">
        <f>IF(C15="","",IF('Data-Source-EC2'!B14="","",'Data-Source-EC2'!B14))</f>
        <v>286</v>
      </c>
      <c r="E15" s="253">
        <f>IF(D15="","",IF('Data-Source-EC2'!C14="","",'Data-Source-EC2'!C14))</f>
        <v>12.584000000000016</v>
      </c>
      <c r="F15" s="252">
        <f>IF(E15="","",IF('Data-Source-EC2'!D14="","",'Data-Source-EC2'!D14))</f>
        <v>6.8640000000000052</v>
      </c>
      <c r="G15" s="252">
        <f>IF(F15="","",IF('Data-Source-EC2'!E14="","",'Data-Source-EC2'!E14))</f>
        <v>4.2900000000000045</v>
      </c>
      <c r="H15" s="249"/>
      <c r="I15" s="251">
        <f>IF('Data-Source-EBS'!A14="","",IF('Data-Source-EBS'!A14="(blank)","",IF('Data-Source-EBS'!A14="Grand Total","",'Data-Source-EBS'!A14)))</f>
        <v>200</v>
      </c>
      <c r="J15" s="252">
        <f>IF(I15="","",IF('Data-Source-EBS'!B14="","",IF(I15="Grand Total","",'Data-Source-EBS'!B14)))</f>
        <v>1</v>
      </c>
      <c r="K15" s="253">
        <f t="shared" si="0"/>
        <v>200</v>
      </c>
      <c r="L15" s="238"/>
      <c r="N15" s="235"/>
      <c r="O15" s="255"/>
      <c r="P15" s="238"/>
    </row>
    <row r="16" spans="2:16">
      <c r="B16" s="235"/>
      <c r="C16" s="251" t="str">
        <f>IF('Data-Source-EC2'!A15="Grand Total","",IF('Data-Source-EC2'!A15="","",'Data-Source-EC2'!A15))</f>
        <v>m1.xlarge</v>
      </c>
      <c r="D16" s="252">
        <f>IF(C16="","",IF('Data-Source-EC2'!B15="","",'Data-Source-EC2'!B15))</f>
        <v>1</v>
      </c>
      <c r="E16" s="253">
        <f>IF(D16="","",IF('Data-Source-EC2'!C15="","",'Data-Source-EC2'!C15))</f>
        <v>0.35</v>
      </c>
      <c r="F16" s="252">
        <f>IF(E16="","",IF('Data-Source-EC2'!D15="","",'Data-Source-EC2'!D15))</f>
        <v>0.191</v>
      </c>
      <c r="G16" s="252">
        <f>IF(F16="","",IF('Data-Source-EC2'!E15="","",'Data-Source-EC2'!E15))</f>
        <v>0.11700000000000001</v>
      </c>
      <c r="H16" s="249"/>
      <c r="I16" s="251">
        <f>IF('Data-Source-EBS'!A15="","",IF('Data-Source-EBS'!A15="(blank)","",IF('Data-Source-EBS'!A15="Grand Total","",'Data-Source-EBS'!A15)))</f>
        <v>220</v>
      </c>
      <c r="J16" s="252">
        <f>IF(I16="","",IF('Data-Source-EBS'!B15="","",IF(I16="Grand Total","",'Data-Source-EBS'!B15)))</f>
        <v>23</v>
      </c>
      <c r="K16" s="253">
        <f t="shared" si="0"/>
        <v>5060</v>
      </c>
      <c r="L16" s="238"/>
      <c r="N16" s="235"/>
      <c r="O16" s="242" t="s">
        <v>1929</v>
      </c>
      <c r="P16" s="238"/>
    </row>
    <row r="17" spans="2:16">
      <c r="B17" s="235"/>
      <c r="C17" s="251" t="str">
        <f>IF('Data-Source-EC2'!A16="Grand Total","",IF('Data-Source-EC2'!A16="","",'Data-Source-EC2'!A16))</f>
        <v>m3.2xlarge</v>
      </c>
      <c r="D17" s="252">
        <f>IF(C17="","",IF('Data-Source-EC2'!B16="","",'Data-Source-EC2'!B16))</f>
        <v>21</v>
      </c>
      <c r="E17" s="253">
        <f>IF(D17="","",IF('Data-Source-EC2'!C16="","",'Data-Source-EC2'!C16))</f>
        <v>11.172000000000001</v>
      </c>
      <c r="F17" s="252">
        <f>IF(E17="","",IF('Data-Source-EC2'!D16="","",'Data-Source-EC2'!D16))</f>
        <v>6.8039999999999985</v>
      </c>
      <c r="G17" s="252">
        <f>IF(F17="","",IF('Data-Source-EC2'!E16="","",'Data-Source-EC2'!E16))</f>
        <v>4.3890000000000002</v>
      </c>
      <c r="H17" s="249"/>
      <c r="I17" s="251">
        <f>IF('Data-Source-EBS'!A16="","",IF('Data-Source-EBS'!A16="(blank)","",IF('Data-Source-EBS'!A16="Grand Total","",'Data-Source-EBS'!A16)))</f>
        <v>270</v>
      </c>
      <c r="J17" s="252">
        <f>IF(I17="","",IF('Data-Source-EBS'!B16="","",IF(I17="Grand Total","",'Data-Source-EBS'!B16)))</f>
        <v>3</v>
      </c>
      <c r="K17" s="253">
        <f t="shared" si="0"/>
        <v>810</v>
      </c>
      <c r="L17" s="238"/>
      <c r="N17" s="235"/>
      <c r="O17" s="256" t="str">
        <f>"jasgrimm@cisco.com"</f>
        <v>jasgrimm@cisco.com</v>
      </c>
      <c r="P17" s="238"/>
    </row>
    <row r="18" spans="2:16">
      <c r="B18" s="235"/>
      <c r="C18" s="251" t="str">
        <f>IF('Data-Source-EC2'!A17="Grand Total","",IF('Data-Source-EC2'!A17="","",'Data-Source-EC2'!A17))</f>
        <v>m3.large</v>
      </c>
      <c r="D18" s="252">
        <f>IF(C18="","",IF('Data-Source-EC2'!B17="","",'Data-Source-EC2'!B17))</f>
        <v>92</v>
      </c>
      <c r="E18" s="253">
        <f>IF(D18="","",IF('Data-Source-EC2'!C17="","",'Data-Source-EC2'!C17))</f>
        <v>12.235999999999972</v>
      </c>
      <c r="F18" s="252">
        <f>IF(E18="","",IF('Data-Source-EC2'!D17="","",'Data-Source-EC2'!D17))</f>
        <v>7.4520000000000159</v>
      </c>
      <c r="G18" s="252">
        <f>IF(F18="","",IF('Data-Source-EC2'!E17="","",'Data-Source-EC2'!E17))</f>
        <v>4.7839999999999971</v>
      </c>
      <c r="H18" s="249"/>
      <c r="I18" s="251">
        <f>IF('Data-Source-EBS'!A17="","",IF('Data-Source-EBS'!A17="(blank)","",IF('Data-Source-EBS'!A17="Grand Total","",'Data-Source-EBS'!A17)))</f>
        <v>420</v>
      </c>
      <c r="J18" s="252">
        <f>IF(I18="","",IF('Data-Source-EBS'!B17="","",IF(I18="Grand Total","",'Data-Source-EBS'!B17)))</f>
        <v>137</v>
      </c>
      <c r="K18" s="253">
        <f t="shared" si="0"/>
        <v>57540</v>
      </c>
      <c r="L18" s="238"/>
      <c r="N18" s="235"/>
      <c r="O18" s="257"/>
      <c r="P18" s="238"/>
    </row>
    <row r="19" spans="2:16">
      <c r="B19" s="235"/>
      <c r="C19" s="251" t="str">
        <f>IF('Data-Source-EC2'!A18="Grand Total","",IF('Data-Source-EC2'!A18="","",'Data-Source-EC2'!A18))</f>
        <v>m3.medium</v>
      </c>
      <c r="D19" s="252">
        <f>IF(C19="","",IF('Data-Source-EC2'!B18="","",'Data-Source-EC2'!B18))</f>
        <v>52</v>
      </c>
      <c r="E19" s="253">
        <f>IF(D19="","",IF('Data-Source-EC2'!C18="","",'Data-Source-EC2'!C18))</f>
        <v>3.5470000000000028</v>
      </c>
      <c r="F19" s="252">
        <f>IF(E19="","",IF('Data-Source-EC2'!D18="","",'Data-Source-EC2'!D18))</f>
        <v>2.124000000000001</v>
      </c>
      <c r="G19" s="252">
        <f>IF(F19="","",IF('Data-Source-EC2'!E18="","",'Data-Source-EC2'!E18))</f>
        <v>1.390000000000001</v>
      </c>
      <c r="H19" s="249"/>
      <c r="I19" s="251">
        <f>IF('Data-Source-EBS'!A18="","",IF('Data-Source-EBS'!A18="(blank)","",IF('Data-Source-EBS'!A18="Grand Total","",'Data-Source-EBS'!A18)))</f>
        <v>470</v>
      </c>
      <c r="J19" s="252">
        <f>IF(I19="","",IF('Data-Source-EBS'!B18="","",IF(I19="Grand Total","",'Data-Source-EBS'!B18)))</f>
        <v>1</v>
      </c>
      <c r="K19" s="253">
        <f t="shared" si="0"/>
        <v>470</v>
      </c>
      <c r="L19" s="238"/>
      <c r="N19" s="235"/>
      <c r="O19" s="242" t="s">
        <v>1930</v>
      </c>
      <c r="P19" s="238"/>
    </row>
    <row r="20" spans="2:16">
      <c r="B20" s="235"/>
      <c r="C20" s="251" t="str">
        <f>IF('Data-Source-EC2'!A19="Grand Total","",IF('Data-Source-EC2'!A19="","",'Data-Source-EC2'!A19))</f>
        <v>m3.xlarge</v>
      </c>
      <c r="D20" s="252">
        <f>IF(C20="","",IF('Data-Source-EC2'!B19="","",'Data-Source-EC2'!B19))</f>
        <v>55</v>
      </c>
      <c r="E20" s="253">
        <f>IF(D20="","",IF('Data-Source-EC2'!C19="","",'Data-Source-EC2'!C19))</f>
        <v>14.882000000000001</v>
      </c>
      <c r="F20" s="252">
        <f>IF(E20="","",IF('Data-Source-EC2'!D19="","",'Data-Source-EC2'!D19))</f>
        <v>9.1340000000000057</v>
      </c>
      <c r="G20" s="252">
        <f>IF(F20="","",IF('Data-Source-EC2'!E19="","",'Data-Source-EC2'!E19))</f>
        <v>5.871000000000004</v>
      </c>
      <c r="H20" s="249"/>
      <c r="I20" s="251">
        <f>IF('Data-Source-EBS'!A19="","",IF('Data-Source-EBS'!A19="(blank)","",IF('Data-Source-EBS'!A19="Grand Total","",'Data-Source-EBS'!A19)))</f>
        <v>520</v>
      </c>
      <c r="J20" s="252">
        <f>IF(I20="","",IF('Data-Source-EBS'!B19="","",IF(I20="Grand Total","",'Data-Source-EBS'!B19)))</f>
        <v>6</v>
      </c>
      <c r="K20" s="253">
        <f t="shared" si="0"/>
        <v>3120</v>
      </c>
      <c r="L20" s="238"/>
      <c r="N20" s="235"/>
      <c r="O20" s="256" t="s">
        <v>1962</v>
      </c>
      <c r="P20" s="238"/>
    </row>
    <row r="21" spans="2:16">
      <c r="B21" s="235"/>
      <c r="C21" s="251" t="str">
        <f>IF('Data-Source-EC2'!A20="Grand Total","",IF('Data-Source-EC2'!A20="","",'Data-Source-EC2'!A20))</f>
        <v>r3.large</v>
      </c>
      <c r="D21" s="252">
        <f>IF(C21="","",IF('Data-Source-EC2'!B20="","",'Data-Source-EC2'!B20))</f>
        <v>2</v>
      </c>
      <c r="E21" s="253">
        <f>IF(D21="","",IF('Data-Source-EC2'!C20="","",'Data-Source-EC2'!C20))</f>
        <v>0.35</v>
      </c>
      <c r="F21" s="252">
        <f>IF(E21="","",IF('Data-Source-EC2'!D20="","",'Data-Source-EC2'!D20))</f>
        <v>0.186</v>
      </c>
      <c r="G21" s="252">
        <f>IF(F21="","",IF('Data-Source-EC2'!E20="","",'Data-Source-EC2'!E20))</f>
        <v>0.122</v>
      </c>
      <c r="H21" s="249"/>
      <c r="I21" s="251">
        <f>IF('Data-Source-EBS'!A20="","",IF('Data-Source-EBS'!A20="(blank)","",IF('Data-Source-EBS'!A20="Grand Total","",'Data-Source-EBS'!A20)))</f>
        <v>590</v>
      </c>
      <c r="J21" s="252">
        <f>IF(I21="","",IF('Data-Source-EBS'!B20="","",IF(I21="Grand Total","",'Data-Source-EBS'!B20)))</f>
        <v>1</v>
      </c>
      <c r="K21" s="253">
        <f t="shared" si="0"/>
        <v>590</v>
      </c>
      <c r="L21" s="238"/>
      <c r="N21" s="235"/>
      <c r="O21" s="257"/>
      <c r="P21" s="238"/>
    </row>
    <row r="22" spans="2:16">
      <c r="B22" s="235"/>
      <c r="C22" s="251" t="str">
        <f>IF('Data-Source-EC2'!A21="Grand Total","",IF('Data-Source-EC2'!A21="","",'Data-Source-EC2'!A21))</f>
        <v>t1.micro</v>
      </c>
      <c r="D22" s="252">
        <f>IF(C22="","",IF('Data-Source-EC2'!B21="","",'Data-Source-EC2'!B21))</f>
        <v>9</v>
      </c>
      <c r="E22" s="253">
        <f>IF(D22="","",IF('Data-Source-EC2'!C21="","",'Data-Source-EC2'!C21))</f>
        <v>0.18</v>
      </c>
      <c r="F22" s="252">
        <f>IF(E22="","",IF('Data-Source-EC2'!D21="","",'Data-Source-EC2'!D21))</f>
        <v>0.10799999999999998</v>
      </c>
      <c r="G22" s="252">
        <f>IF(F22="","",IF('Data-Source-EC2'!E21="","",'Data-Source-EC2'!E21))</f>
        <v>7.2000000000000008E-2</v>
      </c>
      <c r="H22" s="249"/>
      <c r="I22" s="251">
        <f>IF('Data-Source-EBS'!A21="","",IF('Data-Source-EBS'!A21="(blank)","",IF('Data-Source-EBS'!A21="Grand Total","",'Data-Source-EBS'!A21)))</f>
        <v>620</v>
      </c>
      <c r="J22" s="252">
        <f>IF(I22="","",IF('Data-Source-EBS'!B21="","",IF(I22="Grand Total","",'Data-Source-EBS'!B21)))</f>
        <v>1</v>
      </c>
      <c r="K22" s="253">
        <f t="shared" si="0"/>
        <v>620</v>
      </c>
      <c r="L22" s="238"/>
      <c r="N22" s="235"/>
      <c r="O22" s="257"/>
      <c r="P22" s="238"/>
    </row>
    <row r="23" spans="2:16">
      <c r="B23" s="235"/>
      <c r="C23" s="251" t="str">
        <f>IF('Data-Source-EC2'!A22="Grand Total","",IF('Data-Source-EC2'!A22="","",'Data-Source-EC2'!A22))</f>
        <v>t2.medium</v>
      </c>
      <c r="D23" s="252">
        <f>IF(C23="","",IF('Data-Source-EC2'!B22="","",'Data-Source-EC2'!B22))</f>
        <v>59</v>
      </c>
      <c r="E23" s="253">
        <f>IF(D23="","",IF('Data-Source-EC2'!C22="","",'Data-Source-EC2'!C22))</f>
        <v>3.0680000000000023</v>
      </c>
      <c r="F23" s="252">
        <f>IF(E23="","",IF('Data-Source-EC2'!D22="","",'Data-Source-EC2'!D22))</f>
        <v>2.0060000000000016</v>
      </c>
      <c r="G23" s="252">
        <f>IF(F23="","",IF('Data-Source-EC2'!E22="","",'Data-Source-EC2'!E22))</f>
        <v>1.3569999999999991</v>
      </c>
      <c r="H23" s="249"/>
      <c r="I23" s="251">
        <f>IF('Data-Source-EBS'!A22="","",IF('Data-Source-EBS'!A22="(blank)","",IF('Data-Source-EBS'!A22="Grand Total","",'Data-Source-EBS'!A22)))</f>
        <v>670</v>
      </c>
      <c r="J23" s="252">
        <f>IF(I23="","",IF('Data-Source-EBS'!B22="","",IF(I23="Grand Total","",'Data-Source-EBS'!B22)))</f>
        <v>1</v>
      </c>
      <c r="K23" s="253">
        <f t="shared" si="0"/>
        <v>670</v>
      </c>
      <c r="L23" s="238"/>
      <c r="N23" s="235"/>
      <c r="O23" s="257"/>
      <c r="P23" s="238"/>
    </row>
    <row r="24" spans="2:16">
      <c r="B24" s="235"/>
      <c r="C24" s="251" t="str">
        <f>IF('Data-Source-EC2'!A23="Grand Total","",IF('Data-Source-EC2'!A23="","",'Data-Source-EC2'!A23))</f>
        <v>t2.micro</v>
      </c>
      <c r="D24" s="252">
        <f>IF(C24="","",IF('Data-Source-EC2'!B23="","",'Data-Source-EC2'!B23))</f>
        <v>4</v>
      </c>
      <c r="E24" s="253">
        <f>IF(D24="","",IF('Data-Source-EC2'!C23="","",'Data-Source-EC2'!C23))</f>
        <v>5.1999999999999998E-2</v>
      </c>
      <c r="F24" s="252">
        <f>IF(E24="","",IF('Data-Source-EC2'!D23="","",'Data-Source-EC2'!D23))</f>
        <v>3.5999999999999997E-2</v>
      </c>
      <c r="G24" s="252">
        <f>IF(F24="","",IF('Data-Source-EC2'!E23="","",'Data-Source-EC2'!E23))</f>
        <v>2.4E-2</v>
      </c>
      <c r="H24" s="249"/>
      <c r="I24" s="251">
        <f>IF('Data-Source-EBS'!A23="","",IF('Data-Source-EBS'!A23="(blank)","",IF('Data-Source-EBS'!A23="Grand Total","",'Data-Source-EBS'!A23)))</f>
        <v>820</v>
      </c>
      <c r="J24" s="252">
        <f>IF(I24="","",IF('Data-Source-EBS'!B23="","",IF(I24="Grand Total","",'Data-Source-EBS'!B23)))</f>
        <v>59</v>
      </c>
      <c r="K24" s="253">
        <f t="shared" si="0"/>
        <v>48380</v>
      </c>
      <c r="L24" s="238"/>
      <c r="N24" s="258"/>
      <c r="O24" s="259"/>
      <c r="P24" s="260"/>
    </row>
    <row r="25" spans="2:16">
      <c r="B25" s="235"/>
      <c r="C25" s="251" t="str">
        <f>IF('Data-Source-EC2'!A24="Grand Total","",IF('Data-Source-EC2'!A24="","",'Data-Source-EC2'!A24))</f>
        <v>t2.small</v>
      </c>
      <c r="D25" s="252">
        <f>IF(C25="","",IF('Data-Source-EC2'!B24="","",'Data-Source-EC2'!B24))</f>
        <v>301</v>
      </c>
      <c r="E25" s="253">
        <f>IF(D25="","",IF('Data-Source-EC2'!C24="","",'Data-Source-EC2'!C24))</f>
        <v>7.825999999999957</v>
      </c>
      <c r="F25" s="252">
        <f>IF(E25="","",IF('Data-Source-EC2'!D24="","",'Data-Source-EC2'!D24))</f>
        <v>5.1170000000000071</v>
      </c>
      <c r="G25" s="252">
        <f>IF(F25="","",IF('Data-Source-EC2'!E24="","",'Data-Source-EC2'!E24))</f>
        <v>3.6120000000000028</v>
      </c>
      <c r="H25" s="249"/>
      <c r="I25" s="251">
        <f>IF('Data-Source-EBS'!A24="","",IF('Data-Source-EBS'!A24="(blank)","",IF('Data-Source-EBS'!A24="Grand Total","",'Data-Source-EBS'!A24)))</f>
        <v>1020</v>
      </c>
      <c r="J25" s="252">
        <f>IF(I25="","",IF('Data-Source-EBS'!B24="","",IF(I25="Grand Total","",'Data-Source-EBS'!B24)))</f>
        <v>3</v>
      </c>
      <c r="K25" s="253">
        <f t="shared" si="0"/>
        <v>3060</v>
      </c>
      <c r="L25" s="238"/>
    </row>
    <row r="26" spans="2:16">
      <c r="B26" s="235"/>
      <c r="C26" s="251" t="str">
        <f>IF('Data-Source-EC2'!A25="Grand Total","",IF('Data-Source-EC2'!A25="","",'Data-Source-EC2'!A25))</f>
        <v/>
      </c>
      <c r="D26" s="252" t="str">
        <f>IF(C26="","",IF('Data-Source-EC2'!B25="","",'Data-Source-EC2'!B25))</f>
        <v/>
      </c>
      <c r="E26" s="253" t="str">
        <f>IF(D26="","",IF('Data-Source-EC2'!C25="","",'Data-Source-EC2'!C25))</f>
        <v/>
      </c>
      <c r="F26" s="252" t="str">
        <f>IF(E26="","",IF('Data-Source-EC2'!D25="","",'Data-Source-EC2'!D25))</f>
        <v/>
      </c>
      <c r="G26" s="252" t="str">
        <f>IF(F26="","",IF('Data-Source-EC2'!E25="","",'Data-Source-EC2'!E25))</f>
        <v/>
      </c>
      <c r="H26" s="249"/>
      <c r="I26" s="251">
        <f>IF('Data-Source-EBS'!A25="","",IF('Data-Source-EBS'!A25="(blank)","",IF('Data-Source-EBS'!A25="Grand Total","",'Data-Source-EBS'!A25)))</f>
        <v>1128</v>
      </c>
      <c r="J26" s="252">
        <f>IF(I26="","",IF('Data-Source-EBS'!B25="","",IF(I26="Grand Total","",'Data-Source-EBS'!B25)))</f>
        <v>1</v>
      </c>
      <c r="K26" s="253">
        <f t="shared" si="0"/>
        <v>1128</v>
      </c>
      <c r="L26" s="238"/>
    </row>
    <row r="27" spans="2:16">
      <c r="B27" s="235"/>
      <c r="C27" s="251" t="str">
        <f>IF('Data-Source-EC2'!A26="Grand Total","",IF('Data-Source-EC2'!A26="","",'Data-Source-EC2'!A26))</f>
        <v/>
      </c>
      <c r="D27" s="252" t="str">
        <f>IF(C27="","",IF('Data-Source-EC2'!B26="","",'Data-Source-EC2'!B26))</f>
        <v/>
      </c>
      <c r="E27" s="253" t="str">
        <f>IF(D27="","",IF('Data-Source-EC2'!C26="","",'Data-Source-EC2'!C26))</f>
        <v/>
      </c>
      <c r="F27" s="252" t="str">
        <f>IF(E27="","",IF('Data-Source-EC2'!D26="","",'Data-Source-EC2'!D26))</f>
        <v/>
      </c>
      <c r="G27" s="252" t="str">
        <f>IF(F27="","",IF('Data-Source-EC2'!E26="","",'Data-Source-EC2'!E26))</f>
        <v/>
      </c>
      <c r="H27" s="249"/>
      <c r="I27" s="251">
        <f>IF('Data-Source-EBS'!A26="","",IF('Data-Source-EBS'!A26="(blank)","",IF('Data-Source-EBS'!A26="Grand Total","",'Data-Source-EBS'!A26)))</f>
        <v>1220</v>
      </c>
      <c r="J27" s="252">
        <f>IF(I27="","",IF('Data-Source-EBS'!B26="","",IF(I27="Grand Total","",'Data-Source-EBS'!B26)))</f>
        <v>3</v>
      </c>
      <c r="K27" s="253">
        <f t="shared" si="0"/>
        <v>3660</v>
      </c>
      <c r="L27" s="238"/>
      <c r="O27" s="229" t="s">
        <v>1935</v>
      </c>
    </row>
    <row r="28" spans="2:16">
      <c r="B28" s="235"/>
      <c r="C28" s="251" t="str">
        <f>IF('Data-Source-EC2'!A27="Grand Total","",IF('Data-Source-EC2'!A27="","",'Data-Source-EC2'!A27))</f>
        <v/>
      </c>
      <c r="D28" s="252" t="str">
        <f>IF(C28="","",IF('Data-Source-EC2'!B27="","",'Data-Source-EC2'!B27))</f>
        <v/>
      </c>
      <c r="E28" s="253" t="str">
        <f>IF(D28="","",IF('Data-Source-EC2'!C27="","",'Data-Source-EC2'!C27))</f>
        <v/>
      </c>
      <c r="F28" s="252" t="str">
        <f>IF(E28="","",IF('Data-Source-EC2'!D27="","",'Data-Source-EC2'!D27))</f>
        <v/>
      </c>
      <c r="G28" s="252" t="str">
        <f>IF(F28="","",IF('Data-Source-EC2'!E27="","",'Data-Source-EC2'!E27))</f>
        <v/>
      </c>
      <c r="H28" s="249"/>
      <c r="I28" s="251">
        <f>IF('Data-Source-EBS'!A27="","",IF('Data-Source-EBS'!A27="(blank)","",IF('Data-Source-EBS'!A27="Grand Total","",'Data-Source-EBS'!A27)))</f>
        <v>1244</v>
      </c>
      <c r="J28" s="252">
        <f>IF(I28="","",IF('Data-Source-EBS'!B27="","",IF(I28="Grand Total","",'Data-Source-EBS'!B27)))</f>
        <v>1</v>
      </c>
      <c r="K28" s="253">
        <f t="shared" si="0"/>
        <v>1244</v>
      </c>
      <c r="L28" s="238"/>
    </row>
    <row r="29" spans="2:16">
      <c r="B29" s="235"/>
      <c r="C29" s="251" t="str">
        <f>IF('Data-Source-EC2'!A28="Grand Total","",IF('Data-Source-EC2'!A28="","",'Data-Source-EC2'!A28))</f>
        <v/>
      </c>
      <c r="D29" s="252" t="str">
        <f>IF(C29="","",IF('Data-Source-EC2'!B28="","",'Data-Source-EC2'!B28))</f>
        <v/>
      </c>
      <c r="E29" s="253" t="str">
        <f>IF(D29="","",IF('Data-Source-EC2'!C28="","",'Data-Source-EC2'!C28))</f>
        <v/>
      </c>
      <c r="F29" s="252" t="str">
        <f>IF(E29="","",IF('Data-Source-EC2'!D28="","",'Data-Source-EC2'!D28))</f>
        <v/>
      </c>
      <c r="G29" s="252" t="str">
        <f>IF(F29="","",IF('Data-Source-EC2'!E28="","",'Data-Source-EC2'!E28))</f>
        <v/>
      </c>
      <c r="H29" s="249"/>
      <c r="I29" s="251">
        <f>IF('Data-Source-EBS'!A28="","",IF('Data-Source-EBS'!A28="(blank)","",IF('Data-Source-EBS'!A28="Grand Total","",'Data-Source-EBS'!A28)))</f>
        <v>1420</v>
      </c>
      <c r="J29" s="252">
        <f>IF(I29="","",IF('Data-Source-EBS'!B28="","",IF(I29="Grand Total","",'Data-Source-EBS'!B28)))</f>
        <v>12</v>
      </c>
      <c r="K29" s="253">
        <f t="shared" si="0"/>
        <v>17040</v>
      </c>
      <c r="L29" s="238"/>
    </row>
    <row r="30" spans="2:16">
      <c r="B30" s="235"/>
      <c r="C30" s="251" t="str">
        <f>IF('Data-Source-EC2'!A29="Grand Total","",IF('Data-Source-EC2'!A29="","",'Data-Source-EC2'!A29))</f>
        <v/>
      </c>
      <c r="D30" s="252" t="str">
        <f>IF(C30="","",IF('Data-Source-EC2'!B29="","",'Data-Source-EC2'!B29))</f>
        <v/>
      </c>
      <c r="E30" s="253" t="str">
        <f>IF(D30="","",IF('Data-Source-EC2'!C29="","",'Data-Source-EC2'!C29))</f>
        <v/>
      </c>
      <c r="F30" s="252" t="str">
        <f>IF(E30="","",IF('Data-Source-EC2'!D29="","",'Data-Source-EC2'!D29))</f>
        <v/>
      </c>
      <c r="G30" s="252" t="str">
        <f>IF(F30="","",IF('Data-Source-EC2'!E29="","",'Data-Source-EC2'!E29))</f>
        <v/>
      </c>
      <c r="H30" s="249"/>
      <c r="I30" s="251">
        <f>IF('Data-Source-EBS'!A29="","",IF('Data-Source-EBS'!A29="(blank)","",IF('Data-Source-EBS'!A29="Grand Total","",'Data-Source-EBS'!A29)))</f>
        <v>1820</v>
      </c>
      <c r="J30" s="252">
        <f>IF(I30="","",IF('Data-Source-EBS'!B29="","",IF(I30="Grand Total","",'Data-Source-EBS'!B29)))</f>
        <v>7</v>
      </c>
      <c r="K30" s="253">
        <f t="shared" si="0"/>
        <v>12740</v>
      </c>
      <c r="L30" s="238"/>
    </row>
    <row r="31" spans="2:16">
      <c r="B31" s="235"/>
      <c r="C31" s="251" t="str">
        <f>IF('Data-Source-EC2'!A30="Grand Total","",IF('Data-Source-EC2'!A30="","",'Data-Source-EC2'!A30))</f>
        <v/>
      </c>
      <c r="D31" s="252" t="str">
        <f>IF(C31="","",IF('Data-Source-EC2'!B30="","",'Data-Source-EC2'!B30))</f>
        <v/>
      </c>
      <c r="E31" s="253" t="str">
        <f>IF(D31="","",IF('Data-Source-EC2'!C30="","",'Data-Source-EC2'!C30))</f>
        <v/>
      </c>
      <c r="F31" s="252" t="str">
        <f>IF(E31="","",IF('Data-Source-EC2'!D30="","",'Data-Source-EC2'!D30))</f>
        <v/>
      </c>
      <c r="G31" s="252" t="str">
        <f>IF(F31="","",IF('Data-Source-EC2'!E30="","",'Data-Source-EC2'!E30))</f>
        <v/>
      </c>
      <c r="H31" s="249"/>
      <c r="I31" s="251">
        <f>IF('Data-Source-EBS'!A30="","",IF('Data-Source-EBS'!A30="(blank)","",IF('Data-Source-EBS'!A30="Grand Total","",'Data-Source-EBS'!A30)))</f>
        <v>1844</v>
      </c>
      <c r="J31" s="252">
        <f>IF(I31="","",IF('Data-Source-EBS'!B30="","",IF(I31="Grand Total","",'Data-Source-EBS'!B30)))</f>
        <v>1</v>
      </c>
      <c r="K31" s="253">
        <f t="shared" si="0"/>
        <v>1844</v>
      </c>
      <c r="L31" s="238"/>
    </row>
    <row r="32" spans="2:16">
      <c r="B32" s="235"/>
      <c r="C32" s="251" t="str">
        <f>IF('Data-Source-EC2'!A31="Grand Total","",IF('Data-Source-EC2'!A31="","",'Data-Source-EC2'!A31))</f>
        <v/>
      </c>
      <c r="D32" s="252" t="str">
        <f>IF(C32="","",IF('Data-Source-EC2'!B31="","",'Data-Source-EC2'!B31))</f>
        <v/>
      </c>
      <c r="E32" s="253" t="str">
        <f>IF(D32="","",IF('Data-Source-EC2'!C31="","",'Data-Source-EC2'!C31))</f>
        <v/>
      </c>
      <c r="F32" s="252" t="str">
        <f>IF(E32="","",IF('Data-Source-EC2'!D31="","",'Data-Source-EC2'!D31))</f>
        <v/>
      </c>
      <c r="G32" s="252" t="str">
        <f>IF(F32="","",IF('Data-Source-EC2'!E31="","",'Data-Source-EC2'!E31))</f>
        <v/>
      </c>
      <c r="H32" s="249"/>
      <c r="I32" s="251">
        <f>IF('Data-Source-EBS'!A31="","",IF('Data-Source-EBS'!A31="(blank)","",IF('Data-Source-EBS'!A31="Grand Total","",'Data-Source-EBS'!A31)))</f>
        <v>2078</v>
      </c>
      <c r="J32" s="252">
        <f>IF(I32="","",IF('Data-Source-EBS'!B31="","",IF(I32="Grand Total","",'Data-Source-EBS'!B31)))</f>
        <v>1</v>
      </c>
      <c r="K32" s="253">
        <f t="shared" si="0"/>
        <v>2078</v>
      </c>
      <c r="L32" s="238"/>
    </row>
    <row r="33" spans="2:12">
      <c r="B33" s="235"/>
      <c r="C33" s="251" t="str">
        <f>IF('Data-Source-EC2'!A32="Grand Total","",IF('Data-Source-EC2'!A32="","",'Data-Source-EC2'!A32))</f>
        <v/>
      </c>
      <c r="D33" s="252" t="str">
        <f>IF(C33="","",IF('Data-Source-EC2'!B32="","",'Data-Source-EC2'!B32))</f>
        <v/>
      </c>
      <c r="E33" s="253" t="str">
        <f>IF(D33="","",IF('Data-Source-EC2'!C32="","",'Data-Source-EC2'!C32))</f>
        <v/>
      </c>
      <c r="F33" s="252" t="str">
        <f>IF(E33="","",IF('Data-Source-EC2'!D32="","",'Data-Source-EC2'!D32))</f>
        <v/>
      </c>
      <c r="G33" s="252" t="str">
        <f>IF(F33="","",IF('Data-Source-EC2'!E32="","",'Data-Source-EC2'!E32))</f>
        <v/>
      </c>
      <c r="H33" s="249"/>
      <c r="I33" s="251">
        <f>IF('Data-Source-EBS'!A32="","",IF('Data-Source-EBS'!A32="(blank)","",IF('Data-Source-EBS'!A32="Grand Total","",'Data-Source-EBS'!A32)))</f>
        <v>2406</v>
      </c>
      <c r="J33" s="252">
        <f>IF(I33="","",IF('Data-Source-EBS'!B32="","",IF(I33="Grand Total","",'Data-Source-EBS'!B32)))</f>
        <v>1</v>
      </c>
      <c r="K33" s="253">
        <f t="shared" si="0"/>
        <v>2406</v>
      </c>
      <c r="L33" s="238"/>
    </row>
    <row r="34" spans="2:12">
      <c r="B34" s="235"/>
      <c r="C34" s="251" t="str">
        <f>IF('Data-Source-EC2'!A33="Grand Total","",IF('Data-Source-EC2'!A33="","",'Data-Source-EC2'!A33))</f>
        <v/>
      </c>
      <c r="D34" s="252" t="str">
        <f>IF(C34="","",IF('Data-Source-EC2'!B33="","",'Data-Source-EC2'!B33))</f>
        <v/>
      </c>
      <c r="E34" s="253" t="str">
        <f>IF(D34="","",IF('Data-Source-EC2'!C33="","",'Data-Source-EC2'!C33))</f>
        <v/>
      </c>
      <c r="F34" s="252" t="str">
        <f>IF(E34="","",IF('Data-Source-EC2'!D33="","",'Data-Source-EC2'!D33))</f>
        <v/>
      </c>
      <c r="G34" s="252" t="str">
        <f>IF(F34="","",IF('Data-Source-EC2'!E33="","",'Data-Source-EC2'!E33))</f>
        <v/>
      </c>
      <c r="H34" s="249"/>
      <c r="I34" s="251">
        <f>IF('Data-Source-EBS'!A33="","",IF('Data-Source-EBS'!A33="(blank)","",IF('Data-Source-EBS'!A33="Grand Total","",'Data-Source-EBS'!A33)))</f>
        <v>3492</v>
      </c>
      <c r="J34" s="252">
        <f>IF(I34="","",IF('Data-Source-EBS'!B33="","",IF(I34="Grand Total","",'Data-Source-EBS'!B33)))</f>
        <v>1</v>
      </c>
      <c r="K34" s="253">
        <f t="shared" si="0"/>
        <v>3492</v>
      </c>
      <c r="L34" s="238"/>
    </row>
    <row r="35" spans="2:12">
      <c r="B35" s="235"/>
      <c r="C35" s="251" t="str">
        <f>IF('Data-Source-EC2'!A34="Grand Total","",IF('Data-Source-EC2'!A34="","",'Data-Source-EC2'!A34))</f>
        <v/>
      </c>
      <c r="D35" s="252" t="str">
        <f>IF(C35="","",IF('Data-Source-EC2'!B34="","",'Data-Source-EC2'!B34))</f>
        <v/>
      </c>
      <c r="E35" s="253" t="str">
        <f>IF(D35="","",IF('Data-Source-EC2'!C34="","",'Data-Source-EC2'!C34))</f>
        <v/>
      </c>
      <c r="F35" s="252" t="str">
        <f>IF(E35="","",IF('Data-Source-EC2'!D34="","",'Data-Source-EC2'!D34))</f>
        <v/>
      </c>
      <c r="G35" s="252" t="str">
        <f>IF(F35="","",IF('Data-Source-EC2'!E34="","",'Data-Source-EC2'!E34))</f>
        <v/>
      </c>
      <c r="H35" s="249"/>
      <c r="I35" s="251">
        <f>IF('Data-Source-EBS'!A34="","",IF('Data-Source-EBS'!A34="(blank)","",IF('Data-Source-EBS'!A34="Grand Total","",'Data-Source-EBS'!A34)))</f>
        <v>3992</v>
      </c>
      <c r="J35" s="252">
        <f>IF(I35="","",IF('Data-Source-EBS'!B34="","",IF(I35="Grand Total","",'Data-Source-EBS'!B34)))</f>
        <v>3</v>
      </c>
      <c r="K35" s="253">
        <f t="shared" si="0"/>
        <v>11976</v>
      </c>
      <c r="L35" s="238"/>
    </row>
    <row r="36" spans="2:12">
      <c r="B36" s="235"/>
      <c r="C36" s="251" t="str">
        <f>IF('Data-Source-EC2'!A35="Grand Total","",IF('Data-Source-EC2'!A35="","",'Data-Source-EC2'!A35))</f>
        <v/>
      </c>
      <c r="D36" s="252" t="str">
        <f>IF(C36="","",IF('Data-Source-EC2'!B35="","",'Data-Source-EC2'!B35))</f>
        <v/>
      </c>
      <c r="E36" s="253" t="str">
        <f>IF(D36="","",IF('Data-Source-EC2'!C35="","",'Data-Source-EC2'!C35))</f>
        <v/>
      </c>
      <c r="F36" s="252" t="str">
        <f>IF(E36="","",IF('Data-Source-EC2'!D35="","",'Data-Source-EC2'!D35))</f>
        <v/>
      </c>
      <c r="G36" s="252" t="str">
        <f>IF(F36="","",IF('Data-Source-EC2'!E35="","",'Data-Source-EC2'!E35))</f>
        <v/>
      </c>
      <c r="H36" s="249"/>
      <c r="I36" s="251">
        <f>IF('Data-Source-EBS'!A35="","",IF('Data-Source-EBS'!A35="(blank)","",IF('Data-Source-EBS'!A35="Grand Total","",'Data-Source-EBS'!A35)))</f>
        <v>4020</v>
      </c>
      <c r="J36" s="252">
        <f>IF(I36="","",IF('Data-Source-EBS'!B35="","",IF(I36="Grand Total","",'Data-Source-EBS'!B35)))</f>
        <v>3</v>
      </c>
      <c r="K36" s="253">
        <f t="shared" si="0"/>
        <v>12060</v>
      </c>
      <c r="L36" s="238"/>
    </row>
    <row r="37" spans="2:12">
      <c r="B37" s="235"/>
      <c r="C37" s="251" t="str">
        <f>IF('Data-Source-EC2'!A36="Grand Total","",IF('Data-Source-EC2'!A36="","",'Data-Source-EC2'!A36))</f>
        <v/>
      </c>
      <c r="D37" s="252" t="str">
        <f>IF(C37="","",IF('Data-Source-EC2'!B36="","",'Data-Source-EC2'!B36))</f>
        <v/>
      </c>
      <c r="E37" s="253" t="str">
        <f>IF(D37="","",IF('Data-Source-EC2'!C36="","",'Data-Source-EC2'!C36))</f>
        <v/>
      </c>
      <c r="F37" s="252" t="str">
        <f>IF(E37="","",IF('Data-Source-EC2'!D36="","",'Data-Source-EC2'!D36))</f>
        <v/>
      </c>
      <c r="G37" s="252" t="str">
        <f>IF(F37="","",IF('Data-Source-EC2'!E36="","",'Data-Source-EC2'!E36))</f>
        <v/>
      </c>
      <c r="H37" s="249"/>
      <c r="I37" s="251">
        <f>IF('Data-Source-EBS'!A36="","",IF('Data-Source-EBS'!A36="(blank)","",IF('Data-Source-EBS'!A36="Grand Total","",'Data-Source-EBS'!A36)))</f>
        <v>4516</v>
      </c>
      <c r="J37" s="252">
        <f>IF(I37="","",IF('Data-Source-EBS'!B36="","",IF(I37="Grand Total","",'Data-Source-EBS'!B36)))</f>
        <v>1</v>
      </c>
      <c r="K37" s="253">
        <f t="shared" si="0"/>
        <v>4516</v>
      </c>
      <c r="L37" s="238"/>
    </row>
    <row r="38" spans="2:12">
      <c r="B38" s="235"/>
      <c r="C38" s="251" t="str">
        <f>IF('Data-Source-EC2'!A37="Grand Total","",IF('Data-Source-EC2'!A37="","",'Data-Source-EC2'!A37))</f>
        <v/>
      </c>
      <c r="D38" s="252" t="str">
        <f>IF(C38="","",IF('Data-Source-EC2'!B37="","",'Data-Source-EC2'!B37))</f>
        <v/>
      </c>
      <c r="E38" s="253" t="str">
        <f>IF(D38="","",IF('Data-Source-EC2'!C37="","",'Data-Source-EC2'!C37))</f>
        <v/>
      </c>
      <c r="F38" s="252" t="str">
        <f>IF(E38="","",IF('Data-Source-EC2'!D37="","",'Data-Source-EC2'!D37))</f>
        <v/>
      </c>
      <c r="G38" s="252" t="str">
        <f>IF(F38="","",IF('Data-Source-EC2'!E37="","",'Data-Source-EC2'!E37))</f>
        <v/>
      </c>
      <c r="H38" s="249"/>
      <c r="I38" s="251">
        <f>IF('Data-Source-EBS'!A37="","",IF('Data-Source-EBS'!A37="(blank)","",IF('Data-Source-EBS'!A37="Grand Total","",'Data-Source-EBS'!A37)))</f>
        <v>6140</v>
      </c>
      <c r="J38" s="252">
        <f>IF(I38="","",IF('Data-Source-EBS'!B37="","",IF(I38="Grand Total","",'Data-Source-EBS'!B37)))</f>
        <v>1</v>
      </c>
      <c r="K38" s="253">
        <f t="shared" si="0"/>
        <v>6140</v>
      </c>
      <c r="L38" s="238"/>
    </row>
    <row r="39" spans="2:12">
      <c r="B39" s="235"/>
      <c r="C39" s="251" t="str">
        <f>IF('Data-Source-EC2'!A38="Grand Total","",IF('Data-Source-EC2'!A38="","",'Data-Source-EC2'!A38))</f>
        <v/>
      </c>
      <c r="D39" s="252" t="str">
        <f>IF(C39="","",IF('Data-Source-EC2'!B38="","",'Data-Source-EC2'!B38))</f>
        <v/>
      </c>
      <c r="E39" s="253" t="str">
        <f>IF(D39="","",IF('Data-Source-EC2'!C38="","",'Data-Source-EC2'!C38))</f>
        <v/>
      </c>
      <c r="F39" s="252" t="str">
        <f>IF(E39="","",IF('Data-Source-EC2'!D38="","",'Data-Source-EC2'!D38))</f>
        <v/>
      </c>
      <c r="G39" s="252" t="str">
        <f>IF(F39="","",IF('Data-Source-EC2'!E38="","",'Data-Source-EC2'!E38))</f>
        <v/>
      </c>
      <c r="H39" s="249"/>
      <c r="I39" s="251">
        <f>IF('Data-Source-EBS'!A38="","",IF('Data-Source-EBS'!A38="(blank)","",IF('Data-Source-EBS'!A38="Grand Total","",'Data-Source-EBS'!A38)))</f>
        <v>15340</v>
      </c>
      <c r="J39" s="252">
        <f>IF(I39="","",IF('Data-Source-EBS'!B38="","",IF(I39="Grand Total","",'Data-Source-EBS'!B38)))</f>
        <v>2</v>
      </c>
      <c r="K39" s="253">
        <f t="shared" si="0"/>
        <v>30680</v>
      </c>
      <c r="L39" s="238"/>
    </row>
    <row r="40" spans="2:12">
      <c r="B40" s="235"/>
      <c r="C40" s="251" t="str">
        <f>IF('Data-Source-EC2'!A39="Grand Total","",IF('Data-Source-EC2'!A39="","",'Data-Source-EC2'!A39))</f>
        <v/>
      </c>
      <c r="D40" s="252" t="str">
        <f>IF(C40="","",IF('Data-Source-EC2'!B39="","",'Data-Source-EC2'!B39))</f>
        <v/>
      </c>
      <c r="E40" s="253" t="str">
        <f>IF(D40="","",IF('Data-Source-EC2'!C39="","",'Data-Source-EC2'!C39))</f>
        <v/>
      </c>
      <c r="F40" s="252" t="str">
        <f>IF(E40="","",IF('Data-Source-EC2'!D39="","",'Data-Source-EC2'!D39))</f>
        <v/>
      </c>
      <c r="G40" s="252" t="str">
        <f>IF(F40="","",IF('Data-Source-EC2'!E39="","",'Data-Source-EC2'!E39))</f>
        <v/>
      </c>
      <c r="H40" s="249"/>
      <c r="I40" s="251">
        <f>IF('Data-Source-EBS'!A39="","",IF('Data-Source-EBS'!A39="(blank)","",IF('Data-Source-EBS'!A39="Grand Total","",'Data-Source-EBS'!A39)))</f>
        <v>0</v>
      </c>
      <c r="J40" s="252">
        <f>IF(I40="","",IF('Data-Source-EBS'!B39="","",IF(I40="Grand Total","",'Data-Source-EBS'!B39)))</f>
        <v>3</v>
      </c>
      <c r="K40" s="253">
        <f t="shared" si="0"/>
        <v>0</v>
      </c>
      <c r="L40" s="238"/>
    </row>
    <row r="41" spans="2:12">
      <c r="B41" s="235"/>
      <c r="C41" s="251" t="str">
        <f>IF('Data-Source-EC2'!A40="Grand Total","",IF('Data-Source-EC2'!A40="","",'Data-Source-EC2'!A40))</f>
        <v/>
      </c>
      <c r="D41" s="252" t="str">
        <f>IF(C41="","",IF('Data-Source-EC2'!B40="","",'Data-Source-EC2'!B40))</f>
        <v/>
      </c>
      <c r="E41" s="253" t="str">
        <f>IF(D41="","",IF('Data-Source-EC2'!C40="","",'Data-Source-EC2'!C40))</f>
        <v/>
      </c>
      <c r="F41" s="252" t="str">
        <f>IF(E41="","",IF('Data-Source-EC2'!D40="","",'Data-Source-EC2'!D40))</f>
        <v/>
      </c>
      <c r="G41" s="252" t="str">
        <f>IF(F41="","",IF('Data-Source-EC2'!E40="","",'Data-Source-EC2'!E40))</f>
        <v/>
      </c>
      <c r="H41" s="249"/>
      <c r="I41" s="251" t="str">
        <f>IF('Data-Source-EBS'!A40="","",IF('Data-Source-EBS'!A40="(blank)","",IF('Data-Source-EBS'!A40="Grand Total","",'Data-Source-EBS'!A40)))</f>
        <v/>
      </c>
      <c r="J41" s="252" t="str">
        <f>IF(I41="","",IF('Data-Source-EBS'!B40="","",IF(I41="Grand Total","",'Data-Source-EBS'!B40)))</f>
        <v/>
      </c>
      <c r="K41" s="253" t="str">
        <f t="shared" si="0"/>
        <v/>
      </c>
      <c r="L41" s="238"/>
    </row>
    <row r="42" spans="2:12">
      <c r="B42" s="235"/>
      <c r="C42" s="251" t="str">
        <f>IF('Data-Source-EC2'!A41="Grand Total","",IF('Data-Source-EC2'!A41="","",'Data-Source-EC2'!A41))</f>
        <v/>
      </c>
      <c r="D42" s="252" t="str">
        <f>IF(C42="","",IF('Data-Source-EC2'!B41="","",'Data-Source-EC2'!B41))</f>
        <v/>
      </c>
      <c r="E42" s="253" t="str">
        <f>IF(D42="","",IF('Data-Source-EC2'!C41="","",'Data-Source-EC2'!C41))</f>
        <v/>
      </c>
      <c r="F42" s="252" t="str">
        <f>IF(E42="","",IF('Data-Source-EC2'!D41="","",'Data-Source-EC2'!D41))</f>
        <v/>
      </c>
      <c r="G42" s="252" t="str">
        <f>IF(F42="","",IF('Data-Source-EC2'!E41="","",'Data-Source-EC2'!E41))</f>
        <v/>
      </c>
      <c r="H42" s="249"/>
      <c r="I42" s="251" t="str">
        <f>IF('Data-Source-EBS'!A41="","",IF('Data-Source-EBS'!A41="(blank)","",IF('Data-Source-EBS'!A41="Grand Total","",'Data-Source-EBS'!A41)))</f>
        <v/>
      </c>
      <c r="J42" s="252" t="str">
        <f>IF(I42="","",IF('Data-Source-EBS'!B41="","",IF(I42="Grand Total","",'Data-Source-EBS'!B41)))</f>
        <v/>
      </c>
      <c r="K42" s="253" t="str">
        <f t="shared" si="0"/>
        <v/>
      </c>
      <c r="L42" s="238"/>
    </row>
    <row r="43" spans="2:12">
      <c r="B43" s="235"/>
      <c r="C43" s="251" t="str">
        <f>IF('Data-Source-EC2'!A42="Grand Total","",IF('Data-Source-EC2'!A42="","",'Data-Source-EC2'!A42))</f>
        <v/>
      </c>
      <c r="D43" s="252" t="str">
        <f>IF(C43="","",IF('Data-Source-EC2'!B42="","",'Data-Source-EC2'!B42))</f>
        <v/>
      </c>
      <c r="E43" s="253" t="str">
        <f>IF(D43="","",IF('Data-Source-EC2'!C42="","",'Data-Source-EC2'!C42))</f>
        <v/>
      </c>
      <c r="F43" s="252" t="str">
        <f>IF(E43="","",IF('Data-Source-EC2'!D42="","",'Data-Source-EC2'!D42))</f>
        <v/>
      </c>
      <c r="G43" s="252" t="str">
        <f>IF(F43="","",IF('Data-Source-EC2'!E42="","",'Data-Source-EC2'!E42))</f>
        <v/>
      </c>
      <c r="H43" s="249"/>
      <c r="I43" s="261" t="str">
        <f>IF('Data-Source-EBS'!A42="","",IF('Data-Source-EBS'!A42="(blank)","",IF('Data-Source-EBS'!A42="Grand Total","",'Data-Source-EBS'!A42)))</f>
        <v/>
      </c>
      <c r="J43" s="262" t="str">
        <f>IF(I43="","",IF('Data-Source-EBS'!B42="","",IF(I43="Grand Total","",'Data-Source-EBS'!B42)))</f>
        <v/>
      </c>
      <c r="K43" s="263" t="str">
        <f t="shared" si="0"/>
        <v/>
      </c>
      <c r="L43" s="238"/>
    </row>
    <row r="44" spans="2:12">
      <c r="B44" s="235"/>
      <c r="C44" s="264" t="s">
        <v>1477</v>
      </c>
      <c r="D44" s="265">
        <f>SUM(D6:D43)</f>
        <v>1194</v>
      </c>
      <c r="E44" s="266">
        <f t="shared" ref="E44:G44" si="1">SUM(E6:E43)</f>
        <v>138.28100000000003</v>
      </c>
      <c r="F44" s="266">
        <f t="shared" si="1"/>
        <v>80.692999999999984</v>
      </c>
      <c r="G44" s="266">
        <f t="shared" si="1"/>
        <v>51.548999999999985</v>
      </c>
      <c r="H44" s="249"/>
      <c r="I44" s="264" t="s">
        <v>1477</v>
      </c>
      <c r="J44" s="265">
        <f>SUM(J6:J43)</f>
        <v>1194</v>
      </c>
      <c r="K44" s="265">
        <f>SUM(K6:K43)</f>
        <v>251458</v>
      </c>
      <c r="L44" s="238"/>
    </row>
    <row r="45" spans="2:12">
      <c r="B45" s="258"/>
      <c r="C45" s="267"/>
      <c r="D45" s="268"/>
      <c r="E45" s="269"/>
      <c r="F45" s="269"/>
      <c r="G45" s="269"/>
      <c r="H45" s="270"/>
      <c r="I45" s="267"/>
      <c r="J45" s="268"/>
      <c r="K45" s="268"/>
      <c r="L45" s="260"/>
    </row>
    <row r="46" spans="2:12">
      <c r="B46" s="231"/>
      <c r="C46" s="264"/>
      <c r="D46" s="265"/>
      <c r="E46" s="266"/>
      <c r="F46" s="266"/>
      <c r="G46" s="266"/>
      <c r="H46" s="271"/>
      <c r="I46" s="264"/>
      <c r="J46" s="265"/>
      <c r="K46" s="265"/>
      <c r="L46" s="234"/>
    </row>
    <row r="47" spans="2:12">
      <c r="B47" s="235"/>
      <c r="C47" s="240" t="s">
        <v>1731</v>
      </c>
      <c r="D47" s="236"/>
      <c r="E47" s="237"/>
      <c r="F47" s="236"/>
      <c r="G47" s="243"/>
      <c r="H47" s="243"/>
      <c r="I47" s="243"/>
      <c r="J47" s="243"/>
      <c r="K47" s="243"/>
      <c r="L47" s="238"/>
    </row>
    <row r="48" spans="2:12">
      <c r="B48" s="235"/>
      <c r="C48" s="236" t="s">
        <v>1745</v>
      </c>
      <c r="D48" s="243" t="s">
        <v>1725</v>
      </c>
      <c r="E48" s="237"/>
      <c r="F48" s="236"/>
      <c r="G48" s="243"/>
      <c r="H48" s="243"/>
      <c r="I48" s="243"/>
      <c r="J48" s="243"/>
      <c r="K48" s="243"/>
      <c r="L48" s="238"/>
    </row>
    <row r="49" spans="2:12">
      <c r="B49" s="235"/>
      <c r="C49" s="272" t="s">
        <v>28</v>
      </c>
      <c r="D49" s="248">
        <f>ROUND(SUM('All-Servers'!H12:H1512),0)</f>
        <v>1194</v>
      </c>
      <c r="E49" s="237"/>
      <c r="F49" s="236"/>
      <c r="G49" s="243"/>
      <c r="H49" s="243"/>
      <c r="I49" s="243"/>
      <c r="J49" s="243"/>
      <c r="K49" s="243"/>
      <c r="L49" s="238"/>
    </row>
    <row r="50" spans="2:12">
      <c r="B50" s="235"/>
      <c r="C50" s="273" t="s">
        <v>20</v>
      </c>
      <c r="D50" s="253">
        <f>ROUND((SUM(Inputs!$H$2:$H$1502)),0)</f>
        <v>2551</v>
      </c>
      <c r="E50" s="237"/>
      <c r="F50" s="236"/>
      <c r="G50" s="243"/>
      <c r="H50" s="243"/>
      <c r="I50" s="243"/>
      <c r="J50" s="243"/>
      <c r="K50" s="243"/>
      <c r="L50" s="238"/>
    </row>
    <row r="51" spans="2:12">
      <c r="B51" s="235"/>
      <c r="C51" s="273" t="str">
        <f>"Memory"</f>
        <v>Memory</v>
      </c>
      <c r="D51" s="253">
        <f>ROUNDUP(((SUM(Inputs!$I$2:$I$1502)/1024)),0)</f>
        <v>6161</v>
      </c>
      <c r="E51" s="237"/>
      <c r="F51" s="236"/>
      <c r="G51" s="243"/>
      <c r="H51" s="243"/>
      <c r="I51" s="243"/>
      <c r="J51" s="243"/>
      <c r="K51" s="243"/>
      <c r="L51" s="238"/>
    </row>
    <row r="52" spans="2:12">
      <c r="B52" s="235"/>
      <c r="C52" s="273" t="str">
        <f>"Base Images"</f>
        <v>Base Images</v>
      </c>
      <c r="D52" s="253">
        <f>ROUND(SUM(Inputs!$J$2:$J$1502),0)</f>
        <v>102886</v>
      </c>
      <c r="E52" s="237"/>
      <c r="F52" s="236"/>
      <c r="G52" s="243"/>
      <c r="H52" s="243"/>
      <c r="I52" s="243"/>
      <c r="J52" s="243"/>
      <c r="K52" s="243"/>
      <c r="L52" s="238"/>
    </row>
    <row r="53" spans="2:12">
      <c r="B53" s="235"/>
      <c r="C53" s="273" t="str">
        <f>"Volumes"</f>
        <v>Volumes</v>
      </c>
      <c r="D53" s="253">
        <f>ROUND(SUM(Inputs!$K$2:$K$1502),0)</f>
        <v>251458</v>
      </c>
      <c r="E53" s="237"/>
      <c r="F53" s="236"/>
      <c r="G53" s="243"/>
      <c r="H53" s="243"/>
      <c r="I53" s="243"/>
      <c r="J53" s="243"/>
      <c r="K53" s="243"/>
      <c r="L53" s="238"/>
    </row>
    <row r="54" spans="2:12">
      <c r="B54" s="235"/>
      <c r="C54" s="273" t="str">
        <f>"Total Storage"</f>
        <v>Total Storage</v>
      </c>
      <c r="D54" s="253">
        <f>SUM(D52:D53)</f>
        <v>354344</v>
      </c>
      <c r="E54" s="237"/>
      <c r="F54" s="236"/>
      <c r="G54" s="243"/>
      <c r="H54" s="243"/>
      <c r="I54" s="243"/>
      <c r="J54" s="243"/>
      <c r="K54" s="243"/>
      <c r="L54" s="238"/>
    </row>
    <row r="55" spans="2:12">
      <c r="B55" s="235"/>
      <c r="C55" s="274" t="s">
        <v>1720</v>
      </c>
      <c r="D55" s="263">
        <f>ROUND((('All-Servers'!$M$101*'All-Servers'!$M$18)),0)</f>
        <v>7165</v>
      </c>
      <c r="E55" s="237"/>
      <c r="F55" s="236"/>
      <c r="G55" s="243"/>
      <c r="H55" s="243"/>
      <c r="I55" s="243"/>
      <c r="J55" s="243"/>
      <c r="K55" s="243"/>
      <c r="L55" s="238"/>
    </row>
    <row r="56" spans="2:12">
      <c r="B56" s="235"/>
      <c r="C56" s="236"/>
      <c r="D56" s="243"/>
      <c r="E56" s="237"/>
      <c r="F56" s="236"/>
      <c r="G56" s="243"/>
      <c r="H56" s="243"/>
      <c r="I56" s="243"/>
      <c r="J56" s="243"/>
      <c r="K56" s="243"/>
      <c r="L56" s="238"/>
    </row>
    <row r="57" spans="2:12">
      <c r="B57" s="235"/>
      <c r="C57" s="241" t="s">
        <v>1718</v>
      </c>
      <c r="D57" s="241"/>
      <c r="E57" s="241"/>
      <c r="F57" s="241"/>
      <c r="G57" s="237"/>
      <c r="H57" s="237"/>
      <c r="I57" s="237"/>
      <c r="J57" s="237"/>
      <c r="K57" s="237"/>
      <c r="L57" s="238"/>
    </row>
    <row r="58" spans="2:12">
      <c r="B58" s="235"/>
      <c r="C58" s="275" t="s">
        <v>1726</v>
      </c>
      <c r="D58" s="275"/>
      <c r="E58" s="275"/>
      <c r="F58" s="276" t="s">
        <v>1727</v>
      </c>
      <c r="G58" s="237"/>
      <c r="H58" s="237"/>
      <c r="I58" s="237"/>
      <c r="J58" s="237"/>
      <c r="K58" s="237"/>
      <c r="L58" s="238"/>
    </row>
    <row r="59" spans="2:12">
      <c r="B59" s="235"/>
      <c r="C59" s="277" t="s">
        <v>1710</v>
      </c>
      <c r="D59" s="278"/>
      <c r="E59" s="279"/>
      <c r="F59" s="280">
        <f>E44</f>
        <v>138.28100000000003</v>
      </c>
      <c r="G59" s="237"/>
      <c r="H59" s="237"/>
      <c r="I59" s="237"/>
      <c r="J59" s="237"/>
      <c r="K59" s="237"/>
      <c r="L59" s="238"/>
    </row>
    <row r="60" spans="2:12">
      <c r="B60" s="235"/>
      <c r="C60" s="281" t="s">
        <v>1711</v>
      </c>
      <c r="D60" s="282"/>
      <c r="E60" s="283"/>
      <c r="F60" s="284">
        <f>F44</f>
        <v>80.692999999999984</v>
      </c>
      <c r="G60" s="237"/>
      <c r="H60" s="237"/>
      <c r="I60" s="237"/>
      <c r="J60" s="237"/>
      <c r="K60" s="237"/>
      <c r="L60" s="238"/>
    </row>
    <row r="61" spans="2:12">
      <c r="B61" s="235"/>
      <c r="C61" s="285" t="s">
        <v>1712</v>
      </c>
      <c r="D61" s="286"/>
      <c r="E61" s="287"/>
      <c r="F61" s="284">
        <f>G44</f>
        <v>51.548999999999985</v>
      </c>
      <c r="G61" s="237"/>
      <c r="H61" s="237"/>
      <c r="I61" s="237"/>
      <c r="J61" s="237"/>
      <c r="K61" s="237"/>
      <c r="L61" s="238"/>
    </row>
    <row r="62" spans="2:12">
      <c r="B62" s="235"/>
      <c r="C62" s="288" t="s">
        <v>1716</v>
      </c>
      <c r="D62" s="288"/>
      <c r="E62" s="288"/>
      <c r="F62" s="266">
        <f>((F59*9)+(F60*1)*24*30)</f>
        <v>59343.488999999994</v>
      </c>
      <c r="G62" s="237"/>
      <c r="H62" s="237"/>
      <c r="I62" s="237"/>
      <c r="J62" s="237"/>
      <c r="K62" s="237"/>
      <c r="L62" s="238"/>
    </row>
    <row r="63" spans="2:12">
      <c r="B63" s="235"/>
      <c r="C63" s="249"/>
      <c r="D63" s="249"/>
      <c r="E63" s="249"/>
      <c r="F63" s="289"/>
      <c r="G63" s="237"/>
      <c r="H63" s="237"/>
      <c r="I63" s="237"/>
      <c r="J63" s="237"/>
      <c r="K63" s="237"/>
      <c r="L63" s="238"/>
    </row>
    <row r="64" spans="2:12">
      <c r="B64" s="235"/>
      <c r="C64" s="275" t="s">
        <v>1728</v>
      </c>
      <c r="D64" s="275"/>
      <c r="E64" s="275"/>
      <c r="F64" s="276" t="s">
        <v>1727</v>
      </c>
      <c r="G64" s="237"/>
      <c r="H64" s="237"/>
      <c r="I64" s="237"/>
      <c r="J64" s="237"/>
      <c r="K64" s="237"/>
      <c r="L64" s="238"/>
    </row>
    <row r="65" spans="2:14">
      <c r="B65" s="235"/>
      <c r="C65" s="277" t="s">
        <v>1713</v>
      </c>
      <c r="D65" s="278"/>
      <c r="E65" s="279"/>
      <c r="F65" s="290">
        <f>K44</f>
        <v>251458</v>
      </c>
      <c r="G65" s="237"/>
      <c r="H65" s="237"/>
      <c r="I65" s="237"/>
      <c r="J65" s="237"/>
      <c r="K65" s="237"/>
      <c r="L65" s="238"/>
    </row>
    <row r="66" spans="2:14">
      <c r="B66" s="235"/>
      <c r="C66" s="281" t="s">
        <v>1714</v>
      </c>
      <c r="D66" s="282"/>
      <c r="E66" s="283"/>
      <c r="F66" s="284">
        <v>0.1</v>
      </c>
      <c r="G66" s="237"/>
      <c r="H66" s="237"/>
      <c r="I66" s="237"/>
      <c r="J66" s="237"/>
      <c r="K66" s="237"/>
      <c r="L66" s="238"/>
    </row>
    <row r="67" spans="2:14">
      <c r="B67" s="235"/>
      <c r="C67" s="285" t="s">
        <v>1715</v>
      </c>
      <c r="D67" s="286"/>
      <c r="E67" s="287"/>
      <c r="F67" s="284">
        <v>0.05</v>
      </c>
      <c r="G67" s="237"/>
      <c r="H67" s="237"/>
      <c r="I67" s="237"/>
      <c r="J67" s="237"/>
      <c r="K67" s="237"/>
      <c r="L67" s="238"/>
    </row>
    <row r="68" spans="2:14">
      <c r="B68" s="235"/>
      <c r="C68" s="288" t="s">
        <v>1717</v>
      </c>
      <c r="D68" s="288"/>
      <c r="E68" s="288"/>
      <c r="F68" s="266">
        <f>F65*0.075</f>
        <v>18859.349999999999</v>
      </c>
      <c r="G68" s="237"/>
      <c r="H68" s="237"/>
      <c r="I68" s="237"/>
      <c r="J68" s="237"/>
      <c r="K68" s="237"/>
      <c r="L68" s="238"/>
      <c r="N68" s="229" t="s">
        <v>1732</v>
      </c>
    </row>
    <row r="69" spans="2:14">
      <c r="B69" s="235"/>
      <c r="C69" s="249"/>
      <c r="D69" s="249"/>
      <c r="E69" s="249"/>
      <c r="F69" s="291"/>
      <c r="G69" s="237"/>
      <c r="H69" s="237"/>
      <c r="I69" s="237"/>
      <c r="J69" s="237"/>
      <c r="K69" s="237"/>
      <c r="L69" s="238"/>
    </row>
    <row r="70" spans="2:14">
      <c r="B70" s="235"/>
      <c r="C70" s="275" t="s">
        <v>1916</v>
      </c>
      <c r="D70" s="275"/>
      <c r="E70" s="275"/>
      <c r="F70" s="276"/>
      <c r="G70" s="237"/>
      <c r="H70" s="237"/>
      <c r="I70" s="237"/>
      <c r="J70" s="237"/>
      <c r="K70" s="237"/>
      <c r="L70" s="238"/>
    </row>
    <row r="71" spans="2:14">
      <c r="B71" s="235"/>
      <c r="C71" s="277" t="s">
        <v>1917</v>
      </c>
      <c r="D71" s="278"/>
      <c r="E71" s="279"/>
      <c r="F71" s="280">
        <f>SUM(F62,F68)</f>
        <v>78202.838999999993</v>
      </c>
      <c r="G71" s="237"/>
      <c r="H71" s="237"/>
      <c r="I71" s="237"/>
      <c r="J71" s="237"/>
      <c r="K71" s="237"/>
      <c r="L71" s="238"/>
    </row>
    <row r="72" spans="2:14">
      <c r="B72" s="235"/>
      <c r="C72" s="281" t="s">
        <v>1922</v>
      </c>
      <c r="D72" s="282"/>
      <c r="E72" s="283"/>
      <c r="F72" s="292">
        <v>0.2</v>
      </c>
      <c r="G72" s="237"/>
      <c r="H72" s="237"/>
      <c r="I72" s="237"/>
      <c r="J72" s="237"/>
      <c r="K72" s="237"/>
      <c r="L72" s="238"/>
    </row>
    <row r="73" spans="2:14">
      <c r="B73" s="235"/>
      <c r="C73" s="285" t="s">
        <v>1918</v>
      </c>
      <c r="D73" s="286"/>
      <c r="E73" s="287"/>
      <c r="F73" s="284">
        <f>F71*F72</f>
        <v>15640.567799999999</v>
      </c>
      <c r="G73" s="237"/>
      <c r="H73" s="237"/>
      <c r="I73" s="237"/>
      <c r="J73" s="237"/>
      <c r="K73" s="237"/>
      <c r="L73" s="238"/>
    </row>
    <row r="74" spans="2:14">
      <c r="B74" s="235"/>
      <c r="C74" s="288" t="s">
        <v>1719</v>
      </c>
      <c r="D74" s="288"/>
      <c r="E74" s="288"/>
      <c r="F74" s="293">
        <f>F71+F73</f>
        <v>93843.406799999997</v>
      </c>
      <c r="G74" s="237"/>
      <c r="H74" s="237"/>
      <c r="I74" s="237"/>
      <c r="J74" s="237"/>
      <c r="K74" s="237"/>
      <c r="L74" s="238"/>
    </row>
    <row r="75" spans="2:14">
      <c r="B75" s="235"/>
      <c r="C75" s="237"/>
      <c r="D75" s="237"/>
      <c r="E75" s="237"/>
      <c r="F75" s="289"/>
      <c r="G75" s="237"/>
      <c r="H75" s="237"/>
      <c r="I75" s="237"/>
      <c r="J75" s="237"/>
      <c r="K75" s="237"/>
      <c r="L75" s="238"/>
    </row>
    <row r="76" spans="2:14">
      <c r="B76" s="235"/>
      <c r="C76" s="241" t="s">
        <v>1709</v>
      </c>
      <c r="D76" s="241"/>
      <c r="E76" s="241"/>
      <c r="F76" s="241"/>
      <c r="G76" s="237"/>
      <c r="H76" s="237"/>
      <c r="I76" s="237"/>
      <c r="J76" s="237"/>
      <c r="K76" s="237"/>
      <c r="L76" s="238"/>
    </row>
    <row r="77" spans="2:14">
      <c r="B77" s="235"/>
      <c r="C77" s="275" t="s">
        <v>1699</v>
      </c>
      <c r="D77" s="275"/>
      <c r="E77" s="275"/>
      <c r="F77" s="275"/>
      <c r="G77" s="237"/>
      <c r="H77" s="237"/>
      <c r="I77" s="237"/>
      <c r="J77" s="237"/>
      <c r="K77" s="237"/>
      <c r="L77" s="238"/>
    </row>
    <row r="78" spans="2:14">
      <c r="B78" s="235"/>
      <c r="C78" s="277" t="str">
        <f>"Environment utilization / allocation set to " &amp; ('All-Servers'!$M$4*100) &amp; "%."</f>
        <v>Environment utilization / allocation set to 100%.</v>
      </c>
      <c r="D78" s="278"/>
      <c r="E78" s="278"/>
      <c r="F78" s="279"/>
      <c r="G78" s="237"/>
      <c r="H78" s="237"/>
      <c r="I78" s="237"/>
      <c r="J78" s="237"/>
      <c r="K78" s="237"/>
      <c r="L78" s="238"/>
    </row>
    <row r="79" spans="2:14">
      <c r="B79" s="235"/>
      <c r="C79" s="281" t="str">
        <f>"Month over month growth rate is set to " &amp; ('All-Servers'!$M$5*100-100) &amp; "%."</f>
        <v>Month over month growth rate is set to 0%.</v>
      </c>
      <c r="D79" s="282"/>
      <c r="E79" s="282"/>
      <c r="F79" s="283"/>
      <c r="G79" s="237"/>
      <c r="H79" s="237"/>
      <c r="I79" s="237"/>
      <c r="J79" s="237"/>
      <c r="K79" s="237"/>
      <c r="L79" s="238"/>
    </row>
    <row r="80" spans="2:14">
      <c r="B80" s="235"/>
      <c r="C80" s="285" t="str">
        <f>"Additonal capacity ""padding"" is set to " &amp; ('All-Servers'!$M$6*100) &amp; "%."</f>
        <v>Additonal capacity "padding" is set to 120%.</v>
      </c>
      <c r="D80" s="286"/>
      <c r="E80" s="286"/>
      <c r="F80" s="287"/>
      <c r="G80" s="237"/>
      <c r="H80" s="237"/>
      <c r="I80" s="237"/>
      <c r="J80" s="237"/>
      <c r="K80" s="237"/>
      <c r="L80" s="238"/>
    </row>
    <row r="81" spans="2:12">
      <c r="B81" s="235"/>
      <c r="C81" s="237"/>
      <c r="D81" s="237"/>
      <c r="E81" s="237"/>
      <c r="F81" s="237"/>
      <c r="G81" s="237"/>
      <c r="H81" s="237"/>
      <c r="I81" s="237"/>
      <c r="J81" s="237"/>
      <c r="K81" s="237"/>
      <c r="L81" s="238"/>
    </row>
    <row r="82" spans="2:12">
      <c r="B82" s="235"/>
      <c r="C82" s="240" t="s">
        <v>1737</v>
      </c>
      <c r="D82" s="240"/>
      <c r="E82" s="240"/>
      <c r="F82" s="240"/>
      <c r="G82" s="237"/>
      <c r="H82" s="237"/>
      <c r="I82" s="237"/>
      <c r="J82" s="237"/>
      <c r="K82" s="237"/>
      <c r="L82" s="238"/>
    </row>
    <row r="83" spans="2:12">
      <c r="B83" s="235"/>
      <c r="C83" s="275" t="str">
        <f>'All-Servers'!M24 &amp; " x " &amp;'All-Servers'!M23 &amp; " COPC Controllers"</f>
        <v>3 x UCSC-C220-M4S COPC Controllers</v>
      </c>
      <c r="D83" s="275"/>
      <c r="E83" s="275"/>
      <c r="F83" s="275"/>
      <c r="G83" s="385"/>
      <c r="H83" s="237"/>
      <c r="I83" s="237"/>
      <c r="J83" s="237"/>
      <c r="K83" s="237"/>
      <c r="L83" s="238"/>
    </row>
    <row r="84" spans="2:12">
      <c r="B84" s="235"/>
      <c r="C84" s="277" t="str">
        <f>'All-Servers'!M66 &amp; " x " &amp;'All-Servers'!M67 &amp; "W "&amp;'All-Servers'!M65 &amp; " core CPUs @ " &amp; 'All-Servers'!M70 &amp; " GHz w/ " &amp; 'All-Servers'!M71 &amp; " MB Cache and " &amp; 'All-Servers'!M69 &amp; " bus speed"</f>
        <v>2 x 135W E5-2690 v3 (12) core CPUs @ 2.6 GHz w/ 30 MB Cache and 9.6 GT/s bus speed</v>
      </c>
      <c r="D84" s="278"/>
      <c r="E84" s="278"/>
      <c r="F84" s="278"/>
      <c r="G84" s="279"/>
      <c r="H84" s="237"/>
      <c r="I84" s="237"/>
      <c r="J84" s="237"/>
      <c r="K84" s="237"/>
      <c r="L84" s="238"/>
    </row>
    <row r="85" spans="2:12">
      <c r="B85" s="235"/>
      <c r="C85" s="273" t="str">
        <f>'All-Servers'!M40 &amp; " x " &amp; 'All-Servers'!M42 &amp; " " &amp; 'All-Servers'!M41 &amp; " Drives configured as " &amp; 'All-Servers'!M43 &amp; ", " &amp;'All-Servers'!M53 &amp; " aggregate IO/s, " &amp; ('All-Servers'!M55*1024) &amp; " GB of capacity"</f>
        <v>4 x 480 GB  SATA 6G SSD SFF Ephemeral Drives configured as RAID 10, 13333 aggregate IO/s, 931.84 GB of capacity</v>
      </c>
      <c r="D85" s="386"/>
      <c r="E85" s="386"/>
      <c r="F85" s="386"/>
      <c r="G85" s="387"/>
      <c r="H85" s="237"/>
      <c r="I85" s="237"/>
      <c r="J85" s="237"/>
      <c r="K85" s="237"/>
      <c r="L85" s="238"/>
    </row>
    <row r="86" spans="2:12">
      <c r="B86" s="235"/>
      <c r="C86" s="285" t="str">
        <f>'All-Servers'!M34 &amp; " GB of RAM, " &amp;'All-Servers'!M35 &amp; " DIMMs x " &amp; 'All-Servers'!M36 &amp; " GB each at " &amp; 'All-Servers'!M37 &amp; " MHz"</f>
        <v>190 GB of RAM, 12 DIMMs x 16 GB each at 2133 MHz</v>
      </c>
      <c r="D86" s="286"/>
      <c r="E86" s="286"/>
      <c r="F86" s="286"/>
      <c r="G86" s="287"/>
      <c r="H86" s="237"/>
      <c r="I86" s="237"/>
      <c r="J86" s="237"/>
      <c r="K86" s="237"/>
      <c r="L86" s="238"/>
    </row>
    <row r="87" spans="2:12">
      <c r="B87" s="235"/>
      <c r="C87" s="275" t="str">
        <f>'All-Servers'!M24 &amp; " x " &amp;'All-Servers'!M23 &amp; " COPC Controllers"</f>
        <v>3 x UCSC-C220-M4S COPC Controllers</v>
      </c>
      <c r="D87" s="275"/>
      <c r="E87" s="275"/>
      <c r="F87" s="275"/>
      <c r="G87" s="385"/>
      <c r="H87" s="237"/>
      <c r="I87" s="237"/>
      <c r="J87" s="237"/>
      <c r="K87" s="237"/>
      <c r="L87" s="238"/>
    </row>
    <row r="88" spans="2:12">
      <c r="B88" s="235"/>
      <c r="C88" s="281" t="str">
        <f>'All-Servers'!M69 &amp; " x " &amp;'All-Servers'!M70 &amp; "W "&amp;'All-Servers'!M68 &amp; " core CPUs @ " &amp; 'All-Servers'!M73 &amp; " GHz w/ " &amp; 'All-Servers'!M74 &amp; " MB Cache and " &amp; 'All-Servers'!M72 &amp; " bus speed"</f>
        <v>9.6 GT/s x 2.6W 2133 core CPUs @ 12 GHz w/ 24 MB Cache and 12 bus speed</v>
      </c>
      <c r="D88" s="282"/>
      <c r="E88" s="282"/>
      <c r="F88" s="282"/>
      <c r="G88" s="283"/>
      <c r="H88" s="237"/>
      <c r="I88" s="237"/>
      <c r="J88" s="237"/>
      <c r="K88" s="237"/>
      <c r="L88" s="238"/>
    </row>
    <row r="89" spans="2:12">
      <c r="B89" s="235"/>
      <c r="C89" s="281" t="str">
        <f>'All-Servers'!M80 &amp; " GB of RAM, " &amp;'All-Servers'!M81 &amp; " DIMMs x " &amp; 'All-Servers'!M82 &amp; " GB each at " &amp; 'All-Servers'!M83 &amp; " MHz"</f>
        <v>510 GB of RAM, 16 DIMMs x 32 GB each at 2133 MHz</v>
      </c>
      <c r="D89" s="282"/>
      <c r="E89" s="282"/>
      <c r="F89" s="282"/>
      <c r="G89" s="283"/>
      <c r="H89" s="237"/>
      <c r="I89" s="237"/>
      <c r="J89" s="237"/>
      <c r="K89" s="237"/>
      <c r="L89" s="238"/>
    </row>
    <row r="90" spans="2:12">
      <c r="B90" s="235"/>
      <c r="C90" s="294" t="str">
        <f>'All-Servers'!M87&amp;" storage configured as:"</f>
        <v>Ceph storage configured as:</v>
      </c>
      <c r="D90" s="295"/>
      <c r="E90" s="295"/>
      <c r="F90" s="295"/>
      <c r="G90" s="296"/>
      <c r="H90" s="237"/>
      <c r="I90" s="237"/>
      <c r="J90" s="237"/>
      <c r="K90" s="237"/>
      <c r="L90" s="238"/>
    </row>
    <row r="91" spans="2:12">
      <c r="B91" s="235"/>
      <c r="C91" s="273" t="s">
        <v>1919</v>
      </c>
      <c r="D91" s="297"/>
      <c r="E91" s="297"/>
      <c r="F91" s="297"/>
      <c r="G91" s="298"/>
      <c r="H91" s="237"/>
      <c r="I91" s="237"/>
      <c r="J91" s="237"/>
      <c r="K91" s="237"/>
      <c r="L91" s="238"/>
    </row>
    <row r="92" spans="2:12">
      <c r="B92" s="235"/>
      <c r="C92" s="273" t="str">
        <f>IF('All-Servers'!M87="Ceph",ROUNDUP('All-Servers'!M86/8,0) &amp; " x 480 GB SSDs dedicated to Ceph indexing","Not using Ceph, no additional SSDs required")</f>
        <v>2 x 480 GB SSDs dedicated to Ceph indexing</v>
      </c>
      <c r="D92" s="297"/>
      <c r="E92" s="297"/>
      <c r="F92" s="297"/>
      <c r="G92" s="298"/>
      <c r="H92" s="237"/>
      <c r="I92" s="237"/>
      <c r="J92" s="237"/>
      <c r="K92" s="237"/>
      <c r="L92" s="238"/>
    </row>
    <row r="93" spans="2:12">
      <c r="B93" s="235"/>
      <c r="C93" s="285" t="str">
        <f>'All-Servers'!M86&amp;" x "&amp;'All-Servers'!M88&amp;" drives,  "&amp;'All-Servers'!M97&amp;", "&amp;'All-Servers'!M108&amp;" TB usable space, "&amp; 'All-Servers'!M106 &amp; " IO/s per server"</f>
        <v>10 x 6144 GB 7.2K SAS 12G Spindle LFF drives,  JBOD, 19.17 TB usable space, 533 IO/s per server</v>
      </c>
      <c r="D93" s="286"/>
      <c r="E93" s="286"/>
      <c r="F93" s="286"/>
      <c r="G93" s="287"/>
      <c r="H93" s="237"/>
      <c r="I93" s="237"/>
      <c r="J93" s="237"/>
      <c r="K93" s="237"/>
      <c r="L93" s="238"/>
    </row>
    <row r="94" spans="2:12">
      <c r="B94" s="258"/>
      <c r="C94" s="267"/>
      <c r="D94" s="268"/>
      <c r="E94" s="269"/>
      <c r="F94" s="269"/>
      <c r="G94" s="269"/>
      <c r="H94" s="270"/>
      <c r="I94" s="267"/>
      <c r="J94" s="268"/>
      <c r="K94" s="268"/>
      <c r="L94" s="260"/>
    </row>
    <row r="95" spans="2:12">
      <c r="B95" s="231"/>
      <c r="C95" s="264"/>
      <c r="D95" s="265"/>
      <c r="E95" s="266"/>
      <c r="F95" s="266"/>
      <c r="G95" s="266"/>
      <c r="H95" s="271"/>
      <c r="I95" s="264"/>
      <c r="J95" s="265"/>
      <c r="K95" s="265"/>
      <c r="L95" s="234"/>
    </row>
    <row r="96" spans="2:12">
      <c r="B96" s="235"/>
      <c r="C96" s="240" t="s">
        <v>1701</v>
      </c>
      <c r="D96" s="236"/>
      <c r="E96" s="237"/>
      <c r="F96" s="237"/>
      <c r="G96" s="237"/>
      <c r="H96" s="237"/>
      <c r="I96" s="237"/>
      <c r="J96" s="237"/>
      <c r="K96" s="237"/>
      <c r="L96" s="238"/>
    </row>
    <row r="97" spans="2:12">
      <c r="B97" s="235"/>
      <c r="C97" s="236" t="s">
        <v>1700</v>
      </c>
      <c r="D97" s="299" t="s">
        <v>1721</v>
      </c>
      <c r="E97" s="299" t="s">
        <v>1722</v>
      </c>
      <c r="F97" s="243" t="s">
        <v>1723</v>
      </c>
      <c r="G97" s="243" t="s">
        <v>1724</v>
      </c>
      <c r="H97" s="243"/>
      <c r="I97" s="243"/>
      <c r="J97" s="243"/>
      <c r="K97" s="243"/>
      <c r="L97" s="238"/>
    </row>
    <row r="98" spans="2:12">
      <c r="B98" s="235"/>
      <c r="C98" s="246" t="s">
        <v>20</v>
      </c>
      <c r="D98" s="247">
        <f>ROUND((SUM(Inputs!$H$2:$H$1502)),0)</f>
        <v>2551</v>
      </c>
      <c r="E98" s="247">
        <f>'All-Servers'!$M$122</f>
        <v>5040</v>
      </c>
      <c r="F98" s="300">
        <f t="shared" ref="F98:F101" si="2">E98-D98</f>
        <v>2489</v>
      </c>
      <c r="G98" s="301">
        <f t="shared" ref="G98:G101" si="3">-(1-(E98/D98))</f>
        <v>0.97569580556644464</v>
      </c>
      <c r="H98" s="237"/>
      <c r="I98" s="237"/>
      <c r="J98" s="237"/>
      <c r="K98" s="237"/>
      <c r="L98" s="238"/>
    </row>
    <row r="99" spans="2:12">
      <c r="B99" s="235"/>
      <c r="C99" s="251" t="str">
        <f>"Memory"</f>
        <v>Memory</v>
      </c>
      <c r="D99" s="252">
        <f>ROUNDUP(((SUM(Inputs!$I$2:$I$1502)/1024)),0)</f>
        <v>6161</v>
      </c>
      <c r="E99" s="252">
        <f>'All-Servers'!$M$123</f>
        <v>18360</v>
      </c>
      <c r="F99" s="302">
        <f t="shared" si="2"/>
        <v>12199</v>
      </c>
      <c r="G99" s="303">
        <f t="shared" si="3"/>
        <v>1.9800357084888818</v>
      </c>
      <c r="H99" s="237"/>
      <c r="I99" s="237"/>
      <c r="J99" s="237"/>
      <c r="K99" s="237"/>
      <c r="L99" s="238"/>
    </row>
    <row r="100" spans="2:12">
      <c r="B100" s="235"/>
      <c r="C100" s="251" t="str">
        <f>"Total Storage"</f>
        <v>Total Storage</v>
      </c>
      <c r="D100" s="252">
        <f>'All-Servers'!M16</f>
        <v>425213</v>
      </c>
      <c r="E100" s="252">
        <f>'All-Servers'!$M$124</f>
        <v>706682.88000000012</v>
      </c>
      <c r="F100" s="302">
        <f t="shared" si="2"/>
        <v>281469.88000000012</v>
      </c>
      <c r="G100" s="303">
        <f t="shared" si="3"/>
        <v>0.66195031666482484</v>
      </c>
      <c r="H100" s="237"/>
      <c r="I100" s="237"/>
      <c r="J100" s="237"/>
      <c r="K100" s="237"/>
      <c r="L100" s="238"/>
    </row>
    <row r="101" spans="2:12">
      <c r="B101" s="235"/>
      <c r="C101" s="261" t="s">
        <v>1720</v>
      </c>
      <c r="D101" s="262">
        <f>ROUND((('All-Servers'!$M$101*'All-Servers'!$M$18)),0)</f>
        <v>7165</v>
      </c>
      <c r="E101" s="262">
        <f>'All-Servers'!$M$125</f>
        <v>19188</v>
      </c>
      <c r="F101" s="304">
        <f t="shared" si="2"/>
        <v>12023</v>
      </c>
      <c r="G101" s="305">
        <f t="shared" si="3"/>
        <v>1.6780181437543615</v>
      </c>
      <c r="H101" s="237"/>
      <c r="I101" s="237"/>
      <c r="J101" s="237"/>
      <c r="K101" s="237"/>
      <c r="L101" s="238"/>
    </row>
    <row r="102" spans="2:12">
      <c r="B102" s="235"/>
      <c r="C102" s="249"/>
      <c r="D102" s="249"/>
      <c r="E102" s="237"/>
      <c r="F102" s="237"/>
      <c r="G102" s="237"/>
      <c r="H102" s="237"/>
      <c r="I102" s="237"/>
      <c r="J102" s="237"/>
      <c r="K102" s="237"/>
      <c r="L102" s="238"/>
    </row>
    <row r="103" spans="2:12">
      <c r="B103" s="235"/>
      <c r="C103" s="249"/>
      <c r="D103" s="249"/>
      <c r="E103" s="237"/>
      <c r="F103" s="237"/>
      <c r="G103" s="237"/>
      <c r="H103" s="237"/>
      <c r="I103" s="237"/>
      <c r="J103" s="237"/>
      <c r="K103" s="237"/>
      <c r="L103" s="238"/>
    </row>
    <row r="104" spans="2:12">
      <c r="B104" s="235"/>
      <c r="C104" s="249"/>
      <c r="D104" s="249"/>
      <c r="E104" s="237"/>
      <c r="F104" s="237"/>
      <c r="G104" s="237"/>
      <c r="H104" s="237"/>
      <c r="I104" s="237"/>
      <c r="J104" s="237"/>
      <c r="K104" s="237"/>
      <c r="L104" s="238"/>
    </row>
    <row r="105" spans="2:12">
      <c r="B105" s="235"/>
      <c r="C105" s="249"/>
      <c r="D105" s="249"/>
      <c r="E105" s="237"/>
      <c r="F105" s="237"/>
      <c r="G105" s="237"/>
      <c r="H105" s="237"/>
      <c r="I105" s="237"/>
      <c r="J105" s="237"/>
      <c r="K105" s="237"/>
      <c r="L105" s="238"/>
    </row>
    <row r="106" spans="2:12">
      <c r="B106" s="235"/>
      <c r="C106" s="249"/>
      <c r="D106" s="249"/>
      <c r="E106" s="237"/>
      <c r="F106" s="237"/>
      <c r="G106" s="237"/>
      <c r="H106" s="237"/>
      <c r="I106" s="237"/>
      <c r="J106" s="237"/>
      <c r="K106" s="237"/>
      <c r="L106" s="238"/>
    </row>
    <row r="107" spans="2:12">
      <c r="B107" s="235"/>
      <c r="C107" s="249"/>
      <c r="D107" s="249"/>
      <c r="E107" s="237"/>
      <c r="F107" s="237"/>
      <c r="G107" s="237"/>
      <c r="H107" s="237"/>
      <c r="I107" s="237"/>
      <c r="J107" s="237"/>
      <c r="K107" s="237"/>
      <c r="L107" s="238"/>
    </row>
    <row r="108" spans="2:12">
      <c r="B108" s="235"/>
      <c r="C108" s="249"/>
      <c r="D108" s="249"/>
      <c r="E108" s="237"/>
      <c r="F108" s="237"/>
      <c r="G108" s="237"/>
      <c r="H108" s="237"/>
      <c r="I108" s="237"/>
      <c r="J108" s="237"/>
      <c r="K108" s="237"/>
      <c r="L108" s="238"/>
    </row>
    <row r="109" spans="2:12">
      <c r="B109" s="235"/>
      <c r="C109" s="249"/>
      <c r="D109" s="249"/>
      <c r="E109" s="237"/>
      <c r="F109" s="237"/>
      <c r="G109" s="237"/>
      <c r="H109" s="237"/>
      <c r="I109" s="237"/>
      <c r="J109" s="237"/>
      <c r="K109" s="237"/>
      <c r="L109" s="238"/>
    </row>
    <row r="110" spans="2:12">
      <c r="B110" s="235"/>
      <c r="C110" s="249"/>
      <c r="D110" s="249"/>
      <c r="E110" s="237"/>
      <c r="F110" s="237"/>
      <c r="G110" s="237"/>
      <c r="H110" s="237"/>
      <c r="I110" s="237"/>
      <c r="J110" s="237"/>
      <c r="K110" s="237"/>
      <c r="L110" s="238"/>
    </row>
    <row r="111" spans="2:12">
      <c r="B111" s="235"/>
      <c r="C111" s="249"/>
      <c r="D111" s="249"/>
      <c r="E111" s="237"/>
      <c r="F111" s="237"/>
      <c r="G111" s="237"/>
      <c r="H111" s="237"/>
      <c r="I111" s="237"/>
      <c r="J111" s="237"/>
      <c r="K111" s="237"/>
      <c r="L111" s="238"/>
    </row>
    <row r="112" spans="2:12">
      <c r="B112" s="235"/>
      <c r="C112" s="249"/>
      <c r="D112" s="249"/>
      <c r="E112" s="237"/>
      <c r="F112" s="237"/>
      <c r="G112" s="237"/>
      <c r="H112" s="237"/>
      <c r="I112" s="237"/>
      <c r="J112" s="237"/>
      <c r="K112" s="237"/>
      <c r="L112" s="238"/>
    </row>
    <row r="113" spans="2:12">
      <c r="B113" s="235"/>
      <c r="C113" s="249"/>
      <c r="D113" s="249"/>
      <c r="E113" s="237"/>
      <c r="F113" s="237"/>
      <c r="G113" s="237"/>
      <c r="H113" s="237"/>
      <c r="I113" s="237"/>
      <c r="J113" s="237"/>
      <c r="K113" s="237"/>
      <c r="L113" s="238"/>
    </row>
    <row r="114" spans="2:12">
      <c r="B114" s="235"/>
      <c r="C114" s="249"/>
      <c r="D114" s="249"/>
      <c r="E114" s="237"/>
      <c r="F114" s="237"/>
      <c r="G114" s="237"/>
      <c r="H114" s="237"/>
      <c r="I114" s="237"/>
      <c r="J114" s="237"/>
      <c r="K114" s="237"/>
      <c r="L114" s="238"/>
    </row>
    <row r="115" spans="2:12">
      <c r="B115" s="235"/>
      <c r="C115" s="249"/>
      <c r="D115" s="249"/>
      <c r="E115" s="237"/>
      <c r="F115" s="237"/>
      <c r="G115" s="237"/>
      <c r="H115" s="237"/>
      <c r="I115" s="237"/>
      <c r="J115" s="237"/>
      <c r="K115" s="237"/>
      <c r="L115" s="238"/>
    </row>
    <row r="116" spans="2:12">
      <c r="B116" s="235"/>
      <c r="C116" s="249"/>
      <c r="D116" s="249"/>
      <c r="E116" s="237"/>
      <c r="F116" s="237"/>
      <c r="G116" s="237"/>
      <c r="H116" s="237"/>
      <c r="I116" s="237"/>
      <c r="J116" s="237"/>
      <c r="K116" s="237"/>
      <c r="L116" s="238"/>
    </row>
    <row r="117" spans="2:12">
      <c r="B117" s="235"/>
      <c r="C117" s="249"/>
      <c r="D117" s="249"/>
      <c r="E117" s="237"/>
      <c r="F117" s="237"/>
      <c r="G117" s="237"/>
      <c r="H117" s="237"/>
      <c r="I117" s="237"/>
      <c r="J117" s="237"/>
      <c r="K117" s="237"/>
      <c r="L117" s="238"/>
    </row>
    <row r="118" spans="2:12">
      <c r="B118" s="235"/>
      <c r="C118" s="249"/>
      <c r="D118" s="249"/>
      <c r="E118" s="237"/>
      <c r="F118" s="237"/>
      <c r="G118" s="237"/>
      <c r="H118" s="237"/>
      <c r="I118" s="237"/>
      <c r="J118" s="237"/>
      <c r="K118" s="237"/>
      <c r="L118" s="238"/>
    </row>
    <row r="119" spans="2:12">
      <c r="B119" s="235"/>
      <c r="C119" s="249"/>
      <c r="D119" s="249"/>
      <c r="E119" s="237"/>
      <c r="F119" s="237"/>
      <c r="G119" s="237"/>
      <c r="H119" s="237"/>
      <c r="I119" s="237"/>
      <c r="J119" s="237"/>
      <c r="K119" s="237"/>
      <c r="L119" s="238"/>
    </row>
    <row r="120" spans="2:12">
      <c r="B120" s="235"/>
      <c r="C120" s="249"/>
      <c r="D120" s="249"/>
      <c r="E120" s="237"/>
      <c r="F120" s="237"/>
      <c r="G120" s="237"/>
      <c r="H120" s="237"/>
      <c r="I120" s="237"/>
      <c r="J120" s="237"/>
      <c r="K120" s="237"/>
      <c r="L120" s="238"/>
    </row>
    <row r="121" spans="2:12">
      <c r="B121" s="235"/>
      <c r="C121" s="249"/>
      <c r="D121" s="249"/>
      <c r="E121" s="237"/>
      <c r="F121" s="237"/>
      <c r="G121" s="237"/>
      <c r="H121" s="237"/>
      <c r="I121" s="237"/>
      <c r="J121" s="237"/>
      <c r="K121" s="237"/>
      <c r="L121" s="238"/>
    </row>
    <row r="122" spans="2:12">
      <c r="B122" s="235"/>
      <c r="C122" s="249"/>
      <c r="D122" s="249"/>
      <c r="E122" s="237"/>
      <c r="F122" s="237"/>
      <c r="G122" s="237"/>
      <c r="H122" s="237"/>
      <c r="I122" s="237"/>
      <c r="J122" s="237"/>
      <c r="K122" s="237"/>
      <c r="L122" s="238"/>
    </row>
    <row r="123" spans="2:12">
      <c r="B123" s="235"/>
      <c r="C123" s="249"/>
      <c r="D123" s="249"/>
      <c r="E123" s="237"/>
      <c r="F123" s="237"/>
      <c r="G123" s="237"/>
      <c r="H123" s="237"/>
      <c r="I123" s="237"/>
      <c r="J123" s="237"/>
      <c r="K123" s="237"/>
      <c r="L123" s="238"/>
    </row>
    <row r="124" spans="2:12">
      <c r="B124" s="235"/>
      <c r="C124" s="249"/>
      <c r="D124" s="249"/>
      <c r="E124" s="237"/>
      <c r="F124" s="237"/>
      <c r="G124" s="237"/>
      <c r="H124" s="237"/>
      <c r="I124" s="237"/>
      <c r="J124" s="237"/>
      <c r="K124" s="237"/>
      <c r="L124" s="238"/>
    </row>
    <row r="125" spans="2:12">
      <c r="B125" s="235"/>
      <c r="C125" s="249"/>
      <c r="D125" s="249"/>
      <c r="E125" s="237"/>
      <c r="F125" s="237"/>
      <c r="G125" s="237"/>
      <c r="H125" s="237"/>
      <c r="I125" s="237"/>
      <c r="J125" s="237"/>
      <c r="K125" s="237"/>
      <c r="L125" s="238"/>
    </row>
    <row r="126" spans="2:12">
      <c r="B126" s="235"/>
      <c r="C126" s="249"/>
      <c r="D126" s="249"/>
      <c r="E126" s="237"/>
      <c r="F126" s="237"/>
      <c r="G126" s="237"/>
      <c r="H126" s="237"/>
      <c r="I126" s="237"/>
      <c r="J126" s="237"/>
      <c r="K126" s="237"/>
      <c r="L126" s="238"/>
    </row>
    <row r="127" spans="2:12">
      <c r="B127" s="235"/>
      <c r="C127" s="249"/>
      <c r="D127" s="249"/>
      <c r="E127" s="237"/>
      <c r="F127" s="237"/>
      <c r="G127" s="237"/>
      <c r="H127" s="237"/>
      <c r="I127" s="237"/>
      <c r="J127" s="237"/>
      <c r="K127" s="237"/>
      <c r="L127" s="238"/>
    </row>
    <row r="128" spans="2:12">
      <c r="B128" s="235"/>
      <c r="C128" s="249"/>
      <c r="D128" s="249"/>
      <c r="E128" s="237"/>
      <c r="F128" s="237"/>
      <c r="G128" s="237"/>
      <c r="H128" s="237"/>
      <c r="I128" s="237"/>
      <c r="J128" s="237"/>
      <c r="K128" s="237"/>
      <c r="L128" s="238"/>
    </row>
    <row r="129" spans="2:12">
      <c r="B129" s="235"/>
      <c r="C129" s="249"/>
      <c r="D129" s="249"/>
      <c r="E129" s="237"/>
      <c r="F129" s="237"/>
      <c r="G129" s="237"/>
      <c r="H129" s="237"/>
      <c r="I129" s="237"/>
      <c r="J129" s="237"/>
      <c r="K129" s="237"/>
      <c r="L129" s="238"/>
    </row>
    <row r="130" spans="2:12">
      <c r="B130" s="235"/>
      <c r="C130" s="249"/>
      <c r="D130" s="249"/>
      <c r="E130" s="237"/>
      <c r="F130" s="237"/>
      <c r="G130" s="237"/>
      <c r="H130" s="237"/>
      <c r="I130" s="237"/>
      <c r="J130" s="237"/>
      <c r="K130" s="237"/>
      <c r="L130" s="238"/>
    </row>
    <row r="131" spans="2:12">
      <c r="B131" s="235"/>
      <c r="C131" s="249"/>
      <c r="D131" s="249"/>
      <c r="E131" s="237"/>
      <c r="F131" s="237"/>
      <c r="G131" s="237"/>
      <c r="H131" s="237"/>
      <c r="I131" s="237"/>
      <c r="J131" s="237"/>
      <c r="K131" s="237"/>
      <c r="L131" s="238"/>
    </row>
    <row r="132" spans="2:12">
      <c r="B132" s="235"/>
      <c r="C132" s="249"/>
      <c r="D132" s="249"/>
      <c r="E132" s="237"/>
      <c r="F132" s="237"/>
      <c r="G132" s="237"/>
      <c r="H132" s="237"/>
      <c r="I132" s="237"/>
      <c r="J132" s="237"/>
      <c r="K132" s="237"/>
      <c r="L132" s="238"/>
    </row>
    <row r="133" spans="2:12">
      <c r="B133" s="235"/>
      <c r="C133" s="249"/>
      <c r="D133" s="249"/>
      <c r="E133" s="237"/>
      <c r="F133" s="237"/>
      <c r="G133" s="237"/>
      <c r="H133" s="237"/>
      <c r="I133" s="237"/>
      <c r="J133" s="237"/>
      <c r="K133" s="237"/>
      <c r="L133" s="238"/>
    </row>
    <row r="134" spans="2:12">
      <c r="B134" s="235"/>
      <c r="C134" s="249"/>
      <c r="D134" s="249"/>
      <c r="E134" s="237"/>
      <c r="F134" s="237"/>
      <c r="G134" s="237"/>
      <c r="H134" s="237"/>
      <c r="I134" s="237"/>
      <c r="J134" s="237"/>
      <c r="K134" s="237"/>
      <c r="L134" s="238"/>
    </row>
    <row r="135" spans="2:12">
      <c r="B135" s="235"/>
      <c r="C135" s="249"/>
      <c r="D135" s="249"/>
      <c r="E135" s="237"/>
      <c r="F135" s="237"/>
      <c r="G135" s="237"/>
      <c r="H135" s="237"/>
      <c r="I135" s="237"/>
      <c r="J135" s="237"/>
      <c r="K135" s="237"/>
      <c r="L135" s="238"/>
    </row>
    <row r="136" spans="2:12">
      <c r="B136" s="235"/>
      <c r="C136" s="249"/>
      <c r="D136" s="249"/>
      <c r="E136" s="237"/>
      <c r="F136" s="237"/>
      <c r="G136" s="237"/>
      <c r="H136" s="237"/>
      <c r="I136" s="237"/>
      <c r="J136" s="237"/>
      <c r="K136" s="237"/>
      <c r="L136" s="238"/>
    </row>
    <row r="137" spans="2:12">
      <c r="B137" s="258"/>
      <c r="C137" s="267"/>
      <c r="D137" s="268"/>
      <c r="E137" s="269"/>
      <c r="F137" s="269"/>
      <c r="G137" s="269"/>
      <c r="H137" s="270"/>
      <c r="I137" s="267"/>
      <c r="J137" s="268"/>
      <c r="K137" s="268"/>
      <c r="L137" s="260"/>
    </row>
    <row r="138" spans="2:12">
      <c r="B138" s="231"/>
      <c r="C138" s="264"/>
      <c r="D138" s="265"/>
      <c r="E138" s="266"/>
      <c r="F138" s="266"/>
      <c r="G138" s="266"/>
      <c r="H138" s="271"/>
      <c r="I138" s="264"/>
      <c r="J138" s="265"/>
      <c r="K138" s="265"/>
      <c r="L138" s="234"/>
    </row>
    <row r="139" spans="2:12">
      <c r="B139" s="235"/>
      <c r="C139" s="240" t="s">
        <v>1924</v>
      </c>
      <c r="D139" s="306"/>
      <c r="E139" s="291"/>
      <c r="F139" s="291"/>
      <c r="G139" s="291"/>
      <c r="H139" s="249"/>
      <c r="I139" s="307"/>
      <c r="J139" s="306"/>
      <c r="K139" s="306"/>
      <c r="L139" s="238"/>
    </row>
    <row r="140" spans="2:12">
      <c r="B140" s="235"/>
      <c r="C140" s="308" t="str">
        <f>'All-Servers'!L112</f>
        <v>Required Hypervisors</v>
      </c>
      <c r="D140" s="309"/>
      <c r="E140" s="237"/>
      <c r="F140" s="310" t="str">
        <f>'All-Servers'!L136</f>
        <v>Capacity Over Time</v>
      </c>
      <c r="G140" s="311"/>
      <c r="H140" s="311"/>
      <c r="I140" s="237"/>
      <c r="J140" s="237"/>
      <c r="K140" s="237"/>
      <c r="L140" s="238"/>
    </row>
    <row r="141" spans="2:12">
      <c r="B141" s="235"/>
      <c r="C141" s="312" t="str">
        <f>'All-Servers'!L113</f>
        <v>HV Required by CPU</v>
      </c>
      <c r="D141" s="313">
        <f>'All-Servers'!M113</f>
        <v>22</v>
      </c>
      <c r="E141" s="237"/>
      <c r="F141" s="314" t="str">
        <f>'All-Servers'!L137</f>
        <v>Rate of growth</v>
      </c>
      <c r="G141" s="315">
        <f>'All-Servers'!M137</f>
        <v>1.01</v>
      </c>
      <c r="H141" s="237"/>
      <c r="I141" s="237"/>
      <c r="J141" s="237"/>
      <c r="K141" s="237"/>
      <c r="L141" s="238"/>
    </row>
    <row r="142" spans="2:12">
      <c r="B142" s="235"/>
      <c r="C142" s="316" t="str">
        <f>'All-Servers'!L114</f>
        <v>HV Required by RAM</v>
      </c>
      <c r="D142" s="317">
        <f>'All-Servers'!M114</f>
        <v>36</v>
      </c>
      <c r="E142" s="237"/>
      <c r="F142" s="318" t="str">
        <f>'All-Servers'!L138</f>
        <v>Month 0</v>
      </c>
      <c r="G142" s="319">
        <f>'All-Servers'!M138</f>
        <v>0.81699346405228757</v>
      </c>
      <c r="H142" s="237"/>
      <c r="I142" s="237"/>
      <c r="J142" s="237"/>
      <c r="K142" s="237"/>
      <c r="L142" s="238"/>
    </row>
    <row r="143" spans="2:12">
      <c r="B143" s="235"/>
      <c r="C143" s="316" t="str">
        <f>'All-Servers'!L115</f>
        <v>HV Required by Disk</v>
      </c>
      <c r="D143" s="317">
        <f>'All-Servers'!M115</f>
        <v>22</v>
      </c>
      <c r="E143" s="237"/>
      <c r="F143" s="320" t="str">
        <f>'All-Servers'!L139</f>
        <v>Month 1</v>
      </c>
      <c r="G143" s="321">
        <f>'All-Servers'!M139</f>
        <v>0.82516339869281041</v>
      </c>
      <c r="H143" s="237"/>
      <c r="I143" s="237"/>
      <c r="J143" s="237"/>
      <c r="K143" s="237"/>
      <c r="L143" s="238"/>
    </row>
    <row r="144" spans="2:12">
      <c r="B144" s="235"/>
      <c r="C144" s="322" t="str">
        <f>'All-Servers'!L116</f>
        <v>HV Required by IO/s</v>
      </c>
      <c r="D144" s="323">
        <f>'All-Servers'!M116</f>
        <v>14</v>
      </c>
      <c r="E144" s="237"/>
      <c r="F144" s="320" t="str">
        <f>'All-Servers'!L140</f>
        <v>Month 2</v>
      </c>
      <c r="G144" s="321">
        <f>'All-Servers'!M140</f>
        <v>0.83341503267973849</v>
      </c>
      <c r="H144" s="237"/>
      <c r="I144" s="237"/>
      <c r="J144" s="237"/>
      <c r="K144" s="237"/>
      <c r="L144" s="238"/>
    </row>
    <row r="145" spans="2:12">
      <c r="B145" s="235"/>
      <c r="C145" s="324"/>
      <c r="D145" s="325"/>
      <c r="E145" s="237"/>
      <c r="F145" s="320" t="str">
        <f>'All-Servers'!L141</f>
        <v>Month 3</v>
      </c>
      <c r="G145" s="321">
        <f>'All-Servers'!M141</f>
        <v>0.84174918300653589</v>
      </c>
      <c r="H145" s="237"/>
      <c r="I145" s="237"/>
      <c r="J145" s="237"/>
      <c r="K145" s="237"/>
      <c r="L145" s="238"/>
    </row>
    <row r="146" spans="2:12">
      <c r="B146" s="235"/>
      <c r="C146" s="308" t="str">
        <f>'All-Servers'!L118</f>
        <v>Environment Total Capacity</v>
      </c>
      <c r="D146" s="309"/>
      <c r="E146" s="237"/>
      <c r="F146" s="320" t="str">
        <f>'All-Servers'!L142</f>
        <v>Month 4</v>
      </c>
      <c r="G146" s="321">
        <f>'All-Servers'!M142</f>
        <v>0.85016667483660124</v>
      </c>
      <c r="H146" s="237"/>
      <c r="I146" s="237"/>
      <c r="J146" s="237"/>
      <c r="K146" s="237"/>
      <c r="L146" s="238"/>
    </row>
    <row r="147" spans="2:12">
      <c r="B147" s="235"/>
      <c r="C147" s="326" t="str">
        <f>'All-Servers'!L119</f>
        <v>Physical CPU</v>
      </c>
      <c r="D147" s="315">
        <f>'All-Servers'!M119</f>
        <v>72</v>
      </c>
      <c r="E147" s="237"/>
      <c r="F147" s="320" t="str">
        <f>'All-Servers'!L143</f>
        <v>Month 5</v>
      </c>
      <c r="G147" s="321">
        <f>'All-Servers'!M143</f>
        <v>0.8586683415849673</v>
      </c>
      <c r="H147" s="237"/>
      <c r="I147" s="237"/>
      <c r="J147" s="237"/>
      <c r="K147" s="237"/>
      <c r="L147" s="238"/>
    </row>
    <row r="148" spans="2:12">
      <c r="B148" s="235"/>
      <c r="C148" s="327" t="str">
        <f>'All-Servers'!L120</f>
        <v>Total GHz</v>
      </c>
      <c r="D148" s="328">
        <f>'All-Servers'!M120</f>
        <v>2246</v>
      </c>
      <c r="E148" s="237"/>
      <c r="F148" s="320" t="str">
        <f>'All-Servers'!L144</f>
        <v>Month 6</v>
      </c>
      <c r="G148" s="321">
        <f>'All-Servers'!M144</f>
        <v>0.86725502500081697</v>
      </c>
      <c r="H148" s="237"/>
      <c r="I148" s="237"/>
      <c r="J148" s="237"/>
      <c r="K148" s="237"/>
      <c r="L148" s="238"/>
    </row>
    <row r="149" spans="2:12">
      <c r="B149" s="235"/>
      <c r="C149" s="327" t="str">
        <f>'All-Servers'!L121</f>
        <v>Physical cores</v>
      </c>
      <c r="D149" s="328">
        <f>'All-Servers'!M121</f>
        <v>1728</v>
      </c>
      <c r="E149" s="237"/>
      <c r="F149" s="320" t="str">
        <f>'All-Servers'!L145</f>
        <v>Month 7</v>
      </c>
      <c r="G149" s="321">
        <f>'All-Servers'!M145</f>
        <v>0.8759275752508251</v>
      </c>
      <c r="H149" s="237"/>
      <c r="I149" s="237"/>
      <c r="J149" s="237"/>
      <c r="K149" s="237"/>
      <c r="L149" s="238"/>
    </row>
    <row r="150" spans="2:12">
      <c r="B150" s="235"/>
      <c r="C150" s="327" t="str">
        <f>'All-Servers'!L122</f>
        <v>vCPU</v>
      </c>
      <c r="D150" s="328">
        <f>'All-Servers'!M122</f>
        <v>5040</v>
      </c>
      <c r="E150" s="237"/>
      <c r="F150" s="320" t="str">
        <f>'All-Servers'!L146</f>
        <v>Month 8</v>
      </c>
      <c r="G150" s="321">
        <f>'All-Servers'!M146</f>
        <v>0.88468685100333333</v>
      </c>
      <c r="H150" s="237"/>
      <c r="I150" s="237"/>
      <c r="J150" s="237"/>
      <c r="K150" s="237"/>
      <c r="L150" s="238"/>
    </row>
    <row r="151" spans="2:12">
      <c r="B151" s="235"/>
      <c r="C151" s="327" t="str">
        <f>'All-Servers'!L123</f>
        <v>Memory (17.93 TB)</v>
      </c>
      <c r="D151" s="328">
        <f>'All-Servers'!M123</f>
        <v>18360</v>
      </c>
      <c r="E151" s="237"/>
      <c r="F151" s="320" t="str">
        <f>'All-Servers'!L147</f>
        <v>Month 9</v>
      </c>
      <c r="G151" s="321">
        <f>'All-Servers'!M147</f>
        <v>0.89353371951336669</v>
      </c>
      <c r="H151" s="237"/>
      <c r="I151" s="237"/>
      <c r="J151" s="237"/>
      <c r="K151" s="237"/>
      <c r="L151" s="238"/>
    </row>
    <row r="152" spans="2:12">
      <c r="B152" s="235"/>
      <c r="C152" s="327" t="str">
        <f>'All-Servers'!L124</f>
        <v>Disk Capacity (690.12 TB)</v>
      </c>
      <c r="D152" s="328">
        <f>'All-Servers'!M124</f>
        <v>706682.88000000012</v>
      </c>
      <c r="E152" s="237"/>
      <c r="F152" s="320" t="str">
        <f>'All-Servers'!L148</f>
        <v>Month 10</v>
      </c>
      <c r="G152" s="321">
        <f>'All-Servers'!M148</f>
        <v>0.90246905670850042</v>
      </c>
      <c r="H152" s="237"/>
      <c r="I152" s="237"/>
      <c r="J152" s="237"/>
      <c r="K152" s="237"/>
      <c r="L152" s="238"/>
    </row>
    <row r="153" spans="2:12">
      <c r="B153" s="235"/>
      <c r="C153" s="327" t="str">
        <f>'All-Servers'!L125</f>
        <v>Total IO/s</v>
      </c>
      <c r="D153" s="328">
        <f>'All-Servers'!M125</f>
        <v>19188</v>
      </c>
      <c r="E153" s="237"/>
      <c r="F153" s="320" t="str">
        <f>'All-Servers'!L149</f>
        <v>Month 11</v>
      </c>
      <c r="G153" s="321">
        <f>'All-Servers'!M149</f>
        <v>0.91149374727558541</v>
      </c>
      <c r="H153" s="237"/>
      <c r="I153" s="237"/>
      <c r="J153" s="237"/>
      <c r="K153" s="237"/>
      <c r="L153" s="238"/>
    </row>
    <row r="154" spans="2:12">
      <c r="B154" s="235"/>
      <c r="C154" s="327" t="str">
        <f>'All-Servers'!L126</f>
        <v>IO/s per Node</v>
      </c>
      <c r="D154" s="328">
        <f>'All-Servers'!M126</f>
        <v>533</v>
      </c>
      <c r="E154" s="237"/>
      <c r="F154" s="320" t="str">
        <f>'All-Servers'!L150</f>
        <v>Month 12</v>
      </c>
      <c r="G154" s="321">
        <f>'All-Servers'!M150</f>
        <v>0.92060868474834123</v>
      </c>
      <c r="H154" s="237"/>
      <c r="I154" s="237"/>
      <c r="J154" s="237"/>
      <c r="K154" s="237"/>
      <c r="L154" s="238"/>
    </row>
    <row r="155" spans="2:12">
      <c r="B155" s="235"/>
      <c r="C155" s="316" t="str">
        <f>'All-Servers'!L127</f>
        <v>IO/s per VM</v>
      </c>
      <c r="D155" s="329">
        <f>'All-Servers'!M127</f>
        <v>13.4</v>
      </c>
      <c r="E155" s="237"/>
      <c r="F155" s="320" t="str">
        <f>'All-Servers'!L151</f>
        <v>Month 13</v>
      </c>
      <c r="G155" s="321">
        <f>'All-Servers'!M151</f>
        <v>0.92981477159582471</v>
      </c>
      <c r="H155" s="237"/>
      <c r="I155" s="237"/>
      <c r="J155" s="237"/>
      <c r="K155" s="237"/>
      <c r="L155" s="238"/>
    </row>
    <row r="156" spans="2:12">
      <c r="B156" s="235"/>
      <c r="C156" s="322" t="str">
        <f>'All-Servers'!L128</f>
        <v>Consolidation Ratio (40:1)</v>
      </c>
      <c r="D156" s="330">
        <f>'All-Servers'!M128</f>
        <v>40</v>
      </c>
      <c r="E156" s="237"/>
      <c r="F156" s="320" t="str">
        <f>'All-Servers'!L152</f>
        <v>Month 14</v>
      </c>
      <c r="G156" s="321">
        <f>'All-Servers'!M152</f>
        <v>0.93911291931178298</v>
      </c>
      <c r="H156" s="237"/>
      <c r="I156" s="237"/>
      <c r="J156" s="237"/>
      <c r="K156" s="237"/>
      <c r="L156" s="238"/>
    </row>
    <row r="157" spans="2:12">
      <c r="B157" s="235"/>
      <c r="C157" s="324"/>
      <c r="D157" s="331"/>
      <c r="E157" s="237"/>
      <c r="F157" s="320" t="str">
        <f>'All-Servers'!L153</f>
        <v>Month 15</v>
      </c>
      <c r="G157" s="321">
        <f>'All-Servers'!M153</f>
        <v>0.94850404850490078</v>
      </c>
      <c r="H157" s="237"/>
      <c r="I157" s="237"/>
      <c r="J157" s="237"/>
      <c r="K157" s="237"/>
      <c r="L157" s="238"/>
    </row>
    <row r="158" spans="2:12">
      <c r="B158" s="235"/>
      <c r="C158" s="332" t="str">
        <f>'All-Servers'!L130</f>
        <v>Initial Environment Utilization</v>
      </c>
      <c r="D158" s="332"/>
      <c r="E158" s="333"/>
      <c r="F158" s="320" t="str">
        <f>'All-Servers'!L154</f>
        <v>Month 16</v>
      </c>
      <c r="G158" s="321">
        <f>'All-Servers'!M154</f>
        <v>0.95798908898994983</v>
      </c>
      <c r="H158" s="237"/>
      <c r="I158" s="237"/>
      <c r="J158" s="237"/>
      <c r="K158" s="237"/>
      <c r="L158" s="238"/>
    </row>
    <row r="159" spans="2:12">
      <c r="B159" s="235"/>
      <c r="C159" s="326" t="str">
        <f>'All-Servers'!L131</f>
        <v>vCPU Consumption</v>
      </c>
      <c r="D159" s="334">
        <f>'All-Servers'!M131</f>
        <v>0.50611772486772488</v>
      </c>
      <c r="E159" s="237"/>
      <c r="F159" s="320" t="str">
        <f>'All-Servers'!L155</f>
        <v>Month 17</v>
      </c>
      <c r="G159" s="321">
        <f>'All-Servers'!M155</f>
        <v>0.96756897987984936</v>
      </c>
      <c r="H159" s="237"/>
      <c r="I159" s="237"/>
      <c r="J159" s="237"/>
      <c r="K159" s="237"/>
      <c r="L159" s="238"/>
    </row>
    <row r="160" spans="2:12">
      <c r="B160" s="235"/>
      <c r="C160" s="327" t="str">
        <f>'All-Servers'!L132</f>
        <v>Memory Consumption</v>
      </c>
      <c r="D160" s="335">
        <f>'All-Servers'!M132</f>
        <v>0.81699346405228757</v>
      </c>
      <c r="E160" s="237"/>
      <c r="F160" s="320" t="str">
        <f>'All-Servers'!L156</f>
        <v>Month 18</v>
      </c>
      <c r="G160" s="321">
        <f>'All-Servers'!M156</f>
        <v>0.97724466967864787</v>
      </c>
      <c r="H160" s="237"/>
      <c r="I160" s="237"/>
      <c r="J160" s="237"/>
      <c r="K160" s="237"/>
      <c r="L160" s="238"/>
    </row>
    <row r="161" spans="2:16">
      <c r="B161" s="235"/>
      <c r="C161" s="327" t="str">
        <f>'All-Servers'!L133</f>
        <v>Disk Consumption</v>
      </c>
      <c r="D161" s="335">
        <f>'All-Servers'!M133</f>
        <v>0.50141892027533852</v>
      </c>
      <c r="E161" s="237"/>
      <c r="F161" s="320" t="str">
        <f>'All-Servers'!L157</f>
        <v>Month 19</v>
      </c>
      <c r="G161" s="321">
        <f>'All-Servers'!M157</f>
        <v>0.98701711637543432</v>
      </c>
      <c r="H161" s="237"/>
      <c r="I161" s="237"/>
      <c r="J161" s="237"/>
      <c r="K161" s="237"/>
      <c r="L161" s="238"/>
    </row>
    <row r="162" spans="2:16">
      <c r="B162" s="235"/>
      <c r="C162" s="336" t="str">
        <f>'All-Servers'!L134</f>
        <v>IO/s Consumption</v>
      </c>
      <c r="D162" s="337">
        <f>'All-Servers'!M134</f>
        <v>0.37341046487387952</v>
      </c>
      <c r="E162" s="237"/>
      <c r="F162" s="320" t="str">
        <f>'All-Servers'!L158</f>
        <v>Month 20</v>
      </c>
      <c r="G162" s="321">
        <f>'All-Servers'!M158</f>
        <v>0.99688728753918865</v>
      </c>
      <c r="H162" s="237"/>
      <c r="I162" s="237"/>
      <c r="J162" s="237"/>
      <c r="K162" s="237"/>
      <c r="L162" s="238"/>
    </row>
    <row r="163" spans="2:16">
      <c r="B163" s="235"/>
      <c r="C163" s="249"/>
      <c r="D163" s="249"/>
      <c r="E163" s="237"/>
      <c r="F163" s="320" t="str">
        <f>'All-Servers'!L159</f>
        <v/>
      </c>
      <c r="G163" s="321">
        <f>'All-Servers'!M159</f>
        <v>1.0068561604145805</v>
      </c>
      <c r="H163" s="237"/>
      <c r="I163" s="237"/>
      <c r="J163" s="237"/>
      <c r="K163" s="237"/>
      <c r="L163" s="238"/>
    </row>
    <row r="164" spans="2:16">
      <c r="B164" s="235"/>
      <c r="C164" s="249"/>
      <c r="D164" s="249"/>
      <c r="E164" s="237"/>
      <c r="F164" s="320" t="str">
        <f>'All-Servers'!L160</f>
        <v/>
      </c>
      <c r="G164" s="321" t="str">
        <f>'All-Servers'!M160</f>
        <v/>
      </c>
      <c r="H164" s="237"/>
      <c r="I164" s="237"/>
      <c r="J164" s="237"/>
      <c r="K164" s="237"/>
      <c r="L164" s="238"/>
    </row>
    <row r="165" spans="2:16">
      <c r="B165" s="235"/>
      <c r="C165" s="249"/>
      <c r="D165" s="249"/>
      <c r="E165" s="237"/>
      <c r="F165" s="320" t="str">
        <f>'All-Servers'!L161</f>
        <v/>
      </c>
      <c r="G165" s="321" t="str">
        <f>'All-Servers'!M161</f>
        <v/>
      </c>
      <c r="H165" s="237"/>
      <c r="I165" s="237"/>
      <c r="J165" s="237"/>
      <c r="K165" s="237"/>
      <c r="L165" s="238"/>
    </row>
    <row r="166" spans="2:16">
      <c r="B166" s="235"/>
      <c r="C166" s="249"/>
      <c r="D166" s="249"/>
      <c r="E166" s="237"/>
      <c r="F166" s="338" t="str">
        <f>'All-Servers'!L162</f>
        <v/>
      </c>
      <c r="G166" s="339" t="str">
        <f>'All-Servers'!M162</f>
        <v/>
      </c>
      <c r="H166" s="237"/>
      <c r="I166" s="237"/>
      <c r="J166" s="237"/>
      <c r="K166" s="237"/>
      <c r="L166" s="238"/>
    </row>
    <row r="167" spans="2:16">
      <c r="B167" s="258"/>
      <c r="C167" s="267"/>
      <c r="D167" s="268"/>
      <c r="E167" s="269"/>
      <c r="F167" s="269"/>
      <c r="G167" s="269"/>
      <c r="H167" s="270"/>
      <c r="I167" s="267"/>
      <c r="J167" s="268"/>
      <c r="K167" s="268"/>
      <c r="L167" s="260"/>
    </row>
    <row r="168" spans="2:16">
      <c r="B168" s="231"/>
      <c r="C168" s="264"/>
      <c r="D168" s="265"/>
      <c r="E168" s="266"/>
      <c r="F168" s="266"/>
      <c r="G168" s="266"/>
      <c r="H168" s="271"/>
      <c r="I168" s="264"/>
      <c r="J168" s="265"/>
      <c r="K168" s="265"/>
      <c r="L168" s="234"/>
    </row>
    <row r="169" spans="2:16">
      <c r="B169" s="235"/>
      <c r="C169" s="240" t="s">
        <v>1738</v>
      </c>
      <c r="D169" s="249"/>
      <c r="E169" s="237"/>
      <c r="F169" s="237"/>
      <c r="G169" s="237"/>
      <c r="H169" s="237"/>
      <c r="I169" s="237"/>
      <c r="J169" s="237"/>
      <c r="K169" s="237"/>
      <c r="L169" s="238"/>
    </row>
    <row r="170" spans="2:16" s="344" customFormat="1" ht="15" customHeight="1">
      <c r="B170" s="340"/>
      <c r="C170" s="341" t="s">
        <v>1739</v>
      </c>
      <c r="D170" s="342" t="s">
        <v>1740</v>
      </c>
      <c r="E170" s="342"/>
      <c r="F170" s="342"/>
      <c r="G170" s="343" t="s">
        <v>1535</v>
      </c>
      <c r="H170" s="343"/>
      <c r="I170" s="343"/>
      <c r="J170" s="343"/>
      <c r="K170" s="343"/>
      <c r="L170" s="238"/>
      <c r="N170" s="229"/>
      <c r="O170" s="229"/>
      <c r="P170" s="229"/>
    </row>
    <row r="171" spans="2:16" s="352" customFormat="1" ht="92" customHeight="1">
      <c r="B171" s="345"/>
      <c r="C171" s="346" t="s">
        <v>1748</v>
      </c>
      <c r="D171" s="347" t="s">
        <v>1742</v>
      </c>
      <c r="E171" s="348"/>
      <c r="F171" s="349"/>
      <c r="G171" s="350" t="s">
        <v>1741</v>
      </c>
      <c r="H171" s="350"/>
      <c r="I171" s="350"/>
      <c r="J171" s="350"/>
      <c r="K171" s="350"/>
      <c r="L171" s="351"/>
      <c r="N171" s="229"/>
      <c r="O171" s="229"/>
      <c r="P171" s="229"/>
    </row>
    <row r="172" spans="2:16" s="352" customFormat="1" ht="102" customHeight="1">
      <c r="B172" s="345"/>
      <c r="C172" s="353" t="s">
        <v>1749</v>
      </c>
      <c r="D172" s="354" t="s">
        <v>1747</v>
      </c>
      <c r="E172" s="355"/>
      <c r="F172" s="356"/>
      <c r="G172" s="357" t="s">
        <v>1746</v>
      </c>
      <c r="H172" s="357"/>
      <c r="I172" s="357"/>
      <c r="J172" s="357"/>
      <c r="K172" s="357"/>
      <c r="L172" s="351"/>
      <c r="N172" s="229"/>
      <c r="O172" s="229"/>
      <c r="P172" s="229"/>
    </row>
    <row r="173" spans="2:16" s="352" customFormat="1" ht="100" customHeight="1">
      <c r="B173" s="345"/>
      <c r="C173" s="346" t="s">
        <v>1750</v>
      </c>
      <c r="D173" s="350" t="s">
        <v>1766</v>
      </c>
      <c r="E173" s="350"/>
      <c r="F173" s="350"/>
      <c r="G173" s="350" t="s">
        <v>1752</v>
      </c>
      <c r="H173" s="350"/>
      <c r="I173" s="350"/>
      <c r="J173" s="350"/>
      <c r="K173" s="350"/>
      <c r="L173" s="351"/>
      <c r="N173" s="229"/>
      <c r="O173" s="229"/>
      <c r="P173" s="229"/>
    </row>
    <row r="174" spans="2:16" s="352" customFormat="1" ht="74" customHeight="1">
      <c r="B174" s="345"/>
      <c r="C174" s="353" t="s">
        <v>1751</v>
      </c>
      <c r="D174" s="357" t="s">
        <v>1791</v>
      </c>
      <c r="E174" s="357"/>
      <c r="F174" s="357"/>
      <c r="G174" s="357" t="s">
        <v>1767</v>
      </c>
      <c r="H174" s="357"/>
      <c r="I174" s="357"/>
      <c r="J174" s="357"/>
      <c r="K174" s="357"/>
      <c r="L174" s="351"/>
      <c r="N174" s="229"/>
      <c r="O174" s="229"/>
      <c r="P174" s="229"/>
    </row>
    <row r="175" spans="2:16" ht="9" customHeight="1">
      <c r="B175" s="235"/>
      <c r="C175" s="249"/>
      <c r="D175" s="249"/>
      <c r="E175" s="237"/>
      <c r="F175" s="237"/>
      <c r="G175" s="237"/>
      <c r="H175" s="237"/>
      <c r="I175" s="237"/>
      <c r="J175" s="237"/>
      <c r="K175" s="237"/>
      <c r="L175" s="238"/>
    </row>
    <row r="176" spans="2:16">
      <c r="B176" s="235"/>
      <c r="C176" s="240" t="s">
        <v>1768</v>
      </c>
      <c r="D176" s="249"/>
      <c r="E176" s="237"/>
      <c r="F176" s="237"/>
      <c r="G176" s="237"/>
      <c r="H176" s="237"/>
      <c r="I176" s="237"/>
      <c r="J176" s="237"/>
      <c r="K176" s="237"/>
      <c r="L176" s="238"/>
    </row>
    <row r="177" spans="2:16" ht="14" customHeight="1">
      <c r="B177" s="235"/>
      <c r="C177" s="341" t="s">
        <v>1797</v>
      </c>
      <c r="D177" s="249"/>
      <c r="E177" s="237"/>
      <c r="F177" s="358" t="s">
        <v>1806</v>
      </c>
      <c r="G177" s="358"/>
      <c r="H177" s="358"/>
      <c r="I177" s="237"/>
      <c r="J177" s="237"/>
      <c r="K177" s="237"/>
      <c r="L177" s="238"/>
    </row>
    <row r="178" spans="2:16">
      <c r="B178" s="235"/>
      <c r="C178" s="359" t="s">
        <v>1792</v>
      </c>
      <c r="D178" s="360">
        <f>'All-Servers'!M167</f>
        <v>17500</v>
      </c>
      <c r="E178" s="237"/>
      <c r="F178" s="246" t="s">
        <v>1798</v>
      </c>
      <c r="G178" s="247">
        <v>3</v>
      </c>
      <c r="H178" s="237"/>
      <c r="I178" s="237"/>
      <c r="J178" s="237"/>
      <c r="K178" s="237"/>
      <c r="L178" s="238"/>
    </row>
    <row r="179" spans="2:16">
      <c r="B179" s="235"/>
      <c r="C179" s="361" t="s">
        <v>1793</v>
      </c>
      <c r="D179" s="362">
        <f>'All-Servers'!M168</f>
        <v>3200</v>
      </c>
      <c r="E179" s="237"/>
      <c r="F179" s="251" t="s">
        <v>1799</v>
      </c>
      <c r="G179" s="252">
        <f>MAX('All-Servers'!M113:M116)</f>
        <v>36</v>
      </c>
      <c r="H179" s="237"/>
      <c r="I179" s="237"/>
      <c r="J179" s="237"/>
      <c r="K179" s="237"/>
      <c r="L179" s="238"/>
    </row>
    <row r="180" spans="2:16">
      <c r="B180" s="235"/>
      <c r="C180" s="363" t="s">
        <v>1794</v>
      </c>
      <c r="D180" s="364">
        <f>'All-Servers'!M169</f>
        <v>2650</v>
      </c>
      <c r="E180" s="237"/>
      <c r="F180" s="251" t="s">
        <v>1800</v>
      </c>
      <c r="G180" s="252">
        <f>(G179+G178)*2</f>
        <v>78</v>
      </c>
      <c r="H180" s="237"/>
      <c r="I180" s="237"/>
      <c r="J180" s="237"/>
      <c r="K180" s="237"/>
      <c r="L180" s="238"/>
    </row>
    <row r="181" spans="2:16">
      <c r="B181" s="235"/>
      <c r="C181" s="361" t="s">
        <v>1796</v>
      </c>
      <c r="D181" s="365">
        <f>SUM(D178:D179)</f>
        <v>20700</v>
      </c>
      <c r="E181" s="237"/>
      <c r="F181" s="251" t="s">
        <v>1801</v>
      </c>
      <c r="G181" s="284">
        <f>'All-Servers'!M179</f>
        <v>220</v>
      </c>
      <c r="H181" s="237"/>
      <c r="I181" s="237"/>
      <c r="J181" s="237"/>
      <c r="K181" s="237"/>
      <c r="L181" s="238"/>
    </row>
    <row r="182" spans="2:16">
      <c r="B182" s="235"/>
      <c r="C182" s="363" t="s">
        <v>1795</v>
      </c>
      <c r="D182" s="366">
        <f>SUM(D178:D180)</f>
        <v>23350</v>
      </c>
      <c r="E182" s="237"/>
      <c r="F182" s="367" t="s">
        <v>1805</v>
      </c>
      <c r="G182" s="368">
        <f>G181*G180</f>
        <v>17160</v>
      </c>
      <c r="H182" s="237"/>
      <c r="I182" s="237"/>
      <c r="J182" s="237"/>
      <c r="K182" s="237"/>
      <c r="L182" s="238"/>
    </row>
    <row r="183" spans="2:16">
      <c r="B183" s="235"/>
      <c r="C183" s="246" t="s">
        <v>1920</v>
      </c>
      <c r="D183" s="369">
        <f>D181/36</f>
        <v>575</v>
      </c>
      <c r="E183" s="237"/>
      <c r="F183" s="237"/>
      <c r="G183" s="237"/>
      <c r="H183" s="237"/>
      <c r="I183" s="237"/>
      <c r="J183" s="237"/>
      <c r="K183" s="237"/>
      <c r="L183" s="238"/>
    </row>
    <row r="184" spans="2:16">
      <c r="B184" s="235"/>
      <c r="C184" s="261" t="s">
        <v>1921</v>
      </c>
      <c r="D184" s="370">
        <f>D182/36</f>
        <v>648.61111111111109</v>
      </c>
      <c r="E184" s="237"/>
      <c r="F184" s="237"/>
      <c r="G184" s="237"/>
      <c r="H184" s="237"/>
      <c r="I184" s="237"/>
      <c r="J184" s="237"/>
      <c r="K184" s="237"/>
      <c r="L184" s="238"/>
    </row>
    <row r="185" spans="2:16">
      <c r="B185" s="235"/>
      <c r="C185" s="237"/>
      <c r="D185" s="237"/>
      <c r="E185" s="237"/>
      <c r="F185" s="237"/>
      <c r="G185" s="237"/>
      <c r="H185" s="237"/>
      <c r="I185" s="237"/>
      <c r="J185" s="237"/>
      <c r="K185" s="237"/>
      <c r="L185" s="238"/>
    </row>
    <row r="186" spans="2:16">
      <c r="B186" s="235"/>
      <c r="C186" s="371" t="s">
        <v>1809</v>
      </c>
      <c r="D186" s="289"/>
      <c r="E186" s="237"/>
      <c r="F186" s="372" t="s">
        <v>1807</v>
      </c>
      <c r="G186" s="372"/>
      <c r="H186" s="237"/>
      <c r="I186" s="237"/>
      <c r="J186" s="237"/>
      <c r="K186" s="237"/>
      <c r="L186" s="238"/>
      <c r="N186" s="344"/>
      <c r="O186" s="344"/>
      <c r="P186" s="344"/>
    </row>
    <row r="187" spans="2:16">
      <c r="B187" s="235"/>
      <c r="C187" s="373" t="s">
        <v>1810</v>
      </c>
      <c r="D187" s="280">
        <f>'All-Servers'!M193</f>
        <v>11647.739999999998</v>
      </c>
      <c r="E187" s="237"/>
      <c r="F187" s="246" t="s">
        <v>1802</v>
      </c>
      <c r="G187" s="247">
        <f>'All-Servers'!M107*Summary!G179</f>
        <v>2211840</v>
      </c>
      <c r="H187" s="237"/>
      <c r="I187" s="237"/>
      <c r="J187" s="237"/>
      <c r="K187" s="237"/>
      <c r="L187" s="238"/>
      <c r="N187" s="352"/>
      <c r="O187" s="352"/>
      <c r="P187" s="352"/>
    </row>
    <row r="188" spans="2:16">
      <c r="B188" s="235"/>
      <c r="C188" s="374" t="s">
        <v>1811</v>
      </c>
      <c r="D188" s="375">
        <f>D187*G178</f>
        <v>34943.219999999994</v>
      </c>
      <c r="E188" s="237"/>
      <c r="F188" s="251" t="s">
        <v>1816</v>
      </c>
      <c r="G188" s="376">
        <f>ROUNDUP(G187/3,2)</f>
        <v>737280</v>
      </c>
      <c r="H188" s="237"/>
      <c r="I188" s="237"/>
      <c r="J188" s="237"/>
      <c r="K188" s="237"/>
      <c r="L188" s="238"/>
      <c r="N188" s="352"/>
      <c r="O188" s="352"/>
      <c r="P188" s="352"/>
    </row>
    <row r="189" spans="2:16">
      <c r="B189" s="235"/>
      <c r="C189" s="373" t="s">
        <v>1812</v>
      </c>
      <c r="D189" s="280">
        <f>'All-Servers'!M194</f>
        <v>21267.892941176469</v>
      </c>
      <c r="E189" s="237"/>
      <c r="F189" s="251" t="s">
        <v>1803</v>
      </c>
      <c r="G189" s="377">
        <f>'All-Servers'!M177</f>
        <v>1.7000000000000001E-2</v>
      </c>
      <c r="H189" s="237"/>
      <c r="I189" s="237"/>
      <c r="J189" s="237"/>
      <c r="K189" s="237"/>
      <c r="L189" s="238"/>
      <c r="N189" s="352"/>
      <c r="O189" s="352"/>
      <c r="P189" s="352"/>
    </row>
    <row r="190" spans="2:16">
      <c r="B190" s="235"/>
      <c r="C190" s="374" t="s">
        <v>1813</v>
      </c>
      <c r="D190" s="375">
        <f>D189*G179</f>
        <v>765644.14588235295</v>
      </c>
      <c r="E190" s="237"/>
      <c r="F190" s="367" t="s">
        <v>1804</v>
      </c>
      <c r="G190" s="378">
        <f>G187*G189</f>
        <v>37601.280000000006</v>
      </c>
      <c r="H190" s="237"/>
      <c r="I190" s="237"/>
      <c r="J190" s="237"/>
      <c r="K190" s="237"/>
      <c r="L190" s="238"/>
      <c r="N190" s="352"/>
      <c r="O190" s="352"/>
      <c r="P190" s="352"/>
    </row>
    <row r="191" spans="2:16">
      <c r="B191" s="235"/>
      <c r="C191" s="379" t="s">
        <v>1814</v>
      </c>
      <c r="D191" s="380">
        <f>SUM(D190,D188)</f>
        <v>800587.36588235293</v>
      </c>
      <c r="E191" s="237"/>
      <c r="F191" s="249"/>
      <c r="G191" s="237"/>
      <c r="H191" s="237"/>
      <c r="I191" s="237"/>
      <c r="J191" s="237"/>
      <c r="K191" s="237"/>
      <c r="L191" s="238"/>
    </row>
    <row r="192" spans="2:16">
      <c r="B192" s="235"/>
      <c r="C192" s="374" t="s">
        <v>1815</v>
      </c>
      <c r="D192" s="381">
        <f>D191/36</f>
        <v>22238.53794117647</v>
      </c>
      <c r="E192" s="237"/>
      <c r="F192" s="367" t="s">
        <v>1808</v>
      </c>
      <c r="G192" s="378">
        <f>SUM(G190,G182)</f>
        <v>54761.280000000006</v>
      </c>
      <c r="H192" s="237"/>
      <c r="I192" s="237"/>
      <c r="J192" s="237"/>
      <c r="K192" s="237"/>
      <c r="L192" s="238"/>
    </row>
    <row r="193" spans="2:12" ht="9" customHeight="1">
      <c r="B193" s="258"/>
      <c r="C193" s="267"/>
      <c r="D193" s="268"/>
      <c r="E193" s="269"/>
      <c r="F193" s="269"/>
      <c r="G193" s="269"/>
      <c r="H193" s="270"/>
      <c r="I193" s="267"/>
      <c r="J193" s="268"/>
      <c r="K193" s="268"/>
      <c r="L193" s="260"/>
    </row>
    <row r="194" spans="2:12" ht="10" customHeight="1">
      <c r="B194" s="231"/>
      <c r="C194" s="264"/>
      <c r="D194" s="265"/>
      <c r="E194" s="266"/>
      <c r="F194" s="266"/>
      <c r="G194" s="266"/>
      <c r="H194" s="271"/>
      <c r="I194" s="264"/>
      <c r="J194" s="265"/>
      <c r="K194" s="265"/>
      <c r="L194" s="234"/>
    </row>
    <row r="195" spans="2:12">
      <c r="B195" s="235"/>
      <c r="C195" s="240" t="s">
        <v>1923</v>
      </c>
      <c r="D195" s="249"/>
      <c r="E195" s="237"/>
      <c r="F195" s="237"/>
      <c r="G195" s="237"/>
      <c r="H195" s="237"/>
      <c r="I195" s="237"/>
      <c r="J195" s="237"/>
      <c r="K195" s="237"/>
      <c r="L195" s="238"/>
    </row>
    <row r="196" spans="2:12">
      <c r="B196" s="235"/>
      <c r="C196" s="236" t="s">
        <v>1769</v>
      </c>
      <c r="D196" s="243" t="s">
        <v>1770</v>
      </c>
      <c r="E196" s="243" t="s">
        <v>1773</v>
      </c>
      <c r="F196" s="243" t="s">
        <v>1771</v>
      </c>
      <c r="G196" s="243" t="s">
        <v>1772</v>
      </c>
      <c r="H196" s="243" t="s">
        <v>1961</v>
      </c>
      <c r="I196" s="237"/>
      <c r="J196" s="237"/>
      <c r="K196" s="237"/>
      <c r="L196" s="238"/>
    </row>
    <row r="197" spans="2:12">
      <c r="B197" s="235"/>
      <c r="C197" s="246" t="s">
        <v>1817</v>
      </c>
      <c r="D197" s="382">
        <f>D181</f>
        <v>20700</v>
      </c>
      <c r="E197" s="383">
        <f>D183+(G192*3)</f>
        <v>164858.84000000003</v>
      </c>
      <c r="F197" s="383" t="s">
        <v>1818</v>
      </c>
      <c r="G197" s="383" t="s">
        <v>1818</v>
      </c>
      <c r="H197" s="384" t="s">
        <v>1818</v>
      </c>
      <c r="I197" s="237"/>
      <c r="J197" s="237"/>
      <c r="K197" s="237"/>
      <c r="L197" s="238"/>
    </row>
    <row r="198" spans="2:12" ht="13" customHeight="1">
      <c r="B198" s="235"/>
      <c r="C198" s="273" t="s">
        <v>1774</v>
      </c>
      <c r="D198" s="383">
        <v>0</v>
      </c>
      <c r="E198" s="383">
        <f>F74</f>
        <v>93843.406799999997</v>
      </c>
      <c r="F198" s="383">
        <f>E198*12</f>
        <v>1126120.8816</v>
      </c>
      <c r="G198" s="383">
        <f>F198*3</f>
        <v>3378362.6447999999</v>
      </c>
      <c r="H198" s="384">
        <f>1-($G$198/G198)</f>
        <v>0</v>
      </c>
      <c r="I198" s="237"/>
      <c r="J198" s="237"/>
      <c r="K198" s="237"/>
      <c r="L198" s="238"/>
    </row>
    <row r="199" spans="2:12">
      <c r="B199" s="235"/>
      <c r="C199" s="273" t="s">
        <v>1778</v>
      </c>
      <c r="D199" s="383">
        <f>D181</f>
        <v>20700</v>
      </c>
      <c r="E199" s="383">
        <f>G192+D183</f>
        <v>55336.280000000006</v>
      </c>
      <c r="F199" s="383">
        <f>E199*12</f>
        <v>664035.3600000001</v>
      </c>
      <c r="G199" s="383">
        <f>F199*3</f>
        <v>1992106.0800000003</v>
      </c>
      <c r="H199" s="384">
        <f>1-($G$199/G198)</f>
        <v>0.4103338541626772</v>
      </c>
      <c r="I199" s="237"/>
      <c r="J199" s="237"/>
      <c r="K199" s="237"/>
      <c r="L199" s="238"/>
    </row>
    <row r="200" spans="2:12">
      <c r="B200" s="235"/>
      <c r="C200" s="273" t="s">
        <v>1775</v>
      </c>
      <c r="D200" s="383">
        <f>D181</f>
        <v>20700</v>
      </c>
      <c r="E200" s="383">
        <f>G192+D183+D192</f>
        <v>77574.817941176472</v>
      </c>
      <c r="F200" s="383">
        <f>E200*12</f>
        <v>930897.81529411767</v>
      </c>
      <c r="G200" s="383">
        <f>F200*3</f>
        <v>2792693.445882353</v>
      </c>
      <c r="H200" s="384">
        <f>1-($G$200/G198)</f>
        <v>0.17335889023610684</v>
      </c>
      <c r="I200" s="237"/>
      <c r="J200" s="237"/>
      <c r="K200" s="237"/>
      <c r="L200" s="238"/>
    </row>
    <row r="201" spans="2:12">
      <c r="B201" s="235"/>
      <c r="C201" s="273" t="s">
        <v>1776</v>
      </c>
      <c r="D201" s="383">
        <f>D181</f>
        <v>20700</v>
      </c>
      <c r="E201" s="383"/>
      <c r="F201" s="383"/>
      <c r="G201" s="383"/>
      <c r="H201" s="384"/>
      <c r="I201" s="237"/>
      <c r="J201" s="237"/>
      <c r="K201" s="237"/>
      <c r="L201" s="238"/>
    </row>
    <row r="202" spans="2:12">
      <c r="B202" s="235"/>
      <c r="C202" s="274" t="s">
        <v>1777</v>
      </c>
      <c r="D202" s="383">
        <f>D182</f>
        <v>23350</v>
      </c>
      <c r="E202" s="383"/>
      <c r="F202" s="383"/>
      <c r="G202" s="383"/>
      <c r="H202" s="384"/>
      <c r="I202" s="237"/>
      <c r="J202" s="237"/>
      <c r="K202" s="237"/>
      <c r="L202" s="238"/>
    </row>
    <row r="203" spans="2:12">
      <c r="B203" s="235"/>
      <c r="C203" s="249"/>
      <c r="D203" s="289"/>
      <c r="E203" s="289"/>
      <c r="F203" s="289"/>
      <c r="G203" s="289"/>
      <c r="H203" s="289"/>
      <c r="I203" s="237"/>
      <c r="J203" s="237"/>
      <c r="K203" s="237"/>
      <c r="L203" s="238"/>
    </row>
    <row r="204" spans="2:12">
      <c r="B204" s="235"/>
      <c r="C204" s="249"/>
      <c r="D204" s="289"/>
      <c r="E204" s="289"/>
      <c r="F204" s="289"/>
      <c r="G204" s="289"/>
      <c r="H204" s="289"/>
      <c r="I204" s="237"/>
      <c r="J204" s="237"/>
      <c r="K204" s="237"/>
      <c r="L204" s="238"/>
    </row>
    <row r="205" spans="2:12">
      <c r="B205" s="235"/>
      <c r="C205" s="249"/>
      <c r="D205" s="289"/>
      <c r="E205" s="289"/>
      <c r="F205" s="289"/>
      <c r="G205" s="289"/>
      <c r="H205" s="289"/>
      <c r="I205" s="237"/>
      <c r="J205" s="237"/>
      <c r="K205" s="237"/>
      <c r="L205" s="238"/>
    </row>
    <row r="206" spans="2:12">
      <c r="B206" s="235"/>
      <c r="C206" s="249"/>
      <c r="D206" s="289"/>
      <c r="E206" s="289"/>
      <c r="F206" s="289"/>
      <c r="G206" s="289"/>
      <c r="H206" s="289"/>
      <c r="I206" s="237"/>
      <c r="J206" s="237"/>
      <c r="K206" s="237"/>
      <c r="L206" s="238"/>
    </row>
    <row r="207" spans="2:12">
      <c r="B207" s="235"/>
      <c r="C207" s="249"/>
      <c r="D207" s="289"/>
      <c r="E207" s="289"/>
      <c r="F207" s="289"/>
      <c r="G207" s="289"/>
      <c r="H207" s="289"/>
      <c r="I207" s="237"/>
      <c r="J207" s="237"/>
      <c r="K207" s="237"/>
      <c r="L207" s="238"/>
    </row>
    <row r="208" spans="2:12">
      <c r="B208" s="235"/>
      <c r="C208" s="249"/>
      <c r="D208" s="289"/>
      <c r="E208" s="289"/>
      <c r="F208" s="289"/>
      <c r="G208" s="289"/>
      <c r="H208" s="289"/>
      <c r="I208" s="237"/>
      <c r="J208" s="237"/>
      <c r="K208" s="237"/>
      <c r="L208" s="238"/>
    </row>
    <row r="209" spans="2:12">
      <c r="B209" s="235"/>
      <c r="C209" s="249"/>
      <c r="D209" s="289"/>
      <c r="E209" s="289"/>
      <c r="F209" s="289"/>
      <c r="G209" s="289"/>
      <c r="H209" s="289"/>
      <c r="I209" s="237"/>
      <c r="J209" s="237"/>
      <c r="K209" s="237"/>
      <c r="L209" s="238"/>
    </row>
    <row r="210" spans="2:12">
      <c r="B210" s="235"/>
      <c r="C210" s="249"/>
      <c r="D210" s="289"/>
      <c r="E210" s="289"/>
      <c r="F210" s="289"/>
      <c r="G210" s="289"/>
      <c r="H210" s="289"/>
      <c r="I210" s="237"/>
      <c r="J210" s="237"/>
      <c r="K210" s="237"/>
      <c r="L210" s="238"/>
    </row>
    <row r="211" spans="2:12">
      <c r="B211" s="235"/>
      <c r="C211" s="249"/>
      <c r="D211" s="289"/>
      <c r="E211" s="289"/>
      <c r="F211" s="289"/>
      <c r="G211" s="289"/>
      <c r="H211" s="289"/>
      <c r="I211" s="237"/>
      <c r="J211" s="237"/>
      <c r="K211" s="237"/>
      <c r="L211" s="238"/>
    </row>
    <row r="212" spans="2:12">
      <c r="B212" s="235"/>
      <c r="C212" s="249"/>
      <c r="D212" s="289"/>
      <c r="E212" s="289"/>
      <c r="F212" s="289"/>
      <c r="G212" s="289"/>
      <c r="H212" s="289"/>
      <c r="I212" s="237"/>
      <c r="J212" s="237"/>
      <c r="K212" s="237"/>
      <c r="L212" s="238"/>
    </row>
    <row r="213" spans="2:12">
      <c r="B213" s="235"/>
      <c r="C213" s="249"/>
      <c r="D213" s="289"/>
      <c r="E213" s="289"/>
      <c r="F213" s="289"/>
      <c r="G213" s="289"/>
      <c r="H213" s="289"/>
      <c r="I213" s="237"/>
      <c r="J213" s="237"/>
      <c r="K213" s="237"/>
      <c r="L213" s="238"/>
    </row>
    <row r="214" spans="2:12">
      <c r="B214" s="235"/>
      <c r="C214" s="249"/>
      <c r="D214" s="289"/>
      <c r="E214" s="289"/>
      <c r="F214" s="289"/>
      <c r="G214" s="289"/>
      <c r="H214" s="289"/>
      <c r="I214" s="237"/>
      <c r="J214" s="237"/>
      <c r="K214" s="237"/>
      <c r="L214" s="238"/>
    </row>
    <row r="215" spans="2:12">
      <c r="B215" s="235"/>
      <c r="C215" s="249"/>
      <c r="D215" s="289"/>
      <c r="E215" s="289"/>
      <c r="F215" s="289"/>
      <c r="G215" s="289"/>
      <c r="H215" s="289"/>
      <c r="I215" s="237"/>
      <c r="J215" s="237"/>
      <c r="K215" s="237"/>
      <c r="L215" s="238"/>
    </row>
    <row r="216" spans="2:12">
      <c r="B216" s="235"/>
      <c r="C216" s="249"/>
      <c r="D216" s="289"/>
      <c r="E216" s="289"/>
      <c r="F216" s="289"/>
      <c r="G216" s="289"/>
      <c r="H216" s="289"/>
      <c r="I216" s="237"/>
      <c r="J216" s="237"/>
      <c r="K216" s="237"/>
      <c r="L216" s="238"/>
    </row>
    <row r="217" spans="2:12">
      <c r="B217" s="235"/>
      <c r="C217" s="249"/>
      <c r="D217" s="289"/>
      <c r="E217" s="289"/>
      <c r="F217" s="289"/>
      <c r="G217" s="289"/>
      <c r="H217" s="289"/>
      <c r="I217" s="237"/>
      <c r="J217" s="237"/>
      <c r="K217" s="237"/>
      <c r="L217" s="238"/>
    </row>
    <row r="218" spans="2:12">
      <c r="B218" s="235"/>
      <c r="C218" s="249"/>
      <c r="D218" s="289"/>
      <c r="E218" s="289"/>
      <c r="F218" s="289"/>
      <c r="G218" s="289"/>
      <c r="H218" s="289"/>
      <c r="I218" s="237"/>
      <c r="J218" s="237"/>
      <c r="K218" s="237"/>
      <c r="L218" s="238"/>
    </row>
    <row r="219" spans="2:12">
      <c r="B219" s="235"/>
      <c r="C219" s="249"/>
      <c r="D219" s="289"/>
      <c r="E219" s="289"/>
      <c r="F219" s="289"/>
      <c r="G219" s="289"/>
      <c r="H219" s="289"/>
      <c r="I219" s="237"/>
      <c r="J219" s="237"/>
      <c r="K219" s="237"/>
      <c r="L219" s="238"/>
    </row>
    <row r="220" spans="2:12">
      <c r="B220" s="235"/>
      <c r="C220" s="249"/>
      <c r="D220" s="289"/>
      <c r="E220" s="289"/>
      <c r="F220" s="289"/>
      <c r="G220" s="289"/>
      <c r="H220" s="289"/>
      <c r="I220" s="237"/>
      <c r="J220" s="237"/>
      <c r="K220" s="237"/>
      <c r="L220" s="238"/>
    </row>
    <row r="221" spans="2:12">
      <c r="B221" s="235"/>
      <c r="C221" s="249"/>
      <c r="D221" s="289"/>
      <c r="E221" s="289"/>
      <c r="F221" s="289"/>
      <c r="G221" s="289"/>
      <c r="H221" s="289"/>
      <c r="I221" s="237"/>
      <c r="J221" s="237"/>
      <c r="K221" s="237"/>
      <c r="L221" s="238"/>
    </row>
    <row r="222" spans="2:12">
      <c r="B222" s="235"/>
      <c r="C222" s="249"/>
      <c r="D222" s="289"/>
      <c r="E222" s="289"/>
      <c r="F222" s="289"/>
      <c r="G222" s="289"/>
      <c r="H222" s="289"/>
      <c r="I222" s="237"/>
      <c r="J222" s="237"/>
      <c r="K222" s="237"/>
      <c r="L222" s="238"/>
    </row>
    <row r="223" spans="2:12">
      <c r="B223" s="235"/>
      <c r="C223" s="249"/>
      <c r="D223" s="289"/>
      <c r="E223" s="289"/>
      <c r="F223" s="289"/>
      <c r="G223" s="289"/>
      <c r="H223" s="289"/>
      <c r="I223" s="237"/>
      <c r="J223" s="237"/>
      <c r="K223" s="237"/>
      <c r="L223" s="238"/>
    </row>
    <row r="224" spans="2:12">
      <c r="B224" s="235"/>
      <c r="C224" s="249"/>
      <c r="D224" s="289"/>
      <c r="E224" s="289"/>
      <c r="F224" s="289"/>
      <c r="G224" s="289"/>
      <c r="H224" s="289"/>
      <c r="I224" s="237"/>
      <c r="J224" s="237"/>
      <c r="K224" s="237"/>
      <c r="L224" s="238"/>
    </row>
    <row r="225" spans="2:12">
      <c r="B225" s="235"/>
      <c r="C225" s="249"/>
      <c r="D225" s="289"/>
      <c r="E225" s="289"/>
      <c r="F225" s="289"/>
      <c r="G225" s="289"/>
      <c r="H225" s="289"/>
      <c r="I225" s="237"/>
      <c r="J225" s="237"/>
      <c r="K225" s="237"/>
      <c r="L225" s="238"/>
    </row>
    <row r="226" spans="2:12">
      <c r="B226" s="235"/>
      <c r="C226" s="249"/>
      <c r="D226" s="289"/>
      <c r="E226" s="289"/>
      <c r="F226" s="289"/>
      <c r="G226" s="289"/>
      <c r="H226" s="289"/>
      <c r="I226" s="237"/>
      <c r="J226" s="237"/>
      <c r="K226" s="237"/>
      <c r="L226" s="238"/>
    </row>
    <row r="227" spans="2:12">
      <c r="B227" s="235"/>
      <c r="C227" s="249"/>
      <c r="D227" s="289"/>
      <c r="E227" s="289"/>
      <c r="F227" s="289"/>
      <c r="G227" s="289"/>
      <c r="H227" s="289"/>
      <c r="I227" s="237"/>
      <c r="J227" s="237"/>
      <c r="K227" s="237"/>
      <c r="L227" s="238"/>
    </row>
    <row r="228" spans="2:12">
      <c r="B228" s="235"/>
      <c r="C228" s="249"/>
      <c r="D228" s="289"/>
      <c r="E228" s="289"/>
      <c r="F228" s="289"/>
      <c r="G228" s="289"/>
      <c r="H228" s="289"/>
      <c r="I228" s="237"/>
      <c r="J228" s="237"/>
      <c r="K228" s="237"/>
      <c r="L228" s="238"/>
    </row>
    <row r="229" spans="2:12">
      <c r="B229" s="235"/>
      <c r="C229" s="249"/>
      <c r="D229" s="289"/>
      <c r="E229" s="289"/>
      <c r="F229" s="289"/>
      <c r="G229" s="289"/>
      <c r="H229" s="289"/>
      <c r="I229" s="237"/>
      <c r="J229" s="237"/>
      <c r="K229" s="237"/>
      <c r="L229" s="238"/>
    </row>
    <row r="230" spans="2:12">
      <c r="B230" s="235"/>
      <c r="C230" s="249"/>
      <c r="D230" s="289"/>
      <c r="E230" s="289"/>
      <c r="F230" s="289"/>
      <c r="G230" s="289"/>
      <c r="H230" s="289"/>
      <c r="I230" s="237"/>
      <c r="J230" s="237"/>
      <c r="K230" s="237"/>
      <c r="L230" s="238"/>
    </row>
    <row r="231" spans="2:12">
      <c r="B231" s="235"/>
      <c r="C231" s="249"/>
      <c r="D231" s="249"/>
      <c r="E231" s="237"/>
      <c r="F231" s="237"/>
      <c r="G231" s="237"/>
      <c r="H231" s="237"/>
      <c r="I231" s="237"/>
      <c r="J231" s="237"/>
      <c r="K231" s="237"/>
      <c r="L231" s="238"/>
    </row>
    <row r="232" spans="2:12">
      <c r="B232" s="258"/>
      <c r="C232" s="259"/>
      <c r="D232" s="259"/>
      <c r="E232" s="259"/>
      <c r="F232" s="259"/>
      <c r="G232" s="259"/>
      <c r="H232" s="259"/>
      <c r="I232" s="259"/>
      <c r="J232" s="259"/>
      <c r="K232" s="259"/>
      <c r="L232" s="260"/>
    </row>
  </sheetData>
  <mergeCells count="43">
    <mergeCell ref="C83:F83"/>
    <mergeCell ref="C87:F87"/>
    <mergeCell ref="C88:G88"/>
    <mergeCell ref="C89:G89"/>
    <mergeCell ref="G173:K173"/>
    <mergeCell ref="G174:K174"/>
    <mergeCell ref="G170:K170"/>
    <mergeCell ref="F177:H177"/>
    <mergeCell ref="C158:E158"/>
    <mergeCell ref="D171:F171"/>
    <mergeCell ref="D172:F172"/>
    <mergeCell ref="G172:K172"/>
    <mergeCell ref="G171:K171"/>
    <mergeCell ref="C93:G93"/>
    <mergeCell ref="D170:F170"/>
    <mergeCell ref="I4:J4"/>
    <mergeCell ref="C70:E70"/>
    <mergeCell ref="C71:E71"/>
    <mergeCell ref="C72:E72"/>
    <mergeCell ref="C73:E73"/>
    <mergeCell ref="C68:E68"/>
    <mergeCell ref="C59:E59"/>
    <mergeCell ref="C66:E66"/>
    <mergeCell ref="C67:E67"/>
    <mergeCell ref="C62:E62"/>
    <mergeCell ref="C61:E61"/>
    <mergeCell ref="C60:E60"/>
    <mergeCell ref="F186:G186"/>
    <mergeCell ref="C57:F57"/>
    <mergeCell ref="C74:E74"/>
    <mergeCell ref="C80:F80"/>
    <mergeCell ref="C76:F76"/>
    <mergeCell ref="C78:F78"/>
    <mergeCell ref="C79:F79"/>
    <mergeCell ref="C77:F77"/>
    <mergeCell ref="D173:F173"/>
    <mergeCell ref="D174:F174"/>
    <mergeCell ref="C58:E58"/>
    <mergeCell ref="C64:E64"/>
    <mergeCell ref="C65:E65"/>
    <mergeCell ref="C84:G84"/>
    <mergeCell ref="C86:G86"/>
    <mergeCell ref="C90:G90"/>
  </mergeCells>
  <phoneticPr fontId="33" type="noConversion"/>
  <conditionalFormatting sqref="G142:G166">
    <cfRule type="colorScale" priority="1">
      <colorScale>
        <cfvo type="min"/>
        <cfvo type="percentile" val="50"/>
        <cfvo type="max"/>
        <color rgb="FF63BE7B"/>
        <color rgb="FFFFEB84"/>
        <color rgb="FFF8696B"/>
      </colorScale>
    </cfRule>
  </conditionalFormatting>
  <pageMargins left="0.25" right="0.25" top="0.75" bottom="0.75" header="0.3" footer="0.3"/>
  <pageSetup paperSize="158" fitToHeight="7" orientation="portrait"/>
  <rowBreaks count="5" manualBreakCount="5">
    <brk id="45" max="16383" man="1"/>
    <brk id="94" max="16383" man="1"/>
    <brk id="137" max="16383" man="1"/>
    <brk id="167" max="16383" man="1"/>
    <brk id="193" max="16383" man="1"/>
  </rowBreaks>
  <ignoredErrors>
    <ignoredError sqref="D49:D55 J42:J43 I42:I43 C27:C43 D27:D43 C23:D26 J40 I25:J39 I41:J41 I40 E23:G43" emptyCellReference="1"/>
  </ignoredErrors>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ave_As_PDF_and_Email">
                <anchor moveWithCells="1" sizeWithCells="1">
                  <from>
                    <xdr:col>14</xdr:col>
                    <xdr:colOff>25400</xdr:colOff>
                    <xdr:row>21</xdr:row>
                    <xdr:rowOff>0</xdr:rowOff>
                  </from>
                  <to>
                    <xdr:col>14</xdr:col>
                    <xdr:colOff>1854200</xdr:colOff>
                    <xdr:row>23</xdr:row>
                    <xdr:rowOff>38100</xdr:rowOff>
                  </to>
                </anchor>
              </controlPr>
            </control>
          </mc:Choice>
          <mc:Fallback/>
        </mc:AlternateContent>
      </controls>
    </mc:Choice>
    <mc:Fallback/>
  </mc:AlternateContent>
  <extLst>
    <ext xmlns:mx="http://schemas.microsoft.com/office/mac/excel/2008/main" uri="{64002731-A6B0-56B0-2670-7721B7C09600}">
      <mx:PLV Mode="0" OnePage="0" WScale="10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K1502"/>
  <sheetViews>
    <sheetView zoomScale="150" zoomScaleNormal="150" zoomScalePageLayoutView="150" workbookViewId="0">
      <selection activeCell="A6" sqref="A6"/>
    </sheetView>
  </sheetViews>
  <sheetFormatPr baseColWidth="10" defaultColWidth="8.83203125" defaultRowHeight="11" x14ac:dyDescent="0"/>
  <cols>
    <col min="1" max="1" width="10.6640625" style="60" bestFit="1" customWidth="1"/>
    <col min="2" max="2" width="8.83203125" style="60"/>
    <col min="3" max="3" width="8" style="60" bestFit="1" customWidth="1"/>
    <col min="4" max="4" width="7" style="60" bestFit="1" customWidth="1"/>
    <col min="5" max="5" width="4.5" style="60" bestFit="1" customWidth="1"/>
    <col min="6" max="6" width="4.33203125" style="60" bestFit="1" customWidth="1"/>
    <col min="7" max="7" width="8" style="60" bestFit="1" customWidth="1"/>
    <col min="8" max="8" width="3.5" style="60" bestFit="1" customWidth="1"/>
    <col min="9" max="9" width="5.33203125" style="60" bestFit="1" customWidth="1"/>
    <col min="10" max="10" width="4.5" style="60" bestFit="1" customWidth="1"/>
    <col min="11" max="11" width="4.83203125" style="60" bestFit="1" customWidth="1"/>
    <col min="12" max="16384" width="8.83203125" style="60"/>
  </cols>
  <sheetData>
    <row r="1" spans="1:11">
      <c r="A1" s="60" t="s">
        <v>1545</v>
      </c>
      <c r="B1" s="60" t="s">
        <v>1542</v>
      </c>
      <c r="C1" s="60" t="s">
        <v>1</v>
      </c>
      <c r="D1" s="60" t="s">
        <v>8</v>
      </c>
      <c r="E1" s="60" t="s">
        <v>9</v>
      </c>
      <c r="F1" s="60" t="s">
        <v>11</v>
      </c>
      <c r="G1" s="60" t="s">
        <v>37</v>
      </c>
      <c r="H1" s="60" t="s">
        <v>23</v>
      </c>
      <c r="I1" s="60" t="s">
        <v>9</v>
      </c>
      <c r="J1" s="60" t="s">
        <v>24</v>
      </c>
      <c r="K1" s="60" t="s">
        <v>0</v>
      </c>
    </row>
    <row r="2" spans="1:11">
      <c r="A2" s="60" t="s">
        <v>1831</v>
      </c>
      <c r="B2" s="60" t="s">
        <v>1543</v>
      </c>
      <c r="C2" s="60" t="s">
        <v>1694</v>
      </c>
      <c r="D2" s="60">
        <v>1</v>
      </c>
      <c r="E2" s="60">
        <v>62</v>
      </c>
      <c r="F2" s="60" t="b">
        <v>1</v>
      </c>
      <c r="G2" s="60">
        <v>1</v>
      </c>
      <c r="H2" s="60">
        <f>PRODUCT('All-Servers'!D12,'All-Servers'!$H12)</f>
        <v>2</v>
      </c>
      <c r="I2" s="60">
        <f>PRODUCT('All-Servers'!E12,'All-Servers'!$H12)</f>
        <v>3750</v>
      </c>
      <c r="J2" s="60">
        <f>PRODUCT('All-Servers'!F12,'All-Servers'!$H12)</f>
        <v>32</v>
      </c>
      <c r="K2" s="60">
        <f>PRODUCT('All-Servers'!G12,'All-Servers'!$H12)</f>
        <v>20</v>
      </c>
    </row>
    <row r="3" spans="1:11">
      <c r="A3" s="60" t="s">
        <v>1938</v>
      </c>
      <c r="B3" s="60" t="s">
        <v>1544</v>
      </c>
      <c r="C3" s="60" t="s">
        <v>2</v>
      </c>
      <c r="D3" s="60">
        <v>2</v>
      </c>
      <c r="E3" s="60">
        <v>126</v>
      </c>
      <c r="F3" s="60" t="b">
        <v>0</v>
      </c>
      <c r="G3" s="60">
        <v>2</v>
      </c>
      <c r="H3" s="60">
        <f>PRODUCT('All-Servers'!D13,'All-Servers'!$H13)</f>
        <v>1</v>
      </c>
      <c r="I3" s="60">
        <f>PRODUCT('All-Servers'!E13,'All-Servers'!$H13)</f>
        <v>1700</v>
      </c>
      <c r="J3" s="60">
        <f>PRODUCT('All-Servers'!F13,'All-Servers'!$H13)</f>
        <v>160</v>
      </c>
      <c r="K3" s="60">
        <f>PRODUCT('All-Servers'!G13,'All-Servers'!$H13)</f>
        <v>20</v>
      </c>
    </row>
    <row r="4" spans="1:11">
      <c r="A4" s="60" t="s">
        <v>1937</v>
      </c>
      <c r="C4" s="60" t="s">
        <v>3</v>
      </c>
      <c r="D4" s="60">
        <v>3</v>
      </c>
      <c r="E4" s="60">
        <v>254</v>
      </c>
      <c r="G4" s="60">
        <v>3</v>
      </c>
      <c r="H4" s="60">
        <f>PRODUCT('All-Servers'!D14,'All-Servers'!$H14)</f>
        <v>1</v>
      </c>
      <c r="I4" s="60">
        <f>PRODUCT('All-Servers'!E14,'All-Servers'!$H14)</f>
        <v>1700</v>
      </c>
      <c r="J4" s="60">
        <f>PRODUCT('All-Servers'!F14,'All-Servers'!$H14)</f>
        <v>160</v>
      </c>
      <c r="K4" s="60">
        <f>PRODUCT('All-Servers'!G14,'All-Servers'!$H14)</f>
        <v>20</v>
      </c>
    </row>
    <row r="5" spans="1:11">
      <c r="A5" s="60" t="s">
        <v>1872</v>
      </c>
      <c r="C5" s="60" t="s">
        <v>4</v>
      </c>
      <c r="D5" s="60">
        <v>4</v>
      </c>
      <c r="E5" s="60">
        <v>382</v>
      </c>
      <c r="G5" s="60">
        <v>4</v>
      </c>
      <c r="H5" s="60">
        <f>PRODUCT('All-Servers'!D15,'All-Servers'!$H15)</f>
        <v>2</v>
      </c>
      <c r="I5" s="60">
        <f>PRODUCT('All-Servers'!E15,'All-Servers'!$H15)</f>
        <v>7500</v>
      </c>
      <c r="J5" s="60">
        <f>PRODUCT('All-Servers'!F15,'All-Servers'!$H15)</f>
        <v>32</v>
      </c>
      <c r="K5" s="60">
        <f>PRODUCT('All-Servers'!G15,'All-Servers'!$H15)</f>
        <v>420</v>
      </c>
    </row>
    <row r="6" spans="1:11">
      <c r="D6" s="60">
        <v>5</v>
      </c>
      <c r="E6" s="60">
        <v>510</v>
      </c>
      <c r="H6" s="60">
        <f>PRODUCT('All-Servers'!D16,'All-Servers'!$H16)</f>
        <v>1</v>
      </c>
      <c r="I6" s="60">
        <f>PRODUCT('All-Servers'!E16,'All-Servers'!$H16)</f>
        <v>1700</v>
      </c>
      <c r="J6" s="60">
        <f>PRODUCT('All-Servers'!F16,'All-Servers'!$H16)</f>
        <v>160</v>
      </c>
      <c r="K6" s="60">
        <f>PRODUCT('All-Servers'!G16,'All-Servers'!$H16)</f>
        <v>20</v>
      </c>
    </row>
    <row r="7" spans="1:11">
      <c r="D7" s="60">
        <v>6</v>
      </c>
      <c r="E7" s="60">
        <v>766</v>
      </c>
      <c r="H7" s="60">
        <f>PRODUCT('All-Servers'!D17,'All-Servers'!$H17)</f>
        <v>1</v>
      </c>
      <c r="I7" s="60">
        <f>PRODUCT('All-Servers'!E17,'All-Servers'!$H17)</f>
        <v>1700</v>
      </c>
      <c r="J7" s="60">
        <f>PRODUCT('All-Servers'!F17,'All-Servers'!$H17)</f>
        <v>160</v>
      </c>
      <c r="K7" s="60">
        <f>PRODUCT('All-Servers'!G17,'All-Servers'!$H17)</f>
        <v>20</v>
      </c>
    </row>
    <row r="8" spans="1:11">
      <c r="D8" s="60">
        <v>7</v>
      </c>
      <c r="E8" s="60">
        <v>1022</v>
      </c>
      <c r="H8" s="60">
        <f>PRODUCT('All-Servers'!D18,'All-Servers'!$H18)</f>
        <v>1</v>
      </c>
      <c r="I8" s="60">
        <f>PRODUCT('All-Servers'!E18,'All-Servers'!$H18)</f>
        <v>1700</v>
      </c>
      <c r="J8" s="60">
        <f>PRODUCT('All-Servers'!F18,'All-Servers'!$H18)</f>
        <v>160</v>
      </c>
      <c r="K8" s="60">
        <f>PRODUCT('All-Servers'!G18,'All-Servers'!$H18)</f>
        <v>20</v>
      </c>
    </row>
    <row r="9" spans="1:11">
      <c r="D9" s="60">
        <v>8</v>
      </c>
      <c r="H9" s="60">
        <f>PRODUCT('All-Servers'!D19,'All-Servers'!$H19)</f>
        <v>1</v>
      </c>
      <c r="I9" s="60">
        <f>PRODUCT('All-Servers'!E19,'All-Servers'!$H19)</f>
        <v>1700</v>
      </c>
      <c r="J9" s="60">
        <f>PRODUCT('All-Servers'!F19,'All-Servers'!$H19)</f>
        <v>160</v>
      </c>
      <c r="K9" s="60">
        <f>PRODUCT('All-Servers'!G19,'All-Servers'!$H19)</f>
        <v>520</v>
      </c>
    </row>
    <row r="10" spans="1:11">
      <c r="D10" s="60">
        <v>9</v>
      </c>
      <c r="H10" s="60">
        <f>PRODUCT('All-Servers'!D20,'All-Servers'!$H20)</f>
        <v>2</v>
      </c>
      <c r="I10" s="60">
        <f>PRODUCT('All-Servers'!E20,'All-Servers'!$H20)</f>
        <v>7500</v>
      </c>
      <c r="J10" s="60">
        <f>PRODUCT('All-Servers'!F20,'All-Servers'!$H20)</f>
        <v>850</v>
      </c>
      <c r="K10" s="60">
        <f>PRODUCT('All-Servers'!G20,'All-Servers'!$H20)</f>
        <v>20</v>
      </c>
    </row>
    <row r="11" spans="1:11">
      <c r="D11" s="60">
        <v>10</v>
      </c>
      <c r="H11" s="60">
        <f>PRODUCT('All-Servers'!D21,'All-Servers'!$H21)</f>
        <v>1</v>
      </c>
      <c r="I11" s="60">
        <f>PRODUCT('All-Servers'!E21,'All-Servers'!$H21)</f>
        <v>3750</v>
      </c>
      <c r="J11" s="60">
        <f>PRODUCT('All-Servers'!F21,'All-Servers'!$H21)</f>
        <v>4</v>
      </c>
      <c r="K11" s="60">
        <f>PRODUCT('All-Servers'!G21,'All-Servers'!$H21)</f>
        <v>420</v>
      </c>
    </row>
    <row r="12" spans="1:11">
      <c r="D12" s="60">
        <v>11</v>
      </c>
      <c r="H12" s="60">
        <f>PRODUCT('All-Servers'!D22,'All-Servers'!$H22)</f>
        <v>1</v>
      </c>
      <c r="I12" s="60">
        <f>PRODUCT('All-Servers'!E22,'All-Servers'!$H22)</f>
        <v>3750</v>
      </c>
      <c r="J12" s="60">
        <f>PRODUCT('All-Servers'!F22,'All-Servers'!$H22)</f>
        <v>4</v>
      </c>
      <c r="K12" s="60">
        <f>PRODUCT('All-Servers'!G22,'All-Servers'!$H22)</f>
        <v>520</v>
      </c>
    </row>
    <row r="13" spans="1:11">
      <c r="D13" s="60">
        <v>12</v>
      </c>
      <c r="H13" s="60">
        <f>PRODUCT('All-Servers'!D23,'All-Servers'!$H23)</f>
        <v>4</v>
      </c>
      <c r="I13" s="60">
        <f>PRODUCT('All-Servers'!E23,'All-Servers'!$H23)</f>
        <v>15000</v>
      </c>
      <c r="J13" s="60">
        <f>PRODUCT('All-Servers'!F23,'All-Servers'!$H23)</f>
        <v>80</v>
      </c>
      <c r="K13" s="60">
        <f>PRODUCT('All-Servers'!G23,'All-Servers'!$H23)</f>
        <v>420</v>
      </c>
    </row>
    <row r="14" spans="1:11">
      <c r="D14" s="60">
        <v>13</v>
      </c>
      <c r="H14" s="60">
        <f>PRODUCT('All-Servers'!D24,'All-Servers'!$H24)</f>
        <v>2</v>
      </c>
      <c r="I14" s="60">
        <f>PRODUCT('All-Servers'!E24,'All-Servers'!$H24)</f>
        <v>3750</v>
      </c>
      <c r="J14" s="60">
        <f>PRODUCT('All-Servers'!F24,'All-Servers'!$H24)</f>
        <v>32</v>
      </c>
      <c r="K14" s="60">
        <f>PRODUCT('All-Servers'!G24,'All-Servers'!$H24)</f>
        <v>3992</v>
      </c>
    </row>
    <row r="15" spans="1:11">
      <c r="D15" s="60">
        <v>14</v>
      </c>
      <c r="H15" s="60">
        <f>PRODUCT('All-Servers'!D25,'All-Servers'!$H25)</f>
        <v>2</v>
      </c>
      <c r="I15" s="60">
        <f>PRODUCT('All-Servers'!E25,'All-Servers'!$H25)</f>
        <v>4000</v>
      </c>
      <c r="J15" s="60">
        <f>PRODUCT('All-Servers'!F25,'All-Servers'!$H25)</f>
        <v>0</v>
      </c>
      <c r="K15" s="60">
        <f>PRODUCT('All-Servers'!G25,'All-Servers'!$H25)</f>
        <v>20</v>
      </c>
    </row>
    <row r="16" spans="1:11">
      <c r="D16" s="60">
        <v>15</v>
      </c>
      <c r="H16" s="60">
        <f>PRODUCT('All-Servers'!D26,'All-Servers'!$H26)</f>
        <v>1</v>
      </c>
      <c r="I16" s="60">
        <f>PRODUCT('All-Servers'!E26,'All-Servers'!$H26)</f>
        <v>1700</v>
      </c>
      <c r="J16" s="60">
        <f>PRODUCT('All-Servers'!F26,'All-Servers'!$H26)</f>
        <v>160</v>
      </c>
      <c r="K16" s="60">
        <f>PRODUCT('All-Servers'!G26,'All-Servers'!$H26)</f>
        <v>420</v>
      </c>
    </row>
    <row r="17" spans="4:11">
      <c r="D17" s="60">
        <v>16</v>
      </c>
      <c r="H17" s="60">
        <f>PRODUCT('All-Servers'!D27,'All-Servers'!$H27)</f>
        <v>4</v>
      </c>
      <c r="I17" s="60">
        <f>PRODUCT('All-Servers'!E27,'All-Servers'!$H27)</f>
        <v>15000</v>
      </c>
      <c r="J17" s="60">
        <f>PRODUCT('All-Servers'!F27,'All-Servers'!$H27)</f>
        <v>80</v>
      </c>
      <c r="K17" s="60">
        <f>PRODUCT('All-Servers'!G27,'All-Servers'!$H27)</f>
        <v>420</v>
      </c>
    </row>
    <row r="18" spans="4:11">
      <c r="D18" s="60">
        <v>17</v>
      </c>
      <c r="H18" s="60">
        <f>PRODUCT('All-Servers'!D28,'All-Servers'!$H28)</f>
        <v>1</v>
      </c>
      <c r="I18" s="60">
        <f>PRODUCT('All-Servers'!E28,'All-Servers'!$H28)</f>
        <v>3750</v>
      </c>
      <c r="J18" s="60">
        <f>PRODUCT('All-Servers'!F28,'All-Servers'!$H28)</f>
        <v>410</v>
      </c>
      <c r="K18" s="60">
        <f>PRODUCT('All-Servers'!G28,'All-Servers'!$H28)</f>
        <v>1244</v>
      </c>
    </row>
    <row r="19" spans="4:11">
      <c r="D19" s="60">
        <v>18</v>
      </c>
      <c r="H19" s="60">
        <f>PRODUCT('All-Servers'!D29,'All-Servers'!$H29)</f>
        <v>1</v>
      </c>
      <c r="I19" s="60">
        <f>PRODUCT('All-Servers'!E29,'All-Servers'!$H29)</f>
        <v>1700</v>
      </c>
      <c r="J19" s="60">
        <f>PRODUCT('All-Servers'!F29,'All-Servers'!$H29)</f>
        <v>160</v>
      </c>
      <c r="K19" s="60">
        <f>PRODUCT('All-Servers'!G29,'All-Servers'!$H29)</f>
        <v>20</v>
      </c>
    </row>
    <row r="20" spans="4:11">
      <c r="D20" s="60">
        <v>19</v>
      </c>
      <c r="H20" s="60">
        <f>PRODUCT('All-Servers'!D30,'All-Servers'!$H30)</f>
        <v>8</v>
      </c>
      <c r="I20" s="60">
        <f>PRODUCT('All-Servers'!E30,'All-Servers'!$H30)</f>
        <v>30000</v>
      </c>
      <c r="J20" s="60">
        <f>PRODUCT('All-Servers'!F30,'All-Servers'!$H30)</f>
        <v>160</v>
      </c>
      <c r="K20" s="60">
        <f>PRODUCT('All-Servers'!G30,'All-Servers'!$H30)</f>
        <v>1420</v>
      </c>
    </row>
    <row r="21" spans="4:11">
      <c r="D21" s="60">
        <v>20</v>
      </c>
      <c r="H21" s="60">
        <f>PRODUCT('All-Servers'!D31,'All-Servers'!$H31)</f>
        <v>4</v>
      </c>
      <c r="I21" s="60">
        <f>PRODUCT('All-Servers'!E31,'All-Servers'!$H31)</f>
        <v>15000</v>
      </c>
      <c r="J21" s="60">
        <f>PRODUCT('All-Servers'!F31,'All-Servers'!$H31)</f>
        <v>80</v>
      </c>
      <c r="K21" s="60">
        <f>PRODUCT('All-Servers'!G31,'All-Servers'!$H31)</f>
        <v>1420</v>
      </c>
    </row>
    <row r="22" spans="4:11">
      <c r="D22" s="60">
        <v>21</v>
      </c>
      <c r="H22" s="60">
        <f>PRODUCT('All-Servers'!D32,'All-Servers'!$H32)</f>
        <v>1</v>
      </c>
      <c r="I22" s="60">
        <f>PRODUCT('All-Servers'!E32,'All-Servers'!$H32)</f>
        <v>1700</v>
      </c>
      <c r="J22" s="60">
        <f>PRODUCT('All-Servers'!F32,'All-Servers'!$H32)</f>
        <v>160</v>
      </c>
      <c r="K22" s="60">
        <f>PRODUCT('All-Servers'!G32,'All-Servers'!$H32)</f>
        <v>20</v>
      </c>
    </row>
    <row r="23" spans="4:11">
      <c r="D23" s="60">
        <v>22</v>
      </c>
      <c r="H23" s="60">
        <f>PRODUCT('All-Servers'!D33,'All-Servers'!$H33)</f>
        <v>1</v>
      </c>
      <c r="I23" s="60">
        <f>PRODUCT('All-Servers'!E33,'All-Servers'!$H33)</f>
        <v>2000</v>
      </c>
      <c r="J23" s="60">
        <f>PRODUCT('All-Servers'!F33,'All-Servers'!$H33)</f>
        <v>0</v>
      </c>
      <c r="K23" s="60">
        <f>PRODUCT('All-Servers'!G33,'All-Servers'!$H33)</f>
        <v>20</v>
      </c>
    </row>
    <row r="24" spans="4:11">
      <c r="D24" s="60">
        <v>23</v>
      </c>
      <c r="H24" s="60">
        <f>PRODUCT('All-Servers'!D34,'All-Servers'!$H34)</f>
        <v>1</v>
      </c>
      <c r="I24" s="60">
        <f>PRODUCT('All-Servers'!E34,'All-Servers'!$H34)</f>
        <v>615</v>
      </c>
      <c r="J24" s="60">
        <f>PRODUCT('All-Servers'!F34,'All-Servers'!$H34)</f>
        <v>160</v>
      </c>
      <c r="K24" s="60">
        <f>PRODUCT('All-Servers'!G34,'All-Servers'!$H34)</f>
        <v>8</v>
      </c>
    </row>
    <row r="25" spans="4:11">
      <c r="D25" s="60">
        <v>24</v>
      </c>
      <c r="H25" s="60">
        <f>PRODUCT('All-Servers'!D35,'All-Servers'!$H35)</f>
        <v>4</v>
      </c>
      <c r="I25" s="60">
        <f>PRODUCT('All-Servers'!E35,'All-Servers'!$H35)</f>
        <v>15000</v>
      </c>
      <c r="J25" s="60">
        <f>PRODUCT('All-Servers'!F35,'All-Servers'!$H35)</f>
        <v>80</v>
      </c>
      <c r="K25" s="60">
        <f>PRODUCT('All-Servers'!G35,'All-Servers'!$H35)</f>
        <v>820</v>
      </c>
    </row>
    <row r="26" spans="4:11">
      <c r="H26" s="60">
        <f>PRODUCT('All-Servers'!D36,'All-Servers'!$H36)</f>
        <v>1</v>
      </c>
      <c r="I26" s="60">
        <f>PRODUCT('All-Servers'!E36,'All-Servers'!$H36)</f>
        <v>1700</v>
      </c>
      <c r="J26" s="60">
        <f>PRODUCT('All-Servers'!F36,'All-Servers'!$H36)</f>
        <v>160</v>
      </c>
      <c r="K26" s="60">
        <f>PRODUCT('All-Servers'!G36,'All-Servers'!$H36)</f>
        <v>20</v>
      </c>
    </row>
    <row r="27" spans="4:11">
      <c r="H27" s="60">
        <f>PRODUCT('All-Servers'!D37,'All-Servers'!$H37)</f>
        <v>1</v>
      </c>
      <c r="I27" s="60">
        <f>PRODUCT('All-Servers'!E37,'All-Servers'!$H37)</f>
        <v>1700</v>
      </c>
      <c r="J27" s="60">
        <f>PRODUCT('All-Servers'!F37,'All-Servers'!$H37)</f>
        <v>160</v>
      </c>
      <c r="K27" s="60">
        <f>PRODUCT('All-Servers'!G37,'All-Servers'!$H37)</f>
        <v>420</v>
      </c>
    </row>
    <row r="28" spans="4:11">
      <c r="H28" s="60">
        <f>PRODUCT('All-Servers'!D38,'All-Servers'!$H38)</f>
        <v>1</v>
      </c>
      <c r="I28" s="60">
        <f>PRODUCT('All-Servers'!E38,'All-Servers'!$H38)</f>
        <v>1700</v>
      </c>
      <c r="J28" s="60">
        <f>PRODUCT('All-Servers'!F38,'All-Servers'!$H38)</f>
        <v>160</v>
      </c>
      <c r="K28" s="60">
        <f>PRODUCT('All-Servers'!G38,'All-Servers'!$H38)</f>
        <v>20</v>
      </c>
    </row>
    <row r="29" spans="4:11">
      <c r="H29" s="60">
        <f>PRODUCT('All-Servers'!D39,'All-Servers'!$H39)</f>
        <v>2</v>
      </c>
      <c r="I29" s="60">
        <f>PRODUCT('All-Servers'!E39,'All-Servers'!$H39)</f>
        <v>3750</v>
      </c>
      <c r="J29" s="60">
        <f>PRODUCT('All-Servers'!F39,'All-Servers'!$H39)</f>
        <v>32</v>
      </c>
      <c r="K29" s="60">
        <f>PRODUCT('All-Servers'!G39,'All-Servers'!$H39)</f>
        <v>820</v>
      </c>
    </row>
    <row r="30" spans="4:11">
      <c r="H30" s="60">
        <f>PRODUCT('All-Servers'!D40,'All-Servers'!$H40)</f>
        <v>1</v>
      </c>
      <c r="I30" s="60">
        <f>PRODUCT('All-Servers'!E40,'All-Servers'!$H40)</f>
        <v>1700</v>
      </c>
      <c r="J30" s="60">
        <f>PRODUCT('All-Servers'!F40,'All-Servers'!$H40)</f>
        <v>160</v>
      </c>
      <c r="K30" s="60">
        <f>PRODUCT('All-Servers'!G40,'All-Servers'!$H40)</f>
        <v>20</v>
      </c>
    </row>
    <row r="31" spans="4:11">
      <c r="H31" s="60">
        <f>PRODUCT('All-Servers'!D41,'All-Servers'!$H41)</f>
        <v>1</v>
      </c>
      <c r="I31" s="60">
        <f>PRODUCT('All-Servers'!E41,'All-Servers'!$H41)</f>
        <v>2000</v>
      </c>
      <c r="J31" s="60">
        <f>PRODUCT('All-Servers'!F41,'All-Servers'!$H41)</f>
        <v>0</v>
      </c>
      <c r="K31" s="60">
        <f>PRODUCT('All-Servers'!G41,'All-Servers'!$H41)</f>
        <v>420</v>
      </c>
    </row>
    <row r="32" spans="4:11">
      <c r="H32" s="60">
        <f>PRODUCT('All-Servers'!D42,'All-Servers'!$H42)</f>
        <v>1</v>
      </c>
      <c r="I32" s="60">
        <f>PRODUCT('All-Servers'!E42,'All-Servers'!$H42)</f>
        <v>2000</v>
      </c>
      <c r="J32" s="60">
        <f>PRODUCT('All-Servers'!F42,'All-Servers'!$H42)</f>
        <v>0</v>
      </c>
      <c r="K32" s="60">
        <f>PRODUCT('All-Servers'!G42,'All-Servers'!$H42)</f>
        <v>220</v>
      </c>
    </row>
    <row r="33" spans="8:11">
      <c r="H33" s="60">
        <f>PRODUCT('All-Servers'!D43,'All-Servers'!$H43)</f>
        <v>1</v>
      </c>
      <c r="I33" s="60">
        <f>PRODUCT('All-Servers'!E43,'All-Servers'!$H43)</f>
        <v>1700</v>
      </c>
      <c r="J33" s="60">
        <f>PRODUCT('All-Servers'!F43,'All-Servers'!$H43)</f>
        <v>160</v>
      </c>
      <c r="K33" s="60">
        <f>PRODUCT('All-Servers'!G43,'All-Servers'!$H43)</f>
        <v>20</v>
      </c>
    </row>
    <row r="34" spans="8:11">
      <c r="H34" s="60">
        <f>PRODUCT('All-Servers'!D44,'All-Servers'!$H44)</f>
        <v>2</v>
      </c>
      <c r="I34" s="60">
        <f>PRODUCT('All-Servers'!E44,'All-Servers'!$H44)</f>
        <v>15000</v>
      </c>
      <c r="J34" s="60">
        <f>PRODUCT('All-Servers'!F44,'All-Servers'!$H44)</f>
        <v>32</v>
      </c>
      <c r="K34" s="60">
        <f>PRODUCT('All-Servers'!G44,'All-Servers'!$H44)</f>
        <v>420</v>
      </c>
    </row>
    <row r="35" spans="8:11">
      <c r="H35" s="60">
        <f>PRODUCT('All-Servers'!D45,'All-Servers'!$H45)</f>
        <v>2</v>
      </c>
      <c r="I35" s="60">
        <f>PRODUCT('All-Servers'!E45,'All-Servers'!$H45)</f>
        <v>7500</v>
      </c>
      <c r="J35" s="60">
        <f>PRODUCT('All-Servers'!F45,'All-Servers'!$H45)</f>
        <v>850</v>
      </c>
      <c r="K35" s="60">
        <f>PRODUCT('All-Servers'!G45,'All-Servers'!$H45)</f>
        <v>20</v>
      </c>
    </row>
    <row r="36" spans="8:11">
      <c r="H36" s="60">
        <f>PRODUCT('All-Servers'!D46,'All-Servers'!$H46)</f>
        <v>32</v>
      </c>
      <c r="I36" s="60">
        <f>PRODUCT('All-Servers'!E46,'All-Servers'!$H46)</f>
        <v>60000</v>
      </c>
      <c r="J36" s="60">
        <f>PRODUCT('All-Servers'!F46,'All-Servers'!$H46)</f>
        <v>640</v>
      </c>
      <c r="K36" s="60">
        <f>PRODUCT('All-Servers'!G46,'All-Servers'!$H46)</f>
        <v>590</v>
      </c>
    </row>
    <row r="37" spans="8:11">
      <c r="H37" s="60">
        <f>PRODUCT('All-Servers'!D47,'All-Servers'!$H47)</f>
        <v>1</v>
      </c>
      <c r="I37" s="60">
        <f>PRODUCT('All-Servers'!E47,'All-Servers'!$H47)</f>
        <v>1700</v>
      </c>
      <c r="J37" s="60">
        <f>PRODUCT('All-Servers'!F47,'All-Servers'!$H47)</f>
        <v>160</v>
      </c>
      <c r="K37" s="60">
        <f>PRODUCT('All-Servers'!G47,'All-Servers'!$H47)</f>
        <v>20</v>
      </c>
    </row>
    <row r="38" spans="8:11">
      <c r="H38" s="60">
        <f>PRODUCT('All-Servers'!D48,'All-Servers'!$H48)</f>
        <v>1</v>
      </c>
      <c r="I38" s="60">
        <f>PRODUCT('All-Servers'!E48,'All-Servers'!$H48)</f>
        <v>1700</v>
      </c>
      <c r="J38" s="60">
        <f>PRODUCT('All-Servers'!F48,'All-Servers'!$H48)</f>
        <v>160</v>
      </c>
      <c r="K38" s="60">
        <f>PRODUCT('All-Servers'!G48,'All-Servers'!$H48)</f>
        <v>20</v>
      </c>
    </row>
    <row r="39" spans="8:11">
      <c r="H39" s="60">
        <f>PRODUCT('All-Servers'!D49,'All-Servers'!$H49)</f>
        <v>1</v>
      </c>
      <c r="I39" s="60">
        <f>PRODUCT('All-Servers'!E49,'All-Servers'!$H49)</f>
        <v>3750</v>
      </c>
      <c r="J39" s="60">
        <f>PRODUCT('All-Servers'!F49,'All-Servers'!$H49)</f>
        <v>4</v>
      </c>
      <c r="K39" s="60">
        <f>PRODUCT('All-Servers'!G49,'All-Servers'!$H49)</f>
        <v>820</v>
      </c>
    </row>
    <row r="40" spans="8:11">
      <c r="H40" s="60">
        <f>PRODUCT('All-Servers'!D50,'All-Servers'!$H50)</f>
        <v>2</v>
      </c>
      <c r="I40" s="60">
        <f>PRODUCT('All-Servers'!E50,'All-Servers'!$H50)</f>
        <v>7500</v>
      </c>
      <c r="J40" s="60">
        <f>PRODUCT('All-Servers'!F50,'All-Servers'!$H50)</f>
        <v>850</v>
      </c>
      <c r="K40" s="60">
        <f>PRODUCT('All-Servers'!G50,'All-Servers'!$H50)</f>
        <v>20</v>
      </c>
    </row>
    <row r="41" spans="8:11">
      <c r="H41" s="60">
        <f>PRODUCT('All-Servers'!D51,'All-Servers'!$H51)</f>
        <v>1</v>
      </c>
      <c r="I41" s="60">
        <f>PRODUCT('All-Servers'!E51,'All-Servers'!$H51)</f>
        <v>1700</v>
      </c>
      <c r="J41" s="60">
        <f>PRODUCT('All-Servers'!F51,'All-Servers'!$H51)</f>
        <v>160</v>
      </c>
      <c r="K41" s="60">
        <f>PRODUCT('All-Servers'!G51,'All-Servers'!$H51)</f>
        <v>20</v>
      </c>
    </row>
    <row r="42" spans="8:11">
      <c r="H42" s="60">
        <f>PRODUCT('All-Servers'!D52,'All-Servers'!$H52)</f>
        <v>2</v>
      </c>
      <c r="I42" s="60">
        <f>PRODUCT('All-Servers'!E52,'All-Servers'!$H52)</f>
        <v>3750</v>
      </c>
      <c r="J42" s="60">
        <f>PRODUCT('All-Servers'!F52,'All-Servers'!$H52)</f>
        <v>32</v>
      </c>
      <c r="K42" s="60">
        <f>PRODUCT('All-Servers'!G52,'All-Servers'!$H52)</f>
        <v>8</v>
      </c>
    </row>
    <row r="43" spans="8:11">
      <c r="H43" s="60">
        <f>PRODUCT('All-Servers'!D53,'All-Servers'!$H53)</f>
        <v>1</v>
      </c>
      <c r="I43" s="60">
        <f>PRODUCT('All-Servers'!E53,'All-Servers'!$H53)</f>
        <v>1000</v>
      </c>
      <c r="J43" s="60">
        <f>PRODUCT('All-Servers'!F53,'All-Servers'!$H53)</f>
        <v>0</v>
      </c>
      <c r="K43" s="60">
        <f>PRODUCT('All-Servers'!G53,'All-Servers'!$H53)</f>
        <v>20</v>
      </c>
    </row>
    <row r="44" spans="8:11">
      <c r="H44" s="60">
        <f>PRODUCT('All-Servers'!D54,'All-Servers'!$H54)</f>
        <v>1</v>
      </c>
      <c r="I44" s="60">
        <f>PRODUCT('All-Servers'!E54,'All-Servers'!$H54)</f>
        <v>3750</v>
      </c>
      <c r="J44" s="60">
        <f>PRODUCT('All-Servers'!F54,'All-Servers'!$H54)</f>
        <v>4</v>
      </c>
      <c r="K44" s="60">
        <f>PRODUCT('All-Servers'!G54,'All-Servers'!$H54)</f>
        <v>30</v>
      </c>
    </row>
    <row r="45" spans="8:11">
      <c r="H45" s="60">
        <f>PRODUCT('All-Servers'!D55,'All-Servers'!$H55)</f>
        <v>4</v>
      </c>
      <c r="I45" s="60">
        <f>PRODUCT('All-Servers'!E55,'All-Servers'!$H55)</f>
        <v>15000</v>
      </c>
      <c r="J45" s="60">
        <f>PRODUCT('All-Servers'!F55,'All-Servers'!$H55)</f>
        <v>80</v>
      </c>
      <c r="K45" s="60">
        <f>PRODUCT('All-Servers'!G55,'All-Servers'!$H55)</f>
        <v>820</v>
      </c>
    </row>
    <row r="46" spans="8:11">
      <c r="H46" s="60">
        <f>PRODUCT('All-Servers'!D56,'All-Servers'!$H56)</f>
        <v>1</v>
      </c>
      <c r="I46" s="60">
        <f>PRODUCT('All-Servers'!E56,'All-Servers'!$H56)</f>
        <v>1700</v>
      </c>
      <c r="J46" s="60">
        <f>PRODUCT('All-Servers'!F56,'All-Servers'!$H56)</f>
        <v>160</v>
      </c>
      <c r="K46" s="60">
        <f>PRODUCT('All-Servers'!G56,'All-Servers'!$H56)</f>
        <v>20</v>
      </c>
    </row>
    <row r="47" spans="8:11">
      <c r="H47" s="60">
        <f>PRODUCT('All-Servers'!D57,'All-Servers'!$H57)</f>
        <v>1</v>
      </c>
      <c r="I47" s="60">
        <f>PRODUCT('All-Servers'!E57,'All-Servers'!$H57)</f>
        <v>1700</v>
      </c>
      <c r="J47" s="60">
        <f>PRODUCT('All-Servers'!F57,'All-Servers'!$H57)</f>
        <v>160</v>
      </c>
      <c r="K47" s="60">
        <f>PRODUCT('All-Servers'!G57,'All-Servers'!$H57)</f>
        <v>70</v>
      </c>
    </row>
    <row r="48" spans="8:11">
      <c r="H48" s="60">
        <f>PRODUCT('All-Servers'!D58,'All-Servers'!$H58)</f>
        <v>1</v>
      </c>
      <c r="I48" s="60">
        <f>PRODUCT('All-Servers'!E58,'All-Servers'!$H58)</f>
        <v>1700</v>
      </c>
      <c r="J48" s="60">
        <f>PRODUCT('All-Servers'!F58,'All-Servers'!$H58)</f>
        <v>160</v>
      </c>
      <c r="K48" s="60">
        <f>PRODUCT('All-Servers'!G58,'All-Servers'!$H58)</f>
        <v>20</v>
      </c>
    </row>
    <row r="49" spans="8:11">
      <c r="H49" s="60">
        <f>PRODUCT('All-Servers'!D59,'All-Servers'!$H59)</f>
        <v>1</v>
      </c>
      <c r="I49" s="60">
        <f>PRODUCT('All-Servers'!E59,'All-Servers'!$H59)</f>
        <v>2000</v>
      </c>
      <c r="J49" s="60">
        <f>PRODUCT('All-Servers'!F59,'All-Servers'!$H59)</f>
        <v>0</v>
      </c>
      <c r="K49" s="60">
        <f>PRODUCT('All-Servers'!G59,'All-Servers'!$H59)</f>
        <v>120</v>
      </c>
    </row>
    <row r="50" spans="8:11">
      <c r="H50" s="60">
        <f>PRODUCT('All-Servers'!D60,'All-Servers'!$H60)</f>
        <v>1</v>
      </c>
      <c r="I50" s="60">
        <f>PRODUCT('All-Servers'!E60,'All-Servers'!$H60)</f>
        <v>2000</v>
      </c>
      <c r="J50" s="60">
        <f>PRODUCT('All-Servers'!F60,'All-Servers'!$H60)</f>
        <v>0</v>
      </c>
      <c r="K50" s="60">
        <f>PRODUCT('All-Servers'!G60,'All-Servers'!$H60)</f>
        <v>220</v>
      </c>
    </row>
    <row r="51" spans="8:11">
      <c r="H51" s="60">
        <f>PRODUCT('All-Servers'!D61,'All-Servers'!$H61)</f>
        <v>4</v>
      </c>
      <c r="I51" s="60">
        <f>PRODUCT('All-Servers'!E61,'All-Servers'!$H61)</f>
        <v>15000</v>
      </c>
      <c r="J51" s="60">
        <f>PRODUCT('All-Servers'!F61,'All-Servers'!$H61)</f>
        <v>80</v>
      </c>
      <c r="K51" s="60">
        <f>PRODUCT('All-Servers'!G61,'All-Servers'!$H61)</f>
        <v>420</v>
      </c>
    </row>
    <row r="52" spans="8:11">
      <c r="H52" s="60">
        <f>PRODUCT('All-Servers'!D62,'All-Servers'!$H62)</f>
        <v>2</v>
      </c>
      <c r="I52" s="60">
        <f>PRODUCT('All-Servers'!E62,'All-Servers'!$H62)</f>
        <v>3750</v>
      </c>
      <c r="J52" s="60">
        <f>PRODUCT('All-Servers'!F62,'All-Servers'!$H62)</f>
        <v>32</v>
      </c>
      <c r="K52" s="60">
        <f>PRODUCT('All-Servers'!G62,'All-Servers'!$H62)</f>
        <v>20</v>
      </c>
    </row>
    <row r="53" spans="8:11">
      <c r="H53" s="60">
        <f>PRODUCT('All-Servers'!D63,'All-Servers'!$H63)</f>
        <v>1</v>
      </c>
      <c r="I53" s="60">
        <f>PRODUCT('All-Servers'!E63,'All-Servers'!$H63)</f>
        <v>1700</v>
      </c>
      <c r="J53" s="60">
        <f>PRODUCT('All-Servers'!F63,'All-Servers'!$H63)</f>
        <v>160</v>
      </c>
      <c r="K53" s="60">
        <f>PRODUCT('All-Servers'!G63,'All-Servers'!$H63)</f>
        <v>20</v>
      </c>
    </row>
    <row r="54" spans="8:11">
      <c r="H54" s="60">
        <f>PRODUCT('All-Servers'!D64,'All-Servers'!$H64)</f>
        <v>1</v>
      </c>
      <c r="I54" s="60">
        <f>PRODUCT('All-Servers'!E64,'All-Servers'!$H64)</f>
        <v>2000</v>
      </c>
      <c r="J54" s="60">
        <f>PRODUCT('All-Servers'!F64,'All-Servers'!$H64)</f>
        <v>0</v>
      </c>
      <c r="K54" s="60">
        <f>PRODUCT('All-Servers'!G64,'All-Servers'!$H64)</f>
        <v>20</v>
      </c>
    </row>
    <row r="55" spans="8:11">
      <c r="H55" s="60">
        <f>PRODUCT('All-Servers'!D65,'All-Servers'!$H65)</f>
        <v>1</v>
      </c>
      <c r="I55" s="60">
        <f>PRODUCT('All-Servers'!E65,'All-Servers'!$H65)</f>
        <v>1700</v>
      </c>
      <c r="J55" s="60">
        <f>PRODUCT('All-Servers'!F65,'All-Servers'!$H65)</f>
        <v>160</v>
      </c>
      <c r="K55" s="60">
        <f>PRODUCT('All-Servers'!G65,'All-Servers'!$H65)</f>
        <v>20</v>
      </c>
    </row>
    <row r="56" spans="8:11">
      <c r="H56" s="60">
        <f>PRODUCT('All-Servers'!D66,'All-Servers'!$H66)</f>
        <v>1</v>
      </c>
      <c r="I56" s="60">
        <f>PRODUCT('All-Servers'!E66,'All-Servers'!$H66)</f>
        <v>1700</v>
      </c>
      <c r="J56" s="60">
        <f>PRODUCT('All-Servers'!F66,'All-Servers'!$H66)</f>
        <v>160</v>
      </c>
      <c r="K56" s="60">
        <f>PRODUCT('All-Servers'!G66,'All-Servers'!$H66)</f>
        <v>20</v>
      </c>
    </row>
    <row r="57" spans="8:11">
      <c r="H57" s="60">
        <f>PRODUCT('All-Servers'!D67,'All-Servers'!$H67)</f>
        <v>1</v>
      </c>
      <c r="I57" s="60">
        <f>PRODUCT('All-Servers'!E67,'All-Servers'!$H67)</f>
        <v>3750</v>
      </c>
      <c r="J57" s="60">
        <f>PRODUCT('All-Servers'!F67,'All-Servers'!$H67)</f>
        <v>410</v>
      </c>
      <c r="K57" s="60">
        <f>PRODUCT('All-Servers'!G67,'All-Servers'!$H67)</f>
        <v>30</v>
      </c>
    </row>
    <row r="58" spans="8:11">
      <c r="H58" s="60">
        <f>PRODUCT('All-Servers'!D68,'All-Servers'!$H68)</f>
        <v>1</v>
      </c>
      <c r="I58" s="60">
        <f>PRODUCT('All-Servers'!E68,'All-Servers'!$H68)</f>
        <v>1700</v>
      </c>
      <c r="J58" s="60">
        <f>PRODUCT('All-Servers'!F68,'All-Servers'!$H68)</f>
        <v>160</v>
      </c>
      <c r="K58" s="60">
        <f>PRODUCT('All-Servers'!G68,'All-Servers'!$H68)</f>
        <v>70</v>
      </c>
    </row>
    <row r="59" spans="8:11">
      <c r="H59" s="60">
        <f>PRODUCT('All-Servers'!D69,'All-Servers'!$H69)</f>
        <v>1</v>
      </c>
      <c r="I59" s="60">
        <f>PRODUCT('All-Servers'!E69,'All-Servers'!$H69)</f>
        <v>1700</v>
      </c>
      <c r="J59" s="60">
        <f>PRODUCT('All-Servers'!F69,'All-Servers'!$H69)</f>
        <v>160</v>
      </c>
      <c r="K59" s="60">
        <f>PRODUCT('All-Servers'!G69,'All-Servers'!$H69)</f>
        <v>20</v>
      </c>
    </row>
    <row r="60" spans="8:11">
      <c r="H60" s="60">
        <f>PRODUCT('All-Servers'!D70,'All-Servers'!$H70)</f>
        <v>8</v>
      </c>
      <c r="I60" s="60">
        <f>PRODUCT('All-Servers'!E70,'All-Servers'!$H70)</f>
        <v>30000</v>
      </c>
      <c r="J60" s="60">
        <f>PRODUCT('All-Servers'!F70,'All-Servers'!$H70)</f>
        <v>160</v>
      </c>
      <c r="K60" s="60">
        <f>PRODUCT('All-Servers'!G70,'All-Servers'!$H70)</f>
        <v>2406</v>
      </c>
    </row>
    <row r="61" spans="8:11">
      <c r="H61" s="60">
        <f>PRODUCT('All-Servers'!D71,'All-Servers'!$H71)</f>
        <v>4</v>
      </c>
      <c r="I61" s="60">
        <f>PRODUCT('All-Servers'!E71,'All-Servers'!$H71)</f>
        <v>15000</v>
      </c>
      <c r="J61" s="60">
        <f>PRODUCT('All-Servers'!F71,'All-Servers'!$H71)</f>
        <v>80</v>
      </c>
      <c r="K61" s="60">
        <f>PRODUCT('All-Servers'!G71,'All-Servers'!$H71)</f>
        <v>420</v>
      </c>
    </row>
    <row r="62" spans="8:11">
      <c r="H62" s="60">
        <f>PRODUCT('All-Servers'!D72,'All-Servers'!$H72)</f>
        <v>1</v>
      </c>
      <c r="I62" s="60">
        <f>PRODUCT('All-Servers'!E72,'All-Servers'!$H72)</f>
        <v>1700</v>
      </c>
      <c r="J62" s="60">
        <f>PRODUCT('All-Servers'!F72,'All-Servers'!$H72)</f>
        <v>160</v>
      </c>
      <c r="K62" s="60">
        <f>PRODUCT('All-Servers'!G72,'All-Servers'!$H72)</f>
        <v>20</v>
      </c>
    </row>
    <row r="63" spans="8:11">
      <c r="H63" s="60">
        <f>PRODUCT('All-Servers'!D73,'All-Servers'!$H73)</f>
        <v>1</v>
      </c>
      <c r="I63" s="60">
        <f>PRODUCT('All-Servers'!E73,'All-Servers'!$H73)</f>
        <v>1700</v>
      </c>
      <c r="J63" s="60">
        <f>PRODUCT('All-Servers'!F73,'All-Servers'!$H73)</f>
        <v>160</v>
      </c>
      <c r="K63" s="60">
        <f>PRODUCT('All-Servers'!G73,'All-Servers'!$H73)</f>
        <v>20</v>
      </c>
    </row>
    <row r="64" spans="8:11">
      <c r="H64" s="60">
        <f>PRODUCT('All-Servers'!D74,'All-Servers'!$H74)</f>
        <v>1</v>
      </c>
      <c r="I64" s="60">
        <f>PRODUCT('All-Servers'!E74,'All-Servers'!$H74)</f>
        <v>3750</v>
      </c>
      <c r="J64" s="60">
        <f>PRODUCT('All-Servers'!F74,'All-Servers'!$H74)</f>
        <v>4</v>
      </c>
      <c r="K64" s="60">
        <f>PRODUCT('All-Servers'!G74,'All-Servers'!$H74)</f>
        <v>1420</v>
      </c>
    </row>
    <row r="65" spans="8:11">
      <c r="H65" s="60">
        <f>PRODUCT('All-Servers'!D75,'All-Servers'!$H75)</f>
        <v>1</v>
      </c>
      <c r="I65" s="60">
        <f>PRODUCT('All-Servers'!E75,'All-Servers'!$H75)</f>
        <v>3750</v>
      </c>
      <c r="J65" s="60">
        <f>PRODUCT('All-Servers'!F75,'All-Servers'!$H75)</f>
        <v>4</v>
      </c>
      <c r="K65" s="60">
        <f>PRODUCT('All-Servers'!G75,'All-Servers'!$H75)</f>
        <v>220</v>
      </c>
    </row>
    <row r="66" spans="8:11">
      <c r="H66" s="60">
        <f>PRODUCT('All-Servers'!D76,'All-Servers'!$H76)</f>
        <v>2</v>
      </c>
      <c r="I66" s="60">
        <f>PRODUCT('All-Servers'!E76,'All-Servers'!$H76)</f>
        <v>7500</v>
      </c>
      <c r="J66" s="60">
        <f>PRODUCT('All-Servers'!F76,'All-Servers'!$H76)</f>
        <v>32</v>
      </c>
      <c r="K66" s="60">
        <f>PRODUCT('All-Servers'!G76,'All-Servers'!$H76)</f>
        <v>20</v>
      </c>
    </row>
    <row r="67" spans="8:11">
      <c r="H67" s="60">
        <f>PRODUCT('All-Servers'!D77,'All-Servers'!$H77)</f>
        <v>1</v>
      </c>
      <c r="I67" s="60">
        <f>PRODUCT('All-Servers'!E77,'All-Servers'!$H77)</f>
        <v>2000</v>
      </c>
      <c r="J67" s="60">
        <f>PRODUCT('All-Servers'!F77,'All-Servers'!$H77)</f>
        <v>0</v>
      </c>
      <c r="K67" s="60">
        <f>PRODUCT('All-Servers'!G77,'All-Servers'!$H77)</f>
        <v>20</v>
      </c>
    </row>
    <row r="68" spans="8:11">
      <c r="H68" s="60">
        <f>PRODUCT('All-Servers'!D78,'All-Servers'!$H78)</f>
        <v>1</v>
      </c>
      <c r="I68" s="60">
        <f>PRODUCT('All-Servers'!E78,'All-Servers'!$H78)</f>
        <v>1700</v>
      </c>
      <c r="J68" s="60">
        <f>PRODUCT('All-Servers'!F78,'All-Servers'!$H78)</f>
        <v>160</v>
      </c>
      <c r="K68" s="60">
        <f>PRODUCT('All-Servers'!G78,'All-Servers'!$H78)</f>
        <v>220</v>
      </c>
    </row>
    <row r="69" spans="8:11">
      <c r="H69" s="60">
        <f>PRODUCT('All-Servers'!D79,'All-Servers'!$H79)</f>
        <v>2</v>
      </c>
      <c r="I69" s="60">
        <f>PRODUCT('All-Servers'!E79,'All-Servers'!$H79)</f>
        <v>4000</v>
      </c>
      <c r="J69" s="60">
        <f>PRODUCT('All-Servers'!F79,'All-Servers'!$H79)</f>
        <v>0</v>
      </c>
      <c r="K69" s="60">
        <f>PRODUCT('All-Servers'!G79,'All-Servers'!$H79)</f>
        <v>20</v>
      </c>
    </row>
    <row r="70" spans="8:11">
      <c r="H70" s="60">
        <f>PRODUCT('All-Servers'!D80,'All-Servers'!$H80)</f>
        <v>1</v>
      </c>
      <c r="I70" s="60">
        <f>PRODUCT('All-Servers'!E80,'All-Servers'!$H80)</f>
        <v>3750</v>
      </c>
      <c r="J70" s="60">
        <f>PRODUCT('All-Servers'!F80,'All-Servers'!$H80)</f>
        <v>4</v>
      </c>
      <c r="K70" s="60">
        <f>PRODUCT('All-Servers'!G80,'All-Servers'!$H80)</f>
        <v>20</v>
      </c>
    </row>
    <row r="71" spans="8:11">
      <c r="H71" s="60">
        <f>PRODUCT('All-Servers'!D81,'All-Servers'!$H81)</f>
        <v>1</v>
      </c>
      <c r="I71" s="60">
        <f>PRODUCT('All-Servers'!E81,'All-Servers'!$H81)</f>
        <v>1700</v>
      </c>
      <c r="J71" s="60">
        <f>PRODUCT('All-Servers'!F81,'All-Servers'!$H81)</f>
        <v>160</v>
      </c>
      <c r="K71" s="60">
        <f>PRODUCT('All-Servers'!G81,'All-Servers'!$H81)</f>
        <v>20</v>
      </c>
    </row>
    <row r="72" spans="8:11">
      <c r="H72" s="60">
        <f>PRODUCT('All-Servers'!D82,'All-Servers'!$H82)</f>
        <v>1</v>
      </c>
      <c r="I72" s="60">
        <f>PRODUCT('All-Servers'!E82,'All-Servers'!$H82)</f>
        <v>1700</v>
      </c>
      <c r="J72" s="60">
        <f>PRODUCT('All-Servers'!F82,'All-Servers'!$H82)</f>
        <v>160</v>
      </c>
      <c r="K72" s="60">
        <f>PRODUCT('All-Servers'!G82,'All-Servers'!$H82)</f>
        <v>20</v>
      </c>
    </row>
    <row r="73" spans="8:11">
      <c r="H73" s="60">
        <f>PRODUCT('All-Servers'!D83,'All-Servers'!$H83)</f>
        <v>1</v>
      </c>
      <c r="I73" s="60">
        <f>PRODUCT('All-Servers'!E83,'All-Servers'!$H83)</f>
        <v>1700</v>
      </c>
      <c r="J73" s="60">
        <f>PRODUCT('All-Servers'!F83,'All-Servers'!$H83)</f>
        <v>160</v>
      </c>
      <c r="K73" s="60">
        <f>PRODUCT('All-Servers'!G83,'All-Servers'!$H83)</f>
        <v>1220</v>
      </c>
    </row>
    <row r="74" spans="8:11">
      <c r="H74" s="60">
        <f>PRODUCT('All-Servers'!D84,'All-Servers'!$H84)</f>
        <v>8</v>
      </c>
      <c r="I74" s="60">
        <f>PRODUCT('All-Servers'!E84,'All-Servers'!$H84)</f>
        <v>15000</v>
      </c>
      <c r="J74" s="60">
        <f>PRODUCT('All-Servers'!F84,'All-Servers'!$H84)</f>
        <v>160</v>
      </c>
      <c r="K74" s="60">
        <f>PRODUCT('All-Servers'!G84,'All-Servers'!$H84)</f>
        <v>20</v>
      </c>
    </row>
    <row r="75" spans="8:11">
      <c r="H75" s="60">
        <f>PRODUCT('All-Servers'!D85,'All-Servers'!$H85)</f>
        <v>1</v>
      </c>
      <c r="I75" s="60">
        <f>PRODUCT('All-Servers'!E85,'All-Servers'!$H85)</f>
        <v>3750</v>
      </c>
      <c r="J75" s="60">
        <f>PRODUCT('All-Servers'!F85,'All-Servers'!$H85)</f>
        <v>4</v>
      </c>
      <c r="K75" s="60">
        <f>PRODUCT('All-Servers'!G85,'All-Servers'!$H85)</f>
        <v>420</v>
      </c>
    </row>
    <row r="76" spans="8:11">
      <c r="H76" s="60">
        <f>PRODUCT('All-Servers'!D86,'All-Servers'!$H86)</f>
        <v>4</v>
      </c>
      <c r="I76" s="60">
        <f>PRODUCT('All-Servers'!E86,'All-Servers'!$H86)</f>
        <v>15000</v>
      </c>
      <c r="J76" s="60">
        <f>PRODUCT('All-Servers'!F86,'All-Servers'!$H86)</f>
        <v>80</v>
      </c>
      <c r="K76" s="60">
        <f>PRODUCT('All-Servers'!G86,'All-Servers'!$H86)</f>
        <v>420</v>
      </c>
    </row>
    <row r="77" spans="8:11">
      <c r="H77" s="60">
        <f>PRODUCT('All-Servers'!D87,'All-Servers'!$H87)</f>
        <v>16</v>
      </c>
      <c r="I77" s="60">
        <f>PRODUCT('All-Servers'!E87,'All-Servers'!$H87)</f>
        <v>30000</v>
      </c>
      <c r="J77" s="60">
        <f>PRODUCT('All-Servers'!F87,'All-Servers'!$H87)</f>
        <v>320</v>
      </c>
      <c r="K77" s="60">
        <f>PRODUCT('All-Servers'!G87,'All-Servers'!$H87)</f>
        <v>20</v>
      </c>
    </row>
    <row r="78" spans="8:11">
      <c r="H78" s="60">
        <f>PRODUCT('All-Servers'!D88,'All-Servers'!$H88)</f>
        <v>1</v>
      </c>
      <c r="I78" s="60">
        <f>PRODUCT('All-Servers'!E88,'All-Servers'!$H88)</f>
        <v>1700</v>
      </c>
      <c r="J78" s="60">
        <f>PRODUCT('All-Servers'!F88,'All-Servers'!$H88)</f>
        <v>160</v>
      </c>
      <c r="K78" s="60">
        <f>PRODUCT('All-Servers'!G88,'All-Servers'!$H88)</f>
        <v>20</v>
      </c>
    </row>
    <row r="79" spans="8:11">
      <c r="H79" s="60">
        <f>PRODUCT('All-Servers'!D89,'All-Servers'!$H89)</f>
        <v>1</v>
      </c>
      <c r="I79" s="60">
        <f>PRODUCT('All-Servers'!E89,'All-Servers'!$H89)</f>
        <v>1700</v>
      </c>
      <c r="J79" s="60">
        <f>PRODUCT('All-Servers'!F89,'All-Servers'!$H89)</f>
        <v>160</v>
      </c>
      <c r="K79" s="60">
        <f>PRODUCT('All-Servers'!G89,'All-Servers'!$H89)</f>
        <v>70</v>
      </c>
    </row>
    <row r="80" spans="8:11">
      <c r="H80" s="60">
        <f>PRODUCT('All-Servers'!D90,'All-Servers'!$H90)</f>
        <v>1</v>
      </c>
      <c r="I80" s="60">
        <f>PRODUCT('All-Servers'!E90,'All-Servers'!$H90)</f>
        <v>1700</v>
      </c>
      <c r="J80" s="60">
        <f>PRODUCT('All-Servers'!F90,'All-Servers'!$H90)</f>
        <v>160</v>
      </c>
      <c r="K80" s="60">
        <f>PRODUCT('All-Servers'!G90,'All-Servers'!$H90)</f>
        <v>20</v>
      </c>
    </row>
    <row r="81" spans="8:11">
      <c r="H81" s="60">
        <f>PRODUCT('All-Servers'!D91,'All-Servers'!$H91)</f>
        <v>1</v>
      </c>
      <c r="I81" s="60">
        <f>PRODUCT('All-Servers'!E91,'All-Servers'!$H91)</f>
        <v>1700</v>
      </c>
      <c r="J81" s="60">
        <f>PRODUCT('All-Servers'!F91,'All-Servers'!$H91)</f>
        <v>160</v>
      </c>
      <c r="K81" s="60">
        <f>PRODUCT('All-Servers'!G91,'All-Servers'!$H91)</f>
        <v>20</v>
      </c>
    </row>
    <row r="82" spans="8:11">
      <c r="H82" s="60">
        <f>PRODUCT('All-Servers'!D92,'All-Servers'!$H92)</f>
        <v>1</v>
      </c>
      <c r="I82" s="60">
        <f>PRODUCT('All-Servers'!E92,'All-Servers'!$H92)</f>
        <v>1700</v>
      </c>
      <c r="J82" s="60">
        <f>PRODUCT('All-Servers'!F92,'All-Servers'!$H92)</f>
        <v>160</v>
      </c>
      <c r="K82" s="60">
        <f>PRODUCT('All-Servers'!G92,'All-Servers'!$H92)</f>
        <v>20</v>
      </c>
    </row>
    <row r="83" spans="8:11">
      <c r="H83" s="60">
        <f>PRODUCT('All-Servers'!D93,'All-Servers'!$H93)</f>
        <v>2</v>
      </c>
      <c r="I83" s="60">
        <f>PRODUCT('All-Servers'!E93,'All-Servers'!$H93)</f>
        <v>4000</v>
      </c>
      <c r="J83" s="60">
        <f>PRODUCT('All-Servers'!F93,'All-Servers'!$H93)</f>
        <v>0</v>
      </c>
      <c r="K83" s="60">
        <f>PRODUCT('All-Servers'!G93,'All-Servers'!$H93)</f>
        <v>420</v>
      </c>
    </row>
    <row r="84" spans="8:11">
      <c r="H84" s="60">
        <f>PRODUCT('All-Servers'!D94,'All-Servers'!$H94)</f>
        <v>32</v>
      </c>
      <c r="I84" s="60">
        <f>PRODUCT('All-Servers'!E94,'All-Servers'!$H94)</f>
        <v>60000</v>
      </c>
      <c r="J84" s="60">
        <f>PRODUCT('All-Servers'!F94,'All-Servers'!$H94)</f>
        <v>640</v>
      </c>
      <c r="K84" s="60">
        <f>PRODUCT('All-Servers'!G94,'All-Servers'!$H94)</f>
        <v>20</v>
      </c>
    </row>
    <row r="85" spans="8:11">
      <c r="H85" s="60">
        <f>PRODUCT('All-Servers'!D95,'All-Servers'!$H95)</f>
        <v>1</v>
      </c>
      <c r="I85" s="60">
        <f>PRODUCT('All-Servers'!E95,'All-Servers'!$H95)</f>
        <v>3750</v>
      </c>
      <c r="J85" s="60">
        <f>PRODUCT('All-Servers'!F95,'All-Servers'!$H95)</f>
        <v>4</v>
      </c>
      <c r="K85" s="60">
        <f>PRODUCT('All-Servers'!G95,'All-Servers'!$H95)</f>
        <v>120</v>
      </c>
    </row>
    <row r="86" spans="8:11">
      <c r="H86" s="60">
        <f>PRODUCT('All-Servers'!D96,'All-Servers'!$H96)</f>
        <v>2</v>
      </c>
      <c r="I86" s="60">
        <f>PRODUCT('All-Servers'!E96,'All-Servers'!$H96)</f>
        <v>3750</v>
      </c>
      <c r="J86" s="60">
        <f>PRODUCT('All-Servers'!F96,'All-Servers'!$H96)</f>
        <v>32</v>
      </c>
      <c r="K86" s="60">
        <f>PRODUCT('All-Servers'!G96,'All-Servers'!$H96)</f>
        <v>20</v>
      </c>
    </row>
    <row r="87" spans="8:11">
      <c r="H87" s="60">
        <f>PRODUCT('All-Servers'!D97,'All-Servers'!$H97)</f>
        <v>1</v>
      </c>
      <c r="I87" s="60">
        <f>PRODUCT('All-Servers'!E97,'All-Servers'!$H97)</f>
        <v>1700</v>
      </c>
      <c r="J87" s="60">
        <f>PRODUCT('All-Servers'!F97,'All-Servers'!$H97)</f>
        <v>160</v>
      </c>
      <c r="K87" s="60">
        <f>PRODUCT('All-Servers'!G97,'All-Servers'!$H97)</f>
        <v>20</v>
      </c>
    </row>
    <row r="88" spans="8:11">
      <c r="H88" s="60">
        <f>PRODUCT('All-Servers'!D98,'All-Servers'!$H98)</f>
        <v>1</v>
      </c>
      <c r="I88" s="60">
        <f>PRODUCT('All-Servers'!E98,'All-Servers'!$H98)</f>
        <v>3750</v>
      </c>
      <c r="J88" s="60">
        <f>PRODUCT('All-Servers'!F98,'All-Servers'!$H98)</f>
        <v>4</v>
      </c>
      <c r="K88" s="60">
        <f>PRODUCT('All-Servers'!G98,'All-Servers'!$H98)</f>
        <v>820</v>
      </c>
    </row>
    <row r="89" spans="8:11">
      <c r="H89" s="60">
        <f>PRODUCT('All-Servers'!D99,'All-Servers'!$H99)</f>
        <v>1</v>
      </c>
      <c r="I89" s="60">
        <f>PRODUCT('All-Servers'!E99,'All-Servers'!$H99)</f>
        <v>1700</v>
      </c>
      <c r="J89" s="60">
        <f>PRODUCT('All-Servers'!F99,'All-Servers'!$H99)</f>
        <v>160</v>
      </c>
      <c r="K89" s="60">
        <f>PRODUCT('All-Servers'!G99,'All-Servers'!$H99)</f>
        <v>20</v>
      </c>
    </row>
    <row r="90" spans="8:11">
      <c r="H90" s="60">
        <f>PRODUCT('All-Servers'!D100,'All-Servers'!$H100)</f>
        <v>4</v>
      </c>
      <c r="I90" s="60">
        <f>PRODUCT('All-Servers'!E100,'All-Servers'!$H100)</f>
        <v>15000</v>
      </c>
      <c r="J90" s="60">
        <f>PRODUCT('All-Servers'!F100,'All-Servers'!$H100)</f>
        <v>80</v>
      </c>
      <c r="K90" s="60">
        <f>PRODUCT('All-Servers'!G100,'All-Servers'!$H100)</f>
        <v>420</v>
      </c>
    </row>
    <row r="91" spans="8:11">
      <c r="H91" s="60">
        <f>PRODUCT('All-Servers'!D101,'All-Servers'!$H101)</f>
        <v>1</v>
      </c>
      <c r="I91" s="60">
        <f>PRODUCT('All-Servers'!E101,'All-Servers'!$H101)</f>
        <v>2000</v>
      </c>
      <c r="J91" s="60">
        <f>PRODUCT('All-Servers'!F101,'All-Servers'!$H101)</f>
        <v>0</v>
      </c>
      <c r="K91" s="60">
        <f>PRODUCT('All-Servers'!G101,'All-Servers'!$H101)</f>
        <v>20</v>
      </c>
    </row>
    <row r="92" spans="8:11">
      <c r="H92" s="60">
        <f>PRODUCT('All-Servers'!D102,'All-Servers'!$H102)</f>
        <v>1</v>
      </c>
      <c r="I92" s="60">
        <f>PRODUCT('All-Servers'!E102,'All-Servers'!$H102)</f>
        <v>1700</v>
      </c>
      <c r="J92" s="60">
        <f>PRODUCT('All-Servers'!F102,'All-Servers'!$H102)</f>
        <v>160</v>
      </c>
      <c r="K92" s="60">
        <f>PRODUCT('All-Servers'!G102,'All-Servers'!$H102)</f>
        <v>20</v>
      </c>
    </row>
    <row r="93" spans="8:11">
      <c r="H93" s="60">
        <f>PRODUCT('All-Servers'!D103,'All-Servers'!$H103)</f>
        <v>1</v>
      </c>
      <c r="I93" s="60">
        <f>PRODUCT('All-Servers'!E103,'All-Servers'!$H103)</f>
        <v>1700</v>
      </c>
      <c r="J93" s="60">
        <f>PRODUCT('All-Servers'!F103,'All-Servers'!$H103)</f>
        <v>160</v>
      </c>
      <c r="K93" s="60">
        <f>PRODUCT('All-Servers'!G103,'All-Servers'!$H103)</f>
        <v>20</v>
      </c>
    </row>
    <row r="94" spans="8:11">
      <c r="H94" s="60">
        <f>PRODUCT('All-Servers'!D104,'All-Servers'!$H104)</f>
        <v>1</v>
      </c>
      <c r="I94" s="60">
        <f>PRODUCT('All-Servers'!E104,'All-Servers'!$H104)</f>
        <v>1700</v>
      </c>
      <c r="J94" s="60">
        <f>PRODUCT('All-Servers'!F104,'All-Servers'!$H104)</f>
        <v>160</v>
      </c>
      <c r="K94" s="60">
        <f>PRODUCT('All-Servers'!G104,'All-Servers'!$H104)</f>
        <v>20</v>
      </c>
    </row>
    <row r="95" spans="8:11">
      <c r="H95" s="60">
        <f>PRODUCT('All-Servers'!D105,'All-Servers'!$H105)</f>
        <v>1</v>
      </c>
      <c r="I95" s="60">
        <f>PRODUCT('All-Servers'!E105,'All-Servers'!$H105)</f>
        <v>1700</v>
      </c>
      <c r="J95" s="60">
        <f>PRODUCT('All-Servers'!F105,'All-Servers'!$H105)</f>
        <v>160</v>
      </c>
      <c r="K95" s="60">
        <f>PRODUCT('All-Servers'!G105,'All-Servers'!$H105)</f>
        <v>20</v>
      </c>
    </row>
    <row r="96" spans="8:11">
      <c r="H96" s="60">
        <f>PRODUCT('All-Servers'!D106,'All-Servers'!$H106)</f>
        <v>1</v>
      </c>
      <c r="I96" s="60">
        <f>PRODUCT('All-Servers'!E106,'All-Servers'!$H106)</f>
        <v>1700</v>
      </c>
      <c r="J96" s="60">
        <f>PRODUCT('All-Servers'!F106,'All-Servers'!$H106)</f>
        <v>160</v>
      </c>
      <c r="K96" s="60">
        <f>PRODUCT('All-Servers'!G106,'All-Servers'!$H106)</f>
        <v>20</v>
      </c>
    </row>
    <row r="97" spans="8:11">
      <c r="H97" s="60">
        <f>PRODUCT('All-Servers'!D107,'All-Servers'!$H107)</f>
        <v>16</v>
      </c>
      <c r="I97" s="60">
        <f>PRODUCT('All-Servers'!E107,'All-Servers'!$H107)</f>
        <v>30000</v>
      </c>
      <c r="J97" s="60">
        <f>PRODUCT('All-Servers'!F107,'All-Servers'!$H107)</f>
        <v>320</v>
      </c>
      <c r="K97" s="60">
        <f>PRODUCT('All-Servers'!G107,'All-Servers'!$H107)</f>
        <v>20</v>
      </c>
    </row>
    <row r="98" spans="8:11">
      <c r="H98" s="60">
        <f>PRODUCT('All-Servers'!D108,'All-Servers'!$H108)</f>
        <v>4</v>
      </c>
      <c r="I98" s="60">
        <f>PRODUCT('All-Servers'!E108,'All-Servers'!$H108)</f>
        <v>15000</v>
      </c>
      <c r="J98" s="60">
        <f>PRODUCT('All-Servers'!F108,'All-Servers'!$H108)</f>
        <v>80</v>
      </c>
      <c r="K98" s="60">
        <f>PRODUCT('All-Servers'!G108,'All-Servers'!$H108)</f>
        <v>820</v>
      </c>
    </row>
    <row r="99" spans="8:11">
      <c r="H99" s="60">
        <f>PRODUCT('All-Servers'!D109,'All-Servers'!$H109)</f>
        <v>1</v>
      </c>
      <c r="I99" s="60">
        <f>PRODUCT('All-Servers'!E109,'All-Servers'!$H109)</f>
        <v>3750</v>
      </c>
      <c r="J99" s="60">
        <f>PRODUCT('All-Servers'!F109,'All-Servers'!$H109)</f>
        <v>4</v>
      </c>
      <c r="K99" s="60">
        <f>PRODUCT('All-Servers'!G109,'All-Servers'!$H109)</f>
        <v>20</v>
      </c>
    </row>
    <row r="100" spans="8:11">
      <c r="H100" s="60">
        <f>PRODUCT('All-Servers'!D110,'All-Servers'!$H110)</f>
        <v>4</v>
      </c>
      <c r="I100" s="60">
        <f>PRODUCT('All-Servers'!E110,'All-Servers'!$H110)</f>
        <v>15000</v>
      </c>
      <c r="J100" s="60">
        <f>PRODUCT('All-Servers'!F110,'All-Servers'!$H110)</f>
        <v>80</v>
      </c>
      <c r="K100" s="60">
        <f>PRODUCT('All-Servers'!G110,'All-Servers'!$H110)</f>
        <v>420</v>
      </c>
    </row>
    <row r="101" spans="8:11">
      <c r="H101" s="60">
        <f>PRODUCT('All-Servers'!D111,'All-Servers'!$H111)</f>
        <v>1</v>
      </c>
      <c r="I101" s="60">
        <f>PRODUCT('All-Servers'!E111,'All-Servers'!$H111)</f>
        <v>1700</v>
      </c>
      <c r="J101" s="60">
        <f>PRODUCT('All-Servers'!F111,'All-Servers'!$H111)</f>
        <v>160</v>
      </c>
      <c r="K101" s="60">
        <f>PRODUCT('All-Servers'!G111,'All-Servers'!$H111)</f>
        <v>270</v>
      </c>
    </row>
    <row r="102" spans="8:11">
      <c r="H102" s="60">
        <f>PRODUCT('All-Servers'!D112,'All-Servers'!$H112)</f>
        <v>1</v>
      </c>
      <c r="I102" s="60">
        <f>PRODUCT('All-Servers'!E112,'All-Servers'!$H112)</f>
        <v>2000</v>
      </c>
      <c r="J102" s="60">
        <f>PRODUCT('All-Servers'!F112,'All-Servers'!$H112)</f>
        <v>0</v>
      </c>
      <c r="K102" s="60">
        <f>PRODUCT('All-Servers'!G112,'All-Servers'!$H112)</f>
        <v>20</v>
      </c>
    </row>
    <row r="103" spans="8:11">
      <c r="H103" s="60">
        <f>PRODUCT('All-Servers'!D113,'All-Servers'!$H113)</f>
        <v>2</v>
      </c>
      <c r="I103" s="60">
        <f>PRODUCT('All-Servers'!E113,'All-Servers'!$H113)</f>
        <v>4000</v>
      </c>
      <c r="J103" s="60">
        <f>PRODUCT('All-Servers'!F113,'All-Servers'!$H113)</f>
        <v>0</v>
      </c>
      <c r="K103" s="60">
        <f>PRODUCT('All-Servers'!G113,'All-Servers'!$H113)</f>
        <v>420</v>
      </c>
    </row>
    <row r="104" spans="8:11">
      <c r="H104" s="60">
        <f>PRODUCT('All-Servers'!D114,'All-Servers'!$H114)</f>
        <v>1</v>
      </c>
      <c r="I104" s="60">
        <f>PRODUCT('All-Servers'!E114,'All-Servers'!$H114)</f>
        <v>2000</v>
      </c>
      <c r="J104" s="60">
        <f>PRODUCT('All-Servers'!F114,'All-Servers'!$H114)</f>
        <v>0</v>
      </c>
      <c r="K104" s="60">
        <f>PRODUCT('All-Servers'!G114,'All-Servers'!$H114)</f>
        <v>20</v>
      </c>
    </row>
    <row r="105" spans="8:11">
      <c r="H105" s="60">
        <f>PRODUCT('All-Servers'!D115,'All-Servers'!$H115)</f>
        <v>1</v>
      </c>
      <c r="I105" s="60">
        <f>PRODUCT('All-Servers'!E115,'All-Servers'!$H115)</f>
        <v>1700</v>
      </c>
      <c r="J105" s="60">
        <f>PRODUCT('All-Servers'!F115,'All-Servers'!$H115)</f>
        <v>160</v>
      </c>
      <c r="K105" s="60">
        <f>PRODUCT('All-Servers'!G115,'All-Servers'!$H115)</f>
        <v>20</v>
      </c>
    </row>
    <row r="106" spans="8:11">
      <c r="H106" s="60">
        <f>PRODUCT('All-Servers'!D116,'All-Servers'!$H116)</f>
        <v>2</v>
      </c>
      <c r="I106" s="60">
        <f>PRODUCT('All-Servers'!E116,'All-Servers'!$H116)</f>
        <v>7500</v>
      </c>
      <c r="J106" s="60">
        <f>PRODUCT('All-Servers'!F116,'All-Servers'!$H116)</f>
        <v>32</v>
      </c>
      <c r="K106" s="60">
        <f>PRODUCT('All-Servers'!G116,'All-Servers'!$H116)</f>
        <v>1020</v>
      </c>
    </row>
    <row r="107" spans="8:11">
      <c r="H107" s="60">
        <f>PRODUCT('All-Servers'!D117,'All-Servers'!$H117)</f>
        <v>1</v>
      </c>
      <c r="I107" s="60">
        <f>PRODUCT('All-Servers'!E117,'All-Servers'!$H117)</f>
        <v>3750</v>
      </c>
      <c r="J107" s="60">
        <f>PRODUCT('All-Servers'!F117,'All-Servers'!$H117)</f>
        <v>4</v>
      </c>
      <c r="K107" s="60">
        <f>PRODUCT('All-Servers'!G117,'All-Servers'!$H117)</f>
        <v>4516</v>
      </c>
    </row>
    <row r="108" spans="8:11">
      <c r="H108" s="60">
        <f>PRODUCT('All-Servers'!D118,'All-Servers'!$H118)</f>
        <v>1</v>
      </c>
      <c r="I108" s="60">
        <f>PRODUCT('All-Servers'!E118,'All-Servers'!$H118)</f>
        <v>1700</v>
      </c>
      <c r="J108" s="60">
        <f>PRODUCT('All-Servers'!F118,'All-Servers'!$H118)</f>
        <v>160</v>
      </c>
      <c r="K108" s="60">
        <f>PRODUCT('All-Servers'!G118,'All-Servers'!$H118)</f>
        <v>820</v>
      </c>
    </row>
    <row r="109" spans="8:11">
      <c r="H109" s="60">
        <f>PRODUCT('All-Servers'!D119,'All-Servers'!$H119)</f>
        <v>1</v>
      </c>
      <c r="I109" s="60">
        <f>PRODUCT('All-Servers'!E119,'All-Servers'!$H119)</f>
        <v>1700</v>
      </c>
      <c r="J109" s="60">
        <f>PRODUCT('All-Servers'!F119,'All-Servers'!$H119)</f>
        <v>160</v>
      </c>
      <c r="K109" s="60">
        <f>PRODUCT('All-Servers'!G119,'All-Servers'!$H119)</f>
        <v>820</v>
      </c>
    </row>
    <row r="110" spans="8:11">
      <c r="H110" s="60">
        <f>PRODUCT('All-Servers'!D120,'All-Servers'!$H120)</f>
        <v>4</v>
      </c>
      <c r="I110" s="60">
        <f>PRODUCT('All-Servers'!E120,'All-Servers'!$H120)</f>
        <v>15000</v>
      </c>
      <c r="J110" s="60">
        <f>PRODUCT('All-Servers'!F120,'All-Servers'!$H120)</f>
        <v>80</v>
      </c>
      <c r="K110" s="60">
        <f>PRODUCT('All-Servers'!G120,'All-Servers'!$H120)</f>
        <v>420</v>
      </c>
    </row>
    <row r="111" spans="8:11">
      <c r="H111" s="60">
        <f>PRODUCT('All-Servers'!D121,'All-Servers'!$H121)</f>
        <v>1</v>
      </c>
      <c r="I111" s="60">
        <f>PRODUCT('All-Servers'!E121,'All-Servers'!$H121)</f>
        <v>1700</v>
      </c>
      <c r="J111" s="60">
        <f>PRODUCT('All-Servers'!F121,'All-Servers'!$H121)</f>
        <v>160</v>
      </c>
      <c r="K111" s="60">
        <f>PRODUCT('All-Servers'!G121,'All-Servers'!$H121)</f>
        <v>820</v>
      </c>
    </row>
    <row r="112" spans="8:11">
      <c r="H112" s="60">
        <f>PRODUCT('All-Servers'!D122,'All-Servers'!$H122)</f>
        <v>1</v>
      </c>
      <c r="I112" s="60">
        <f>PRODUCT('All-Servers'!E122,'All-Servers'!$H122)</f>
        <v>2000</v>
      </c>
      <c r="J112" s="60">
        <f>PRODUCT('All-Servers'!F122,'All-Servers'!$H122)</f>
        <v>0</v>
      </c>
      <c r="K112" s="60">
        <f>PRODUCT('All-Servers'!G122,'All-Servers'!$H122)</f>
        <v>20</v>
      </c>
    </row>
    <row r="113" spans="8:11">
      <c r="H113" s="60">
        <f>PRODUCT('All-Servers'!D123,'All-Servers'!$H123)</f>
        <v>1</v>
      </c>
      <c r="I113" s="60">
        <f>PRODUCT('All-Servers'!E123,'All-Servers'!$H123)</f>
        <v>2000</v>
      </c>
      <c r="J113" s="60">
        <f>PRODUCT('All-Servers'!F123,'All-Servers'!$H123)</f>
        <v>0</v>
      </c>
      <c r="K113" s="60">
        <f>PRODUCT('All-Servers'!G123,'All-Servers'!$H123)</f>
        <v>108</v>
      </c>
    </row>
    <row r="114" spans="8:11">
      <c r="H114" s="60">
        <f>PRODUCT('All-Servers'!D124,'All-Servers'!$H124)</f>
        <v>1</v>
      </c>
      <c r="I114" s="60">
        <f>PRODUCT('All-Servers'!E124,'All-Servers'!$H124)</f>
        <v>1700</v>
      </c>
      <c r="J114" s="60">
        <f>PRODUCT('All-Servers'!F124,'All-Servers'!$H124)</f>
        <v>160</v>
      </c>
      <c r="K114" s="60">
        <f>PRODUCT('All-Servers'!G124,'All-Servers'!$H124)</f>
        <v>270</v>
      </c>
    </row>
    <row r="115" spans="8:11">
      <c r="H115" s="60">
        <f>PRODUCT('All-Servers'!D125,'All-Servers'!$H125)</f>
        <v>4</v>
      </c>
      <c r="I115" s="60">
        <f>PRODUCT('All-Servers'!E125,'All-Servers'!$H125)</f>
        <v>15000</v>
      </c>
      <c r="J115" s="60">
        <f>PRODUCT('All-Servers'!F125,'All-Servers'!$H125)</f>
        <v>80</v>
      </c>
      <c r="K115" s="60">
        <f>PRODUCT('All-Servers'!G125,'All-Servers'!$H125)</f>
        <v>820</v>
      </c>
    </row>
    <row r="116" spans="8:11">
      <c r="H116" s="60">
        <f>PRODUCT('All-Servers'!D126,'All-Servers'!$H126)</f>
        <v>1</v>
      </c>
      <c r="I116" s="60">
        <f>PRODUCT('All-Servers'!E126,'All-Servers'!$H126)</f>
        <v>1700</v>
      </c>
      <c r="J116" s="60">
        <f>PRODUCT('All-Servers'!F126,'All-Servers'!$H126)</f>
        <v>160</v>
      </c>
      <c r="K116" s="60">
        <f>PRODUCT('All-Servers'!G126,'All-Servers'!$H126)</f>
        <v>20</v>
      </c>
    </row>
    <row r="117" spans="8:11">
      <c r="H117" s="60">
        <f>PRODUCT('All-Servers'!D127,'All-Servers'!$H127)</f>
        <v>1</v>
      </c>
      <c r="I117" s="60">
        <f>PRODUCT('All-Servers'!E127,'All-Servers'!$H127)</f>
        <v>1700</v>
      </c>
      <c r="J117" s="60">
        <f>PRODUCT('All-Servers'!F127,'All-Servers'!$H127)</f>
        <v>160</v>
      </c>
      <c r="K117" s="60">
        <f>PRODUCT('All-Servers'!G127,'All-Servers'!$H127)</f>
        <v>20</v>
      </c>
    </row>
    <row r="118" spans="8:11">
      <c r="H118" s="60">
        <f>PRODUCT('All-Servers'!D128,'All-Servers'!$H128)</f>
        <v>2</v>
      </c>
      <c r="I118" s="60">
        <f>PRODUCT('All-Servers'!E128,'All-Servers'!$H128)</f>
        <v>7500</v>
      </c>
      <c r="J118" s="60">
        <f>PRODUCT('All-Servers'!F128,'All-Servers'!$H128)</f>
        <v>32</v>
      </c>
      <c r="K118" s="60">
        <f>PRODUCT('All-Servers'!G128,'All-Servers'!$H128)</f>
        <v>820</v>
      </c>
    </row>
    <row r="119" spans="8:11">
      <c r="H119" s="60">
        <f>PRODUCT('All-Servers'!D129,'All-Servers'!$H129)</f>
        <v>1</v>
      </c>
      <c r="I119" s="60">
        <f>PRODUCT('All-Servers'!E129,'All-Servers'!$H129)</f>
        <v>1700</v>
      </c>
      <c r="J119" s="60">
        <f>PRODUCT('All-Servers'!F129,'All-Servers'!$H129)</f>
        <v>160</v>
      </c>
      <c r="K119" s="60">
        <f>PRODUCT('All-Servers'!G129,'All-Servers'!$H129)</f>
        <v>20</v>
      </c>
    </row>
    <row r="120" spans="8:11">
      <c r="H120" s="60">
        <f>PRODUCT('All-Servers'!D130,'All-Servers'!$H130)</f>
        <v>1</v>
      </c>
      <c r="I120" s="60">
        <f>PRODUCT('All-Servers'!E130,'All-Servers'!$H130)</f>
        <v>1700</v>
      </c>
      <c r="J120" s="60">
        <f>PRODUCT('All-Servers'!F130,'All-Servers'!$H130)</f>
        <v>160</v>
      </c>
      <c r="K120" s="60">
        <f>PRODUCT('All-Servers'!G130,'All-Servers'!$H130)</f>
        <v>20</v>
      </c>
    </row>
    <row r="121" spans="8:11">
      <c r="H121" s="60">
        <f>PRODUCT('All-Servers'!D131,'All-Servers'!$H131)</f>
        <v>1</v>
      </c>
      <c r="I121" s="60">
        <f>PRODUCT('All-Servers'!E131,'All-Servers'!$H131)</f>
        <v>1700</v>
      </c>
      <c r="J121" s="60">
        <f>PRODUCT('All-Servers'!F131,'All-Servers'!$H131)</f>
        <v>160</v>
      </c>
      <c r="K121" s="60">
        <f>PRODUCT('All-Servers'!G131,'All-Servers'!$H131)</f>
        <v>20</v>
      </c>
    </row>
    <row r="122" spans="8:11">
      <c r="H122" s="60">
        <f>PRODUCT('All-Servers'!D132,'All-Servers'!$H132)</f>
        <v>1</v>
      </c>
      <c r="I122" s="60">
        <f>PRODUCT('All-Servers'!E132,'All-Servers'!$H132)</f>
        <v>1700</v>
      </c>
      <c r="J122" s="60">
        <f>PRODUCT('All-Servers'!F132,'All-Servers'!$H132)</f>
        <v>160</v>
      </c>
      <c r="K122" s="60">
        <f>PRODUCT('All-Servers'!G132,'All-Servers'!$H132)</f>
        <v>20</v>
      </c>
    </row>
    <row r="123" spans="8:11">
      <c r="H123" s="60">
        <f>PRODUCT('All-Servers'!D133,'All-Servers'!$H133)</f>
        <v>4</v>
      </c>
      <c r="I123" s="60">
        <f>PRODUCT('All-Servers'!E133,'All-Servers'!$H133)</f>
        <v>15000</v>
      </c>
      <c r="J123" s="60">
        <f>PRODUCT('All-Servers'!F133,'All-Servers'!$H133)</f>
        <v>80</v>
      </c>
      <c r="K123" s="60">
        <f>PRODUCT('All-Servers'!G133,'All-Servers'!$H133)</f>
        <v>20</v>
      </c>
    </row>
    <row r="124" spans="8:11">
      <c r="H124" s="60">
        <f>PRODUCT('All-Servers'!D134,'All-Servers'!$H134)</f>
        <v>16</v>
      </c>
      <c r="I124" s="60">
        <f>PRODUCT('All-Servers'!E134,'All-Servers'!$H134)</f>
        <v>30000</v>
      </c>
      <c r="J124" s="60">
        <f>PRODUCT('All-Servers'!F134,'All-Servers'!$H134)</f>
        <v>320</v>
      </c>
      <c r="K124" s="60">
        <f>PRODUCT('All-Servers'!G134,'All-Servers'!$H134)</f>
        <v>20</v>
      </c>
    </row>
    <row r="125" spans="8:11">
      <c r="H125" s="60">
        <f>PRODUCT('All-Servers'!D135,'All-Servers'!$H135)</f>
        <v>1</v>
      </c>
      <c r="I125" s="60">
        <f>PRODUCT('All-Servers'!E135,'All-Servers'!$H135)</f>
        <v>1700</v>
      </c>
      <c r="J125" s="60">
        <f>PRODUCT('All-Servers'!F135,'All-Servers'!$H135)</f>
        <v>160</v>
      </c>
      <c r="K125" s="60">
        <f>PRODUCT('All-Servers'!G135,'All-Servers'!$H135)</f>
        <v>20</v>
      </c>
    </row>
    <row r="126" spans="8:11">
      <c r="H126" s="60">
        <f>PRODUCT('All-Servers'!D136,'All-Servers'!$H136)</f>
        <v>2</v>
      </c>
      <c r="I126" s="60">
        <f>PRODUCT('All-Servers'!E136,'All-Servers'!$H136)</f>
        <v>4000</v>
      </c>
      <c r="J126" s="60">
        <f>PRODUCT('All-Servers'!F136,'All-Servers'!$H136)</f>
        <v>0</v>
      </c>
      <c r="K126" s="60">
        <f>PRODUCT('All-Servers'!G136,'All-Servers'!$H136)</f>
        <v>20</v>
      </c>
    </row>
    <row r="127" spans="8:11">
      <c r="H127" s="60">
        <f>PRODUCT('All-Servers'!D137,'All-Servers'!$H137)</f>
        <v>4</v>
      </c>
      <c r="I127" s="60">
        <f>PRODUCT('All-Servers'!E137,'All-Servers'!$H137)</f>
        <v>15000</v>
      </c>
      <c r="J127" s="60">
        <f>PRODUCT('All-Servers'!F137,'All-Servers'!$H137)</f>
        <v>80</v>
      </c>
      <c r="K127" s="60">
        <f>PRODUCT('All-Servers'!G137,'All-Servers'!$H137)</f>
        <v>1420</v>
      </c>
    </row>
    <row r="128" spans="8:11">
      <c r="H128" s="60">
        <f>PRODUCT('All-Servers'!D138,'All-Servers'!$H138)</f>
        <v>8</v>
      </c>
      <c r="I128" s="60">
        <f>PRODUCT('All-Servers'!E138,'All-Servers'!$H138)</f>
        <v>30000</v>
      </c>
      <c r="J128" s="60">
        <f>PRODUCT('All-Servers'!F138,'All-Servers'!$H138)</f>
        <v>160</v>
      </c>
      <c r="K128" s="60">
        <f>PRODUCT('All-Servers'!G138,'All-Servers'!$H138)</f>
        <v>470</v>
      </c>
    </row>
    <row r="129" spans="8:11">
      <c r="H129" s="60">
        <f>PRODUCT('All-Servers'!D139,'All-Servers'!$H139)</f>
        <v>8</v>
      </c>
      <c r="I129" s="60">
        <f>PRODUCT('All-Servers'!E139,'All-Servers'!$H139)</f>
        <v>30000</v>
      </c>
      <c r="J129" s="60">
        <f>PRODUCT('All-Servers'!F139,'All-Servers'!$H139)</f>
        <v>160</v>
      </c>
      <c r="K129" s="60">
        <f>PRODUCT('All-Servers'!G139,'All-Servers'!$H139)</f>
        <v>1820</v>
      </c>
    </row>
    <row r="130" spans="8:11">
      <c r="H130" s="60">
        <f>PRODUCT('All-Servers'!D140,'All-Servers'!$H140)</f>
        <v>1</v>
      </c>
      <c r="I130" s="60">
        <f>PRODUCT('All-Servers'!E140,'All-Servers'!$H140)</f>
        <v>1700</v>
      </c>
      <c r="J130" s="60">
        <f>PRODUCT('All-Servers'!F140,'All-Servers'!$H140)</f>
        <v>160</v>
      </c>
      <c r="K130" s="60">
        <f>PRODUCT('All-Servers'!G140,'All-Servers'!$H140)</f>
        <v>20</v>
      </c>
    </row>
    <row r="131" spans="8:11">
      <c r="H131" s="60">
        <f>PRODUCT('All-Servers'!D141,'All-Servers'!$H141)</f>
        <v>1</v>
      </c>
      <c r="I131" s="60">
        <f>PRODUCT('All-Servers'!E141,'All-Servers'!$H141)</f>
        <v>1700</v>
      </c>
      <c r="J131" s="60">
        <f>PRODUCT('All-Servers'!F141,'All-Servers'!$H141)</f>
        <v>160</v>
      </c>
      <c r="K131" s="60">
        <f>PRODUCT('All-Servers'!G141,'All-Servers'!$H141)</f>
        <v>20</v>
      </c>
    </row>
    <row r="132" spans="8:11">
      <c r="H132" s="60">
        <f>PRODUCT('All-Servers'!D142,'All-Servers'!$H142)</f>
        <v>1</v>
      </c>
      <c r="I132" s="60">
        <f>PRODUCT('All-Servers'!E142,'All-Servers'!$H142)</f>
        <v>1700</v>
      </c>
      <c r="J132" s="60">
        <f>PRODUCT('All-Servers'!F142,'All-Servers'!$H142)</f>
        <v>160</v>
      </c>
      <c r="K132" s="60">
        <f>PRODUCT('All-Servers'!G142,'All-Servers'!$H142)</f>
        <v>20</v>
      </c>
    </row>
    <row r="133" spans="8:11">
      <c r="H133" s="60">
        <f>PRODUCT('All-Servers'!D143,'All-Servers'!$H143)</f>
        <v>1</v>
      </c>
      <c r="I133" s="60">
        <f>PRODUCT('All-Servers'!E143,'All-Servers'!$H143)</f>
        <v>1700</v>
      </c>
      <c r="J133" s="60">
        <f>PRODUCT('All-Servers'!F143,'All-Servers'!$H143)</f>
        <v>160</v>
      </c>
      <c r="K133" s="60">
        <f>PRODUCT('All-Servers'!G143,'All-Servers'!$H143)</f>
        <v>20</v>
      </c>
    </row>
    <row r="134" spans="8:11">
      <c r="H134" s="60">
        <f>PRODUCT('All-Servers'!D144,'All-Servers'!$H144)</f>
        <v>1</v>
      </c>
      <c r="I134" s="60">
        <f>PRODUCT('All-Servers'!E144,'All-Servers'!$H144)</f>
        <v>1700</v>
      </c>
      <c r="J134" s="60">
        <f>PRODUCT('All-Servers'!F144,'All-Servers'!$H144)</f>
        <v>160</v>
      </c>
      <c r="K134" s="60">
        <f>PRODUCT('All-Servers'!G144,'All-Servers'!$H144)</f>
        <v>20</v>
      </c>
    </row>
    <row r="135" spans="8:11">
      <c r="H135" s="60">
        <f>PRODUCT('All-Servers'!D145,'All-Servers'!$H145)</f>
        <v>2</v>
      </c>
      <c r="I135" s="60">
        <f>PRODUCT('All-Servers'!E145,'All-Servers'!$H145)</f>
        <v>15000</v>
      </c>
      <c r="J135" s="60">
        <f>PRODUCT('All-Servers'!F145,'All-Servers'!$H145)</f>
        <v>32</v>
      </c>
      <c r="K135" s="60">
        <f>PRODUCT('All-Servers'!G145,'All-Servers'!$H145)</f>
        <v>420</v>
      </c>
    </row>
    <row r="136" spans="8:11">
      <c r="H136" s="60">
        <f>PRODUCT('All-Servers'!D146,'All-Servers'!$H146)</f>
        <v>1</v>
      </c>
      <c r="I136" s="60">
        <f>PRODUCT('All-Servers'!E146,'All-Servers'!$H146)</f>
        <v>1700</v>
      </c>
      <c r="J136" s="60">
        <f>PRODUCT('All-Servers'!F146,'All-Servers'!$H146)</f>
        <v>160</v>
      </c>
      <c r="K136" s="60">
        <f>PRODUCT('All-Servers'!G146,'All-Servers'!$H146)</f>
        <v>20</v>
      </c>
    </row>
    <row r="137" spans="8:11">
      <c r="H137" s="60">
        <f>PRODUCT('All-Servers'!D147,'All-Servers'!$H147)</f>
        <v>1</v>
      </c>
      <c r="I137" s="60">
        <f>PRODUCT('All-Servers'!E147,'All-Servers'!$H147)</f>
        <v>3750</v>
      </c>
      <c r="J137" s="60">
        <f>PRODUCT('All-Servers'!F147,'All-Servers'!$H147)</f>
        <v>4</v>
      </c>
      <c r="K137" s="60">
        <f>PRODUCT('All-Servers'!G147,'All-Servers'!$H147)</f>
        <v>220</v>
      </c>
    </row>
    <row r="138" spans="8:11">
      <c r="H138" s="60">
        <f>PRODUCT('All-Servers'!D148,'All-Servers'!$H148)</f>
        <v>1</v>
      </c>
      <c r="I138" s="60">
        <f>PRODUCT('All-Servers'!E148,'All-Servers'!$H148)</f>
        <v>2000</v>
      </c>
      <c r="J138" s="60">
        <f>PRODUCT('All-Servers'!F148,'All-Servers'!$H148)</f>
        <v>0</v>
      </c>
      <c r="K138" s="60">
        <f>PRODUCT('All-Servers'!G148,'All-Servers'!$H148)</f>
        <v>20</v>
      </c>
    </row>
    <row r="139" spans="8:11">
      <c r="H139" s="60">
        <f>PRODUCT('All-Servers'!D149,'All-Servers'!$H149)</f>
        <v>1</v>
      </c>
      <c r="I139" s="60">
        <f>PRODUCT('All-Servers'!E149,'All-Servers'!$H149)</f>
        <v>3750</v>
      </c>
      <c r="J139" s="60">
        <f>PRODUCT('All-Servers'!F149,'All-Servers'!$H149)</f>
        <v>410</v>
      </c>
      <c r="K139" s="60">
        <f>PRODUCT('All-Servers'!G149,'All-Servers'!$H149)</f>
        <v>120</v>
      </c>
    </row>
    <row r="140" spans="8:11">
      <c r="H140" s="60">
        <f>PRODUCT('All-Servers'!D150,'All-Servers'!$H150)</f>
        <v>1</v>
      </c>
      <c r="I140" s="60">
        <f>PRODUCT('All-Servers'!E150,'All-Servers'!$H150)</f>
        <v>3750</v>
      </c>
      <c r="J140" s="60">
        <f>PRODUCT('All-Servers'!F150,'All-Servers'!$H150)</f>
        <v>4</v>
      </c>
      <c r="K140" s="60">
        <f>PRODUCT('All-Servers'!G150,'All-Servers'!$H150)</f>
        <v>20</v>
      </c>
    </row>
    <row r="141" spans="8:11">
      <c r="H141" s="60">
        <f>PRODUCT('All-Servers'!D151,'All-Servers'!$H151)</f>
        <v>1</v>
      </c>
      <c r="I141" s="60">
        <f>PRODUCT('All-Servers'!E151,'All-Servers'!$H151)</f>
        <v>3750</v>
      </c>
      <c r="J141" s="60">
        <f>PRODUCT('All-Servers'!F151,'All-Servers'!$H151)</f>
        <v>410</v>
      </c>
      <c r="K141" s="60">
        <f>PRODUCT('All-Servers'!G151,'All-Servers'!$H151)</f>
        <v>220</v>
      </c>
    </row>
    <row r="142" spans="8:11">
      <c r="H142" s="60">
        <f>PRODUCT('All-Servers'!D152,'All-Servers'!$H152)</f>
        <v>2</v>
      </c>
      <c r="I142" s="60">
        <f>PRODUCT('All-Servers'!E152,'All-Servers'!$H152)</f>
        <v>7500</v>
      </c>
      <c r="J142" s="60">
        <f>PRODUCT('All-Servers'!F152,'All-Servers'!$H152)</f>
        <v>32</v>
      </c>
      <c r="K142" s="60">
        <f>PRODUCT('All-Servers'!G152,'All-Servers'!$H152)</f>
        <v>20</v>
      </c>
    </row>
    <row r="143" spans="8:11">
      <c r="H143" s="60">
        <f>PRODUCT('All-Servers'!D153,'All-Servers'!$H153)</f>
        <v>1</v>
      </c>
      <c r="I143" s="60">
        <f>PRODUCT('All-Servers'!E153,'All-Servers'!$H153)</f>
        <v>2000</v>
      </c>
      <c r="J143" s="60">
        <f>PRODUCT('All-Servers'!F153,'All-Servers'!$H153)</f>
        <v>0</v>
      </c>
      <c r="K143" s="60">
        <f>PRODUCT('All-Servers'!G153,'All-Servers'!$H153)</f>
        <v>20</v>
      </c>
    </row>
    <row r="144" spans="8:11">
      <c r="H144" s="60">
        <f>PRODUCT('All-Servers'!D154,'All-Servers'!$H154)</f>
        <v>1</v>
      </c>
      <c r="I144" s="60">
        <f>PRODUCT('All-Servers'!E154,'All-Servers'!$H154)</f>
        <v>3750</v>
      </c>
      <c r="J144" s="60">
        <f>PRODUCT('All-Servers'!F154,'All-Servers'!$H154)</f>
        <v>4</v>
      </c>
      <c r="K144" s="60">
        <f>PRODUCT('All-Servers'!G154,'All-Servers'!$H154)</f>
        <v>20</v>
      </c>
    </row>
    <row r="145" spans="8:11">
      <c r="H145" s="60">
        <f>PRODUCT('All-Servers'!D155,'All-Servers'!$H155)</f>
        <v>1</v>
      </c>
      <c r="I145" s="60">
        <f>PRODUCT('All-Servers'!E155,'All-Servers'!$H155)</f>
        <v>1700</v>
      </c>
      <c r="J145" s="60">
        <f>PRODUCT('All-Servers'!F155,'All-Servers'!$H155)</f>
        <v>160</v>
      </c>
      <c r="K145" s="60">
        <f>PRODUCT('All-Servers'!G155,'All-Servers'!$H155)</f>
        <v>20</v>
      </c>
    </row>
    <row r="146" spans="8:11">
      <c r="H146" s="60">
        <f>PRODUCT('All-Servers'!D156,'All-Servers'!$H156)</f>
        <v>8</v>
      </c>
      <c r="I146" s="60">
        <f>PRODUCT('All-Servers'!E156,'All-Servers'!$H156)</f>
        <v>30000</v>
      </c>
      <c r="J146" s="60">
        <f>PRODUCT('All-Servers'!F156,'All-Servers'!$H156)</f>
        <v>160</v>
      </c>
      <c r="K146" s="60">
        <f>PRODUCT('All-Servers'!G156,'All-Servers'!$H156)</f>
        <v>15340</v>
      </c>
    </row>
    <row r="147" spans="8:11">
      <c r="H147" s="60">
        <f>PRODUCT('All-Servers'!D157,'All-Servers'!$H157)</f>
        <v>4</v>
      </c>
      <c r="I147" s="60">
        <f>PRODUCT('All-Servers'!E157,'All-Servers'!$H157)</f>
        <v>15000</v>
      </c>
      <c r="J147" s="60">
        <f>PRODUCT('All-Servers'!F157,'All-Servers'!$H157)</f>
        <v>80</v>
      </c>
      <c r="K147" s="60">
        <f>PRODUCT('All-Servers'!G157,'All-Servers'!$H157)</f>
        <v>420</v>
      </c>
    </row>
    <row r="148" spans="8:11">
      <c r="H148" s="60">
        <f>PRODUCT('All-Servers'!D158,'All-Servers'!$H158)</f>
        <v>1</v>
      </c>
      <c r="I148" s="60">
        <f>PRODUCT('All-Servers'!E158,'All-Servers'!$H158)</f>
        <v>1700</v>
      </c>
      <c r="J148" s="60">
        <f>PRODUCT('All-Servers'!F158,'All-Servers'!$H158)</f>
        <v>160</v>
      </c>
      <c r="K148" s="60">
        <f>PRODUCT('All-Servers'!G158,'All-Servers'!$H158)</f>
        <v>20</v>
      </c>
    </row>
    <row r="149" spans="8:11">
      <c r="H149" s="60">
        <f>PRODUCT('All-Servers'!D159,'All-Servers'!$H159)</f>
        <v>1</v>
      </c>
      <c r="I149" s="60">
        <f>PRODUCT('All-Servers'!E159,'All-Servers'!$H159)</f>
        <v>1700</v>
      </c>
      <c r="J149" s="60">
        <f>PRODUCT('All-Servers'!F159,'All-Servers'!$H159)</f>
        <v>160</v>
      </c>
      <c r="K149" s="60">
        <f>PRODUCT('All-Servers'!G159,'All-Servers'!$H159)</f>
        <v>20</v>
      </c>
    </row>
    <row r="150" spans="8:11">
      <c r="H150" s="60">
        <f>PRODUCT('All-Servers'!D160,'All-Servers'!$H160)</f>
        <v>1</v>
      </c>
      <c r="I150" s="60">
        <f>PRODUCT('All-Servers'!E160,'All-Servers'!$H160)</f>
        <v>1700</v>
      </c>
      <c r="J150" s="60">
        <f>PRODUCT('All-Servers'!F160,'All-Servers'!$H160)</f>
        <v>160</v>
      </c>
      <c r="K150" s="60">
        <f>PRODUCT('All-Servers'!G160,'All-Servers'!$H160)</f>
        <v>20</v>
      </c>
    </row>
    <row r="151" spans="8:11">
      <c r="H151" s="60">
        <f>PRODUCT('All-Servers'!D161,'All-Servers'!$H161)</f>
        <v>1</v>
      </c>
      <c r="I151" s="60">
        <f>PRODUCT('All-Servers'!E161,'All-Servers'!$H161)</f>
        <v>1700</v>
      </c>
      <c r="J151" s="60">
        <f>PRODUCT('All-Servers'!F161,'All-Servers'!$H161)</f>
        <v>160</v>
      </c>
      <c r="K151" s="60">
        <f>PRODUCT('All-Servers'!G161,'All-Servers'!$H161)</f>
        <v>20</v>
      </c>
    </row>
    <row r="152" spans="8:11">
      <c r="H152" s="60">
        <f>PRODUCT('All-Servers'!D162,'All-Servers'!$H162)</f>
        <v>8</v>
      </c>
      <c r="I152" s="60">
        <f>PRODUCT('All-Servers'!E162,'All-Servers'!$H162)</f>
        <v>30000</v>
      </c>
      <c r="J152" s="60">
        <f>PRODUCT('All-Servers'!F162,'All-Servers'!$H162)</f>
        <v>160</v>
      </c>
      <c r="K152" s="60">
        <f>PRODUCT('All-Servers'!G162,'All-Servers'!$H162)</f>
        <v>820</v>
      </c>
    </row>
    <row r="153" spans="8:11">
      <c r="H153" s="60">
        <f>PRODUCT('All-Servers'!D163,'All-Servers'!$H163)</f>
        <v>8</v>
      </c>
      <c r="I153" s="60">
        <f>PRODUCT('All-Servers'!E163,'All-Servers'!$H163)</f>
        <v>30000</v>
      </c>
      <c r="J153" s="60">
        <f>PRODUCT('All-Servers'!F163,'All-Servers'!$H163)</f>
        <v>160</v>
      </c>
      <c r="K153" s="60">
        <f>PRODUCT('All-Servers'!G163,'All-Servers'!$H163)</f>
        <v>420</v>
      </c>
    </row>
    <row r="154" spans="8:11">
      <c r="H154" s="60">
        <f>PRODUCT('All-Servers'!D164,'All-Servers'!$H164)</f>
        <v>1</v>
      </c>
      <c r="I154" s="60">
        <f>PRODUCT('All-Servers'!E164,'All-Servers'!$H164)</f>
        <v>1700</v>
      </c>
      <c r="J154" s="60">
        <f>PRODUCT('All-Servers'!F164,'All-Servers'!$H164)</f>
        <v>160</v>
      </c>
      <c r="K154" s="60">
        <f>PRODUCT('All-Servers'!G164,'All-Servers'!$H164)</f>
        <v>20</v>
      </c>
    </row>
    <row r="155" spans="8:11">
      <c r="H155" s="60">
        <f>PRODUCT('All-Servers'!D165,'All-Servers'!$H165)</f>
        <v>1</v>
      </c>
      <c r="I155" s="60">
        <f>PRODUCT('All-Servers'!E165,'All-Servers'!$H165)</f>
        <v>1700</v>
      </c>
      <c r="J155" s="60">
        <f>PRODUCT('All-Servers'!F165,'All-Servers'!$H165)</f>
        <v>160</v>
      </c>
      <c r="K155" s="60">
        <f>PRODUCT('All-Servers'!G165,'All-Servers'!$H165)</f>
        <v>20</v>
      </c>
    </row>
    <row r="156" spans="8:11">
      <c r="H156" s="60">
        <f>PRODUCT('All-Servers'!D166,'All-Servers'!$H166)</f>
        <v>1</v>
      </c>
      <c r="I156" s="60">
        <f>PRODUCT('All-Servers'!E166,'All-Servers'!$H166)</f>
        <v>3750</v>
      </c>
      <c r="J156" s="60">
        <f>PRODUCT('All-Servers'!F166,'All-Servers'!$H166)</f>
        <v>4</v>
      </c>
      <c r="K156" s="60">
        <f>PRODUCT('All-Servers'!G166,'All-Servers'!$H166)</f>
        <v>420</v>
      </c>
    </row>
    <row r="157" spans="8:11">
      <c r="H157" s="60">
        <f>PRODUCT('All-Servers'!D167,'All-Servers'!$H167)</f>
        <v>4</v>
      </c>
      <c r="I157" s="60">
        <f>PRODUCT('All-Servers'!E167,'All-Servers'!$H167)</f>
        <v>15000</v>
      </c>
      <c r="J157" s="60">
        <f>PRODUCT('All-Servers'!F167,'All-Servers'!$H167)</f>
        <v>80</v>
      </c>
      <c r="K157" s="60">
        <f>PRODUCT('All-Servers'!G167,'All-Servers'!$H167)</f>
        <v>420</v>
      </c>
    </row>
    <row r="158" spans="8:11">
      <c r="H158" s="60">
        <f>PRODUCT('All-Servers'!D168,'All-Servers'!$H168)</f>
        <v>1</v>
      </c>
      <c r="I158" s="60">
        <f>PRODUCT('All-Servers'!E168,'All-Servers'!$H168)</f>
        <v>2000</v>
      </c>
      <c r="J158" s="60">
        <f>PRODUCT('All-Servers'!F168,'All-Servers'!$H168)</f>
        <v>0</v>
      </c>
      <c r="K158" s="60">
        <f>PRODUCT('All-Servers'!G168,'All-Servers'!$H168)</f>
        <v>20</v>
      </c>
    </row>
    <row r="159" spans="8:11">
      <c r="H159" s="60">
        <f>PRODUCT('All-Servers'!D169,'All-Servers'!$H169)</f>
        <v>1</v>
      </c>
      <c r="I159" s="60">
        <f>PRODUCT('All-Servers'!E169,'All-Servers'!$H169)</f>
        <v>1700</v>
      </c>
      <c r="J159" s="60">
        <f>PRODUCT('All-Servers'!F169,'All-Servers'!$H169)</f>
        <v>160</v>
      </c>
      <c r="K159" s="60">
        <f>PRODUCT('All-Servers'!G169,'All-Servers'!$H169)</f>
        <v>20</v>
      </c>
    </row>
    <row r="160" spans="8:11">
      <c r="H160" s="60">
        <f>PRODUCT('All-Servers'!D170,'All-Servers'!$H170)</f>
        <v>1</v>
      </c>
      <c r="I160" s="60">
        <f>PRODUCT('All-Servers'!E170,'All-Servers'!$H170)</f>
        <v>1700</v>
      </c>
      <c r="J160" s="60">
        <f>PRODUCT('All-Servers'!F170,'All-Servers'!$H170)</f>
        <v>160</v>
      </c>
      <c r="K160" s="60">
        <f>PRODUCT('All-Servers'!G170,'All-Servers'!$H170)</f>
        <v>420</v>
      </c>
    </row>
    <row r="161" spans="8:11">
      <c r="H161" s="60">
        <f>PRODUCT('All-Servers'!D171,'All-Servers'!$H171)</f>
        <v>1</v>
      </c>
      <c r="I161" s="60">
        <f>PRODUCT('All-Servers'!E171,'All-Servers'!$H171)</f>
        <v>1700</v>
      </c>
      <c r="J161" s="60">
        <f>PRODUCT('All-Servers'!F171,'All-Servers'!$H171)</f>
        <v>160</v>
      </c>
      <c r="K161" s="60">
        <f>PRODUCT('All-Servers'!G171,'All-Servers'!$H171)</f>
        <v>20</v>
      </c>
    </row>
    <row r="162" spans="8:11">
      <c r="H162" s="60">
        <f>PRODUCT('All-Servers'!D172,'All-Servers'!$H172)</f>
        <v>1</v>
      </c>
      <c r="I162" s="60">
        <f>PRODUCT('All-Servers'!E172,'All-Servers'!$H172)</f>
        <v>1700</v>
      </c>
      <c r="J162" s="60">
        <f>PRODUCT('All-Servers'!F172,'All-Servers'!$H172)</f>
        <v>160</v>
      </c>
      <c r="K162" s="60">
        <f>PRODUCT('All-Servers'!G172,'All-Servers'!$H172)</f>
        <v>20</v>
      </c>
    </row>
    <row r="163" spans="8:11">
      <c r="H163" s="60">
        <f>PRODUCT('All-Servers'!D173,'All-Servers'!$H173)</f>
        <v>8</v>
      </c>
      <c r="I163" s="60">
        <f>PRODUCT('All-Servers'!E173,'All-Servers'!$H173)</f>
        <v>15000</v>
      </c>
      <c r="J163" s="60">
        <f>PRODUCT('All-Servers'!F173,'All-Servers'!$H173)</f>
        <v>160</v>
      </c>
      <c r="K163" s="60">
        <f>PRODUCT('All-Servers'!G173,'All-Servers'!$H173)</f>
        <v>20</v>
      </c>
    </row>
    <row r="164" spans="8:11">
      <c r="H164" s="60">
        <f>PRODUCT('All-Servers'!D174,'All-Servers'!$H174)</f>
        <v>1</v>
      </c>
      <c r="I164" s="60">
        <f>PRODUCT('All-Servers'!E174,'All-Servers'!$H174)</f>
        <v>3750</v>
      </c>
      <c r="J164" s="60">
        <f>PRODUCT('All-Servers'!F174,'All-Servers'!$H174)</f>
        <v>410</v>
      </c>
      <c r="K164" s="60">
        <f>PRODUCT('All-Servers'!G174,'All-Servers'!$H174)</f>
        <v>20</v>
      </c>
    </row>
    <row r="165" spans="8:11">
      <c r="H165" s="60">
        <f>PRODUCT('All-Servers'!D175,'All-Servers'!$H175)</f>
        <v>2</v>
      </c>
      <c r="I165" s="60">
        <f>PRODUCT('All-Servers'!E175,'All-Servers'!$H175)</f>
        <v>7500</v>
      </c>
      <c r="J165" s="60">
        <f>PRODUCT('All-Servers'!F175,'All-Servers'!$H175)</f>
        <v>32</v>
      </c>
      <c r="K165" s="60">
        <f>PRODUCT('All-Servers'!G175,'All-Servers'!$H175)</f>
        <v>1020</v>
      </c>
    </row>
    <row r="166" spans="8:11">
      <c r="H166" s="60">
        <f>PRODUCT('All-Servers'!D176,'All-Servers'!$H176)</f>
        <v>1</v>
      </c>
      <c r="I166" s="60">
        <f>PRODUCT('All-Servers'!E176,'All-Servers'!$H176)</f>
        <v>2000</v>
      </c>
      <c r="J166" s="60">
        <f>PRODUCT('All-Servers'!F176,'All-Servers'!$H176)</f>
        <v>0</v>
      </c>
      <c r="K166" s="60">
        <f>PRODUCT('All-Servers'!G176,'All-Servers'!$H176)</f>
        <v>20</v>
      </c>
    </row>
    <row r="167" spans="8:11">
      <c r="H167" s="60">
        <f>PRODUCT('All-Servers'!D177,'All-Servers'!$H177)</f>
        <v>1</v>
      </c>
      <c r="I167" s="60">
        <f>PRODUCT('All-Servers'!E177,'All-Servers'!$H177)</f>
        <v>1700</v>
      </c>
      <c r="J167" s="60">
        <f>PRODUCT('All-Servers'!F177,'All-Servers'!$H177)</f>
        <v>160</v>
      </c>
      <c r="K167" s="60">
        <f>PRODUCT('All-Servers'!G177,'All-Servers'!$H177)</f>
        <v>20</v>
      </c>
    </row>
    <row r="168" spans="8:11">
      <c r="H168" s="60">
        <f>PRODUCT('All-Servers'!D178,'All-Servers'!$H178)</f>
        <v>1</v>
      </c>
      <c r="I168" s="60">
        <f>PRODUCT('All-Servers'!E178,'All-Servers'!$H178)</f>
        <v>1700</v>
      </c>
      <c r="J168" s="60">
        <f>PRODUCT('All-Servers'!F178,'All-Servers'!$H178)</f>
        <v>160</v>
      </c>
      <c r="K168" s="60">
        <f>PRODUCT('All-Servers'!G178,'All-Servers'!$H178)</f>
        <v>20</v>
      </c>
    </row>
    <row r="169" spans="8:11">
      <c r="H169" s="60">
        <f>PRODUCT('All-Servers'!D179,'All-Servers'!$H179)</f>
        <v>1</v>
      </c>
      <c r="I169" s="60">
        <f>PRODUCT('All-Servers'!E179,'All-Servers'!$H179)</f>
        <v>1700</v>
      </c>
      <c r="J169" s="60">
        <f>PRODUCT('All-Servers'!F179,'All-Servers'!$H179)</f>
        <v>160</v>
      </c>
      <c r="K169" s="60">
        <f>PRODUCT('All-Servers'!G179,'All-Servers'!$H179)</f>
        <v>20</v>
      </c>
    </row>
    <row r="170" spans="8:11">
      <c r="H170" s="60">
        <f>PRODUCT('All-Servers'!D180,'All-Servers'!$H180)</f>
        <v>1</v>
      </c>
      <c r="I170" s="60">
        <f>PRODUCT('All-Servers'!E180,'All-Servers'!$H180)</f>
        <v>1700</v>
      </c>
      <c r="J170" s="60">
        <f>PRODUCT('All-Servers'!F180,'All-Servers'!$H180)</f>
        <v>160</v>
      </c>
      <c r="K170" s="60">
        <f>PRODUCT('All-Servers'!G180,'All-Servers'!$H180)</f>
        <v>20</v>
      </c>
    </row>
    <row r="171" spans="8:11">
      <c r="H171" s="60">
        <f>PRODUCT('All-Servers'!D181,'All-Servers'!$H181)</f>
        <v>1</v>
      </c>
      <c r="I171" s="60">
        <f>PRODUCT('All-Servers'!E181,'All-Servers'!$H181)</f>
        <v>3750</v>
      </c>
      <c r="J171" s="60">
        <f>PRODUCT('All-Servers'!F181,'All-Servers'!$H181)</f>
        <v>410</v>
      </c>
      <c r="K171" s="60">
        <f>PRODUCT('All-Servers'!G181,'All-Servers'!$H181)</f>
        <v>3992</v>
      </c>
    </row>
    <row r="172" spans="8:11">
      <c r="H172" s="60">
        <f>PRODUCT('All-Servers'!D182,'All-Servers'!$H182)</f>
        <v>1</v>
      </c>
      <c r="I172" s="60">
        <f>PRODUCT('All-Servers'!E182,'All-Servers'!$H182)</f>
        <v>3750</v>
      </c>
      <c r="J172" s="60">
        <f>PRODUCT('All-Servers'!F182,'All-Servers'!$H182)</f>
        <v>4</v>
      </c>
      <c r="K172" s="60">
        <f>PRODUCT('All-Servers'!G182,'All-Servers'!$H182)</f>
        <v>220</v>
      </c>
    </row>
    <row r="173" spans="8:11">
      <c r="H173" s="60">
        <f>PRODUCT('All-Servers'!D183,'All-Servers'!$H183)</f>
        <v>2</v>
      </c>
      <c r="I173" s="60">
        <f>PRODUCT('All-Servers'!E183,'All-Servers'!$H183)</f>
        <v>3750</v>
      </c>
      <c r="J173" s="60">
        <f>PRODUCT('All-Servers'!F183,'All-Servers'!$H183)</f>
        <v>32</v>
      </c>
      <c r="K173" s="60">
        <f>PRODUCT('All-Servers'!G183,'All-Servers'!$H183)</f>
        <v>20</v>
      </c>
    </row>
    <row r="174" spans="8:11">
      <c r="H174" s="60">
        <f>PRODUCT('All-Servers'!D184,'All-Servers'!$H184)</f>
        <v>2</v>
      </c>
      <c r="I174" s="60">
        <f>PRODUCT('All-Servers'!E184,'All-Servers'!$H184)</f>
        <v>3750</v>
      </c>
      <c r="J174" s="60">
        <f>PRODUCT('All-Servers'!F184,'All-Servers'!$H184)</f>
        <v>32</v>
      </c>
      <c r="K174" s="60">
        <f>PRODUCT('All-Servers'!G184,'All-Servers'!$H184)</f>
        <v>20</v>
      </c>
    </row>
    <row r="175" spans="8:11">
      <c r="H175" s="60">
        <f>PRODUCT('All-Servers'!D185,'All-Servers'!$H185)</f>
        <v>2</v>
      </c>
      <c r="I175" s="60">
        <f>PRODUCT('All-Servers'!E185,'All-Servers'!$H185)</f>
        <v>3750</v>
      </c>
      <c r="J175" s="60">
        <f>PRODUCT('All-Servers'!F185,'All-Servers'!$H185)</f>
        <v>32</v>
      </c>
      <c r="K175" s="60">
        <f>PRODUCT('All-Servers'!G185,'All-Servers'!$H185)</f>
        <v>20</v>
      </c>
    </row>
    <row r="176" spans="8:11">
      <c r="H176" s="60">
        <f>PRODUCT('All-Servers'!D186,'All-Servers'!$H186)</f>
        <v>2</v>
      </c>
      <c r="I176" s="60">
        <f>PRODUCT('All-Servers'!E186,'All-Servers'!$H186)</f>
        <v>3750</v>
      </c>
      <c r="J176" s="60">
        <f>PRODUCT('All-Servers'!F186,'All-Servers'!$H186)</f>
        <v>32</v>
      </c>
      <c r="K176" s="60">
        <f>PRODUCT('All-Servers'!G186,'All-Servers'!$H186)</f>
        <v>20</v>
      </c>
    </row>
    <row r="177" spans="8:11">
      <c r="H177" s="60">
        <f>PRODUCT('All-Servers'!D187,'All-Servers'!$H187)</f>
        <v>2</v>
      </c>
      <c r="I177" s="60">
        <f>PRODUCT('All-Servers'!E187,'All-Servers'!$H187)</f>
        <v>3750</v>
      </c>
      <c r="J177" s="60">
        <f>PRODUCT('All-Servers'!F187,'All-Servers'!$H187)</f>
        <v>32</v>
      </c>
      <c r="K177" s="60">
        <f>PRODUCT('All-Servers'!G187,'All-Servers'!$H187)</f>
        <v>20</v>
      </c>
    </row>
    <row r="178" spans="8:11">
      <c r="H178" s="60">
        <f>PRODUCT('All-Servers'!D188,'All-Servers'!$H188)</f>
        <v>1</v>
      </c>
      <c r="I178" s="60">
        <f>PRODUCT('All-Servers'!E188,'All-Servers'!$H188)</f>
        <v>1700</v>
      </c>
      <c r="J178" s="60">
        <f>PRODUCT('All-Servers'!F188,'All-Servers'!$H188)</f>
        <v>160</v>
      </c>
      <c r="K178" s="60">
        <f>PRODUCT('All-Servers'!G188,'All-Servers'!$H188)</f>
        <v>20</v>
      </c>
    </row>
    <row r="179" spans="8:11">
      <c r="H179" s="60">
        <f>PRODUCT('All-Servers'!D189,'All-Servers'!$H189)</f>
        <v>1</v>
      </c>
      <c r="I179" s="60">
        <f>PRODUCT('All-Servers'!E189,'All-Servers'!$H189)</f>
        <v>3750</v>
      </c>
      <c r="J179" s="60">
        <f>PRODUCT('All-Servers'!F189,'All-Servers'!$H189)</f>
        <v>410</v>
      </c>
      <c r="K179" s="60">
        <f>PRODUCT('All-Servers'!G189,'All-Servers'!$H189)</f>
        <v>20</v>
      </c>
    </row>
    <row r="180" spans="8:11">
      <c r="H180" s="60">
        <f>PRODUCT('All-Servers'!D190,'All-Servers'!$H190)</f>
        <v>2</v>
      </c>
      <c r="I180" s="60">
        <f>PRODUCT('All-Servers'!E190,'All-Servers'!$H190)</f>
        <v>7500</v>
      </c>
      <c r="J180" s="60">
        <f>PRODUCT('All-Servers'!F190,'All-Servers'!$H190)</f>
        <v>32</v>
      </c>
      <c r="K180" s="60">
        <f>PRODUCT('All-Servers'!G190,'All-Servers'!$H190)</f>
        <v>420</v>
      </c>
    </row>
    <row r="181" spans="8:11">
      <c r="H181" s="60">
        <f>PRODUCT('All-Servers'!D191,'All-Servers'!$H191)</f>
        <v>2</v>
      </c>
      <c r="I181" s="60">
        <f>PRODUCT('All-Servers'!E191,'All-Servers'!$H191)</f>
        <v>4000</v>
      </c>
      <c r="J181" s="60">
        <f>PRODUCT('All-Servers'!F191,'All-Servers'!$H191)</f>
        <v>0</v>
      </c>
      <c r="K181" s="60">
        <f>PRODUCT('All-Servers'!G191,'All-Servers'!$H191)</f>
        <v>20</v>
      </c>
    </row>
    <row r="182" spans="8:11">
      <c r="H182" s="60">
        <f>PRODUCT('All-Servers'!D192,'All-Servers'!$H192)</f>
        <v>4</v>
      </c>
      <c r="I182" s="60">
        <f>PRODUCT('All-Servers'!E192,'All-Servers'!$H192)</f>
        <v>15000</v>
      </c>
      <c r="J182" s="60">
        <f>PRODUCT('All-Servers'!F192,'All-Servers'!$H192)</f>
        <v>80</v>
      </c>
      <c r="K182" s="60">
        <f>PRODUCT('All-Servers'!G192,'All-Servers'!$H192)</f>
        <v>420</v>
      </c>
    </row>
    <row r="183" spans="8:11">
      <c r="H183" s="60">
        <f>PRODUCT('All-Servers'!D193,'All-Servers'!$H193)</f>
        <v>1</v>
      </c>
      <c r="I183" s="60">
        <f>PRODUCT('All-Servers'!E193,'All-Servers'!$H193)</f>
        <v>1700</v>
      </c>
      <c r="J183" s="60">
        <f>PRODUCT('All-Servers'!F193,'All-Servers'!$H193)</f>
        <v>160</v>
      </c>
      <c r="K183" s="60">
        <f>PRODUCT('All-Servers'!G193,'All-Servers'!$H193)</f>
        <v>20</v>
      </c>
    </row>
    <row r="184" spans="8:11">
      <c r="H184" s="60">
        <f>PRODUCT('All-Servers'!D194,'All-Servers'!$H194)</f>
        <v>8</v>
      </c>
      <c r="I184" s="60">
        <f>PRODUCT('All-Servers'!E194,'All-Servers'!$H194)</f>
        <v>30000</v>
      </c>
      <c r="J184" s="60">
        <f>PRODUCT('All-Servers'!F194,'All-Servers'!$H194)</f>
        <v>160</v>
      </c>
      <c r="K184" s="60">
        <f>PRODUCT('All-Servers'!G194,'All-Servers'!$H194)</f>
        <v>820</v>
      </c>
    </row>
    <row r="185" spans="8:11">
      <c r="H185" s="60">
        <f>PRODUCT('All-Servers'!D195,'All-Servers'!$H195)</f>
        <v>1</v>
      </c>
      <c r="I185" s="60">
        <f>PRODUCT('All-Servers'!E195,'All-Servers'!$H195)</f>
        <v>1700</v>
      </c>
      <c r="J185" s="60">
        <f>PRODUCT('All-Servers'!F195,'All-Servers'!$H195)</f>
        <v>160</v>
      </c>
      <c r="K185" s="60">
        <f>PRODUCT('All-Servers'!G195,'All-Servers'!$H195)</f>
        <v>20</v>
      </c>
    </row>
    <row r="186" spans="8:11">
      <c r="H186" s="60">
        <f>PRODUCT('All-Servers'!D196,'All-Servers'!$H196)</f>
        <v>2</v>
      </c>
      <c r="I186" s="60">
        <f>PRODUCT('All-Servers'!E196,'All-Servers'!$H196)</f>
        <v>7500</v>
      </c>
      <c r="J186" s="60">
        <f>PRODUCT('All-Servers'!F196,'All-Servers'!$H196)</f>
        <v>850</v>
      </c>
      <c r="K186" s="60">
        <f>PRODUCT('All-Servers'!G196,'All-Servers'!$H196)</f>
        <v>20</v>
      </c>
    </row>
    <row r="187" spans="8:11">
      <c r="H187" s="60">
        <f>PRODUCT('All-Servers'!D197,'All-Servers'!$H197)</f>
        <v>1</v>
      </c>
      <c r="I187" s="60">
        <f>PRODUCT('All-Servers'!E197,'All-Servers'!$H197)</f>
        <v>1700</v>
      </c>
      <c r="J187" s="60">
        <f>PRODUCT('All-Servers'!F197,'All-Servers'!$H197)</f>
        <v>160</v>
      </c>
      <c r="K187" s="60">
        <f>PRODUCT('All-Servers'!G197,'All-Servers'!$H197)</f>
        <v>20</v>
      </c>
    </row>
    <row r="188" spans="8:11">
      <c r="H188" s="60">
        <f>PRODUCT('All-Servers'!D198,'All-Servers'!$H198)</f>
        <v>1</v>
      </c>
      <c r="I188" s="60">
        <f>PRODUCT('All-Servers'!E198,'All-Servers'!$H198)</f>
        <v>2000</v>
      </c>
      <c r="J188" s="60">
        <f>PRODUCT('All-Servers'!F198,'All-Servers'!$H198)</f>
        <v>0</v>
      </c>
      <c r="K188" s="60">
        <f>PRODUCT('All-Servers'!G198,'All-Servers'!$H198)</f>
        <v>20</v>
      </c>
    </row>
    <row r="189" spans="8:11">
      <c r="H189" s="60">
        <f>PRODUCT('All-Servers'!D199,'All-Servers'!$H199)</f>
        <v>1</v>
      </c>
      <c r="I189" s="60">
        <f>PRODUCT('All-Servers'!E199,'All-Servers'!$H199)</f>
        <v>2000</v>
      </c>
      <c r="J189" s="60">
        <f>PRODUCT('All-Servers'!F199,'All-Servers'!$H199)</f>
        <v>0</v>
      </c>
      <c r="K189" s="60">
        <f>PRODUCT('All-Servers'!G199,'All-Servers'!$H199)</f>
        <v>20</v>
      </c>
    </row>
    <row r="190" spans="8:11">
      <c r="H190" s="60">
        <f>PRODUCT('All-Servers'!D200,'All-Servers'!$H200)</f>
        <v>4</v>
      </c>
      <c r="I190" s="60">
        <f>PRODUCT('All-Servers'!E200,'All-Servers'!$H200)</f>
        <v>15000</v>
      </c>
      <c r="J190" s="60">
        <f>PRODUCT('All-Servers'!F200,'All-Servers'!$H200)</f>
        <v>80</v>
      </c>
      <c r="K190" s="60">
        <f>PRODUCT('All-Servers'!G200,'All-Servers'!$H200)</f>
        <v>20</v>
      </c>
    </row>
    <row r="191" spans="8:11">
      <c r="H191" s="60">
        <f>PRODUCT('All-Servers'!D201,'All-Servers'!$H201)</f>
        <v>1</v>
      </c>
      <c r="I191" s="60">
        <f>PRODUCT('All-Servers'!E201,'All-Servers'!$H201)</f>
        <v>2000</v>
      </c>
      <c r="J191" s="60">
        <f>PRODUCT('All-Servers'!F201,'All-Servers'!$H201)</f>
        <v>0</v>
      </c>
      <c r="K191" s="60">
        <f>PRODUCT('All-Servers'!G201,'All-Servers'!$H201)</f>
        <v>20</v>
      </c>
    </row>
    <row r="192" spans="8:11">
      <c r="H192" s="60">
        <f>PRODUCT('All-Servers'!D202,'All-Servers'!$H202)</f>
        <v>1</v>
      </c>
      <c r="I192" s="60">
        <f>PRODUCT('All-Servers'!E202,'All-Servers'!$H202)</f>
        <v>2000</v>
      </c>
      <c r="J192" s="60">
        <f>PRODUCT('All-Servers'!F202,'All-Servers'!$H202)</f>
        <v>0</v>
      </c>
      <c r="K192" s="60">
        <f>PRODUCT('All-Servers'!G202,'All-Servers'!$H202)</f>
        <v>420</v>
      </c>
    </row>
    <row r="193" spans="8:11">
      <c r="H193" s="60">
        <f>PRODUCT('All-Servers'!D203,'All-Servers'!$H203)</f>
        <v>1</v>
      </c>
      <c r="I193" s="60">
        <f>PRODUCT('All-Servers'!E203,'All-Servers'!$H203)</f>
        <v>1700</v>
      </c>
      <c r="J193" s="60">
        <f>PRODUCT('All-Servers'!F203,'All-Servers'!$H203)</f>
        <v>160</v>
      </c>
      <c r="K193" s="60">
        <f>PRODUCT('All-Servers'!G203,'All-Servers'!$H203)</f>
        <v>20</v>
      </c>
    </row>
    <row r="194" spans="8:11">
      <c r="H194" s="60">
        <f>PRODUCT('All-Servers'!D204,'All-Servers'!$H204)</f>
        <v>4</v>
      </c>
      <c r="I194" s="60">
        <f>PRODUCT('All-Servers'!E204,'All-Servers'!$H204)</f>
        <v>15000</v>
      </c>
      <c r="J194" s="60">
        <f>PRODUCT('All-Servers'!F204,'All-Servers'!$H204)</f>
        <v>80</v>
      </c>
      <c r="K194" s="60">
        <f>PRODUCT('All-Servers'!G204,'All-Servers'!$H204)</f>
        <v>420</v>
      </c>
    </row>
    <row r="195" spans="8:11">
      <c r="H195" s="60">
        <f>PRODUCT('All-Servers'!D205,'All-Servers'!$H205)</f>
        <v>1</v>
      </c>
      <c r="I195" s="60">
        <f>PRODUCT('All-Servers'!E205,'All-Servers'!$H205)</f>
        <v>1700</v>
      </c>
      <c r="J195" s="60">
        <f>PRODUCT('All-Servers'!F205,'All-Servers'!$H205)</f>
        <v>160</v>
      </c>
      <c r="K195" s="60">
        <f>PRODUCT('All-Servers'!G205,'All-Servers'!$H205)</f>
        <v>20</v>
      </c>
    </row>
    <row r="196" spans="8:11">
      <c r="H196" s="60">
        <f>PRODUCT('All-Servers'!D206,'All-Servers'!$H206)</f>
        <v>2</v>
      </c>
      <c r="I196" s="60">
        <f>PRODUCT('All-Servers'!E206,'All-Servers'!$H206)</f>
        <v>3750</v>
      </c>
      <c r="J196" s="60">
        <f>PRODUCT('All-Servers'!F206,'All-Servers'!$H206)</f>
        <v>32</v>
      </c>
      <c r="K196" s="60">
        <f>PRODUCT('All-Servers'!G206,'All-Servers'!$H206)</f>
        <v>3992</v>
      </c>
    </row>
    <row r="197" spans="8:11">
      <c r="H197" s="60">
        <f>PRODUCT('All-Servers'!D207,'All-Servers'!$H207)</f>
        <v>1</v>
      </c>
      <c r="I197" s="60">
        <f>PRODUCT('All-Servers'!E207,'All-Servers'!$H207)</f>
        <v>1700</v>
      </c>
      <c r="J197" s="60">
        <f>PRODUCT('All-Servers'!F207,'All-Servers'!$H207)</f>
        <v>160</v>
      </c>
      <c r="K197" s="60">
        <f>PRODUCT('All-Servers'!G207,'All-Servers'!$H207)</f>
        <v>20</v>
      </c>
    </row>
    <row r="198" spans="8:11">
      <c r="H198" s="60">
        <f>PRODUCT('All-Servers'!D208,'All-Servers'!$H208)</f>
        <v>1</v>
      </c>
      <c r="I198" s="60">
        <f>PRODUCT('All-Servers'!E208,'All-Servers'!$H208)</f>
        <v>1700</v>
      </c>
      <c r="J198" s="60">
        <f>PRODUCT('All-Servers'!F208,'All-Servers'!$H208)</f>
        <v>160</v>
      </c>
      <c r="K198" s="60">
        <f>PRODUCT('All-Servers'!G208,'All-Servers'!$H208)</f>
        <v>20</v>
      </c>
    </row>
    <row r="199" spans="8:11">
      <c r="H199" s="60">
        <f>PRODUCT('All-Servers'!D209,'All-Servers'!$H209)</f>
        <v>1</v>
      </c>
      <c r="I199" s="60">
        <f>PRODUCT('All-Servers'!E209,'All-Servers'!$H209)</f>
        <v>1700</v>
      </c>
      <c r="J199" s="60">
        <f>PRODUCT('All-Servers'!F209,'All-Servers'!$H209)</f>
        <v>160</v>
      </c>
      <c r="K199" s="60">
        <f>PRODUCT('All-Servers'!G209,'All-Servers'!$H209)</f>
        <v>20</v>
      </c>
    </row>
    <row r="200" spans="8:11">
      <c r="H200" s="60">
        <f>PRODUCT('All-Servers'!D210,'All-Servers'!$H210)</f>
        <v>2</v>
      </c>
      <c r="I200" s="60">
        <f>PRODUCT('All-Servers'!E210,'All-Servers'!$H210)</f>
        <v>7500</v>
      </c>
      <c r="J200" s="60">
        <f>PRODUCT('All-Servers'!F210,'All-Servers'!$H210)</f>
        <v>32</v>
      </c>
      <c r="K200" s="60">
        <f>PRODUCT('All-Servers'!G210,'All-Servers'!$H210)</f>
        <v>420</v>
      </c>
    </row>
    <row r="201" spans="8:11">
      <c r="H201" s="60">
        <f>PRODUCT('All-Servers'!D211,'All-Servers'!$H211)</f>
        <v>1</v>
      </c>
      <c r="I201" s="60">
        <f>PRODUCT('All-Servers'!E211,'All-Servers'!$H211)</f>
        <v>2000</v>
      </c>
      <c r="J201" s="60">
        <f>PRODUCT('All-Servers'!F211,'All-Servers'!$H211)</f>
        <v>0</v>
      </c>
      <c r="K201" s="60">
        <f>PRODUCT('All-Servers'!G211,'All-Servers'!$H211)</f>
        <v>20</v>
      </c>
    </row>
    <row r="202" spans="8:11">
      <c r="H202" s="60">
        <f>PRODUCT('All-Servers'!D212,'All-Servers'!$H212)</f>
        <v>1</v>
      </c>
      <c r="I202" s="60">
        <f>PRODUCT('All-Servers'!E212,'All-Servers'!$H212)</f>
        <v>3750</v>
      </c>
      <c r="J202" s="60">
        <f>PRODUCT('All-Servers'!F212,'All-Servers'!$H212)</f>
        <v>4</v>
      </c>
      <c r="K202" s="60">
        <f>PRODUCT('All-Servers'!G212,'All-Servers'!$H212)</f>
        <v>420</v>
      </c>
    </row>
    <row r="203" spans="8:11">
      <c r="H203" s="60">
        <f>PRODUCT('All-Servers'!D213,'All-Servers'!$H213)</f>
        <v>4</v>
      </c>
      <c r="I203" s="60">
        <f>PRODUCT('All-Servers'!E213,'All-Servers'!$H213)</f>
        <v>15000</v>
      </c>
      <c r="J203" s="60">
        <f>PRODUCT('All-Servers'!F213,'All-Servers'!$H213)</f>
        <v>80</v>
      </c>
      <c r="K203" s="60">
        <f>PRODUCT('All-Servers'!G213,'All-Servers'!$H213)</f>
        <v>420</v>
      </c>
    </row>
    <row r="204" spans="8:11">
      <c r="H204" s="60">
        <f>PRODUCT('All-Servers'!D214,'All-Servers'!$H214)</f>
        <v>1</v>
      </c>
      <c r="I204" s="60">
        <f>PRODUCT('All-Servers'!E214,'All-Servers'!$H214)</f>
        <v>1700</v>
      </c>
      <c r="J204" s="60">
        <f>PRODUCT('All-Servers'!F214,'All-Servers'!$H214)</f>
        <v>160</v>
      </c>
      <c r="K204" s="60">
        <f>PRODUCT('All-Servers'!G214,'All-Servers'!$H214)</f>
        <v>20</v>
      </c>
    </row>
    <row r="205" spans="8:11">
      <c r="H205" s="60">
        <f>PRODUCT('All-Servers'!D215,'All-Servers'!$H215)</f>
        <v>4</v>
      </c>
      <c r="I205" s="60">
        <f>PRODUCT('All-Servers'!E215,'All-Servers'!$H215)</f>
        <v>15000</v>
      </c>
      <c r="J205" s="60">
        <f>PRODUCT('All-Servers'!F215,'All-Servers'!$H215)</f>
        <v>80</v>
      </c>
      <c r="K205" s="60">
        <f>PRODUCT('All-Servers'!G215,'All-Servers'!$H215)</f>
        <v>420</v>
      </c>
    </row>
    <row r="206" spans="8:11">
      <c r="H206" s="60">
        <f>PRODUCT('All-Servers'!D216,'All-Servers'!$H216)</f>
        <v>1</v>
      </c>
      <c r="I206" s="60">
        <f>PRODUCT('All-Servers'!E216,'All-Servers'!$H216)</f>
        <v>3750</v>
      </c>
      <c r="J206" s="60">
        <f>PRODUCT('All-Servers'!F216,'All-Servers'!$H216)</f>
        <v>4</v>
      </c>
      <c r="K206" s="60">
        <f>PRODUCT('All-Servers'!G216,'All-Servers'!$H216)</f>
        <v>420</v>
      </c>
    </row>
    <row r="207" spans="8:11">
      <c r="H207" s="60">
        <f>PRODUCT('All-Servers'!D217,'All-Servers'!$H217)</f>
        <v>8</v>
      </c>
      <c r="I207" s="60">
        <f>PRODUCT('All-Servers'!E217,'All-Servers'!$H217)</f>
        <v>61000</v>
      </c>
      <c r="J207" s="60">
        <f>PRODUCT('All-Servers'!F217,'All-Servers'!$H217)</f>
        <v>1440</v>
      </c>
      <c r="K207" s="60">
        <f>PRODUCT('All-Servers'!G217,'All-Servers'!$H217)</f>
        <v>20</v>
      </c>
    </row>
    <row r="208" spans="8:11">
      <c r="H208" s="60">
        <f>PRODUCT('All-Servers'!D218,'All-Servers'!$H218)</f>
        <v>8</v>
      </c>
      <c r="I208" s="60">
        <f>PRODUCT('All-Servers'!E218,'All-Servers'!$H218)</f>
        <v>30000</v>
      </c>
      <c r="J208" s="60">
        <f>PRODUCT('All-Servers'!F218,'All-Servers'!$H218)</f>
        <v>160</v>
      </c>
      <c r="K208" s="60">
        <f>PRODUCT('All-Servers'!G218,'All-Servers'!$H218)</f>
        <v>1820</v>
      </c>
    </row>
    <row r="209" spans="8:11">
      <c r="H209" s="60">
        <f>PRODUCT('All-Servers'!D219,'All-Servers'!$H219)</f>
        <v>1</v>
      </c>
      <c r="I209" s="60">
        <f>PRODUCT('All-Servers'!E219,'All-Servers'!$H219)</f>
        <v>1700</v>
      </c>
      <c r="J209" s="60">
        <f>PRODUCT('All-Servers'!F219,'All-Servers'!$H219)</f>
        <v>160</v>
      </c>
      <c r="K209" s="60">
        <f>PRODUCT('All-Servers'!G219,'All-Servers'!$H219)</f>
        <v>20</v>
      </c>
    </row>
    <row r="210" spans="8:11">
      <c r="H210" s="60">
        <f>PRODUCT('All-Servers'!D220,'All-Servers'!$H220)</f>
        <v>4</v>
      </c>
      <c r="I210" s="60">
        <f>PRODUCT('All-Servers'!E220,'All-Servers'!$H220)</f>
        <v>15000</v>
      </c>
      <c r="J210" s="60">
        <f>PRODUCT('All-Servers'!F220,'All-Servers'!$H220)</f>
        <v>80</v>
      </c>
      <c r="K210" s="60">
        <f>PRODUCT('All-Servers'!G220,'All-Servers'!$H220)</f>
        <v>420</v>
      </c>
    </row>
    <row r="211" spans="8:11">
      <c r="H211" s="60">
        <f>PRODUCT('All-Servers'!D221,'All-Servers'!$H221)</f>
        <v>1</v>
      </c>
      <c r="I211" s="60">
        <f>PRODUCT('All-Servers'!E221,'All-Servers'!$H221)</f>
        <v>1700</v>
      </c>
      <c r="J211" s="60">
        <f>PRODUCT('All-Servers'!F221,'All-Servers'!$H221)</f>
        <v>160</v>
      </c>
      <c r="K211" s="60">
        <f>PRODUCT('All-Servers'!G221,'All-Servers'!$H221)</f>
        <v>20</v>
      </c>
    </row>
    <row r="212" spans="8:11">
      <c r="H212" s="60">
        <f>PRODUCT('All-Servers'!D222,'All-Servers'!$H222)</f>
        <v>1</v>
      </c>
      <c r="I212" s="60">
        <f>PRODUCT('All-Servers'!E222,'All-Servers'!$H222)</f>
        <v>1700</v>
      </c>
      <c r="J212" s="60">
        <f>PRODUCT('All-Servers'!F222,'All-Servers'!$H222)</f>
        <v>160</v>
      </c>
      <c r="K212" s="60">
        <f>PRODUCT('All-Servers'!G222,'All-Servers'!$H222)</f>
        <v>20</v>
      </c>
    </row>
    <row r="213" spans="8:11">
      <c r="H213" s="60">
        <f>PRODUCT('All-Servers'!D223,'All-Servers'!$H223)</f>
        <v>1</v>
      </c>
      <c r="I213" s="60">
        <f>PRODUCT('All-Servers'!E223,'All-Servers'!$H223)</f>
        <v>1700</v>
      </c>
      <c r="J213" s="60">
        <f>PRODUCT('All-Servers'!F223,'All-Servers'!$H223)</f>
        <v>160</v>
      </c>
      <c r="K213" s="60">
        <f>PRODUCT('All-Servers'!G223,'All-Servers'!$H223)</f>
        <v>20</v>
      </c>
    </row>
    <row r="214" spans="8:11">
      <c r="H214" s="60">
        <f>PRODUCT('All-Servers'!D224,'All-Servers'!$H224)</f>
        <v>1</v>
      </c>
      <c r="I214" s="60">
        <f>PRODUCT('All-Servers'!E224,'All-Servers'!$H224)</f>
        <v>1700</v>
      </c>
      <c r="J214" s="60">
        <f>PRODUCT('All-Servers'!F224,'All-Servers'!$H224)</f>
        <v>160</v>
      </c>
      <c r="K214" s="60">
        <f>PRODUCT('All-Servers'!G224,'All-Servers'!$H224)</f>
        <v>520</v>
      </c>
    </row>
    <row r="215" spans="8:11">
      <c r="H215" s="60">
        <f>PRODUCT('All-Servers'!D225,'All-Servers'!$H225)</f>
        <v>1</v>
      </c>
      <c r="I215" s="60">
        <f>PRODUCT('All-Servers'!E225,'All-Servers'!$H225)</f>
        <v>1700</v>
      </c>
      <c r="J215" s="60">
        <f>PRODUCT('All-Servers'!F225,'All-Servers'!$H225)</f>
        <v>160</v>
      </c>
      <c r="K215" s="60">
        <f>PRODUCT('All-Servers'!G225,'All-Servers'!$H225)</f>
        <v>20</v>
      </c>
    </row>
    <row r="216" spans="8:11">
      <c r="H216" s="60">
        <f>PRODUCT('All-Servers'!D226,'All-Servers'!$H226)</f>
        <v>1</v>
      </c>
      <c r="I216" s="60">
        <f>PRODUCT('All-Servers'!E226,'All-Servers'!$H226)</f>
        <v>3750</v>
      </c>
      <c r="J216" s="60">
        <f>PRODUCT('All-Servers'!F226,'All-Servers'!$H226)</f>
        <v>4</v>
      </c>
      <c r="K216" s="60">
        <f>PRODUCT('All-Servers'!G226,'All-Servers'!$H226)</f>
        <v>820</v>
      </c>
    </row>
    <row r="217" spans="8:11">
      <c r="H217" s="60">
        <f>PRODUCT('All-Servers'!D227,'All-Servers'!$H227)</f>
        <v>2</v>
      </c>
      <c r="I217" s="60">
        <f>PRODUCT('All-Servers'!E227,'All-Servers'!$H227)</f>
        <v>7500</v>
      </c>
      <c r="J217" s="60">
        <f>PRODUCT('All-Servers'!F227,'All-Servers'!$H227)</f>
        <v>32</v>
      </c>
      <c r="K217" s="60">
        <f>PRODUCT('All-Servers'!G227,'All-Servers'!$H227)</f>
        <v>420</v>
      </c>
    </row>
    <row r="218" spans="8:11">
      <c r="H218" s="60">
        <f>PRODUCT('All-Servers'!D228,'All-Servers'!$H228)</f>
        <v>1</v>
      </c>
      <c r="I218" s="60">
        <f>PRODUCT('All-Servers'!E228,'All-Servers'!$H228)</f>
        <v>2000</v>
      </c>
      <c r="J218" s="60">
        <f>PRODUCT('All-Servers'!F228,'All-Servers'!$H228)</f>
        <v>0</v>
      </c>
      <c r="K218" s="60">
        <f>PRODUCT('All-Servers'!G228,'All-Servers'!$H228)</f>
        <v>20</v>
      </c>
    </row>
    <row r="219" spans="8:11">
      <c r="H219" s="60">
        <f>PRODUCT('All-Servers'!D229,'All-Servers'!$H229)</f>
        <v>1</v>
      </c>
      <c r="I219" s="60">
        <f>PRODUCT('All-Servers'!E229,'All-Servers'!$H229)</f>
        <v>2000</v>
      </c>
      <c r="J219" s="60">
        <f>PRODUCT('All-Servers'!F229,'All-Servers'!$H229)</f>
        <v>0</v>
      </c>
      <c r="K219" s="60">
        <f>PRODUCT('All-Servers'!G229,'All-Servers'!$H229)</f>
        <v>420</v>
      </c>
    </row>
    <row r="220" spans="8:11">
      <c r="H220" s="60">
        <f>PRODUCT('All-Servers'!D230,'All-Servers'!$H230)</f>
        <v>4</v>
      </c>
      <c r="I220" s="60">
        <f>PRODUCT('All-Servers'!E230,'All-Servers'!$H230)</f>
        <v>15000</v>
      </c>
      <c r="J220" s="60">
        <f>PRODUCT('All-Servers'!F230,'All-Servers'!$H230)</f>
        <v>80</v>
      </c>
      <c r="K220" s="60">
        <f>PRODUCT('All-Servers'!G230,'All-Servers'!$H230)</f>
        <v>420</v>
      </c>
    </row>
    <row r="221" spans="8:11">
      <c r="H221" s="60">
        <f>PRODUCT('All-Servers'!D231,'All-Servers'!$H231)</f>
        <v>1</v>
      </c>
      <c r="I221" s="60">
        <f>PRODUCT('All-Servers'!E231,'All-Servers'!$H231)</f>
        <v>1700</v>
      </c>
      <c r="J221" s="60">
        <f>PRODUCT('All-Servers'!F231,'All-Servers'!$H231)</f>
        <v>160</v>
      </c>
      <c r="K221" s="60">
        <f>PRODUCT('All-Servers'!G231,'All-Servers'!$H231)</f>
        <v>20</v>
      </c>
    </row>
    <row r="222" spans="8:11">
      <c r="H222" s="60">
        <f>PRODUCT('All-Servers'!D232,'All-Servers'!$H232)</f>
        <v>1</v>
      </c>
      <c r="I222" s="60">
        <f>PRODUCT('All-Servers'!E232,'All-Servers'!$H232)</f>
        <v>615</v>
      </c>
      <c r="J222" s="60">
        <f>PRODUCT('All-Servers'!F232,'All-Servers'!$H232)</f>
        <v>160</v>
      </c>
      <c r="K222" s="60">
        <f>PRODUCT('All-Servers'!G232,'All-Servers'!$H232)</f>
        <v>8</v>
      </c>
    </row>
    <row r="223" spans="8:11">
      <c r="H223" s="60">
        <f>PRODUCT('All-Servers'!D233,'All-Servers'!$H233)</f>
        <v>1</v>
      </c>
      <c r="I223" s="60">
        <f>PRODUCT('All-Servers'!E233,'All-Servers'!$H233)</f>
        <v>1700</v>
      </c>
      <c r="J223" s="60">
        <f>PRODUCT('All-Servers'!F233,'All-Servers'!$H233)</f>
        <v>160</v>
      </c>
      <c r="K223" s="60">
        <f>PRODUCT('All-Servers'!G233,'All-Servers'!$H233)</f>
        <v>520</v>
      </c>
    </row>
    <row r="224" spans="8:11">
      <c r="H224" s="60">
        <f>PRODUCT('All-Servers'!D234,'All-Servers'!$H234)</f>
        <v>8</v>
      </c>
      <c r="I224" s="60">
        <f>PRODUCT('All-Servers'!E234,'All-Servers'!$H234)</f>
        <v>15000</v>
      </c>
      <c r="J224" s="60">
        <f>PRODUCT('All-Servers'!F234,'All-Servers'!$H234)</f>
        <v>160</v>
      </c>
      <c r="K224" s="60">
        <f>PRODUCT('All-Servers'!G234,'All-Servers'!$H234)</f>
        <v>20</v>
      </c>
    </row>
    <row r="225" spans="8:11">
      <c r="H225" s="60">
        <f>PRODUCT('All-Servers'!D235,'All-Servers'!$H235)</f>
        <v>1</v>
      </c>
      <c r="I225" s="60">
        <f>PRODUCT('All-Servers'!E235,'All-Servers'!$H235)</f>
        <v>1700</v>
      </c>
      <c r="J225" s="60">
        <f>PRODUCT('All-Servers'!F235,'All-Servers'!$H235)</f>
        <v>160</v>
      </c>
      <c r="K225" s="60">
        <f>PRODUCT('All-Servers'!G235,'All-Servers'!$H235)</f>
        <v>20</v>
      </c>
    </row>
    <row r="226" spans="8:11">
      <c r="H226" s="60">
        <f>PRODUCT('All-Servers'!D236,'All-Servers'!$H236)</f>
        <v>1</v>
      </c>
      <c r="I226" s="60">
        <f>PRODUCT('All-Servers'!E236,'All-Servers'!$H236)</f>
        <v>2000</v>
      </c>
      <c r="J226" s="60">
        <f>PRODUCT('All-Servers'!F236,'All-Servers'!$H236)</f>
        <v>0</v>
      </c>
      <c r="K226" s="60">
        <f>PRODUCT('All-Servers'!G236,'All-Servers'!$H236)</f>
        <v>108</v>
      </c>
    </row>
    <row r="227" spans="8:11">
      <c r="H227" s="60">
        <f>PRODUCT('All-Servers'!D237,'All-Servers'!$H237)</f>
        <v>1</v>
      </c>
      <c r="I227" s="60">
        <f>PRODUCT('All-Servers'!E237,'All-Servers'!$H237)</f>
        <v>1700</v>
      </c>
      <c r="J227" s="60">
        <f>PRODUCT('All-Servers'!F237,'All-Servers'!$H237)</f>
        <v>160</v>
      </c>
      <c r="K227" s="60">
        <f>PRODUCT('All-Servers'!G237,'All-Servers'!$H237)</f>
        <v>820</v>
      </c>
    </row>
    <row r="228" spans="8:11">
      <c r="H228" s="60">
        <f>PRODUCT('All-Servers'!D238,'All-Servers'!$H238)</f>
        <v>2</v>
      </c>
      <c r="I228" s="60">
        <f>PRODUCT('All-Servers'!E238,'All-Servers'!$H238)</f>
        <v>4000</v>
      </c>
      <c r="J228" s="60">
        <f>PRODUCT('All-Servers'!F238,'All-Servers'!$H238)</f>
        <v>0</v>
      </c>
      <c r="K228" s="60">
        <f>PRODUCT('All-Servers'!G238,'All-Servers'!$H238)</f>
        <v>20</v>
      </c>
    </row>
    <row r="229" spans="8:11">
      <c r="H229" s="60">
        <f>PRODUCT('All-Servers'!D239,'All-Servers'!$H239)</f>
        <v>2</v>
      </c>
      <c r="I229" s="60">
        <f>PRODUCT('All-Servers'!E239,'All-Servers'!$H239)</f>
        <v>7500</v>
      </c>
      <c r="J229" s="60">
        <f>PRODUCT('All-Servers'!F239,'All-Servers'!$H239)</f>
        <v>32</v>
      </c>
      <c r="K229" s="60">
        <f>PRODUCT('All-Servers'!G239,'All-Servers'!$H239)</f>
        <v>420</v>
      </c>
    </row>
    <row r="230" spans="8:11">
      <c r="H230" s="60">
        <f>PRODUCT('All-Servers'!D240,'All-Servers'!$H240)</f>
        <v>8</v>
      </c>
      <c r="I230" s="60">
        <f>PRODUCT('All-Servers'!E240,'All-Servers'!$H240)</f>
        <v>30000</v>
      </c>
      <c r="J230" s="60">
        <f>PRODUCT('All-Servers'!F240,'All-Servers'!$H240)</f>
        <v>160</v>
      </c>
      <c r="K230" s="60">
        <f>PRODUCT('All-Servers'!G240,'All-Servers'!$H240)</f>
        <v>420</v>
      </c>
    </row>
    <row r="231" spans="8:11">
      <c r="H231" s="60">
        <f>PRODUCT('All-Servers'!D241,'All-Servers'!$H241)</f>
        <v>1</v>
      </c>
      <c r="I231" s="60">
        <f>PRODUCT('All-Servers'!E241,'All-Servers'!$H241)</f>
        <v>1700</v>
      </c>
      <c r="J231" s="60">
        <f>PRODUCT('All-Servers'!F241,'All-Servers'!$H241)</f>
        <v>160</v>
      </c>
      <c r="K231" s="60">
        <f>PRODUCT('All-Servers'!G241,'All-Servers'!$H241)</f>
        <v>20</v>
      </c>
    </row>
    <row r="232" spans="8:11">
      <c r="H232" s="60">
        <f>PRODUCT('All-Servers'!D242,'All-Servers'!$H242)</f>
        <v>1</v>
      </c>
      <c r="I232" s="60">
        <f>PRODUCT('All-Servers'!E242,'All-Servers'!$H242)</f>
        <v>1700</v>
      </c>
      <c r="J232" s="60">
        <f>PRODUCT('All-Servers'!F242,'All-Servers'!$H242)</f>
        <v>160</v>
      </c>
      <c r="K232" s="60">
        <f>PRODUCT('All-Servers'!G242,'All-Servers'!$H242)</f>
        <v>20</v>
      </c>
    </row>
    <row r="233" spans="8:11">
      <c r="H233" s="60">
        <f>PRODUCT('All-Servers'!D243,'All-Servers'!$H243)</f>
        <v>4</v>
      </c>
      <c r="I233" s="60">
        <f>PRODUCT('All-Servers'!E243,'All-Servers'!$H243)</f>
        <v>15000</v>
      </c>
      <c r="J233" s="60">
        <f>PRODUCT('All-Servers'!F243,'All-Servers'!$H243)</f>
        <v>80</v>
      </c>
      <c r="K233" s="60">
        <f>PRODUCT('All-Servers'!G243,'All-Servers'!$H243)</f>
        <v>1820</v>
      </c>
    </row>
    <row r="234" spans="8:11">
      <c r="H234" s="60">
        <f>PRODUCT('All-Servers'!D244,'All-Servers'!$H244)</f>
        <v>1</v>
      </c>
      <c r="I234" s="60">
        <f>PRODUCT('All-Servers'!E244,'All-Servers'!$H244)</f>
        <v>1700</v>
      </c>
      <c r="J234" s="60">
        <f>PRODUCT('All-Servers'!F244,'All-Servers'!$H244)</f>
        <v>160</v>
      </c>
      <c r="K234" s="60">
        <f>PRODUCT('All-Servers'!G244,'All-Servers'!$H244)</f>
        <v>420</v>
      </c>
    </row>
    <row r="235" spans="8:11">
      <c r="H235" s="60">
        <f>PRODUCT('All-Servers'!D245,'All-Servers'!$H245)</f>
        <v>1</v>
      </c>
      <c r="I235" s="60">
        <f>PRODUCT('All-Servers'!E245,'All-Servers'!$H245)</f>
        <v>2000</v>
      </c>
      <c r="J235" s="60">
        <f>PRODUCT('All-Servers'!F245,'All-Servers'!$H245)</f>
        <v>0</v>
      </c>
      <c r="K235" s="60">
        <f>PRODUCT('All-Servers'!G245,'All-Servers'!$H245)</f>
        <v>220</v>
      </c>
    </row>
    <row r="236" spans="8:11">
      <c r="H236" s="60">
        <f>PRODUCT('All-Servers'!D246,'All-Servers'!$H246)</f>
        <v>1</v>
      </c>
      <c r="I236" s="60">
        <f>PRODUCT('All-Servers'!E246,'All-Servers'!$H246)</f>
        <v>2000</v>
      </c>
      <c r="J236" s="60">
        <f>PRODUCT('All-Servers'!F246,'All-Servers'!$H246)</f>
        <v>0</v>
      </c>
      <c r="K236" s="60">
        <f>PRODUCT('All-Servers'!G246,'All-Servers'!$H246)</f>
        <v>820</v>
      </c>
    </row>
    <row r="237" spans="8:11">
      <c r="H237" s="60">
        <f>PRODUCT('All-Servers'!D247,'All-Servers'!$H247)</f>
        <v>1</v>
      </c>
      <c r="I237" s="60">
        <f>PRODUCT('All-Servers'!E247,'All-Servers'!$H247)</f>
        <v>2000</v>
      </c>
      <c r="J237" s="60">
        <f>PRODUCT('All-Servers'!F247,'All-Servers'!$H247)</f>
        <v>0</v>
      </c>
      <c r="K237" s="60">
        <f>PRODUCT('All-Servers'!G247,'All-Servers'!$H247)</f>
        <v>20</v>
      </c>
    </row>
    <row r="238" spans="8:11">
      <c r="H238" s="60">
        <f>PRODUCT('All-Servers'!D248,'All-Servers'!$H248)</f>
        <v>1</v>
      </c>
      <c r="I238" s="60">
        <f>PRODUCT('All-Servers'!E248,'All-Servers'!$H248)</f>
        <v>1700</v>
      </c>
      <c r="J238" s="60">
        <f>PRODUCT('All-Servers'!F248,'All-Servers'!$H248)</f>
        <v>160</v>
      </c>
      <c r="K238" s="60">
        <f>PRODUCT('All-Servers'!G248,'All-Servers'!$H248)</f>
        <v>20</v>
      </c>
    </row>
    <row r="239" spans="8:11">
      <c r="H239" s="60">
        <f>PRODUCT('All-Servers'!D249,'All-Servers'!$H249)</f>
        <v>1</v>
      </c>
      <c r="I239" s="60">
        <f>PRODUCT('All-Servers'!E249,'All-Servers'!$H249)</f>
        <v>1700</v>
      </c>
      <c r="J239" s="60">
        <f>PRODUCT('All-Servers'!F249,'All-Servers'!$H249)</f>
        <v>160</v>
      </c>
      <c r="K239" s="60">
        <f>PRODUCT('All-Servers'!G249,'All-Servers'!$H249)</f>
        <v>20</v>
      </c>
    </row>
    <row r="240" spans="8:11">
      <c r="H240" s="60">
        <f>PRODUCT('All-Servers'!D250,'All-Servers'!$H250)</f>
        <v>1</v>
      </c>
      <c r="I240" s="60">
        <f>PRODUCT('All-Servers'!E250,'All-Servers'!$H250)</f>
        <v>1700</v>
      </c>
      <c r="J240" s="60">
        <f>PRODUCT('All-Servers'!F250,'All-Servers'!$H250)</f>
        <v>160</v>
      </c>
      <c r="K240" s="60">
        <f>PRODUCT('All-Servers'!G250,'All-Servers'!$H250)</f>
        <v>20</v>
      </c>
    </row>
    <row r="241" spans="8:11">
      <c r="H241" s="60">
        <f>PRODUCT('All-Servers'!D251,'All-Servers'!$H251)</f>
        <v>4</v>
      </c>
      <c r="I241" s="60">
        <f>PRODUCT('All-Servers'!E251,'All-Servers'!$H251)</f>
        <v>15000</v>
      </c>
      <c r="J241" s="60">
        <f>PRODUCT('All-Servers'!F251,'All-Servers'!$H251)</f>
        <v>80</v>
      </c>
      <c r="K241" s="60">
        <f>PRODUCT('All-Servers'!G251,'All-Servers'!$H251)</f>
        <v>820</v>
      </c>
    </row>
    <row r="242" spans="8:11">
      <c r="H242" s="60">
        <f>PRODUCT('All-Servers'!D252,'All-Servers'!$H252)</f>
        <v>1</v>
      </c>
      <c r="I242" s="60">
        <f>PRODUCT('All-Servers'!E252,'All-Servers'!$H252)</f>
        <v>2000</v>
      </c>
      <c r="J242" s="60">
        <f>PRODUCT('All-Servers'!F252,'All-Servers'!$H252)</f>
        <v>0</v>
      </c>
      <c r="K242" s="60">
        <f>PRODUCT('All-Servers'!G252,'All-Servers'!$H252)</f>
        <v>820</v>
      </c>
    </row>
    <row r="243" spans="8:11">
      <c r="H243" s="60">
        <f>PRODUCT('All-Servers'!D253,'All-Servers'!$H253)</f>
        <v>1</v>
      </c>
      <c r="I243" s="60">
        <f>PRODUCT('All-Servers'!E253,'All-Servers'!$H253)</f>
        <v>2000</v>
      </c>
      <c r="J243" s="60">
        <f>PRODUCT('All-Servers'!F253,'All-Servers'!$H253)</f>
        <v>0</v>
      </c>
      <c r="K243" s="60">
        <f>PRODUCT('All-Servers'!G253,'All-Servers'!$H253)</f>
        <v>20</v>
      </c>
    </row>
    <row r="244" spans="8:11">
      <c r="H244" s="60">
        <f>PRODUCT('All-Servers'!D254,'All-Servers'!$H254)</f>
        <v>1</v>
      </c>
      <c r="I244" s="60">
        <f>PRODUCT('All-Servers'!E254,'All-Servers'!$H254)</f>
        <v>1700</v>
      </c>
      <c r="J244" s="60">
        <f>PRODUCT('All-Servers'!F254,'All-Servers'!$H254)</f>
        <v>160</v>
      </c>
      <c r="K244" s="60">
        <f>PRODUCT('All-Servers'!G254,'All-Servers'!$H254)</f>
        <v>20</v>
      </c>
    </row>
    <row r="245" spans="8:11">
      <c r="H245" s="60">
        <f>PRODUCT('All-Servers'!D255,'All-Servers'!$H255)</f>
        <v>1</v>
      </c>
      <c r="I245" s="60">
        <f>PRODUCT('All-Servers'!E255,'All-Servers'!$H255)</f>
        <v>1700</v>
      </c>
      <c r="J245" s="60">
        <f>PRODUCT('All-Servers'!F255,'All-Servers'!$H255)</f>
        <v>160</v>
      </c>
      <c r="K245" s="60">
        <f>PRODUCT('All-Servers'!G255,'All-Servers'!$H255)</f>
        <v>20</v>
      </c>
    </row>
    <row r="246" spans="8:11">
      <c r="H246" s="60">
        <f>PRODUCT('All-Servers'!D256,'All-Servers'!$H256)</f>
        <v>2</v>
      </c>
      <c r="I246" s="60">
        <f>PRODUCT('All-Servers'!E256,'All-Servers'!$H256)</f>
        <v>3750</v>
      </c>
      <c r="J246" s="60">
        <f>PRODUCT('All-Servers'!F256,'All-Servers'!$H256)</f>
        <v>32</v>
      </c>
      <c r="K246" s="60">
        <f>PRODUCT('All-Servers'!G256,'All-Servers'!$H256)</f>
        <v>20</v>
      </c>
    </row>
    <row r="247" spans="8:11">
      <c r="H247" s="60">
        <f>PRODUCT('All-Servers'!D257,'All-Servers'!$H257)</f>
        <v>1</v>
      </c>
      <c r="I247" s="60">
        <f>PRODUCT('All-Servers'!E257,'All-Servers'!$H257)</f>
        <v>2000</v>
      </c>
      <c r="J247" s="60">
        <f>PRODUCT('All-Servers'!F257,'All-Servers'!$H257)</f>
        <v>0</v>
      </c>
      <c r="K247" s="60">
        <f>PRODUCT('All-Servers'!G257,'All-Servers'!$H257)</f>
        <v>420</v>
      </c>
    </row>
    <row r="248" spans="8:11">
      <c r="H248" s="60">
        <f>PRODUCT('All-Servers'!D258,'All-Servers'!$H258)</f>
        <v>1</v>
      </c>
      <c r="I248" s="60">
        <f>PRODUCT('All-Servers'!E258,'All-Servers'!$H258)</f>
        <v>1700</v>
      </c>
      <c r="J248" s="60">
        <f>PRODUCT('All-Servers'!F258,'All-Servers'!$H258)</f>
        <v>160</v>
      </c>
      <c r="K248" s="60">
        <f>PRODUCT('All-Servers'!G258,'All-Servers'!$H258)</f>
        <v>20</v>
      </c>
    </row>
    <row r="249" spans="8:11">
      <c r="H249" s="60">
        <f>PRODUCT('All-Servers'!D259,'All-Servers'!$H259)</f>
        <v>1</v>
      </c>
      <c r="I249" s="60">
        <f>PRODUCT('All-Servers'!E259,'All-Servers'!$H259)</f>
        <v>1700</v>
      </c>
      <c r="J249" s="60">
        <f>PRODUCT('All-Servers'!F259,'All-Servers'!$H259)</f>
        <v>160</v>
      </c>
      <c r="K249" s="60">
        <f>PRODUCT('All-Servers'!G259,'All-Servers'!$H259)</f>
        <v>20</v>
      </c>
    </row>
    <row r="250" spans="8:11">
      <c r="H250" s="60">
        <f>PRODUCT('All-Servers'!D260,'All-Servers'!$H260)</f>
        <v>1</v>
      </c>
      <c r="I250" s="60">
        <f>PRODUCT('All-Servers'!E260,'All-Servers'!$H260)</f>
        <v>2000</v>
      </c>
      <c r="J250" s="60">
        <f>PRODUCT('All-Servers'!F260,'All-Servers'!$H260)</f>
        <v>0</v>
      </c>
      <c r="K250" s="60">
        <f>PRODUCT('All-Servers'!G260,'All-Servers'!$H260)</f>
        <v>820</v>
      </c>
    </row>
    <row r="251" spans="8:11">
      <c r="H251" s="60">
        <f>PRODUCT('All-Servers'!D261,'All-Servers'!$H261)</f>
        <v>1</v>
      </c>
      <c r="I251" s="60">
        <f>PRODUCT('All-Servers'!E261,'All-Servers'!$H261)</f>
        <v>2000</v>
      </c>
      <c r="J251" s="60">
        <f>PRODUCT('All-Servers'!F261,'All-Servers'!$H261)</f>
        <v>0</v>
      </c>
      <c r="K251" s="60">
        <f>PRODUCT('All-Servers'!G261,'All-Servers'!$H261)</f>
        <v>420</v>
      </c>
    </row>
    <row r="252" spans="8:11">
      <c r="H252" s="60">
        <f>PRODUCT('All-Servers'!D262,'All-Servers'!$H262)</f>
        <v>1</v>
      </c>
      <c r="I252" s="60">
        <f>PRODUCT('All-Servers'!E262,'All-Servers'!$H262)</f>
        <v>1700</v>
      </c>
      <c r="J252" s="60">
        <f>PRODUCT('All-Servers'!F262,'All-Servers'!$H262)</f>
        <v>160</v>
      </c>
      <c r="K252" s="60">
        <f>PRODUCT('All-Servers'!G262,'All-Servers'!$H262)</f>
        <v>20</v>
      </c>
    </row>
    <row r="253" spans="8:11">
      <c r="H253" s="60">
        <f>PRODUCT('All-Servers'!D263,'All-Servers'!$H263)</f>
        <v>1</v>
      </c>
      <c r="I253" s="60">
        <f>PRODUCT('All-Servers'!E263,'All-Servers'!$H263)</f>
        <v>1700</v>
      </c>
      <c r="J253" s="60">
        <f>PRODUCT('All-Servers'!F263,'All-Servers'!$H263)</f>
        <v>160</v>
      </c>
      <c r="K253" s="60">
        <f>PRODUCT('All-Servers'!G263,'All-Servers'!$H263)</f>
        <v>20</v>
      </c>
    </row>
    <row r="254" spans="8:11">
      <c r="H254" s="60">
        <f>PRODUCT('All-Servers'!D264,'All-Servers'!$H264)</f>
        <v>8</v>
      </c>
      <c r="I254" s="60">
        <f>PRODUCT('All-Servers'!E264,'All-Servers'!$H264)</f>
        <v>30000</v>
      </c>
      <c r="J254" s="60">
        <f>PRODUCT('All-Servers'!F264,'All-Servers'!$H264)</f>
        <v>160</v>
      </c>
      <c r="K254" s="60">
        <f>PRODUCT('All-Servers'!G264,'All-Servers'!$H264)</f>
        <v>420</v>
      </c>
    </row>
    <row r="255" spans="8:11">
      <c r="H255" s="60">
        <f>PRODUCT('All-Servers'!D265,'All-Servers'!$H265)</f>
        <v>1</v>
      </c>
      <c r="I255" s="60">
        <f>PRODUCT('All-Servers'!E265,'All-Servers'!$H265)</f>
        <v>1700</v>
      </c>
      <c r="J255" s="60">
        <f>PRODUCT('All-Servers'!F265,'All-Servers'!$H265)</f>
        <v>160</v>
      </c>
      <c r="K255" s="60">
        <f>PRODUCT('All-Servers'!G265,'All-Servers'!$H265)</f>
        <v>20</v>
      </c>
    </row>
    <row r="256" spans="8:11">
      <c r="H256" s="60">
        <f>PRODUCT('All-Servers'!D266,'All-Servers'!$H266)</f>
        <v>1</v>
      </c>
      <c r="I256" s="60">
        <f>PRODUCT('All-Servers'!E266,'All-Servers'!$H266)</f>
        <v>1700</v>
      </c>
      <c r="J256" s="60">
        <f>PRODUCT('All-Servers'!F266,'All-Servers'!$H266)</f>
        <v>160</v>
      </c>
      <c r="K256" s="60">
        <f>PRODUCT('All-Servers'!G266,'All-Servers'!$H266)</f>
        <v>20</v>
      </c>
    </row>
    <row r="257" spans="8:11">
      <c r="H257" s="60">
        <f>PRODUCT('All-Servers'!D267,'All-Servers'!$H267)</f>
        <v>8</v>
      </c>
      <c r="I257" s="60">
        <f>PRODUCT('All-Servers'!E267,'All-Servers'!$H267)</f>
        <v>30000</v>
      </c>
      <c r="J257" s="60">
        <f>PRODUCT('All-Servers'!F267,'All-Servers'!$H267)</f>
        <v>160</v>
      </c>
      <c r="K257" s="60">
        <f>PRODUCT('All-Servers'!G267,'All-Servers'!$H267)</f>
        <v>420</v>
      </c>
    </row>
    <row r="258" spans="8:11">
      <c r="H258" s="60">
        <f>PRODUCT('All-Servers'!D268,'All-Servers'!$H268)</f>
        <v>1</v>
      </c>
      <c r="I258" s="60">
        <f>PRODUCT('All-Servers'!E268,'All-Servers'!$H268)</f>
        <v>2000</v>
      </c>
      <c r="J258" s="60">
        <f>PRODUCT('All-Servers'!F268,'All-Servers'!$H268)</f>
        <v>0</v>
      </c>
      <c r="K258" s="60">
        <f>PRODUCT('All-Servers'!G268,'All-Servers'!$H268)</f>
        <v>20</v>
      </c>
    </row>
    <row r="259" spans="8:11">
      <c r="H259" s="60">
        <f>PRODUCT('All-Servers'!D269,'All-Servers'!$H269)</f>
        <v>32</v>
      </c>
      <c r="I259" s="60">
        <f>PRODUCT('All-Servers'!E269,'All-Servers'!$H269)</f>
        <v>60000</v>
      </c>
      <c r="J259" s="60">
        <f>PRODUCT('All-Servers'!F269,'All-Servers'!$H269)</f>
        <v>640</v>
      </c>
      <c r="K259" s="60">
        <f>PRODUCT('All-Servers'!G269,'All-Servers'!$H269)</f>
        <v>20</v>
      </c>
    </row>
    <row r="260" spans="8:11">
      <c r="H260" s="60">
        <f>PRODUCT('All-Servers'!D270,'All-Servers'!$H270)</f>
        <v>1</v>
      </c>
      <c r="I260" s="60">
        <f>PRODUCT('All-Servers'!E270,'All-Servers'!$H270)</f>
        <v>1700</v>
      </c>
      <c r="J260" s="60">
        <f>PRODUCT('All-Servers'!F270,'All-Servers'!$H270)</f>
        <v>160</v>
      </c>
      <c r="K260" s="60">
        <f>PRODUCT('All-Servers'!G270,'All-Servers'!$H270)</f>
        <v>20</v>
      </c>
    </row>
    <row r="261" spans="8:11">
      <c r="H261" s="60">
        <f>PRODUCT('All-Servers'!D271,'All-Servers'!$H271)</f>
        <v>1</v>
      </c>
      <c r="I261" s="60">
        <f>PRODUCT('All-Servers'!E271,'All-Servers'!$H271)</f>
        <v>1700</v>
      </c>
      <c r="J261" s="60">
        <f>PRODUCT('All-Servers'!F271,'All-Servers'!$H271)</f>
        <v>160</v>
      </c>
      <c r="K261" s="60">
        <f>PRODUCT('All-Servers'!G271,'All-Servers'!$H271)</f>
        <v>20</v>
      </c>
    </row>
    <row r="262" spans="8:11">
      <c r="H262" s="60">
        <f>PRODUCT('All-Servers'!D272,'All-Servers'!$H272)</f>
        <v>1</v>
      </c>
      <c r="I262" s="60">
        <f>PRODUCT('All-Servers'!E272,'All-Servers'!$H272)</f>
        <v>1700</v>
      </c>
      <c r="J262" s="60">
        <f>PRODUCT('All-Servers'!F272,'All-Servers'!$H272)</f>
        <v>160</v>
      </c>
      <c r="K262" s="60">
        <f>PRODUCT('All-Servers'!G272,'All-Servers'!$H272)</f>
        <v>20</v>
      </c>
    </row>
    <row r="263" spans="8:11">
      <c r="H263" s="60">
        <f>PRODUCT('All-Servers'!D273,'All-Servers'!$H273)</f>
        <v>1</v>
      </c>
      <c r="I263" s="60">
        <f>PRODUCT('All-Servers'!E273,'All-Servers'!$H273)</f>
        <v>2000</v>
      </c>
      <c r="J263" s="60">
        <f>PRODUCT('All-Servers'!F273,'All-Servers'!$H273)</f>
        <v>0</v>
      </c>
      <c r="K263" s="60">
        <f>PRODUCT('All-Servers'!G273,'All-Servers'!$H273)</f>
        <v>20</v>
      </c>
    </row>
    <row r="264" spans="8:11">
      <c r="H264" s="60">
        <f>PRODUCT('All-Servers'!D274,'All-Servers'!$H274)</f>
        <v>8</v>
      </c>
      <c r="I264" s="60">
        <f>PRODUCT('All-Servers'!E274,'All-Servers'!$H274)</f>
        <v>15000</v>
      </c>
      <c r="J264" s="60">
        <f>PRODUCT('All-Servers'!F274,'All-Servers'!$H274)</f>
        <v>160</v>
      </c>
      <c r="K264" s="60">
        <f>PRODUCT('All-Servers'!G274,'All-Servers'!$H274)</f>
        <v>20</v>
      </c>
    </row>
    <row r="265" spans="8:11">
      <c r="H265" s="60">
        <f>PRODUCT('All-Servers'!D275,'All-Servers'!$H275)</f>
        <v>1</v>
      </c>
      <c r="I265" s="60">
        <f>PRODUCT('All-Servers'!E275,'All-Servers'!$H275)</f>
        <v>1700</v>
      </c>
      <c r="J265" s="60">
        <f>PRODUCT('All-Servers'!F275,'All-Servers'!$H275)</f>
        <v>160</v>
      </c>
      <c r="K265" s="60">
        <f>PRODUCT('All-Servers'!G275,'All-Servers'!$H275)</f>
        <v>220</v>
      </c>
    </row>
    <row r="266" spans="8:11">
      <c r="H266" s="60">
        <f>PRODUCT('All-Servers'!D276,'All-Servers'!$H276)</f>
        <v>1</v>
      </c>
      <c r="I266" s="60">
        <f>PRODUCT('All-Servers'!E276,'All-Servers'!$H276)</f>
        <v>1700</v>
      </c>
      <c r="J266" s="60">
        <f>PRODUCT('All-Servers'!F276,'All-Servers'!$H276)</f>
        <v>160</v>
      </c>
      <c r="K266" s="60">
        <f>PRODUCT('All-Servers'!G276,'All-Servers'!$H276)</f>
        <v>20</v>
      </c>
    </row>
    <row r="267" spans="8:11">
      <c r="H267" s="60">
        <f>PRODUCT('All-Servers'!D277,'All-Servers'!$H277)</f>
        <v>1</v>
      </c>
      <c r="I267" s="60">
        <f>PRODUCT('All-Servers'!E277,'All-Servers'!$H277)</f>
        <v>2000</v>
      </c>
      <c r="J267" s="60">
        <f>PRODUCT('All-Servers'!F277,'All-Servers'!$H277)</f>
        <v>0</v>
      </c>
      <c r="K267" s="60">
        <f>PRODUCT('All-Servers'!G277,'All-Servers'!$H277)</f>
        <v>220</v>
      </c>
    </row>
    <row r="268" spans="8:11">
      <c r="H268" s="60">
        <f>PRODUCT('All-Servers'!D278,'All-Servers'!$H278)</f>
        <v>1</v>
      </c>
      <c r="I268" s="60">
        <f>PRODUCT('All-Servers'!E278,'All-Servers'!$H278)</f>
        <v>1700</v>
      </c>
      <c r="J268" s="60">
        <f>PRODUCT('All-Servers'!F278,'All-Servers'!$H278)</f>
        <v>160</v>
      </c>
      <c r="K268" s="60">
        <f>PRODUCT('All-Servers'!G278,'All-Servers'!$H278)</f>
        <v>20</v>
      </c>
    </row>
    <row r="269" spans="8:11">
      <c r="H269" s="60">
        <f>PRODUCT('All-Servers'!D279,'All-Servers'!$H279)</f>
        <v>1</v>
      </c>
      <c r="I269" s="60">
        <f>PRODUCT('All-Servers'!E279,'All-Servers'!$H279)</f>
        <v>1700</v>
      </c>
      <c r="J269" s="60">
        <f>PRODUCT('All-Servers'!F279,'All-Servers'!$H279)</f>
        <v>160</v>
      </c>
      <c r="K269" s="60">
        <f>PRODUCT('All-Servers'!G279,'All-Servers'!$H279)</f>
        <v>20</v>
      </c>
    </row>
    <row r="270" spans="8:11">
      <c r="H270" s="60">
        <f>PRODUCT('All-Servers'!D280,'All-Servers'!$H280)</f>
        <v>1</v>
      </c>
      <c r="I270" s="60">
        <f>PRODUCT('All-Servers'!E280,'All-Servers'!$H280)</f>
        <v>2000</v>
      </c>
      <c r="J270" s="60">
        <f>PRODUCT('All-Servers'!F280,'All-Servers'!$H280)</f>
        <v>0</v>
      </c>
      <c r="K270" s="60">
        <f>PRODUCT('All-Servers'!G280,'All-Servers'!$H280)</f>
        <v>220</v>
      </c>
    </row>
    <row r="271" spans="8:11">
      <c r="H271" s="60">
        <f>PRODUCT('All-Servers'!D281,'All-Servers'!$H281)</f>
        <v>1</v>
      </c>
      <c r="I271" s="60">
        <f>PRODUCT('All-Servers'!E281,'All-Servers'!$H281)</f>
        <v>1700</v>
      </c>
      <c r="J271" s="60">
        <f>PRODUCT('All-Servers'!F281,'All-Servers'!$H281)</f>
        <v>160</v>
      </c>
      <c r="K271" s="60">
        <f>PRODUCT('All-Servers'!G281,'All-Servers'!$H281)</f>
        <v>20</v>
      </c>
    </row>
    <row r="272" spans="8:11">
      <c r="H272" s="60">
        <f>PRODUCT('All-Servers'!D282,'All-Servers'!$H282)</f>
        <v>1</v>
      </c>
      <c r="I272" s="60">
        <f>PRODUCT('All-Servers'!E282,'All-Servers'!$H282)</f>
        <v>1700</v>
      </c>
      <c r="J272" s="60">
        <f>PRODUCT('All-Servers'!F282,'All-Servers'!$H282)</f>
        <v>160</v>
      </c>
      <c r="K272" s="60">
        <f>PRODUCT('All-Servers'!G282,'All-Servers'!$H282)</f>
        <v>270</v>
      </c>
    </row>
    <row r="273" spans="8:11">
      <c r="H273" s="60">
        <f>PRODUCT('All-Servers'!D283,'All-Servers'!$H283)</f>
        <v>1</v>
      </c>
      <c r="I273" s="60">
        <f>PRODUCT('All-Servers'!E283,'All-Servers'!$H283)</f>
        <v>1700</v>
      </c>
      <c r="J273" s="60">
        <f>PRODUCT('All-Servers'!F283,'All-Servers'!$H283)</f>
        <v>160</v>
      </c>
      <c r="K273" s="60">
        <f>PRODUCT('All-Servers'!G283,'All-Servers'!$H283)</f>
        <v>70</v>
      </c>
    </row>
    <row r="274" spans="8:11">
      <c r="H274" s="60">
        <f>PRODUCT('All-Servers'!D284,'All-Servers'!$H284)</f>
        <v>1</v>
      </c>
      <c r="I274" s="60">
        <f>PRODUCT('All-Servers'!E284,'All-Servers'!$H284)</f>
        <v>1700</v>
      </c>
      <c r="J274" s="60">
        <f>PRODUCT('All-Servers'!F284,'All-Servers'!$H284)</f>
        <v>160</v>
      </c>
      <c r="K274" s="60">
        <f>PRODUCT('All-Servers'!G284,'All-Servers'!$H284)</f>
        <v>20</v>
      </c>
    </row>
    <row r="275" spans="8:11">
      <c r="H275" s="60">
        <f>PRODUCT('All-Servers'!D285,'All-Servers'!$H285)</f>
        <v>2</v>
      </c>
      <c r="I275" s="60">
        <f>PRODUCT('All-Servers'!E285,'All-Servers'!$H285)</f>
        <v>7500</v>
      </c>
      <c r="J275" s="60">
        <f>PRODUCT('All-Servers'!F285,'All-Servers'!$H285)</f>
        <v>32</v>
      </c>
      <c r="K275" s="60">
        <f>PRODUCT('All-Servers'!G285,'All-Servers'!$H285)</f>
        <v>520</v>
      </c>
    </row>
    <row r="276" spans="8:11">
      <c r="H276" s="60">
        <f>PRODUCT('All-Servers'!D286,'All-Servers'!$H286)</f>
        <v>1</v>
      </c>
      <c r="I276" s="60">
        <f>PRODUCT('All-Servers'!E286,'All-Servers'!$H286)</f>
        <v>1700</v>
      </c>
      <c r="J276" s="60">
        <f>PRODUCT('All-Servers'!F286,'All-Servers'!$H286)</f>
        <v>160</v>
      </c>
      <c r="K276" s="60">
        <f>PRODUCT('All-Servers'!G286,'All-Servers'!$H286)</f>
        <v>20</v>
      </c>
    </row>
    <row r="277" spans="8:11">
      <c r="H277" s="60">
        <f>PRODUCT('All-Servers'!D287,'All-Servers'!$H287)</f>
        <v>1</v>
      </c>
      <c r="I277" s="60">
        <f>PRODUCT('All-Servers'!E287,'All-Servers'!$H287)</f>
        <v>615</v>
      </c>
      <c r="J277" s="60">
        <f>PRODUCT('All-Servers'!F287,'All-Servers'!$H287)</f>
        <v>160</v>
      </c>
      <c r="K277" s="60">
        <f>PRODUCT('All-Servers'!G287,'All-Servers'!$H287)</f>
        <v>8</v>
      </c>
    </row>
    <row r="278" spans="8:11">
      <c r="H278" s="60">
        <f>PRODUCT('All-Servers'!D288,'All-Servers'!$H288)</f>
        <v>1</v>
      </c>
      <c r="I278" s="60">
        <f>PRODUCT('All-Servers'!E288,'All-Servers'!$H288)</f>
        <v>1700</v>
      </c>
      <c r="J278" s="60">
        <f>PRODUCT('All-Servers'!F288,'All-Servers'!$H288)</f>
        <v>160</v>
      </c>
      <c r="K278" s="60">
        <f>PRODUCT('All-Servers'!G288,'All-Servers'!$H288)</f>
        <v>70</v>
      </c>
    </row>
    <row r="279" spans="8:11">
      <c r="H279" s="60">
        <f>PRODUCT('All-Servers'!D289,'All-Servers'!$H289)</f>
        <v>2</v>
      </c>
      <c r="I279" s="60">
        <f>PRODUCT('All-Servers'!E289,'All-Servers'!$H289)</f>
        <v>7500</v>
      </c>
      <c r="J279" s="60">
        <f>PRODUCT('All-Servers'!F289,'All-Servers'!$H289)</f>
        <v>32</v>
      </c>
      <c r="K279" s="60">
        <f>PRODUCT('All-Servers'!G289,'All-Servers'!$H289)</f>
        <v>6140</v>
      </c>
    </row>
    <row r="280" spans="8:11">
      <c r="H280" s="60">
        <f>PRODUCT('All-Servers'!D290,'All-Servers'!$H290)</f>
        <v>1</v>
      </c>
      <c r="I280" s="60">
        <f>PRODUCT('All-Servers'!E290,'All-Servers'!$H290)</f>
        <v>2000</v>
      </c>
      <c r="J280" s="60">
        <f>PRODUCT('All-Servers'!F290,'All-Servers'!$H290)</f>
        <v>0</v>
      </c>
      <c r="K280" s="60">
        <f>PRODUCT('All-Servers'!G290,'All-Servers'!$H290)</f>
        <v>420</v>
      </c>
    </row>
    <row r="281" spans="8:11">
      <c r="H281" s="60">
        <f>PRODUCT('All-Servers'!D291,'All-Servers'!$H291)</f>
        <v>1</v>
      </c>
      <c r="I281" s="60">
        <f>PRODUCT('All-Servers'!E291,'All-Servers'!$H291)</f>
        <v>2000</v>
      </c>
      <c r="J281" s="60">
        <f>PRODUCT('All-Servers'!F291,'All-Servers'!$H291)</f>
        <v>0</v>
      </c>
      <c r="K281" s="60">
        <f>PRODUCT('All-Servers'!G291,'All-Servers'!$H291)</f>
        <v>20</v>
      </c>
    </row>
    <row r="282" spans="8:11">
      <c r="H282" s="60">
        <f>PRODUCT('All-Servers'!D292,'All-Servers'!$H292)</f>
        <v>1</v>
      </c>
      <c r="I282" s="60">
        <f>PRODUCT('All-Servers'!E292,'All-Servers'!$H292)</f>
        <v>1700</v>
      </c>
      <c r="J282" s="60">
        <f>PRODUCT('All-Servers'!F292,'All-Servers'!$H292)</f>
        <v>160</v>
      </c>
      <c r="K282" s="60">
        <f>PRODUCT('All-Servers'!G292,'All-Servers'!$H292)</f>
        <v>20</v>
      </c>
    </row>
    <row r="283" spans="8:11">
      <c r="H283" s="60">
        <f>PRODUCT('All-Servers'!D293,'All-Servers'!$H293)</f>
        <v>4</v>
      </c>
      <c r="I283" s="60">
        <f>PRODUCT('All-Servers'!E293,'All-Servers'!$H293)</f>
        <v>15000</v>
      </c>
      <c r="J283" s="60">
        <f>PRODUCT('All-Servers'!F293,'All-Servers'!$H293)</f>
        <v>80</v>
      </c>
      <c r="K283" s="60">
        <f>PRODUCT('All-Servers'!G293,'All-Servers'!$H293)</f>
        <v>820</v>
      </c>
    </row>
    <row r="284" spans="8:11">
      <c r="H284" s="60">
        <f>PRODUCT('All-Servers'!D294,'All-Servers'!$H294)</f>
        <v>2</v>
      </c>
      <c r="I284" s="60">
        <f>PRODUCT('All-Servers'!E294,'All-Servers'!$H294)</f>
        <v>4000</v>
      </c>
      <c r="J284" s="60">
        <f>PRODUCT('All-Servers'!F294,'All-Servers'!$H294)</f>
        <v>0</v>
      </c>
      <c r="K284" s="60">
        <f>PRODUCT('All-Servers'!G294,'All-Servers'!$H294)</f>
        <v>20</v>
      </c>
    </row>
    <row r="285" spans="8:11">
      <c r="H285" s="60">
        <f>PRODUCT('All-Servers'!D295,'All-Servers'!$H295)</f>
        <v>1</v>
      </c>
      <c r="I285" s="60">
        <f>PRODUCT('All-Servers'!E295,'All-Servers'!$H295)</f>
        <v>3750</v>
      </c>
      <c r="J285" s="60">
        <f>PRODUCT('All-Servers'!F295,'All-Servers'!$H295)</f>
        <v>410</v>
      </c>
      <c r="K285" s="60">
        <f>PRODUCT('All-Servers'!G295,'All-Servers'!$H295)</f>
        <v>20</v>
      </c>
    </row>
    <row r="286" spans="8:11">
      <c r="H286" s="60">
        <f>PRODUCT('All-Servers'!D296,'All-Servers'!$H296)</f>
        <v>1</v>
      </c>
      <c r="I286" s="60">
        <f>PRODUCT('All-Servers'!E296,'All-Servers'!$H296)</f>
        <v>1700</v>
      </c>
      <c r="J286" s="60">
        <f>PRODUCT('All-Servers'!F296,'All-Servers'!$H296)</f>
        <v>160</v>
      </c>
      <c r="K286" s="60">
        <f>PRODUCT('All-Servers'!G296,'All-Servers'!$H296)</f>
        <v>820</v>
      </c>
    </row>
    <row r="287" spans="8:11">
      <c r="H287" s="60">
        <f>PRODUCT('All-Servers'!D297,'All-Servers'!$H297)</f>
        <v>8</v>
      </c>
      <c r="I287" s="60">
        <f>PRODUCT('All-Servers'!E297,'All-Servers'!$H297)</f>
        <v>30000</v>
      </c>
      <c r="J287" s="60">
        <f>PRODUCT('All-Servers'!F297,'All-Servers'!$H297)</f>
        <v>160</v>
      </c>
      <c r="K287" s="60">
        <f>PRODUCT('All-Servers'!G297,'All-Servers'!$H297)</f>
        <v>20</v>
      </c>
    </row>
    <row r="288" spans="8:11">
      <c r="H288" s="60">
        <f>PRODUCT('All-Servers'!D298,'All-Servers'!$H298)</f>
        <v>1</v>
      </c>
      <c r="I288" s="60">
        <f>PRODUCT('All-Servers'!E298,'All-Servers'!$H298)</f>
        <v>1700</v>
      </c>
      <c r="J288" s="60">
        <f>PRODUCT('All-Servers'!F298,'All-Servers'!$H298)</f>
        <v>160</v>
      </c>
      <c r="K288" s="60">
        <f>PRODUCT('All-Servers'!G298,'All-Servers'!$H298)</f>
        <v>20</v>
      </c>
    </row>
    <row r="289" spans="8:11">
      <c r="H289" s="60">
        <f>PRODUCT('All-Servers'!D299,'All-Servers'!$H299)</f>
        <v>1</v>
      </c>
      <c r="I289" s="60">
        <f>PRODUCT('All-Servers'!E299,'All-Servers'!$H299)</f>
        <v>2000</v>
      </c>
      <c r="J289" s="60">
        <f>PRODUCT('All-Servers'!F299,'All-Servers'!$H299)</f>
        <v>0</v>
      </c>
      <c r="K289" s="60">
        <f>PRODUCT('All-Servers'!G299,'All-Servers'!$H299)</f>
        <v>108</v>
      </c>
    </row>
    <row r="290" spans="8:11">
      <c r="H290" s="60">
        <f>PRODUCT('All-Servers'!D300,'All-Servers'!$H300)</f>
        <v>1</v>
      </c>
      <c r="I290" s="60">
        <f>PRODUCT('All-Servers'!E300,'All-Servers'!$H300)</f>
        <v>1700</v>
      </c>
      <c r="J290" s="60">
        <f>PRODUCT('All-Servers'!F300,'All-Servers'!$H300)</f>
        <v>160</v>
      </c>
      <c r="K290" s="60">
        <f>PRODUCT('All-Servers'!G300,'All-Servers'!$H300)</f>
        <v>20</v>
      </c>
    </row>
    <row r="291" spans="8:11">
      <c r="H291" s="60">
        <f>PRODUCT('All-Servers'!D301,'All-Servers'!$H301)</f>
        <v>4</v>
      </c>
      <c r="I291" s="60">
        <f>PRODUCT('All-Servers'!E301,'All-Servers'!$H301)</f>
        <v>15000</v>
      </c>
      <c r="J291" s="60">
        <f>PRODUCT('All-Servers'!F301,'All-Servers'!$H301)</f>
        <v>80</v>
      </c>
      <c r="K291" s="60">
        <f>PRODUCT('All-Servers'!G301,'All-Servers'!$H301)</f>
        <v>20</v>
      </c>
    </row>
    <row r="292" spans="8:11">
      <c r="H292" s="60">
        <f>PRODUCT('All-Servers'!D302,'All-Servers'!$H302)</f>
        <v>2</v>
      </c>
      <c r="I292" s="60">
        <f>PRODUCT('All-Servers'!E302,'All-Servers'!$H302)</f>
        <v>3750</v>
      </c>
      <c r="J292" s="60">
        <f>PRODUCT('All-Servers'!F302,'All-Servers'!$H302)</f>
        <v>32</v>
      </c>
      <c r="K292" s="60">
        <f>PRODUCT('All-Servers'!G302,'All-Servers'!$H302)</f>
        <v>20</v>
      </c>
    </row>
    <row r="293" spans="8:11">
      <c r="H293" s="60">
        <f>PRODUCT('All-Servers'!D303,'All-Servers'!$H303)</f>
        <v>2</v>
      </c>
      <c r="I293" s="60">
        <f>PRODUCT('All-Servers'!E303,'All-Servers'!$H303)</f>
        <v>3750</v>
      </c>
      <c r="J293" s="60">
        <f>PRODUCT('All-Servers'!F303,'All-Servers'!$H303)</f>
        <v>32</v>
      </c>
      <c r="K293" s="60">
        <f>PRODUCT('All-Servers'!G303,'All-Servers'!$H303)</f>
        <v>20</v>
      </c>
    </row>
    <row r="294" spans="8:11">
      <c r="H294" s="60">
        <f>PRODUCT('All-Servers'!D304,'All-Servers'!$H304)</f>
        <v>1</v>
      </c>
      <c r="I294" s="60">
        <f>PRODUCT('All-Servers'!E304,'All-Servers'!$H304)</f>
        <v>3750</v>
      </c>
      <c r="J294" s="60">
        <f>PRODUCT('All-Servers'!F304,'All-Servers'!$H304)</f>
        <v>4</v>
      </c>
      <c r="K294" s="60">
        <f>PRODUCT('All-Servers'!G304,'All-Servers'!$H304)</f>
        <v>420</v>
      </c>
    </row>
    <row r="295" spans="8:11">
      <c r="H295" s="60">
        <f>PRODUCT('All-Servers'!D305,'All-Servers'!$H305)</f>
        <v>1</v>
      </c>
      <c r="I295" s="60">
        <f>PRODUCT('All-Servers'!E305,'All-Servers'!$H305)</f>
        <v>2000</v>
      </c>
      <c r="J295" s="60">
        <f>PRODUCT('All-Servers'!F305,'All-Servers'!$H305)</f>
        <v>0</v>
      </c>
      <c r="K295" s="60">
        <f>PRODUCT('All-Servers'!G305,'All-Servers'!$H305)</f>
        <v>20</v>
      </c>
    </row>
    <row r="296" spans="8:11">
      <c r="H296" s="60">
        <f>PRODUCT('All-Servers'!D306,'All-Servers'!$H306)</f>
        <v>1</v>
      </c>
      <c r="I296" s="60">
        <f>PRODUCT('All-Servers'!E306,'All-Servers'!$H306)</f>
        <v>1700</v>
      </c>
      <c r="J296" s="60">
        <f>PRODUCT('All-Servers'!F306,'All-Servers'!$H306)</f>
        <v>160</v>
      </c>
      <c r="K296" s="60">
        <f>PRODUCT('All-Servers'!G306,'All-Servers'!$H306)</f>
        <v>20</v>
      </c>
    </row>
    <row r="297" spans="8:11">
      <c r="H297" s="60">
        <f>PRODUCT('All-Servers'!D307,'All-Servers'!$H307)</f>
        <v>1</v>
      </c>
      <c r="I297" s="60">
        <f>PRODUCT('All-Servers'!E307,'All-Servers'!$H307)</f>
        <v>2000</v>
      </c>
      <c r="J297" s="60">
        <f>PRODUCT('All-Servers'!F307,'All-Servers'!$H307)</f>
        <v>0</v>
      </c>
      <c r="K297" s="60">
        <f>PRODUCT('All-Servers'!G307,'All-Servers'!$H307)</f>
        <v>20</v>
      </c>
    </row>
    <row r="298" spans="8:11">
      <c r="H298" s="60">
        <f>PRODUCT('All-Servers'!D308,'All-Servers'!$H308)</f>
        <v>1</v>
      </c>
      <c r="I298" s="60">
        <f>PRODUCT('All-Servers'!E308,'All-Servers'!$H308)</f>
        <v>1700</v>
      </c>
      <c r="J298" s="60">
        <f>PRODUCT('All-Servers'!F308,'All-Servers'!$H308)</f>
        <v>160</v>
      </c>
      <c r="K298" s="60">
        <f>PRODUCT('All-Servers'!G308,'All-Servers'!$H308)</f>
        <v>20</v>
      </c>
    </row>
    <row r="299" spans="8:11">
      <c r="H299" s="60">
        <f>PRODUCT('All-Servers'!D309,'All-Servers'!$H309)</f>
        <v>1</v>
      </c>
      <c r="I299" s="60">
        <f>PRODUCT('All-Servers'!E309,'All-Servers'!$H309)</f>
        <v>2000</v>
      </c>
      <c r="J299" s="60">
        <f>PRODUCT('All-Servers'!F309,'All-Servers'!$H309)</f>
        <v>0</v>
      </c>
      <c r="K299" s="60">
        <f>PRODUCT('All-Servers'!G309,'All-Servers'!$H309)</f>
        <v>220</v>
      </c>
    </row>
    <row r="300" spans="8:11">
      <c r="H300" s="60">
        <f>PRODUCT('All-Servers'!D310,'All-Servers'!$H310)</f>
        <v>1</v>
      </c>
      <c r="I300" s="60">
        <f>PRODUCT('All-Servers'!E310,'All-Servers'!$H310)</f>
        <v>1700</v>
      </c>
      <c r="J300" s="60">
        <f>PRODUCT('All-Servers'!F310,'All-Servers'!$H310)</f>
        <v>160</v>
      </c>
      <c r="K300" s="60">
        <f>PRODUCT('All-Servers'!G310,'All-Servers'!$H310)</f>
        <v>20</v>
      </c>
    </row>
    <row r="301" spans="8:11">
      <c r="H301" s="60">
        <f>PRODUCT('All-Servers'!D311,'All-Servers'!$H311)</f>
        <v>1</v>
      </c>
      <c r="I301" s="60">
        <f>PRODUCT('All-Servers'!E311,'All-Servers'!$H311)</f>
        <v>1700</v>
      </c>
      <c r="J301" s="60">
        <f>PRODUCT('All-Servers'!F311,'All-Servers'!$H311)</f>
        <v>160</v>
      </c>
      <c r="K301" s="60">
        <f>PRODUCT('All-Servers'!G311,'All-Servers'!$H311)</f>
        <v>20</v>
      </c>
    </row>
    <row r="302" spans="8:11">
      <c r="H302" s="60">
        <f>PRODUCT('All-Servers'!D312,'All-Servers'!$H312)</f>
        <v>1</v>
      </c>
      <c r="I302" s="60">
        <f>PRODUCT('All-Servers'!E312,'All-Servers'!$H312)</f>
        <v>1700</v>
      </c>
      <c r="J302" s="60">
        <f>PRODUCT('All-Servers'!F312,'All-Servers'!$H312)</f>
        <v>160</v>
      </c>
      <c r="K302" s="60">
        <f>PRODUCT('All-Servers'!G312,'All-Servers'!$H312)</f>
        <v>820</v>
      </c>
    </row>
    <row r="303" spans="8:11">
      <c r="H303" s="60">
        <f>PRODUCT('All-Servers'!D313,'All-Servers'!$H313)</f>
        <v>1</v>
      </c>
      <c r="I303" s="60">
        <f>PRODUCT('All-Servers'!E313,'All-Servers'!$H313)</f>
        <v>1700</v>
      </c>
      <c r="J303" s="60">
        <f>PRODUCT('All-Servers'!F313,'All-Servers'!$H313)</f>
        <v>160</v>
      </c>
      <c r="K303" s="60">
        <f>PRODUCT('All-Servers'!G313,'All-Servers'!$H313)</f>
        <v>20</v>
      </c>
    </row>
    <row r="304" spans="8:11">
      <c r="H304" s="60">
        <f>PRODUCT('All-Servers'!D314,'All-Servers'!$H314)</f>
        <v>1</v>
      </c>
      <c r="I304" s="60">
        <f>PRODUCT('All-Servers'!E314,'All-Servers'!$H314)</f>
        <v>2000</v>
      </c>
      <c r="J304" s="60">
        <f>PRODUCT('All-Servers'!F314,'All-Servers'!$H314)</f>
        <v>0</v>
      </c>
      <c r="K304" s="60">
        <f>PRODUCT('All-Servers'!G314,'All-Servers'!$H314)</f>
        <v>120</v>
      </c>
    </row>
    <row r="305" spans="8:11">
      <c r="H305" s="60">
        <f>PRODUCT('All-Servers'!D315,'All-Servers'!$H315)</f>
        <v>1</v>
      </c>
      <c r="I305" s="60">
        <f>PRODUCT('All-Servers'!E315,'All-Servers'!$H315)</f>
        <v>1700</v>
      </c>
      <c r="J305" s="60">
        <f>PRODUCT('All-Servers'!F315,'All-Servers'!$H315)</f>
        <v>160</v>
      </c>
      <c r="K305" s="60">
        <f>PRODUCT('All-Servers'!G315,'All-Servers'!$H315)</f>
        <v>70</v>
      </c>
    </row>
    <row r="306" spans="8:11">
      <c r="H306" s="60">
        <f>PRODUCT('All-Servers'!D316,'All-Servers'!$H316)</f>
        <v>2</v>
      </c>
      <c r="I306" s="60">
        <f>PRODUCT('All-Servers'!E316,'All-Servers'!$H316)</f>
        <v>7500</v>
      </c>
      <c r="J306" s="60">
        <f>PRODUCT('All-Servers'!F316,'All-Servers'!$H316)</f>
        <v>32</v>
      </c>
      <c r="K306" s="60">
        <f>PRODUCT('All-Servers'!G316,'All-Servers'!$H316)</f>
        <v>420</v>
      </c>
    </row>
    <row r="307" spans="8:11">
      <c r="H307" s="60">
        <f>PRODUCT('All-Servers'!D317,'All-Servers'!$H317)</f>
        <v>4</v>
      </c>
      <c r="I307" s="60">
        <f>PRODUCT('All-Servers'!E317,'All-Servers'!$H317)</f>
        <v>15000</v>
      </c>
      <c r="J307" s="60">
        <f>PRODUCT('All-Servers'!F317,'All-Servers'!$H317)</f>
        <v>80</v>
      </c>
      <c r="K307" s="60">
        <f>PRODUCT('All-Servers'!G317,'All-Servers'!$H317)</f>
        <v>420</v>
      </c>
    </row>
    <row r="308" spans="8:11">
      <c r="H308" s="60">
        <f>PRODUCT('All-Servers'!D318,'All-Servers'!$H318)</f>
        <v>4</v>
      </c>
      <c r="I308" s="60">
        <f>PRODUCT('All-Servers'!E318,'All-Servers'!$H318)</f>
        <v>15000</v>
      </c>
      <c r="J308" s="60">
        <f>PRODUCT('All-Servers'!F318,'All-Servers'!$H318)</f>
        <v>80</v>
      </c>
      <c r="K308" s="60">
        <f>PRODUCT('All-Servers'!G318,'All-Servers'!$H318)</f>
        <v>420</v>
      </c>
    </row>
    <row r="309" spans="8:11">
      <c r="H309" s="60">
        <f>PRODUCT('All-Servers'!D319,'All-Servers'!$H319)</f>
        <v>1</v>
      </c>
      <c r="I309" s="60">
        <f>PRODUCT('All-Servers'!E319,'All-Servers'!$H319)</f>
        <v>1700</v>
      </c>
      <c r="J309" s="60">
        <f>PRODUCT('All-Servers'!F319,'All-Servers'!$H319)</f>
        <v>160</v>
      </c>
      <c r="K309" s="60">
        <f>PRODUCT('All-Servers'!G319,'All-Servers'!$H319)</f>
        <v>20</v>
      </c>
    </row>
    <row r="310" spans="8:11">
      <c r="H310" s="60">
        <f>PRODUCT('All-Servers'!D320,'All-Servers'!$H320)</f>
        <v>2</v>
      </c>
      <c r="I310" s="60">
        <f>PRODUCT('All-Servers'!E320,'All-Servers'!$H320)</f>
        <v>7500</v>
      </c>
      <c r="J310" s="60">
        <f>PRODUCT('All-Servers'!F320,'All-Servers'!$H320)</f>
        <v>850</v>
      </c>
      <c r="K310" s="60">
        <f>PRODUCT('All-Servers'!G320,'All-Servers'!$H320)</f>
        <v>20</v>
      </c>
    </row>
    <row r="311" spans="8:11">
      <c r="H311" s="60">
        <f>PRODUCT('All-Servers'!D321,'All-Servers'!$H321)</f>
        <v>1</v>
      </c>
      <c r="I311" s="60">
        <f>PRODUCT('All-Servers'!E321,'All-Servers'!$H321)</f>
        <v>1700</v>
      </c>
      <c r="J311" s="60">
        <f>PRODUCT('All-Servers'!F321,'All-Servers'!$H321)</f>
        <v>160</v>
      </c>
      <c r="K311" s="60">
        <f>PRODUCT('All-Servers'!G321,'All-Servers'!$H321)</f>
        <v>20</v>
      </c>
    </row>
    <row r="312" spans="8:11">
      <c r="H312" s="60">
        <f>PRODUCT('All-Servers'!D322,'All-Servers'!$H322)</f>
        <v>1</v>
      </c>
      <c r="I312" s="60">
        <f>PRODUCT('All-Servers'!E322,'All-Servers'!$H322)</f>
        <v>3750</v>
      </c>
      <c r="J312" s="60">
        <f>PRODUCT('All-Servers'!F322,'All-Servers'!$H322)</f>
        <v>4</v>
      </c>
      <c r="K312" s="60">
        <f>PRODUCT('All-Servers'!G322,'All-Servers'!$H322)</f>
        <v>820</v>
      </c>
    </row>
    <row r="313" spans="8:11">
      <c r="H313" s="60">
        <f>PRODUCT('All-Servers'!D323,'All-Servers'!$H323)</f>
        <v>4</v>
      </c>
      <c r="I313" s="60">
        <f>PRODUCT('All-Servers'!E323,'All-Servers'!$H323)</f>
        <v>15000</v>
      </c>
      <c r="J313" s="60">
        <f>PRODUCT('All-Servers'!F323,'All-Servers'!$H323)</f>
        <v>80</v>
      </c>
      <c r="K313" s="60">
        <f>PRODUCT('All-Servers'!G323,'All-Servers'!$H323)</f>
        <v>1420</v>
      </c>
    </row>
    <row r="314" spans="8:11">
      <c r="H314" s="60">
        <f>PRODUCT('All-Servers'!D324,'All-Servers'!$H324)</f>
        <v>1</v>
      </c>
      <c r="I314" s="60">
        <f>PRODUCT('All-Servers'!E324,'All-Servers'!$H324)</f>
        <v>2000</v>
      </c>
      <c r="J314" s="60">
        <f>PRODUCT('All-Servers'!F324,'All-Servers'!$H324)</f>
        <v>0</v>
      </c>
      <c r="K314" s="60">
        <f>PRODUCT('All-Servers'!G324,'All-Servers'!$H324)</f>
        <v>20</v>
      </c>
    </row>
    <row r="315" spans="8:11">
      <c r="H315" s="60">
        <f>PRODUCT('All-Servers'!D325,'All-Servers'!$H325)</f>
        <v>1</v>
      </c>
      <c r="I315" s="60">
        <f>PRODUCT('All-Servers'!E325,'All-Servers'!$H325)</f>
        <v>1700</v>
      </c>
      <c r="J315" s="60">
        <f>PRODUCT('All-Servers'!F325,'All-Servers'!$H325)</f>
        <v>160</v>
      </c>
      <c r="K315" s="60">
        <f>PRODUCT('All-Servers'!G325,'All-Servers'!$H325)</f>
        <v>20</v>
      </c>
    </row>
    <row r="316" spans="8:11">
      <c r="H316" s="60">
        <f>PRODUCT('All-Servers'!D326,'All-Servers'!$H326)</f>
        <v>4</v>
      </c>
      <c r="I316" s="60">
        <f>PRODUCT('All-Servers'!E326,'All-Servers'!$H326)</f>
        <v>15000</v>
      </c>
      <c r="J316" s="60">
        <f>PRODUCT('All-Servers'!F326,'All-Servers'!$H326)</f>
        <v>80</v>
      </c>
      <c r="K316" s="60">
        <f>PRODUCT('All-Servers'!G326,'All-Servers'!$H326)</f>
        <v>420</v>
      </c>
    </row>
    <row r="317" spans="8:11">
      <c r="H317" s="60">
        <f>PRODUCT('All-Servers'!D327,'All-Servers'!$H327)</f>
        <v>1</v>
      </c>
      <c r="I317" s="60">
        <f>PRODUCT('All-Servers'!E327,'All-Servers'!$H327)</f>
        <v>1700</v>
      </c>
      <c r="J317" s="60">
        <f>PRODUCT('All-Servers'!F327,'All-Servers'!$H327)</f>
        <v>160</v>
      </c>
      <c r="K317" s="60">
        <f>PRODUCT('All-Servers'!G327,'All-Servers'!$H327)</f>
        <v>670</v>
      </c>
    </row>
    <row r="318" spans="8:11">
      <c r="H318" s="60">
        <f>PRODUCT('All-Servers'!D328,'All-Servers'!$H328)</f>
        <v>1</v>
      </c>
      <c r="I318" s="60">
        <f>PRODUCT('All-Servers'!E328,'All-Servers'!$H328)</f>
        <v>2000</v>
      </c>
      <c r="J318" s="60">
        <f>PRODUCT('All-Servers'!F328,'All-Servers'!$H328)</f>
        <v>0</v>
      </c>
      <c r="K318" s="60">
        <f>PRODUCT('All-Servers'!G328,'All-Servers'!$H328)</f>
        <v>20</v>
      </c>
    </row>
    <row r="319" spans="8:11">
      <c r="H319" s="60">
        <f>PRODUCT('All-Servers'!D329,'All-Servers'!$H329)</f>
        <v>1</v>
      </c>
      <c r="I319" s="60">
        <f>PRODUCT('All-Servers'!E329,'All-Servers'!$H329)</f>
        <v>2000</v>
      </c>
      <c r="J319" s="60">
        <f>PRODUCT('All-Servers'!F329,'All-Servers'!$H329)</f>
        <v>0</v>
      </c>
      <c r="K319" s="60">
        <f>PRODUCT('All-Servers'!G329,'All-Servers'!$H329)</f>
        <v>20</v>
      </c>
    </row>
    <row r="320" spans="8:11">
      <c r="H320" s="60">
        <f>PRODUCT('All-Servers'!D330,'All-Servers'!$H330)</f>
        <v>1</v>
      </c>
      <c r="I320" s="60">
        <f>PRODUCT('All-Servers'!E330,'All-Servers'!$H330)</f>
        <v>2000</v>
      </c>
      <c r="J320" s="60">
        <f>PRODUCT('All-Servers'!F330,'All-Servers'!$H330)</f>
        <v>0</v>
      </c>
      <c r="K320" s="60">
        <f>PRODUCT('All-Servers'!G330,'All-Servers'!$H330)</f>
        <v>20</v>
      </c>
    </row>
    <row r="321" spans="8:11">
      <c r="H321" s="60">
        <f>PRODUCT('All-Servers'!D331,'All-Servers'!$H331)</f>
        <v>1</v>
      </c>
      <c r="I321" s="60">
        <f>PRODUCT('All-Servers'!E331,'All-Servers'!$H331)</f>
        <v>1700</v>
      </c>
      <c r="J321" s="60">
        <f>PRODUCT('All-Servers'!F331,'All-Servers'!$H331)</f>
        <v>160</v>
      </c>
      <c r="K321" s="60">
        <f>PRODUCT('All-Servers'!G331,'All-Servers'!$H331)</f>
        <v>20</v>
      </c>
    </row>
    <row r="322" spans="8:11">
      <c r="H322" s="60">
        <f>PRODUCT('All-Servers'!D332,'All-Servers'!$H332)</f>
        <v>1</v>
      </c>
      <c r="I322" s="60">
        <f>PRODUCT('All-Servers'!E332,'All-Servers'!$H332)</f>
        <v>1700</v>
      </c>
      <c r="J322" s="60">
        <f>PRODUCT('All-Servers'!F332,'All-Servers'!$H332)</f>
        <v>160</v>
      </c>
      <c r="K322" s="60">
        <f>PRODUCT('All-Servers'!G332,'All-Servers'!$H332)</f>
        <v>20</v>
      </c>
    </row>
    <row r="323" spans="8:11">
      <c r="H323" s="60">
        <f>PRODUCT('All-Servers'!D333,'All-Servers'!$H333)</f>
        <v>1</v>
      </c>
      <c r="I323" s="60">
        <f>PRODUCT('All-Servers'!E333,'All-Servers'!$H333)</f>
        <v>1700</v>
      </c>
      <c r="J323" s="60">
        <f>PRODUCT('All-Servers'!F333,'All-Servers'!$H333)</f>
        <v>160</v>
      </c>
      <c r="K323" s="60">
        <f>PRODUCT('All-Servers'!G333,'All-Servers'!$H333)</f>
        <v>220</v>
      </c>
    </row>
    <row r="324" spans="8:11">
      <c r="H324" s="60">
        <f>PRODUCT('All-Servers'!D334,'All-Servers'!$H334)</f>
        <v>1</v>
      </c>
      <c r="I324" s="60">
        <f>PRODUCT('All-Servers'!E334,'All-Servers'!$H334)</f>
        <v>1700</v>
      </c>
      <c r="J324" s="60">
        <f>PRODUCT('All-Servers'!F334,'All-Servers'!$H334)</f>
        <v>160</v>
      </c>
      <c r="K324" s="60">
        <f>PRODUCT('All-Servers'!G334,'All-Servers'!$H334)</f>
        <v>20</v>
      </c>
    </row>
    <row r="325" spans="8:11">
      <c r="H325" s="60">
        <f>PRODUCT('All-Servers'!D335,'All-Servers'!$H335)</f>
        <v>1</v>
      </c>
      <c r="I325" s="60">
        <f>PRODUCT('All-Servers'!E335,'All-Servers'!$H335)</f>
        <v>615</v>
      </c>
      <c r="J325" s="60">
        <f>PRODUCT('All-Servers'!F335,'All-Servers'!$H335)</f>
        <v>160</v>
      </c>
      <c r="K325" s="60">
        <f>PRODUCT('All-Servers'!G335,'All-Servers'!$H335)</f>
        <v>20</v>
      </c>
    </row>
    <row r="326" spans="8:11">
      <c r="H326" s="60">
        <f>PRODUCT('All-Servers'!D336,'All-Servers'!$H336)</f>
        <v>16</v>
      </c>
      <c r="I326" s="60">
        <f>PRODUCT('All-Servers'!E336,'All-Servers'!$H336)</f>
        <v>30000</v>
      </c>
      <c r="J326" s="60">
        <f>PRODUCT('All-Servers'!F336,'All-Servers'!$H336)</f>
        <v>320</v>
      </c>
      <c r="K326" s="60">
        <f>PRODUCT('All-Servers'!G336,'All-Servers'!$H336)</f>
        <v>420</v>
      </c>
    </row>
    <row r="327" spans="8:11">
      <c r="H327" s="60">
        <f>PRODUCT('All-Servers'!D337,'All-Servers'!$H337)</f>
        <v>1</v>
      </c>
      <c r="I327" s="60">
        <f>PRODUCT('All-Servers'!E337,'All-Servers'!$H337)</f>
        <v>2000</v>
      </c>
      <c r="J327" s="60">
        <f>PRODUCT('All-Servers'!F337,'All-Servers'!$H337)</f>
        <v>0</v>
      </c>
      <c r="K327" s="60">
        <f>PRODUCT('All-Servers'!G337,'All-Servers'!$H337)</f>
        <v>20</v>
      </c>
    </row>
    <row r="328" spans="8:11">
      <c r="H328" s="60">
        <f>PRODUCT('All-Servers'!D338,'All-Servers'!$H338)</f>
        <v>1</v>
      </c>
      <c r="I328" s="60">
        <f>PRODUCT('All-Servers'!E338,'All-Servers'!$H338)</f>
        <v>3750</v>
      </c>
      <c r="J328" s="60">
        <f>PRODUCT('All-Servers'!F338,'All-Servers'!$H338)</f>
        <v>4</v>
      </c>
      <c r="K328" s="60">
        <f>PRODUCT('All-Servers'!G338,'All-Servers'!$H338)</f>
        <v>1420</v>
      </c>
    </row>
    <row r="329" spans="8:11">
      <c r="H329" s="60">
        <f>PRODUCT('All-Servers'!D339,'All-Servers'!$H339)</f>
        <v>1</v>
      </c>
      <c r="I329" s="60">
        <f>PRODUCT('All-Servers'!E339,'All-Servers'!$H339)</f>
        <v>2000</v>
      </c>
      <c r="J329" s="60">
        <f>PRODUCT('All-Servers'!F339,'All-Servers'!$H339)</f>
        <v>0</v>
      </c>
      <c r="K329" s="60">
        <f>PRODUCT('All-Servers'!G339,'All-Servers'!$H339)</f>
        <v>420</v>
      </c>
    </row>
    <row r="330" spans="8:11">
      <c r="H330" s="60">
        <f>PRODUCT('All-Servers'!D340,'All-Servers'!$H340)</f>
        <v>1</v>
      </c>
      <c r="I330" s="60">
        <f>PRODUCT('All-Servers'!E340,'All-Servers'!$H340)</f>
        <v>1700</v>
      </c>
      <c r="J330" s="60">
        <f>PRODUCT('All-Servers'!F340,'All-Servers'!$H340)</f>
        <v>160</v>
      </c>
      <c r="K330" s="60">
        <f>PRODUCT('All-Servers'!G340,'All-Servers'!$H340)</f>
        <v>20</v>
      </c>
    </row>
    <row r="331" spans="8:11">
      <c r="H331" s="60">
        <f>PRODUCT('All-Servers'!D341,'All-Servers'!$H341)</f>
        <v>1</v>
      </c>
      <c r="I331" s="60">
        <f>PRODUCT('All-Servers'!E341,'All-Servers'!$H341)</f>
        <v>3750</v>
      </c>
      <c r="J331" s="60">
        <f>PRODUCT('All-Servers'!F341,'All-Servers'!$H341)</f>
        <v>410</v>
      </c>
      <c r="K331" s="60">
        <f>PRODUCT('All-Servers'!G341,'All-Servers'!$H341)</f>
        <v>220</v>
      </c>
    </row>
    <row r="332" spans="8:11">
      <c r="H332" s="60">
        <f>PRODUCT('All-Servers'!D342,'All-Servers'!$H342)</f>
        <v>1</v>
      </c>
      <c r="I332" s="60">
        <f>PRODUCT('All-Servers'!E342,'All-Servers'!$H342)</f>
        <v>1700</v>
      </c>
      <c r="J332" s="60">
        <f>PRODUCT('All-Servers'!F342,'All-Servers'!$H342)</f>
        <v>160</v>
      </c>
      <c r="K332" s="60">
        <f>PRODUCT('All-Servers'!G342,'All-Servers'!$H342)</f>
        <v>20</v>
      </c>
    </row>
    <row r="333" spans="8:11">
      <c r="H333" s="60">
        <f>PRODUCT('All-Servers'!D343,'All-Servers'!$H343)</f>
        <v>2</v>
      </c>
      <c r="I333" s="60">
        <f>PRODUCT('All-Servers'!E343,'All-Servers'!$H343)</f>
        <v>7500</v>
      </c>
      <c r="J333" s="60">
        <f>PRODUCT('All-Servers'!F343,'All-Servers'!$H343)</f>
        <v>850</v>
      </c>
      <c r="K333" s="60">
        <f>PRODUCT('All-Servers'!G343,'All-Servers'!$H343)</f>
        <v>20</v>
      </c>
    </row>
    <row r="334" spans="8:11">
      <c r="H334" s="60">
        <f>PRODUCT('All-Servers'!D344,'All-Servers'!$H344)</f>
        <v>1</v>
      </c>
      <c r="I334" s="60">
        <f>PRODUCT('All-Servers'!E344,'All-Servers'!$H344)</f>
        <v>1700</v>
      </c>
      <c r="J334" s="60">
        <f>PRODUCT('All-Servers'!F344,'All-Servers'!$H344)</f>
        <v>160</v>
      </c>
      <c r="K334" s="60">
        <f>PRODUCT('All-Servers'!G344,'All-Servers'!$H344)</f>
        <v>20</v>
      </c>
    </row>
    <row r="335" spans="8:11">
      <c r="H335" s="60">
        <f>PRODUCT('All-Servers'!D345,'All-Servers'!$H345)</f>
        <v>1</v>
      </c>
      <c r="I335" s="60">
        <f>PRODUCT('All-Servers'!E345,'All-Servers'!$H345)</f>
        <v>1700</v>
      </c>
      <c r="J335" s="60">
        <f>PRODUCT('All-Servers'!F345,'All-Servers'!$H345)</f>
        <v>160</v>
      </c>
      <c r="K335" s="60">
        <f>PRODUCT('All-Servers'!G345,'All-Servers'!$H345)</f>
        <v>20</v>
      </c>
    </row>
    <row r="336" spans="8:11">
      <c r="H336" s="60">
        <f>PRODUCT('All-Servers'!D346,'All-Servers'!$H346)</f>
        <v>1</v>
      </c>
      <c r="I336" s="60">
        <f>PRODUCT('All-Servers'!E346,'All-Servers'!$H346)</f>
        <v>2000</v>
      </c>
      <c r="J336" s="60">
        <f>PRODUCT('All-Servers'!F346,'All-Servers'!$H346)</f>
        <v>0</v>
      </c>
      <c r="K336" s="60">
        <f>PRODUCT('All-Servers'!G346,'All-Servers'!$H346)</f>
        <v>220</v>
      </c>
    </row>
    <row r="337" spans="8:11">
      <c r="H337" s="60">
        <f>PRODUCT('All-Servers'!D347,'All-Servers'!$H347)</f>
        <v>1</v>
      </c>
      <c r="I337" s="60">
        <f>PRODUCT('All-Servers'!E347,'All-Servers'!$H347)</f>
        <v>1700</v>
      </c>
      <c r="J337" s="60">
        <f>PRODUCT('All-Servers'!F347,'All-Servers'!$H347)</f>
        <v>160</v>
      </c>
      <c r="K337" s="60">
        <f>PRODUCT('All-Servers'!G347,'All-Servers'!$H347)</f>
        <v>820</v>
      </c>
    </row>
    <row r="338" spans="8:11">
      <c r="H338" s="60">
        <f>PRODUCT('All-Servers'!D348,'All-Servers'!$H348)</f>
        <v>2</v>
      </c>
      <c r="I338" s="60">
        <f>PRODUCT('All-Servers'!E348,'All-Servers'!$H348)</f>
        <v>3750</v>
      </c>
      <c r="J338" s="60">
        <f>PRODUCT('All-Servers'!F348,'All-Servers'!$H348)</f>
        <v>32</v>
      </c>
      <c r="K338" s="60">
        <f>PRODUCT('All-Servers'!G348,'All-Servers'!$H348)</f>
        <v>820</v>
      </c>
    </row>
    <row r="339" spans="8:11">
      <c r="H339" s="60">
        <f>PRODUCT('All-Servers'!D349,'All-Servers'!$H349)</f>
        <v>1</v>
      </c>
      <c r="I339" s="60">
        <f>PRODUCT('All-Servers'!E349,'All-Servers'!$H349)</f>
        <v>1700</v>
      </c>
      <c r="J339" s="60">
        <f>PRODUCT('All-Servers'!F349,'All-Servers'!$H349)</f>
        <v>160</v>
      </c>
      <c r="K339" s="60">
        <f>PRODUCT('All-Servers'!G349,'All-Servers'!$H349)</f>
        <v>20</v>
      </c>
    </row>
    <row r="340" spans="8:11">
      <c r="H340" s="60">
        <f>PRODUCT('All-Servers'!D350,'All-Servers'!$H350)</f>
        <v>1</v>
      </c>
      <c r="I340" s="60">
        <f>PRODUCT('All-Servers'!E350,'All-Servers'!$H350)</f>
        <v>2000</v>
      </c>
      <c r="J340" s="60">
        <f>PRODUCT('All-Servers'!F350,'All-Servers'!$H350)</f>
        <v>0</v>
      </c>
      <c r="K340" s="60">
        <f>PRODUCT('All-Servers'!G350,'All-Servers'!$H350)</f>
        <v>820</v>
      </c>
    </row>
    <row r="341" spans="8:11">
      <c r="H341" s="60">
        <f>PRODUCT('All-Servers'!D351,'All-Servers'!$H351)</f>
        <v>1</v>
      </c>
      <c r="I341" s="60">
        <f>PRODUCT('All-Servers'!E351,'All-Servers'!$H351)</f>
        <v>3750</v>
      </c>
      <c r="J341" s="60">
        <f>PRODUCT('All-Servers'!F351,'All-Servers'!$H351)</f>
        <v>410</v>
      </c>
      <c r="K341" s="60">
        <f>PRODUCT('All-Servers'!G351,'All-Servers'!$H351)</f>
        <v>20</v>
      </c>
    </row>
    <row r="342" spans="8:11">
      <c r="H342" s="60">
        <f>PRODUCT('All-Servers'!D352,'All-Servers'!$H352)</f>
        <v>1</v>
      </c>
      <c r="I342" s="60">
        <f>PRODUCT('All-Servers'!E352,'All-Servers'!$H352)</f>
        <v>3750</v>
      </c>
      <c r="J342" s="60">
        <f>PRODUCT('All-Servers'!F352,'All-Servers'!$H352)</f>
        <v>4</v>
      </c>
      <c r="K342" s="60">
        <f>PRODUCT('All-Servers'!G352,'All-Servers'!$H352)</f>
        <v>420</v>
      </c>
    </row>
    <row r="343" spans="8:11">
      <c r="H343" s="60">
        <f>PRODUCT('All-Servers'!D353,'All-Servers'!$H353)</f>
        <v>1</v>
      </c>
      <c r="I343" s="60">
        <f>PRODUCT('All-Servers'!E353,'All-Servers'!$H353)</f>
        <v>1700</v>
      </c>
      <c r="J343" s="60">
        <f>PRODUCT('All-Servers'!F353,'All-Servers'!$H353)</f>
        <v>160</v>
      </c>
      <c r="K343" s="60">
        <f>PRODUCT('All-Servers'!G353,'All-Servers'!$H353)</f>
        <v>20</v>
      </c>
    </row>
    <row r="344" spans="8:11">
      <c r="H344" s="60">
        <f>PRODUCT('All-Servers'!D354,'All-Servers'!$H354)</f>
        <v>1</v>
      </c>
      <c r="I344" s="60">
        <f>PRODUCT('All-Servers'!E354,'All-Servers'!$H354)</f>
        <v>2000</v>
      </c>
      <c r="J344" s="60">
        <f>PRODUCT('All-Servers'!F354,'All-Servers'!$H354)</f>
        <v>0</v>
      </c>
      <c r="K344" s="60">
        <f>PRODUCT('All-Servers'!G354,'All-Servers'!$H354)</f>
        <v>20</v>
      </c>
    </row>
    <row r="345" spans="8:11">
      <c r="H345" s="60">
        <f>PRODUCT('All-Servers'!D355,'All-Servers'!$H355)</f>
        <v>2</v>
      </c>
      <c r="I345" s="60">
        <f>PRODUCT('All-Servers'!E355,'All-Servers'!$H355)</f>
        <v>3750</v>
      </c>
      <c r="J345" s="60">
        <f>PRODUCT('All-Servers'!F355,'All-Servers'!$H355)</f>
        <v>32</v>
      </c>
      <c r="K345" s="60">
        <f>PRODUCT('All-Servers'!G355,'All-Servers'!$H355)</f>
        <v>20</v>
      </c>
    </row>
    <row r="346" spans="8:11">
      <c r="H346" s="60">
        <f>PRODUCT('All-Servers'!D356,'All-Servers'!$H356)</f>
        <v>4</v>
      </c>
      <c r="I346" s="60">
        <f>PRODUCT('All-Servers'!E356,'All-Servers'!$H356)</f>
        <v>7500</v>
      </c>
      <c r="J346" s="60">
        <f>PRODUCT('All-Servers'!F356,'All-Servers'!$H356)</f>
        <v>80</v>
      </c>
      <c r="K346" s="60">
        <f>PRODUCT('All-Servers'!G356,'All-Servers'!$H356)</f>
        <v>70</v>
      </c>
    </row>
    <row r="347" spans="8:11">
      <c r="H347" s="60">
        <f>PRODUCT('All-Servers'!D357,'All-Servers'!$H357)</f>
        <v>4</v>
      </c>
      <c r="I347" s="60">
        <f>PRODUCT('All-Servers'!E357,'All-Servers'!$H357)</f>
        <v>15000</v>
      </c>
      <c r="J347" s="60">
        <f>PRODUCT('All-Servers'!F357,'All-Servers'!$H357)</f>
        <v>80</v>
      </c>
      <c r="K347" s="60">
        <f>PRODUCT('All-Servers'!G357,'All-Servers'!$H357)</f>
        <v>420</v>
      </c>
    </row>
    <row r="348" spans="8:11">
      <c r="H348" s="60">
        <f>PRODUCT('All-Servers'!D358,'All-Servers'!$H358)</f>
        <v>1</v>
      </c>
      <c r="I348" s="60">
        <f>PRODUCT('All-Servers'!E358,'All-Servers'!$H358)</f>
        <v>1700</v>
      </c>
      <c r="J348" s="60">
        <f>PRODUCT('All-Servers'!F358,'All-Servers'!$H358)</f>
        <v>160</v>
      </c>
      <c r="K348" s="60">
        <f>PRODUCT('All-Servers'!G358,'All-Servers'!$H358)</f>
        <v>420</v>
      </c>
    </row>
    <row r="349" spans="8:11">
      <c r="H349" s="60">
        <f>PRODUCT('All-Servers'!D359,'All-Servers'!$H359)</f>
        <v>4</v>
      </c>
      <c r="I349" s="60">
        <f>PRODUCT('All-Servers'!E359,'All-Servers'!$H359)</f>
        <v>15000</v>
      </c>
      <c r="J349" s="60">
        <f>PRODUCT('All-Servers'!F359,'All-Servers'!$H359)</f>
        <v>80</v>
      </c>
      <c r="K349" s="60">
        <f>PRODUCT('All-Servers'!G359,'All-Servers'!$H359)</f>
        <v>20</v>
      </c>
    </row>
    <row r="350" spans="8:11">
      <c r="H350" s="60">
        <f>PRODUCT('All-Servers'!D360,'All-Servers'!$H360)</f>
        <v>1</v>
      </c>
      <c r="I350" s="60">
        <f>PRODUCT('All-Servers'!E360,'All-Servers'!$H360)</f>
        <v>1700</v>
      </c>
      <c r="J350" s="60">
        <f>PRODUCT('All-Servers'!F360,'All-Servers'!$H360)</f>
        <v>160</v>
      </c>
      <c r="K350" s="60">
        <f>PRODUCT('All-Servers'!G360,'All-Servers'!$H360)</f>
        <v>70</v>
      </c>
    </row>
    <row r="351" spans="8:11">
      <c r="H351" s="60">
        <f>PRODUCT('All-Servers'!D361,'All-Servers'!$H361)</f>
        <v>1</v>
      </c>
      <c r="I351" s="60">
        <f>PRODUCT('All-Servers'!E361,'All-Servers'!$H361)</f>
        <v>3750</v>
      </c>
      <c r="J351" s="60">
        <f>PRODUCT('All-Servers'!F361,'All-Servers'!$H361)</f>
        <v>4</v>
      </c>
      <c r="K351" s="60">
        <f>PRODUCT('All-Servers'!G361,'All-Servers'!$H361)</f>
        <v>420</v>
      </c>
    </row>
    <row r="352" spans="8:11">
      <c r="H352" s="60">
        <f>PRODUCT('All-Servers'!D362,'All-Servers'!$H362)</f>
        <v>8</v>
      </c>
      <c r="I352" s="60">
        <f>PRODUCT('All-Servers'!E362,'All-Servers'!$H362)</f>
        <v>30000</v>
      </c>
      <c r="J352" s="60">
        <f>PRODUCT('All-Servers'!F362,'All-Servers'!$H362)</f>
        <v>160</v>
      </c>
      <c r="K352" s="60">
        <f>PRODUCT('All-Servers'!G362,'All-Servers'!$H362)</f>
        <v>820</v>
      </c>
    </row>
    <row r="353" spans="8:11">
      <c r="H353" s="60">
        <f>PRODUCT('All-Servers'!D363,'All-Servers'!$H363)</f>
        <v>1</v>
      </c>
      <c r="I353" s="60">
        <f>PRODUCT('All-Servers'!E363,'All-Servers'!$H363)</f>
        <v>3750</v>
      </c>
      <c r="J353" s="60">
        <f>PRODUCT('All-Servers'!F363,'All-Servers'!$H363)</f>
        <v>410</v>
      </c>
      <c r="K353" s="60">
        <f>PRODUCT('All-Servers'!G363,'All-Servers'!$H363)</f>
        <v>20</v>
      </c>
    </row>
    <row r="354" spans="8:11">
      <c r="H354" s="60">
        <f>PRODUCT('All-Servers'!D364,'All-Servers'!$H364)</f>
        <v>1</v>
      </c>
      <c r="I354" s="60">
        <f>PRODUCT('All-Servers'!E364,'All-Servers'!$H364)</f>
        <v>1700</v>
      </c>
      <c r="J354" s="60">
        <f>PRODUCT('All-Servers'!F364,'All-Servers'!$H364)</f>
        <v>160</v>
      </c>
      <c r="K354" s="60">
        <f>PRODUCT('All-Servers'!G364,'All-Servers'!$H364)</f>
        <v>20</v>
      </c>
    </row>
    <row r="355" spans="8:11">
      <c r="H355" s="60">
        <f>PRODUCT('All-Servers'!D365,'All-Servers'!$H365)</f>
        <v>2</v>
      </c>
      <c r="I355" s="60">
        <f>PRODUCT('All-Servers'!E365,'All-Servers'!$H365)</f>
        <v>3750</v>
      </c>
      <c r="J355" s="60">
        <f>PRODUCT('All-Servers'!F365,'All-Servers'!$H365)</f>
        <v>32</v>
      </c>
      <c r="K355" s="60">
        <f>PRODUCT('All-Servers'!G365,'All-Servers'!$H365)</f>
        <v>8</v>
      </c>
    </row>
    <row r="356" spans="8:11">
      <c r="H356" s="60">
        <f>PRODUCT('All-Servers'!D366,'All-Servers'!$H366)</f>
        <v>1</v>
      </c>
      <c r="I356" s="60">
        <f>PRODUCT('All-Servers'!E366,'All-Servers'!$H366)</f>
        <v>1700</v>
      </c>
      <c r="J356" s="60">
        <f>PRODUCT('All-Servers'!F366,'All-Servers'!$H366)</f>
        <v>160</v>
      </c>
      <c r="K356" s="60">
        <f>PRODUCT('All-Servers'!G366,'All-Servers'!$H366)</f>
        <v>20</v>
      </c>
    </row>
    <row r="357" spans="8:11">
      <c r="H357" s="60">
        <f>PRODUCT('All-Servers'!D367,'All-Servers'!$H367)</f>
        <v>1</v>
      </c>
      <c r="I357" s="60">
        <f>PRODUCT('All-Servers'!E367,'All-Servers'!$H367)</f>
        <v>1700</v>
      </c>
      <c r="J357" s="60">
        <f>PRODUCT('All-Servers'!F367,'All-Servers'!$H367)</f>
        <v>160</v>
      </c>
      <c r="K357" s="60">
        <f>PRODUCT('All-Servers'!G367,'All-Servers'!$H367)</f>
        <v>20</v>
      </c>
    </row>
    <row r="358" spans="8:11">
      <c r="H358" s="60">
        <f>PRODUCT('All-Servers'!D368,'All-Servers'!$H368)</f>
        <v>4</v>
      </c>
      <c r="I358" s="60">
        <f>PRODUCT('All-Servers'!E368,'All-Servers'!$H368)</f>
        <v>15000</v>
      </c>
      <c r="J358" s="60">
        <f>PRODUCT('All-Servers'!F368,'All-Servers'!$H368)</f>
        <v>80</v>
      </c>
      <c r="K358" s="60">
        <f>PRODUCT('All-Servers'!G368,'All-Servers'!$H368)</f>
        <v>420</v>
      </c>
    </row>
    <row r="359" spans="8:11">
      <c r="H359" s="60">
        <f>PRODUCT('All-Servers'!D369,'All-Servers'!$H369)</f>
        <v>1</v>
      </c>
      <c r="I359" s="60">
        <f>PRODUCT('All-Servers'!E369,'All-Servers'!$H369)</f>
        <v>3750</v>
      </c>
      <c r="J359" s="60">
        <f>PRODUCT('All-Servers'!F369,'All-Servers'!$H369)</f>
        <v>4</v>
      </c>
      <c r="K359" s="60">
        <f>PRODUCT('All-Servers'!G369,'All-Servers'!$H369)</f>
        <v>20</v>
      </c>
    </row>
    <row r="360" spans="8:11">
      <c r="H360" s="60">
        <f>PRODUCT('All-Servers'!D370,'All-Servers'!$H370)</f>
        <v>1</v>
      </c>
      <c r="I360" s="60">
        <f>PRODUCT('All-Servers'!E370,'All-Servers'!$H370)</f>
        <v>1700</v>
      </c>
      <c r="J360" s="60">
        <f>PRODUCT('All-Servers'!F370,'All-Servers'!$H370)</f>
        <v>160</v>
      </c>
      <c r="K360" s="60">
        <f>PRODUCT('All-Servers'!G370,'All-Servers'!$H370)</f>
        <v>20</v>
      </c>
    </row>
    <row r="361" spans="8:11">
      <c r="H361" s="60">
        <f>PRODUCT('All-Servers'!D371,'All-Servers'!$H371)</f>
        <v>1</v>
      </c>
      <c r="I361" s="60">
        <f>PRODUCT('All-Servers'!E371,'All-Servers'!$H371)</f>
        <v>3750</v>
      </c>
      <c r="J361" s="60">
        <f>PRODUCT('All-Servers'!F371,'All-Servers'!$H371)</f>
        <v>4</v>
      </c>
      <c r="K361" s="60">
        <f>PRODUCT('All-Servers'!G371,'All-Servers'!$H371)</f>
        <v>420</v>
      </c>
    </row>
    <row r="362" spans="8:11">
      <c r="H362" s="60">
        <f>PRODUCT('All-Servers'!D372,'All-Servers'!$H372)</f>
        <v>1</v>
      </c>
      <c r="I362" s="60">
        <f>PRODUCT('All-Servers'!E372,'All-Servers'!$H372)</f>
        <v>1700</v>
      </c>
      <c r="J362" s="60">
        <f>PRODUCT('All-Servers'!F372,'All-Servers'!$H372)</f>
        <v>160</v>
      </c>
      <c r="K362" s="60">
        <f>PRODUCT('All-Servers'!G372,'All-Servers'!$H372)</f>
        <v>20</v>
      </c>
    </row>
    <row r="363" spans="8:11">
      <c r="H363" s="60">
        <f>PRODUCT('All-Servers'!D373,'All-Servers'!$H373)</f>
        <v>1</v>
      </c>
      <c r="I363" s="60">
        <f>PRODUCT('All-Servers'!E373,'All-Servers'!$H373)</f>
        <v>3750</v>
      </c>
      <c r="J363" s="60">
        <f>PRODUCT('All-Servers'!F373,'All-Servers'!$H373)</f>
        <v>4</v>
      </c>
      <c r="K363" s="60">
        <f>PRODUCT('All-Servers'!G373,'All-Servers'!$H373)</f>
        <v>420</v>
      </c>
    </row>
    <row r="364" spans="8:11">
      <c r="H364" s="60">
        <f>PRODUCT('All-Servers'!D374,'All-Servers'!$H374)</f>
        <v>1</v>
      </c>
      <c r="I364" s="60">
        <f>PRODUCT('All-Servers'!E374,'All-Servers'!$H374)</f>
        <v>1700</v>
      </c>
      <c r="J364" s="60">
        <f>PRODUCT('All-Servers'!F374,'All-Servers'!$H374)</f>
        <v>160</v>
      </c>
      <c r="K364" s="60">
        <f>PRODUCT('All-Servers'!G374,'All-Servers'!$H374)</f>
        <v>20</v>
      </c>
    </row>
    <row r="365" spans="8:11">
      <c r="H365" s="60">
        <f>PRODUCT('All-Servers'!D375,'All-Servers'!$H375)</f>
        <v>1</v>
      </c>
      <c r="I365" s="60">
        <f>PRODUCT('All-Servers'!E375,'All-Servers'!$H375)</f>
        <v>3750</v>
      </c>
      <c r="J365" s="60">
        <f>PRODUCT('All-Servers'!F375,'All-Servers'!$H375)</f>
        <v>4</v>
      </c>
      <c r="K365" s="60">
        <f>PRODUCT('All-Servers'!G375,'All-Servers'!$H375)</f>
        <v>420</v>
      </c>
    </row>
    <row r="366" spans="8:11">
      <c r="H366" s="60">
        <f>PRODUCT('All-Servers'!D376,'All-Servers'!$H376)</f>
        <v>1</v>
      </c>
      <c r="I366" s="60">
        <f>PRODUCT('All-Servers'!E376,'All-Servers'!$H376)</f>
        <v>1700</v>
      </c>
      <c r="J366" s="60">
        <f>PRODUCT('All-Servers'!F376,'All-Servers'!$H376)</f>
        <v>160</v>
      </c>
      <c r="K366" s="60">
        <f>PRODUCT('All-Servers'!G376,'All-Servers'!$H376)</f>
        <v>20</v>
      </c>
    </row>
    <row r="367" spans="8:11">
      <c r="H367" s="60">
        <f>PRODUCT('All-Servers'!D377,'All-Servers'!$H377)</f>
        <v>2</v>
      </c>
      <c r="I367" s="60">
        <f>PRODUCT('All-Servers'!E377,'All-Servers'!$H377)</f>
        <v>7500</v>
      </c>
      <c r="J367" s="60">
        <f>PRODUCT('All-Servers'!F377,'All-Servers'!$H377)</f>
        <v>850</v>
      </c>
      <c r="K367" s="60">
        <f>PRODUCT('All-Servers'!G377,'All-Servers'!$H377)</f>
        <v>1128</v>
      </c>
    </row>
    <row r="368" spans="8:11">
      <c r="H368" s="60">
        <f>PRODUCT('All-Servers'!D378,'All-Servers'!$H378)</f>
        <v>1</v>
      </c>
      <c r="I368" s="60">
        <f>PRODUCT('All-Servers'!E378,'All-Servers'!$H378)</f>
        <v>1700</v>
      </c>
      <c r="J368" s="60">
        <f>PRODUCT('All-Servers'!F378,'All-Servers'!$H378)</f>
        <v>160</v>
      </c>
      <c r="K368" s="60">
        <f>PRODUCT('All-Servers'!G378,'All-Servers'!$H378)</f>
        <v>220</v>
      </c>
    </row>
    <row r="369" spans="8:11">
      <c r="H369" s="60">
        <f>PRODUCT('All-Servers'!D379,'All-Servers'!$H379)</f>
        <v>1</v>
      </c>
      <c r="I369" s="60">
        <f>PRODUCT('All-Servers'!E379,'All-Servers'!$H379)</f>
        <v>2000</v>
      </c>
      <c r="J369" s="60">
        <f>PRODUCT('All-Servers'!F379,'All-Servers'!$H379)</f>
        <v>0</v>
      </c>
      <c r="K369" s="60">
        <f>PRODUCT('All-Servers'!G379,'All-Servers'!$H379)</f>
        <v>20</v>
      </c>
    </row>
    <row r="370" spans="8:11">
      <c r="H370" s="60">
        <f>PRODUCT('All-Servers'!D380,'All-Servers'!$H380)</f>
        <v>4</v>
      </c>
      <c r="I370" s="60">
        <f>PRODUCT('All-Servers'!E380,'All-Servers'!$H380)</f>
        <v>15000</v>
      </c>
      <c r="J370" s="60">
        <f>PRODUCT('All-Servers'!F380,'All-Servers'!$H380)</f>
        <v>80</v>
      </c>
      <c r="K370" s="60">
        <f>PRODUCT('All-Servers'!G380,'All-Servers'!$H380)</f>
        <v>420</v>
      </c>
    </row>
    <row r="371" spans="8:11">
      <c r="H371" s="60">
        <f>PRODUCT('All-Servers'!D381,'All-Servers'!$H381)</f>
        <v>1</v>
      </c>
      <c r="I371" s="60">
        <f>PRODUCT('All-Servers'!E381,'All-Servers'!$H381)</f>
        <v>1700</v>
      </c>
      <c r="J371" s="60">
        <f>PRODUCT('All-Servers'!F381,'All-Servers'!$H381)</f>
        <v>160</v>
      </c>
      <c r="K371" s="60">
        <f>PRODUCT('All-Servers'!G381,'All-Servers'!$H381)</f>
        <v>20</v>
      </c>
    </row>
    <row r="372" spans="8:11">
      <c r="H372" s="60">
        <f>PRODUCT('All-Servers'!D382,'All-Servers'!$H382)</f>
        <v>1</v>
      </c>
      <c r="I372" s="60">
        <f>PRODUCT('All-Servers'!E382,'All-Servers'!$H382)</f>
        <v>1700</v>
      </c>
      <c r="J372" s="60">
        <f>PRODUCT('All-Servers'!F382,'All-Servers'!$H382)</f>
        <v>160</v>
      </c>
      <c r="K372" s="60">
        <f>PRODUCT('All-Servers'!G382,'All-Servers'!$H382)</f>
        <v>20</v>
      </c>
    </row>
    <row r="373" spans="8:11">
      <c r="H373" s="60">
        <f>PRODUCT('All-Servers'!D383,'All-Servers'!$H383)</f>
        <v>1</v>
      </c>
      <c r="I373" s="60">
        <f>PRODUCT('All-Servers'!E383,'All-Servers'!$H383)</f>
        <v>1700</v>
      </c>
      <c r="J373" s="60">
        <f>PRODUCT('All-Servers'!F383,'All-Servers'!$H383)</f>
        <v>160</v>
      </c>
      <c r="K373" s="60">
        <f>PRODUCT('All-Servers'!G383,'All-Servers'!$H383)</f>
        <v>20</v>
      </c>
    </row>
    <row r="374" spans="8:11">
      <c r="H374" s="60">
        <f>PRODUCT('All-Servers'!D384,'All-Servers'!$H384)</f>
        <v>1</v>
      </c>
      <c r="I374" s="60">
        <f>PRODUCT('All-Servers'!E384,'All-Servers'!$H384)</f>
        <v>1700</v>
      </c>
      <c r="J374" s="60">
        <f>PRODUCT('All-Servers'!F384,'All-Servers'!$H384)</f>
        <v>160</v>
      </c>
      <c r="K374" s="60">
        <f>PRODUCT('All-Servers'!G384,'All-Servers'!$H384)</f>
        <v>20</v>
      </c>
    </row>
    <row r="375" spans="8:11">
      <c r="H375" s="60">
        <f>PRODUCT('All-Servers'!D385,'All-Servers'!$H385)</f>
        <v>4</v>
      </c>
      <c r="I375" s="60">
        <f>PRODUCT('All-Servers'!E385,'All-Servers'!$H385)</f>
        <v>15000</v>
      </c>
      <c r="J375" s="60">
        <f>PRODUCT('All-Servers'!F385,'All-Servers'!$H385)</f>
        <v>80</v>
      </c>
      <c r="K375" s="60">
        <f>PRODUCT('All-Servers'!G385,'All-Servers'!$H385)</f>
        <v>420</v>
      </c>
    </row>
    <row r="376" spans="8:11">
      <c r="H376" s="60">
        <f>PRODUCT('All-Servers'!D386,'All-Servers'!$H386)</f>
        <v>1</v>
      </c>
      <c r="I376" s="60">
        <f>PRODUCT('All-Servers'!E386,'All-Servers'!$H386)</f>
        <v>1700</v>
      </c>
      <c r="J376" s="60">
        <f>PRODUCT('All-Servers'!F386,'All-Servers'!$H386)</f>
        <v>160</v>
      </c>
      <c r="K376" s="60">
        <f>PRODUCT('All-Servers'!G386,'All-Servers'!$H386)</f>
        <v>820</v>
      </c>
    </row>
    <row r="377" spans="8:11">
      <c r="H377" s="60">
        <f>PRODUCT('All-Servers'!D387,'All-Servers'!$H387)</f>
        <v>2</v>
      </c>
      <c r="I377" s="60">
        <f>PRODUCT('All-Servers'!E387,'All-Servers'!$H387)</f>
        <v>4000</v>
      </c>
      <c r="J377" s="60">
        <f>PRODUCT('All-Servers'!F387,'All-Servers'!$H387)</f>
        <v>0</v>
      </c>
      <c r="K377" s="60">
        <f>PRODUCT('All-Servers'!G387,'All-Servers'!$H387)</f>
        <v>20</v>
      </c>
    </row>
    <row r="378" spans="8:11">
      <c r="H378" s="60">
        <f>PRODUCT('All-Servers'!D388,'All-Servers'!$H388)</f>
        <v>2</v>
      </c>
      <c r="I378" s="60">
        <f>PRODUCT('All-Servers'!E388,'All-Servers'!$H388)</f>
        <v>3750</v>
      </c>
      <c r="J378" s="60">
        <f>PRODUCT('All-Servers'!F388,'All-Servers'!$H388)</f>
        <v>32</v>
      </c>
      <c r="K378" s="60">
        <f>PRODUCT('All-Servers'!G388,'All-Servers'!$H388)</f>
        <v>20</v>
      </c>
    </row>
    <row r="379" spans="8:11">
      <c r="H379" s="60">
        <f>PRODUCT('All-Servers'!D389,'All-Servers'!$H389)</f>
        <v>2</v>
      </c>
      <c r="I379" s="60">
        <f>PRODUCT('All-Servers'!E389,'All-Servers'!$H389)</f>
        <v>3750</v>
      </c>
      <c r="J379" s="60">
        <f>PRODUCT('All-Servers'!F389,'All-Servers'!$H389)</f>
        <v>32</v>
      </c>
      <c r="K379" s="60">
        <f>PRODUCT('All-Servers'!G389,'All-Servers'!$H389)</f>
        <v>20</v>
      </c>
    </row>
    <row r="380" spans="8:11">
      <c r="H380" s="60">
        <f>PRODUCT('All-Servers'!D390,'All-Servers'!$H390)</f>
        <v>2</v>
      </c>
      <c r="I380" s="60">
        <f>PRODUCT('All-Servers'!E390,'All-Servers'!$H390)</f>
        <v>3750</v>
      </c>
      <c r="J380" s="60">
        <f>PRODUCT('All-Servers'!F390,'All-Servers'!$H390)</f>
        <v>32</v>
      </c>
      <c r="K380" s="60">
        <f>PRODUCT('All-Servers'!G390,'All-Servers'!$H390)</f>
        <v>20</v>
      </c>
    </row>
    <row r="381" spans="8:11">
      <c r="H381" s="60">
        <f>PRODUCT('All-Servers'!D391,'All-Servers'!$H391)</f>
        <v>2</v>
      </c>
      <c r="I381" s="60">
        <f>PRODUCT('All-Servers'!E391,'All-Servers'!$H391)</f>
        <v>3750</v>
      </c>
      <c r="J381" s="60">
        <f>PRODUCT('All-Servers'!F391,'All-Servers'!$H391)</f>
        <v>32</v>
      </c>
      <c r="K381" s="60">
        <f>PRODUCT('All-Servers'!G391,'All-Servers'!$H391)</f>
        <v>20</v>
      </c>
    </row>
    <row r="382" spans="8:11">
      <c r="H382" s="60">
        <f>PRODUCT('All-Servers'!D392,'All-Servers'!$H392)</f>
        <v>2</v>
      </c>
      <c r="I382" s="60">
        <f>PRODUCT('All-Servers'!E392,'All-Servers'!$H392)</f>
        <v>3750</v>
      </c>
      <c r="J382" s="60">
        <f>PRODUCT('All-Servers'!F392,'All-Servers'!$H392)</f>
        <v>32</v>
      </c>
      <c r="K382" s="60">
        <f>PRODUCT('All-Servers'!G392,'All-Servers'!$H392)</f>
        <v>20</v>
      </c>
    </row>
    <row r="383" spans="8:11">
      <c r="H383" s="60">
        <f>PRODUCT('All-Servers'!D393,'All-Servers'!$H393)</f>
        <v>1</v>
      </c>
      <c r="I383" s="60">
        <f>PRODUCT('All-Servers'!E393,'All-Servers'!$H393)</f>
        <v>1700</v>
      </c>
      <c r="J383" s="60">
        <f>PRODUCT('All-Servers'!F393,'All-Servers'!$H393)</f>
        <v>160</v>
      </c>
      <c r="K383" s="60">
        <f>PRODUCT('All-Servers'!G393,'All-Servers'!$H393)</f>
        <v>20</v>
      </c>
    </row>
    <row r="384" spans="8:11">
      <c r="H384" s="60">
        <f>PRODUCT('All-Servers'!D394,'All-Servers'!$H394)</f>
        <v>1</v>
      </c>
      <c r="I384" s="60">
        <f>PRODUCT('All-Servers'!E394,'All-Servers'!$H394)</f>
        <v>1700</v>
      </c>
      <c r="J384" s="60">
        <f>PRODUCT('All-Servers'!F394,'All-Servers'!$H394)</f>
        <v>160</v>
      </c>
      <c r="K384" s="60">
        <f>PRODUCT('All-Servers'!G394,'All-Servers'!$H394)</f>
        <v>20</v>
      </c>
    </row>
    <row r="385" spans="8:11">
      <c r="H385" s="60">
        <f>PRODUCT('All-Servers'!D395,'All-Servers'!$H395)</f>
        <v>8</v>
      </c>
      <c r="I385" s="60">
        <f>PRODUCT('All-Servers'!E395,'All-Servers'!$H395)</f>
        <v>15000</v>
      </c>
      <c r="J385" s="60">
        <f>PRODUCT('All-Servers'!F395,'All-Servers'!$H395)</f>
        <v>160</v>
      </c>
      <c r="K385" s="60">
        <f>PRODUCT('All-Servers'!G395,'All-Servers'!$H395)</f>
        <v>20</v>
      </c>
    </row>
    <row r="386" spans="8:11">
      <c r="H386" s="60">
        <f>PRODUCT('All-Servers'!D396,'All-Servers'!$H396)</f>
        <v>1</v>
      </c>
      <c r="I386" s="60">
        <f>PRODUCT('All-Servers'!E396,'All-Servers'!$H396)</f>
        <v>2000</v>
      </c>
      <c r="J386" s="60">
        <f>PRODUCT('All-Servers'!F396,'All-Servers'!$H396)</f>
        <v>0</v>
      </c>
      <c r="K386" s="60">
        <f>PRODUCT('All-Servers'!G396,'All-Servers'!$H396)</f>
        <v>20</v>
      </c>
    </row>
    <row r="387" spans="8:11">
      <c r="H387" s="60">
        <f>PRODUCT('All-Servers'!D397,'All-Servers'!$H397)</f>
        <v>1</v>
      </c>
      <c r="I387" s="60">
        <f>PRODUCT('All-Servers'!E397,'All-Servers'!$H397)</f>
        <v>1700</v>
      </c>
      <c r="J387" s="60">
        <f>PRODUCT('All-Servers'!F397,'All-Servers'!$H397)</f>
        <v>160</v>
      </c>
      <c r="K387" s="60">
        <f>PRODUCT('All-Servers'!G397,'All-Servers'!$H397)</f>
        <v>1820</v>
      </c>
    </row>
    <row r="388" spans="8:11">
      <c r="H388" s="60">
        <f>PRODUCT('All-Servers'!D398,'All-Servers'!$H398)</f>
        <v>1</v>
      </c>
      <c r="I388" s="60">
        <f>PRODUCT('All-Servers'!E398,'All-Servers'!$H398)</f>
        <v>1700</v>
      </c>
      <c r="J388" s="60">
        <f>PRODUCT('All-Servers'!F398,'All-Servers'!$H398)</f>
        <v>160</v>
      </c>
      <c r="K388" s="60">
        <f>PRODUCT('All-Servers'!G398,'All-Servers'!$H398)</f>
        <v>20</v>
      </c>
    </row>
    <row r="389" spans="8:11">
      <c r="H389" s="60">
        <f>PRODUCT('All-Servers'!D399,'All-Servers'!$H399)</f>
        <v>4</v>
      </c>
      <c r="I389" s="60">
        <f>PRODUCT('All-Servers'!E399,'All-Servers'!$H399)</f>
        <v>15000</v>
      </c>
      <c r="J389" s="60">
        <f>PRODUCT('All-Servers'!F399,'All-Servers'!$H399)</f>
        <v>80</v>
      </c>
      <c r="K389" s="60">
        <f>PRODUCT('All-Servers'!G399,'All-Servers'!$H399)</f>
        <v>420</v>
      </c>
    </row>
    <row r="390" spans="8:11">
      <c r="H390" s="60">
        <f>PRODUCT('All-Servers'!D400,'All-Servers'!$H400)</f>
        <v>1</v>
      </c>
      <c r="I390" s="60">
        <f>PRODUCT('All-Servers'!E400,'All-Servers'!$H400)</f>
        <v>2000</v>
      </c>
      <c r="J390" s="60">
        <f>PRODUCT('All-Servers'!F400,'All-Servers'!$H400)</f>
        <v>0</v>
      </c>
      <c r="K390" s="60">
        <f>PRODUCT('All-Servers'!G400,'All-Servers'!$H400)</f>
        <v>20</v>
      </c>
    </row>
    <row r="391" spans="8:11">
      <c r="H391" s="60">
        <f>PRODUCT('All-Servers'!D401,'All-Servers'!$H401)</f>
        <v>1</v>
      </c>
      <c r="I391" s="60">
        <f>PRODUCT('All-Servers'!E401,'All-Servers'!$H401)</f>
        <v>1700</v>
      </c>
      <c r="J391" s="60">
        <f>PRODUCT('All-Servers'!F401,'All-Servers'!$H401)</f>
        <v>160</v>
      </c>
      <c r="K391" s="60">
        <f>PRODUCT('All-Servers'!G401,'All-Servers'!$H401)</f>
        <v>20</v>
      </c>
    </row>
    <row r="392" spans="8:11">
      <c r="H392" s="60">
        <f>PRODUCT('All-Servers'!D402,'All-Servers'!$H402)</f>
        <v>1</v>
      </c>
      <c r="I392" s="60">
        <f>PRODUCT('All-Servers'!E402,'All-Servers'!$H402)</f>
        <v>1700</v>
      </c>
      <c r="J392" s="60">
        <f>PRODUCT('All-Servers'!F402,'All-Servers'!$H402)</f>
        <v>160</v>
      </c>
      <c r="K392" s="60">
        <f>PRODUCT('All-Servers'!G402,'All-Servers'!$H402)</f>
        <v>1220</v>
      </c>
    </row>
    <row r="393" spans="8:11">
      <c r="H393" s="60">
        <f>PRODUCT('All-Servers'!D403,'All-Servers'!$H403)</f>
        <v>1</v>
      </c>
      <c r="I393" s="60">
        <f>PRODUCT('All-Servers'!E403,'All-Servers'!$H403)</f>
        <v>1700</v>
      </c>
      <c r="J393" s="60">
        <f>PRODUCT('All-Servers'!F403,'All-Servers'!$H403)</f>
        <v>160</v>
      </c>
      <c r="K393" s="60">
        <f>PRODUCT('All-Servers'!G403,'All-Servers'!$H403)</f>
        <v>20</v>
      </c>
    </row>
    <row r="394" spans="8:11">
      <c r="H394" s="60">
        <f>PRODUCT('All-Servers'!D404,'All-Servers'!$H404)</f>
        <v>1</v>
      </c>
      <c r="I394" s="60">
        <f>PRODUCT('All-Servers'!E404,'All-Servers'!$H404)</f>
        <v>1700</v>
      </c>
      <c r="J394" s="60">
        <f>PRODUCT('All-Servers'!F404,'All-Servers'!$H404)</f>
        <v>160</v>
      </c>
      <c r="K394" s="60">
        <f>PRODUCT('All-Servers'!G404,'All-Servers'!$H404)</f>
        <v>20</v>
      </c>
    </row>
    <row r="395" spans="8:11">
      <c r="H395" s="60">
        <f>PRODUCT('All-Servers'!D405,'All-Servers'!$H405)</f>
        <v>2</v>
      </c>
      <c r="I395" s="60">
        <f>PRODUCT('All-Servers'!E405,'All-Servers'!$H405)</f>
        <v>3750</v>
      </c>
      <c r="J395" s="60">
        <f>PRODUCT('All-Servers'!F405,'All-Servers'!$H405)</f>
        <v>32</v>
      </c>
      <c r="K395" s="60">
        <f>PRODUCT('All-Servers'!G405,'All-Servers'!$H405)</f>
        <v>20</v>
      </c>
    </row>
    <row r="396" spans="8:11">
      <c r="H396" s="60">
        <f>PRODUCT('All-Servers'!D406,'All-Servers'!$H406)</f>
        <v>1</v>
      </c>
      <c r="I396" s="60">
        <f>PRODUCT('All-Servers'!E406,'All-Servers'!$H406)</f>
        <v>1700</v>
      </c>
      <c r="J396" s="60">
        <f>PRODUCT('All-Servers'!F406,'All-Servers'!$H406)</f>
        <v>160</v>
      </c>
      <c r="K396" s="60">
        <f>PRODUCT('All-Servers'!G406,'All-Servers'!$H406)</f>
        <v>20</v>
      </c>
    </row>
    <row r="397" spans="8:11">
      <c r="H397" s="60">
        <f>PRODUCT('All-Servers'!D407,'All-Servers'!$H407)</f>
        <v>1</v>
      </c>
      <c r="I397" s="60">
        <f>PRODUCT('All-Servers'!E407,'All-Servers'!$H407)</f>
        <v>1700</v>
      </c>
      <c r="J397" s="60">
        <f>PRODUCT('All-Servers'!F407,'All-Servers'!$H407)</f>
        <v>160</v>
      </c>
      <c r="K397" s="60">
        <f>PRODUCT('All-Servers'!G407,'All-Servers'!$H407)</f>
        <v>20</v>
      </c>
    </row>
    <row r="398" spans="8:11">
      <c r="H398" s="60">
        <f>PRODUCT('All-Servers'!D408,'All-Servers'!$H408)</f>
        <v>1</v>
      </c>
      <c r="I398" s="60">
        <f>PRODUCT('All-Servers'!E408,'All-Servers'!$H408)</f>
        <v>1700</v>
      </c>
      <c r="J398" s="60">
        <f>PRODUCT('All-Servers'!F408,'All-Servers'!$H408)</f>
        <v>160</v>
      </c>
      <c r="K398" s="60">
        <f>PRODUCT('All-Servers'!G408,'All-Servers'!$H408)</f>
        <v>20</v>
      </c>
    </row>
    <row r="399" spans="8:11">
      <c r="H399" s="60">
        <f>PRODUCT('All-Servers'!D409,'All-Servers'!$H409)</f>
        <v>1</v>
      </c>
      <c r="I399" s="60">
        <f>PRODUCT('All-Servers'!E409,'All-Servers'!$H409)</f>
        <v>1700</v>
      </c>
      <c r="J399" s="60">
        <f>PRODUCT('All-Servers'!F409,'All-Servers'!$H409)</f>
        <v>160</v>
      </c>
      <c r="K399" s="60">
        <f>PRODUCT('All-Servers'!G409,'All-Servers'!$H409)</f>
        <v>20</v>
      </c>
    </row>
    <row r="400" spans="8:11">
      <c r="H400" s="60">
        <f>PRODUCT('All-Servers'!D410,'All-Servers'!$H410)</f>
        <v>1</v>
      </c>
      <c r="I400" s="60">
        <f>PRODUCT('All-Servers'!E410,'All-Servers'!$H410)</f>
        <v>1700</v>
      </c>
      <c r="J400" s="60">
        <f>PRODUCT('All-Servers'!F410,'All-Servers'!$H410)</f>
        <v>160</v>
      </c>
      <c r="K400" s="60">
        <f>PRODUCT('All-Servers'!G410,'All-Servers'!$H410)</f>
        <v>20</v>
      </c>
    </row>
    <row r="401" spans="8:11">
      <c r="H401" s="60">
        <f>PRODUCT('All-Servers'!D411,'All-Servers'!$H411)</f>
        <v>1</v>
      </c>
      <c r="I401" s="60">
        <f>PRODUCT('All-Servers'!E411,'All-Servers'!$H411)</f>
        <v>3750</v>
      </c>
      <c r="J401" s="60">
        <f>PRODUCT('All-Servers'!F411,'All-Servers'!$H411)</f>
        <v>4</v>
      </c>
      <c r="K401" s="60">
        <f>PRODUCT('All-Servers'!G411,'All-Servers'!$H411)</f>
        <v>420</v>
      </c>
    </row>
    <row r="402" spans="8:11">
      <c r="H402" s="60">
        <f>PRODUCT('All-Servers'!D412,'All-Servers'!$H412)</f>
        <v>1</v>
      </c>
      <c r="I402" s="60">
        <f>PRODUCT('All-Servers'!E412,'All-Servers'!$H412)</f>
        <v>1700</v>
      </c>
      <c r="J402" s="60">
        <f>PRODUCT('All-Servers'!F412,'All-Servers'!$H412)</f>
        <v>160</v>
      </c>
      <c r="K402" s="60">
        <f>PRODUCT('All-Servers'!G412,'All-Servers'!$H412)</f>
        <v>20</v>
      </c>
    </row>
    <row r="403" spans="8:11">
      <c r="H403" s="60">
        <f>PRODUCT('All-Servers'!D413,'All-Servers'!$H413)</f>
        <v>1</v>
      </c>
      <c r="I403" s="60">
        <f>PRODUCT('All-Servers'!E413,'All-Servers'!$H413)</f>
        <v>1700</v>
      </c>
      <c r="J403" s="60">
        <f>PRODUCT('All-Servers'!F413,'All-Servers'!$H413)</f>
        <v>160</v>
      </c>
      <c r="K403" s="60">
        <f>PRODUCT('All-Servers'!G413,'All-Servers'!$H413)</f>
        <v>20</v>
      </c>
    </row>
    <row r="404" spans="8:11">
      <c r="H404" s="60">
        <f>PRODUCT('All-Servers'!D414,'All-Servers'!$H414)</f>
        <v>4</v>
      </c>
      <c r="I404" s="60">
        <f>PRODUCT('All-Servers'!E414,'All-Servers'!$H414)</f>
        <v>15000</v>
      </c>
      <c r="J404" s="60">
        <f>PRODUCT('All-Servers'!F414,'All-Servers'!$H414)</f>
        <v>80</v>
      </c>
      <c r="K404" s="60">
        <f>PRODUCT('All-Servers'!G414,'All-Servers'!$H414)</f>
        <v>1420</v>
      </c>
    </row>
    <row r="405" spans="8:11">
      <c r="H405" s="60">
        <f>PRODUCT('All-Servers'!D415,'All-Servers'!$H415)</f>
        <v>1</v>
      </c>
      <c r="I405" s="60">
        <f>PRODUCT('All-Servers'!E415,'All-Servers'!$H415)</f>
        <v>3750</v>
      </c>
      <c r="J405" s="60">
        <f>PRODUCT('All-Servers'!F415,'All-Servers'!$H415)</f>
        <v>410</v>
      </c>
      <c r="K405" s="60">
        <f>PRODUCT('All-Servers'!G415,'All-Servers'!$H415)</f>
        <v>20</v>
      </c>
    </row>
    <row r="406" spans="8:11">
      <c r="H406" s="60">
        <f>PRODUCT('All-Servers'!D416,'All-Servers'!$H416)</f>
        <v>1</v>
      </c>
      <c r="I406" s="60">
        <f>PRODUCT('All-Servers'!E416,'All-Servers'!$H416)</f>
        <v>1700</v>
      </c>
      <c r="J406" s="60">
        <f>PRODUCT('All-Servers'!F416,'All-Servers'!$H416)</f>
        <v>160</v>
      </c>
      <c r="K406" s="60">
        <f>PRODUCT('All-Servers'!G416,'All-Servers'!$H416)</f>
        <v>220</v>
      </c>
    </row>
    <row r="407" spans="8:11">
      <c r="H407" s="60">
        <f>PRODUCT('All-Servers'!D417,'All-Servers'!$H417)</f>
        <v>1</v>
      </c>
      <c r="I407" s="60">
        <f>PRODUCT('All-Servers'!E417,'All-Servers'!$H417)</f>
        <v>1700</v>
      </c>
      <c r="J407" s="60">
        <f>PRODUCT('All-Servers'!F417,'All-Servers'!$H417)</f>
        <v>160</v>
      </c>
      <c r="K407" s="60">
        <f>PRODUCT('All-Servers'!G417,'All-Servers'!$H417)</f>
        <v>20</v>
      </c>
    </row>
    <row r="408" spans="8:11">
      <c r="H408" s="60">
        <f>PRODUCT('All-Servers'!D418,'All-Servers'!$H418)</f>
        <v>1</v>
      </c>
      <c r="I408" s="60">
        <f>PRODUCT('All-Servers'!E418,'All-Servers'!$H418)</f>
        <v>3750</v>
      </c>
      <c r="J408" s="60">
        <f>PRODUCT('All-Servers'!F418,'All-Servers'!$H418)</f>
        <v>410</v>
      </c>
      <c r="K408" s="60">
        <f>PRODUCT('All-Servers'!G418,'All-Servers'!$H418)</f>
        <v>30</v>
      </c>
    </row>
    <row r="409" spans="8:11">
      <c r="H409" s="60">
        <f>PRODUCT('All-Servers'!D419,'All-Servers'!$H419)</f>
        <v>1</v>
      </c>
      <c r="I409" s="60">
        <f>PRODUCT('All-Servers'!E419,'All-Servers'!$H419)</f>
        <v>1700</v>
      </c>
      <c r="J409" s="60">
        <f>PRODUCT('All-Servers'!F419,'All-Servers'!$H419)</f>
        <v>160</v>
      </c>
      <c r="K409" s="60">
        <f>PRODUCT('All-Servers'!G419,'All-Servers'!$H419)</f>
        <v>20</v>
      </c>
    </row>
    <row r="410" spans="8:11">
      <c r="H410" s="60">
        <f>PRODUCT('All-Servers'!D420,'All-Servers'!$H420)</f>
        <v>1</v>
      </c>
      <c r="I410" s="60">
        <f>PRODUCT('All-Servers'!E420,'All-Servers'!$H420)</f>
        <v>1700</v>
      </c>
      <c r="J410" s="60">
        <f>PRODUCT('All-Servers'!F420,'All-Servers'!$H420)</f>
        <v>160</v>
      </c>
      <c r="K410" s="60">
        <f>PRODUCT('All-Servers'!G420,'All-Servers'!$H420)</f>
        <v>20</v>
      </c>
    </row>
    <row r="411" spans="8:11">
      <c r="H411" s="60">
        <f>PRODUCT('All-Servers'!D421,'All-Servers'!$H421)</f>
        <v>1</v>
      </c>
      <c r="I411" s="60">
        <f>PRODUCT('All-Servers'!E421,'All-Servers'!$H421)</f>
        <v>1700</v>
      </c>
      <c r="J411" s="60">
        <f>PRODUCT('All-Servers'!F421,'All-Servers'!$H421)</f>
        <v>160</v>
      </c>
      <c r="K411" s="60">
        <f>PRODUCT('All-Servers'!G421,'All-Servers'!$H421)</f>
        <v>420</v>
      </c>
    </row>
    <row r="412" spans="8:11">
      <c r="H412" s="60">
        <f>PRODUCT('All-Servers'!D422,'All-Servers'!$H422)</f>
        <v>1</v>
      </c>
      <c r="I412" s="60">
        <f>PRODUCT('All-Servers'!E422,'All-Servers'!$H422)</f>
        <v>2000</v>
      </c>
      <c r="J412" s="60">
        <f>PRODUCT('All-Servers'!F422,'All-Servers'!$H422)</f>
        <v>0</v>
      </c>
      <c r="K412" s="60">
        <f>PRODUCT('All-Servers'!G422,'All-Servers'!$H422)</f>
        <v>20</v>
      </c>
    </row>
    <row r="413" spans="8:11">
      <c r="H413" s="60">
        <f>PRODUCT('All-Servers'!D423,'All-Servers'!$H423)</f>
        <v>1</v>
      </c>
      <c r="I413" s="60">
        <f>PRODUCT('All-Servers'!E423,'All-Servers'!$H423)</f>
        <v>615</v>
      </c>
      <c r="J413" s="60">
        <f>PRODUCT('All-Servers'!F423,'All-Servers'!$H423)</f>
        <v>160</v>
      </c>
      <c r="K413" s="60">
        <f>PRODUCT('All-Servers'!G423,'All-Servers'!$H423)</f>
        <v>20</v>
      </c>
    </row>
    <row r="414" spans="8:11">
      <c r="H414" s="60">
        <f>PRODUCT('All-Servers'!D424,'All-Servers'!$H424)</f>
        <v>1</v>
      </c>
      <c r="I414" s="60">
        <f>PRODUCT('All-Servers'!E424,'All-Servers'!$H424)</f>
        <v>2000</v>
      </c>
      <c r="J414" s="60">
        <f>PRODUCT('All-Servers'!F424,'All-Servers'!$H424)</f>
        <v>0</v>
      </c>
      <c r="K414" s="60">
        <f>PRODUCT('All-Servers'!G424,'All-Servers'!$H424)</f>
        <v>1220</v>
      </c>
    </row>
    <row r="415" spans="8:11">
      <c r="H415" s="60">
        <f>PRODUCT('All-Servers'!D425,'All-Servers'!$H425)</f>
        <v>1</v>
      </c>
      <c r="I415" s="60">
        <f>PRODUCT('All-Servers'!E425,'All-Servers'!$H425)</f>
        <v>1700</v>
      </c>
      <c r="J415" s="60">
        <f>PRODUCT('All-Servers'!F425,'All-Servers'!$H425)</f>
        <v>160</v>
      </c>
      <c r="K415" s="60">
        <f>PRODUCT('All-Servers'!G425,'All-Servers'!$H425)</f>
        <v>20</v>
      </c>
    </row>
    <row r="416" spans="8:11">
      <c r="H416" s="60">
        <f>PRODUCT('All-Servers'!D426,'All-Servers'!$H426)</f>
        <v>1</v>
      </c>
      <c r="I416" s="60">
        <f>PRODUCT('All-Servers'!E426,'All-Servers'!$H426)</f>
        <v>3750</v>
      </c>
      <c r="J416" s="60">
        <f>PRODUCT('All-Servers'!F426,'All-Servers'!$H426)</f>
        <v>4</v>
      </c>
      <c r="K416" s="60">
        <f>PRODUCT('All-Servers'!G426,'All-Servers'!$H426)</f>
        <v>420</v>
      </c>
    </row>
    <row r="417" spans="8:11">
      <c r="H417" s="60">
        <f>PRODUCT('All-Servers'!D427,'All-Servers'!$H427)</f>
        <v>1</v>
      </c>
      <c r="I417" s="60">
        <f>PRODUCT('All-Servers'!E427,'All-Servers'!$H427)</f>
        <v>1700</v>
      </c>
      <c r="J417" s="60">
        <f>PRODUCT('All-Servers'!F427,'All-Servers'!$H427)</f>
        <v>160</v>
      </c>
      <c r="K417" s="60">
        <f>PRODUCT('All-Servers'!G427,'All-Servers'!$H427)</f>
        <v>20</v>
      </c>
    </row>
    <row r="418" spans="8:11">
      <c r="H418" s="60">
        <f>PRODUCT('All-Servers'!D428,'All-Servers'!$H428)</f>
        <v>4</v>
      </c>
      <c r="I418" s="60">
        <f>PRODUCT('All-Servers'!E428,'All-Servers'!$H428)</f>
        <v>15000</v>
      </c>
      <c r="J418" s="60">
        <f>PRODUCT('All-Servers'!F428,'All-Servers'!$H428)</f>
        <v>80</v>
      </c>
      <c r="K418" s="60">
        <f>PRODUCT('All-Servers'!G428,'All-Servers'!$H428)</f>
        <v>420</v>
      </c>
    </row>
    <row r="419" spans="8:11">
      <c r="H419" s="60">
        <f>PRODUCT('All-Servers'!D429,'All-Servers'!$H429)</f>
        <v>1</v>
      </c>
      <c r="I419" s="60">
        <f>PRODUCT('All-Servers'!E429,'All-Servers'!$H429)</f>
        <v>1700</v>
      </c>
      <c r="J419" s="60">
        <f>PRODUCT('All-Servers'!F429,'All-Servers'!$H429)</f>
        <v>160</v>
      </c>
      <c r="K419" s="60">
        <f>PRODUCT('All-Servers'!G429,'All-Servers'!$H429)</f>
        <v>820</v>
      </c>
    </row>
    <row r="420" spans="8:11">
      <c r="H420" s="60">
        <f>PRODUCT('All-Servers'!D430,'All-Servers'!$H430)</f>
        <v>2</v>
      </c>
      <c r="I420" s="60">
        <f>PRODUCT('All-Servers'!E430,'All-Servers'!$H430)</f>
        <v>3750</v>
      </c>
      <c r="J420" s="60">
        <f>PRODUCT('All-Servers'!F430,'All-Servers'!$H430)</f>
        <v>32</v>
      </c>
      <c r="K420" s="60">
        <f>PRODUCT('All-Servers'!G430,'All-Servers'!$H430)</f>
        <v>220</v>
      </c>
    </row>
    <row r="421" spans="8:11">
      <c r="H421" s="60">
        <f>PRODUCT('All-Servers'!D431,'All-Servers'!$H431)</f>
        <v>1</v>
      </c>
      <c r="I421" s="60">
        <f>PRODUCT('All-Servers'!E431,'All-Servers'!$H431)</f>
        <v>1700</v>
      </c>
      <c r="J421" s="60">
        <f>PRODUCT('All-Servers'!F431,'All-Servers'!$H431)</f>
        <v>160</v>
      </c>
      <c r="K421" s="60">
        <f>PRODUCT('All-Servers'!G431,'All-Servers'!$H431)</f>
        <v>20</v>
      </c>
    </row>
    <row r="422" spans="8:11">
      <c r="H422" s="60">
        <f>PRODUCT('All-Servers'!D432,'All-Servers'!$H432)</f>
        <v>1</v>
      </c>
      <c r="I422" s="60">
        <f>PRODUCT('All-Servers'!E432,'All-Servers'!$H432)</f>
        <v>1700</v>
      </c>
      <c r="J422" s="60">
        <f>PRODUCT('All-Servers'!F432,'All-Servers'!$H432)</f>
        <v>160</v>
      </c>
      <c r="K422" s="60">
        <f>PRODUCT('All-Servers'!G432,'All-Servers'!$H432)</f>
        <v>20</v>
      </c>
    </row>
    <row r="423" spans="8:11">
      <c r="H423" s="60">
        <f>PRODUCT('All-Servers'!D433,'All-Servers'!$H433)</f>
        <v>2</v>
      </c>
      <c r="I423" s="60">
        <f>PRODUCT('All-Servers'!E433,'All-Servers'!$H433)</f>
        <v>4000</v>
      </c>
      <c r="J423" s="60">
        <f>PRODUCT('All-Servers'!F433,'All-Servers'!$H433)</f>
        <v>0</v>
      </c>
      <c r="K423" s="60">
        <f>PRODUCT('All-Servers'!G433,'All-Servers'!$H433)</f>
        <v>820</v>
      </c>
    </row>
    <row r="424" spans="8:11">
      <c r="H424" s="60">
        <f>PRODUCT('All-Servers'!D434,'All-Servers'!$H434)</f>
        <v>1</v>
      </c>
      <c r="I424" s="60">
        <f>PRODUCT('All-Servers'!E434,'All-Servers'!$H434)</f>
        <v>1700</v>
      </c>
      <c r="J424" s="60">
        <f>PRODUCT('All-Servers'!F434,'All-Servers'!$H434)</f>
        <v>160</v>
      </c>
      <c r="K424" s="60">
        <f>PRODUCT('All-Servers'!G434,'All-Servers'!$H434)</f>
        <v>20</v>
      </c>
    </row>
    <row r="425" spans="8:11">
      <c r="H425" s="60">
        <f>PRODUCT('All-Servers'!D435,'All-Servers'!$H435)</f>
        <v>1</v>
      </c>
      <c r="I425" s="60">
        <f>PRODUCT('All-Servers'!E435,'All-Servers'!$H435)</f>
        <v>1700</v>
      </c>
      <c r="J425" s="60">
        <f>PRODUCT('All-Servers'!F435,'All-Servers'!$H435)</f>
        <v>160</v>
      </c>
      <c r="K425" s="60">
        <f>PRODUCT('All-Servers'!G435,'All-Servers'!$H435)</f>
        <v>20</v>
      </c>
    </row>
    <row r="426" spans="8:11">
      <c r="H426" s="60">
        <f>PRODUCT('All-Servers'!D436,'All-Servers'!$H436)</f>
        <v>2</v>
      </c>
      <c r="I426" s="60">
        <f>PRODUCT('All-Servers'!E436,'All-Servers'!$H436)</f>
        <v>3750</v>
      </c>
      <c r="J426" s="60">
        <f>PRODUCT('All-Servers'!F436,'All-Servers'!$H436)</f>
        <v>32</v>
      </c>
      <c r="K426" s="60">
        <f>PRODUCT('All-Servers'!G436,'All-Servers'!$H436)</f>
        <v>20</v>
      </c>
    </row>
    <row r="427" spans="8:11">
      <c r="H427" s="60">
        <f>PRODUCT('All-Servers'!D437,'All-Servers'!$H437)</f>
        <v>1</v>
      </c>
      <c r="I427" s="60">
        <f>PRODUCT('All-Servers'!E437,'All-Servers'!$H437)</f>
        <v>1700</v>
      </c>
      <c r="J427" s="60">
        <f>PRODUCT('All-Servers'!F437,'All-Servers'!$H437)</f>
        <v>160</v>
      </c>
      <c r="K427" s="60">
        <f>PRODUCT('All-Servers'!G437,'All-Servers'!$H437)</f>
        <v>20</v>
      </c>
    </row>
    <row r="428" spans="8:11">
      <c r="H428" s="60">
        <f>PRODUCT('All-Servers'!D438,'All-Servers'!$H438)</f>
        <v>1</v>
      </c>
      <c r="I428" s="60">
        <f>PRODUCT('All-Servers'!E438,'All-Servers'!$H438)</f>
        <v>1700</v>
      </c>
      <c r="J428" s="60">
        <f>PRODUCT('All-Servers'!F438,'All-Servers'!$H438)</f>
        <v>160</v>
      </c>
      <c r="K428" s="60">
        <f>PRODUCT('All-Servers'!G438,'All-Servers'!$H438)</f>
        <v>1820</v>
      </c>
    </row>
    <row r="429" spans="8:11">
      <c r="H429" s="60">
        <f>PRODUCT('All-Servers'!D439,'All-Servers'!$H439)</f>
        <v>1</v>
      </c>
      <c r="I429" s="60">
        <f>PRODUCT('All-Servers'!E439,'All-Servers'!$H439)</f>
        <v>1700</v>
      </c>
      <c r="J429" s="60">
        <f>PRODUCT('All-Servers'!F439,'All-Servers'!$H439)</f>
        <v>160</v>
      </c>
      <c r="K429" s="60">
        <f>PRODUCT('All-Servers'!G439,'All-Servers'!$H439)</f>
        <v>20</v>
      </c>
    </row>
    <row r="430" spans="8:11">
      <c r="H430" s="60">
        <f>PRODUCT('All-Servers'!D440,'All-Servers'!$H440)</f>
        <v>1</v>
      </c>
      <c r="I430" s="60">
        <f>PRODUCT('All-Servers'!E440,'All-Servers'!$H440)</f>
        <v>1700</v>
      </c>
      <c r="J430" s="60">
        <f>PRODUCT('All-Servers'!F440,'All-Servers'!$H440)</f>
        <v>160</v>
      </c>
      <c r="K430" s="60">
        <f>PRODUCT('All-Servers'!G440,'All-Servers'!$H440)</f>
        <v>20</v>
      </c>
    </row>
    <row r="431" spans="8:11">
      <c r="H431" s="60">
        <f>PRODUCT('All-Servers'!D441,'All-Servers'!$H441)</f>
        <v>1</v>
      </c>
      <c r="I431" s="60">
        <f>PRODUCT('All-Servers'!E441,'All-Servers'!$H441)</f>
        <v>1700</v>
      </c>
      <c r="J431" s="60">
        <f>PRODUCT('All-Servers'!F441,'All-Servers'!$H441)</f>
        <v>160</v>
      </c>
      <c r="K431" s="60">
        <f>PRODUCT('All-Servers'!G441,'All-Servers'!$H441)</f>
        <v>20</v>
      </c>
    </row>
    <row r="432" spans="8:11">
      <c r="H432" s="60">
        <f>PRODUCT('All-Servers'!D442,'All-Servers'!$H442)</f>
        <v>1</v>
      </c>
      <c r="I432" s="60">
        <f>PRODUCT('All-Servers'!E442,'All-Servers'!$H442)</f>
        <v>1700</v>
      </c>
      <c r="J432" s="60">
        <f>PRODUCT('All-Servers'!F442,'All-Servers'!$H442)</f>
        <v>160</v>
      </c>
      <c r="K432" s="60">
        <f>PRODUCT('All-Servers'!G442,'All-Servers'!$H442)</f>
        <v>20</v>
      </c>
    </row>
    <row r="433" spans="8:11">
      <c r="H433" s="60">
        <f>PRODUCT('All-Servers'!D443,'All-Servers'!$H443)</f>
        <v>1</v>
      </c>
      <c r="I433" s="60">
        <f>PRODUCT('All-Servers'!E443,'All-Servers'!$H443)</f>
        <v>1700</v>
      </c>
      <c r="J433" s="60">
        <f>PRODUCT('All-Servers'!F443,'All-Servers'!$H443)</f>
        <v>160</v>
      </c>
      <c r="K433" s="60">
        <f>PRODUCT('All-Servers'!G443,'All-Servers'!$H443)</f>
        <v>20</v>
      </c>
    </row>
    <row r="434" spans="8:11">
      <c r="H434" s="60">
        <f>PRODUCT('All-Servers'!D444,'All-Servers'!$H444)</f>
        <v>1</v>
      </c>
      <c r="I434" s="60">
        <f>PRODUCT('All-Servers'!E444,'All-Servers'!$H444)</f>
        <v>1700</v>
      </c>
      <c r="J434" s="60">
        <f>PRODUCT('All-Servers'!F444,'All-Servers'!$H444)</f>
        <v>160</v>
      </c>
      <c r="K434" s="60">
        <f>PRODUCT('All-Servers'!G444,'All-Servers'!$H444)</f>
        <v>70</v>
      </c>
    </row>
    <row r="435" spans="8:11">
      <c r="H435" s="60">
        <f>PRODUCT('All-Servers'!D445,'All-Servers'!$H445)</f>
        <v>32</v>
      </c>
      <c r="I435" s="60">
        <f>PRODUCT('All-Servers'!E445,'All-Servers'!$H445)</f>
        <v>60000</v>
      </c>
      <c r="J435" s="60">
        <f>PRODUCT('All-Servers'!F445,'All-Servers'!$H445)</f>
        <v>640</v>
      </c>
      <c r="K435" s="60">
        <f>PRODUCT('All-Servers'!G445,'All-Servers'!$H445)</f>
        <v>20</v>
      </c>
    </row>
    <row r="436" spans="8:11">
      <c r="H436" s="60">
        <f>PRODUCT('All-Servers'!D446,'All-Servers'!$H446)</f>
        <v>8</v>
      </c>
      <c r="I436" s="60">
        <f>PRODUCT('All-Servers'!E446,'All-Servers'!$H446)</f>
        <v>30000</v>
      </c>
      <c r="J436" s="60">
        <f>PRODUCT('All-Servers'!F446,'All-Servers'!$H446)</f>
        <v>160</v>
      </c>
      <c r="K436" s="60">
        <f>PRODUCT('All-Servers'!G446,'All-Servers'!$H446)</f>
        <v>15340</v>
      </c>
    </row>
    <row r="437" spans="8:11">
      <c r="H437" s="60">
        <f>PRODUCT('All-Servers'!D447,'All-Servers'!$H447)</f>
        <v>2</v>
      </c>
      <c r="I437" s="60">
        <f>PRODUCT('All-Servers'!E447,'All-Servers'!$H447)</f>
        <v>7500</v>
      </c>
      <c r="J437" s="60">
        <f>PRODUCT('All-Servers'!F447,'All-Servers'!$H447)</f>
        <v>32</v>
      </c>
      <c r="K437" s="60">
        <f>PRODUCT('All-Servers'!G447,'All-Servers'!$H447)</f>
        <v>20</v>
      </c>
    </row>
    <row r="438" spans="8:11">
      <c r="H438" s="60">
        <f>PRODUCT('All-Servers'!D448,'All-Servers'!$H448)</f>
        <v>2</v>
      </c>
      <c r="I438" s="60">
        <f>PRODUCT('All-Servers'!E448,'All-Servers'!$H448)</f>
        <v>7500</v>
      </c>
      <c r="J438" s="60">
        <f>PRODUCT('All-Servers'!F448,'All-Servers'!$H448)</f>
        <v>32</v>
      </c>
      <c r="K438" s="60">
        <f>PRODUCT('All-Servers'!G448,'All-Servers'!$H448)</f>
        <v>1020</v>
      </c>
    </row>
    <row r="439" spans="8:11">
      <c r="H439" s="60">
        <f>PRODUCT('All-Servers'!D449,'All-Servers'!$H449)</f>
        <v>1</v>
      </c>
      <c r="I439" s="60">
        <f>PRODUCT('All-Servers'!E449,'All-Servers'!$H449)</f>
        <v>1700</v>
      </c>
      <c r="J439" s="60">
        <f>PRODUCT('All-Servers'!F449,'All-Servers'!$H449)</f>
        <v>160</v>
      </c>
      <c r="K439" s="60">
        <f>PRODUCT('All-Servers'!G449,'All-Servers'!$H449)</f>
        <v>20</v>
      </c>
    </row>
    <row r="440" spans="8:11">
      <c r="H440" s="60">
        <f>PRODUCT('All-Servers'!D450,'All-Servers'!$H450)</f>
        <v>1</v>
      </c>
      <c r="I440" s="60">
        <f>PRODUCT('All-Servers'!E450,'All-Servers'!$H450)</f>
        <v>1700</v>
      </c>
      <c r="J440" s="60">
        <f>PRODUCT('All-Servers'!F450,'All-Servers'!$H450)</f>
        <v>160</v>
      </c>
      <c r="K440" s="60">
        <f>PRODUCT('All-Servers'!G450,'All-Servers'!$H450)</f>
        <v>20</v>
      </c>
    </row>
    <row r="441" spans="8:11">
      <c r="H441" s="60">
        <f>PRODUCT('All-Servers'!D451,'All-Servers'!$H451)</f>
        <v>1</v>
      </c>
      <c r="I441" s="60">
        <f>PRODUCT('All-Servers'!E451,'All-Servers'!$H451)</f>
        <v>2000</v>
      </c>
      <c r="J441" s="60">
        <f>PRODUCT('All-Servers'!F451,'All-Servers'!$H451)</f>
        <v>0</v>
      </c>
      <c r="K441" s="60">
        <f>PRODUCT('All-Servers'!G451,'All-Servers'!$H451)</f>
        <v>20</v>
      </c>
    </row>
    <row r="442" spans="8:11">
      <c r="H442" s="60">
        <f>PRODUCT('All-Servers'!D452,'All-Servers'!$H452)</f>
        <v>1</v>
      </c>
      <c r="I442" s="60">
        <f>PRODUCT('All-Servers'!E452,'All-Servers'!$H452)</f>
        <v>2000</v>
      </c>
      <c r="J442" s="60">
        <f>PRODUCT('All-Servers'!F452,'All-Servers'!$H452)</f>
        <v>0</v>
      </c>
      <c r="K442" s="60">
        <f>PRODUCT('All-Servers'!G452,'All-Servers'!$H452)</f>
        <v>420</v>
      </c>
    </row>
    <row r="443" spans="8:11">
      <c r="H443" s="60">
        <f>PRODUCT('All-Servers'!D453,'All-Servers'!$H453)</f>
        <v>1</v>
      </c>
      <c r="I443" s="60">
        <f>PRODUCT('All-Servers'!E453,'All-Servers'!$H453)</f>
        <v>1700</v>
      </c>
      <c r="J443" s="60">
        <f>PRODUCT('All-Servers'!F453,'All-Servers'!$H453)</f>
        <v>160</v>
      </c>
      <c r="K443" s="60">
        <f>PRODUCT('All-Servers'!G453,'All-Servers'!$H453)</f>
        <v>20</v>
      </c>
    </row>
    <row r="444" spans="8:11">
      <c r="H444" s="60">
        <f>PRODUCT('All-Servers'!D454,'All-Servers'!$H454)</f>
        <v>1</v>
      </c>
      <c r="I444" s="60">
        <f>PRODUCT('All-Servers'!E454,'All-Servers'!$H454)</f>
        <v>1700</v>
      </c>
      <c r="J444" s="60">
        <f>PRODUCT('All-Servers'!F454,'All-Servers'!$H454)</f>
        <v>160</v>
      </c>
      <c r="K444" s="60">
        <f>PRODUCT('All-Servers'!G454,'All-Servers'!$H454)</f>
        <v>70</v>
      </c>
    </row>
    <row r="445" spans="8:11">
      <c r="H445" s="60">
        <f>PRODUCT('All-Servers'!D455,'All-Servers'!$H455)</f>
        <v>4</v>
      </c>
      <c r="I445" s="60">
        <f>PRODUCT('All-Servers'!E455,'All-Servers'!$H455)</f>
        <v>15000</v>
      </c>
      <c r="J445" s="60">
        <f>PRODUCT('All-Servers'!F455,'All-Servers'!$H455)</f>
        <v>80</v>
      </c>
      <c r="K445" s="60">
        <f>PRODUCT('All-Servers'!G455,'All-Servers'!$H455)</f>
        <v>820</v>
      </c>
    </row>
    <row r="446" spans="8:11">
      <c r="H446" s="60">
        <f>PRODUCT('All-Servers'!D456,'All-Servers'!$H456)</f>
        <v>1</v>
      </c>
      <c r="I446" s="60">
        <f>PRODUCT('All-Servers'!E456,'All-Servers'!$H456)</f>
        <v>1700</v>
      </c>
      <c r="J446" s="60">
        <f>PRODUCT('All-Servers'!F456,'All-Servers'!$H456)</f>
        <v>160</v>
      </c>
      <c r="K446" s="60">
        <f>PRODUCT('All-Servers'!G456,'All-Servers'!$H456)</f>
        <v>820</v>
      </c>
    </row>
    <row r="447" spans="8:11">
      <c r="H447" s="60">
        <f>PRODUCT('All-Servers'!D457,'All-Servers'!$H457)</f>
        <v>4</v>
      </c>
      <c r="I447" s="60">
        <f>PRODUCT('All-Servers'!E457,'All-Servers'!$H457)</f>
        <v>7500</v>
      </c>
      <c r="J447" s="60">
        <f>PRODUCT('All-Servers'!F457,'All-Servers'!$H457)</f>
        <v>80</v>
      </c>
      <c r="K447" s="60">
        <f>PRODUCT('All-Servers'!G457,'All-Servers'!$H457)</f>
        <v>20</v>
      </c>
    </row>
    <row r="448" spans="8:11">
      <c r="H448" s="60">
        <f>PRODUCT('All-Servers'!D458,'All-Servers'!$H458)</f>
        <v>1</v>
      </c>
      <c r="I448" s="60">
        <f>PRODUCT('All-Servers'!E458,'All-Servers'!$H458)</f>
        <v>2000</v>
      </c>
      <c r="J448" s="60">
        <f>PRODUCT('All-Servers'!F458,'All-Servers'!$H458)</f>
        <v>0</v>
      </c>
      <c r="K448" s="60">
        <f>PRODUCT('All-Servers'!G458,'All-Servers'!$H458)</f>
        <v>620</v>
      </c>
    </row>
    <row r="449" spans="8:11">
      <c r="H449" s="60">
        <f>PRODUCT('All-Servers'!D459,'All-Servers'!$H459)</f>
        <v>4</v>
      </c>
      <c r="I449" s="60">
        <f>PRODUCT('All-Servers'!E459,'All-Servers'!$H459)</f>
        <v>15000</v>
      </c>
      <c r="J449" s="60">
        <f>PRODUCT('All-Servers'!F459,'All-Servers'!$H459)</f>
        <v>80</v>
      </c>
      <c r="K449" s="60">
        <f>PRODUCT('All-Servers'!G459,'All-Servers'!$H459)</f>
        <v>1820</v>
      </c>
    </row>
    <row r="450" spans="8:11">
      <c r="H450" s="60">
        <f>PRODUCT('All-Servers'!D460,'All-Servers'!$H460)</f>
        <v>2</v>
      </c>
      <c r="I450" s="60">
        <f>PRODUCT('All-Servers'!E460,'All-Servers'!$H460)</f>
        <v>3750</v>
      </c>
      <c r="J450" s="60">
        <f>PRODUCT('All-Servers'!F460,'All-Servers'!$H460)</f>
        <v>32</v>
      </c>
      <c r="K450" s="60">
        <f>PRODUCT('All-Servers'!G460,'All-Servers'!$H460)</f>
        <v>20</v>
      </c>
    </row>
    <row r="451" spans="8:11">
      <c r="H451" s="60">
        <f>PRODUCT('All-Servers'!D461,'All-Servers'!$H461)</f>
        <v>8</v>
      </c>
      <c r="I451" s="60">
        <f>PRODUCT('All-Servers'!E461,'All-Servers'!$H461)</f>
        <v>30000</v>
      </c>
      <c r="J451" s="60">
        <f>PRODUCT('All-Servers'!F461,'All-Servers'!$H461)</f>
        <v>160</v>
      </c>
      <c r="K451" s="60">
        <f>PRODUCT('All-Servers'!G461,'All-Servers'!$H461)</f>
        <v>1844</v>
      </c>
    </row>
    <row r="452" spans="8:11">
      <c r="H452" s="60">
        <f>PRODUCT('All-Servers'!D462,'All-Servers'!$H462)</f>
        <v>1</v>
      </c>
      <c r="I452" s="60">
        <f>PRODUCT('All-Servers'!E462,'All-Servers'!$H462)</f>
        <v>2000</v>
      </c>
      <c r="J452" s="60">
        <f>PRODUCT('All-Servers'!F462,'All-Servers'!$H462)</f>
        <v>0</v>
      </c>
      <c r="K452" s="60">
        <f>PRODUCT('All-Servers'!G462,'All-Servers'!$H462)</f>
        <v>820</v>
      </c>
    </row>
    <row r="453" spans="8:11">
      <c r="H453" s="60">
        <f>PRODUCT('All-Servers'!D463,'All-Servers'!$H463)</f>
        <v>1</v>
      </c>
      <c r="I453" s="60">
        <f>PRODUCT('All-Servers'!E463,'All-Servers'!$H463)</f>
        <v>1700</v>
      </c>
      <c r="J453" s="60">
        <f>PRODUCT('All-Servers'!F463,'All-Servers'!$H463)</f>
        <v>160</v>
      </c>
      <c r="K453" s="60">
        <f>PRODUCT('All-Servers'!G463,'All-Servers'!$H463)</f>
        <v>20</v>
      </c>
    </row>
    <row r="454" spans="8:11">
      <c r="H454" s="60">
        <f>PRODUCT('All-Servers'!D464,'All-Servers'!$H464)</f>
        <v>1</v>
      </c>
      <c r="I454" s="60">
        <f>PRODUCT('All-Servers'!E464,'All-Servers'!$H464)</f>
        <v>1700</v>
      </c>
      <c r="J454" s="60">
        <f>PRODUCT('All-Servers'!F464,'All-Servers'!$H464)</f>
        <v>160</v>
      </c>
      <c r="K454" s="60">
        <f>PRODUCT('All-Servers'!G464,'All-Servers'!$H464)</f>
        <v>220</v>
      </c>
    </row>
    <row r="455" spans="8:11">
      <c r="H455" s="60">
        <f>PRODUCT('All-Servers'!D465,'All-Servers'!$H465)</f>
        <v>1</v>
      </c>
      <c r="I455" s="60">
        <f>PRODUCT('All-Servers'!E465,'All-Servers'!$H465)</f>
        <v>1700</v>
      </c>
      <c r="J455" s="60">
        <f>PRODUCT('All-Servers'!F465,'All-Servers'!$H465)</f>
        <v>160</v>
      </c>
      <c r="K455" s="60">
        <f>PRODUCT('All-Servers'!G465,'All-Servers'!$H465)</f>
        <v>70</v>
      </c>
    </row>
    <row r="456" spans="8:11">
      <c r="H456" s="60">
        <f>PRODUCT('All-Servers'!D466,'All-Servers'!$H466)</f>
        <v>1</v>
      </c>
      <c r="I456" s="60">
        <f>PRODUCT('All-Servers'!E466,'All-Servers'!$H466)</f>
        <v>1700</v>
      </c>
      <c r="J456" s="60">
        <f>PRODUCT('All-Servers'!F466,'All-Servers'!$H466)</f>
        <v>160</v>
      </c>
      <c r="K456" s="60">
        <f>PRODUCT('All-Servers'!G466,'All-Servers'!$H466)</f>
        <v>20</v>
      </c>
    </row>
    <row r="457" spans="8:11">
      <c r="H457" s="60">
        <f>PRODUCT('All-Servers'!D467,'All-Servers'!$H467)</f>
        <v>1</v>
      </c>
      <c r="I457" s="60">
        <f>PRODUCT('All-Servers'!E467,'All-Servers'!$H467)</f>
        <v>1700</v>
      </c>
      <c r="J457" s="60">
        <f>PRODUCT('All-Servers'!F467,'All-Servers'!$H467)</f>
        <v>160</v>
      </c>
      <c r="K457" s="60">
        <f>PRODUCT('All-Servers'!G467,'All-Servers'!$H467)</f>
        <v>20</v>
      </c>
    </row>
    <row r="458" spans="8:11">
      <c r="H458" s="60">
        <f>PRODUCT('All-Servers'!D468,'All-Servers'!$H468)</f>
        <v>1</v>
      </c>
      <c r="I458" s="60">
        <f>PRODUCT('All-Servers'!E468,'All-Servers'!$H468)</f>
        <v>1700</v>
      </c>
      <c r="J458" s="60">
        <f>PRODUCT('All-Servers'!F468,'All-Servers'!$H468)</f>
        <v>160</v>
      </c>
      <c r="K458" s="60">
        <f>PRODUCT('All-Servers'!G468,'All-Servers'!$H468)</f>
        <v>20</v>
      </c>
    </row>
    <row r="459" spans="8:11">
      <c r="H459" s="60">
        <f>PRODUCT('All-Servers'!D469,'All-Servers'!$H469)</f>
        <v>1</v>
      </c>
      <c r="I459" s="60">
        <f>PRODUCT('All-Servers'!E469,'All-Servers'!$H469)</f>
        <v>2000</v>
      </c>
      <c r="J459" s="60">
        <f>PRODUCT('All-Servers'!F469,'All-Servers'!$H469)</f>
        <v>0</v>
      </c>
      <c r="K459" s="60">
        <f>PRODUCT('All-Servers'!G469,'All-Servers'!$H469)</f>
        <v>20</v>
      </c>
    </row>
    <row r="460" spans="8:11">
      <c r="H460" s="60">
        <f>PRODUCT('All-Servers'!D470,'All-Servers'!$H470)</f>
        <v>8</v>
      </c>
      <c r="I460" s="60">
        <f>PRODUCT('All-Servers'!E470,'All-Servers'!$H470)</f>
        <v>30000</v>
      </c>
      <c r="J460" s="60">
        <f>PRODUCT('All-Servers'!F470,'All-Servers'!$H470)</f>
        <v>160</v>
      </c>
      <c r="K460" s="60">
        <f>PRODUCT('All-Servers'!G470,'All-Servers'!$H470)</f>
        <v>3492</v>
      </c>
    </row>
    <row r="461" spans="8:11">
      <c r="H461" s="60">
        <f>PRODUCT('All-Servers'!D471,'All-Servers'!$H471)</f>
        <v>1</v>
      </c>
      <c r="I461" s="60">
        <f>PRODUCT('All-Servers'!E471,'All-Servers'!$H471)</f>
        <v>1700</v>
      </c>
      <c r="J461" s="60">
        <f>PRODUCT('All-Servers'!F471,'All-Servers'!$H471)</f>
        <v>160</v>
      </c>
      <c r="K461" s="60">
        <f>PRODUCT('All-Servers'!G471,'All-Servers'!$H471)</f>
        <v>20</v>
      </c>
    </row>
    <row r="462" spans="8:11">
      <c r="H462" s="60">
        <f>PRODUCT('All-Servers'!D472,'All-Servers'!$H472)</f>
        <v>1</v>
      </c>
      <c r="I462" s="60">
        <f>PRODUCT('All-Servers'!E472,'All-Servers'!$H472)</f>
        <v>2000</v>
      </c>
      <c r="J462" s="60">
        <f>PRODUCT('All-Servers'!F472,'All-Servers'!$H472)</f>
        <v>0</v>
      </c>
      <c r="K462" s="60">
        <f>PRODUCT('All-Servers'!G472,'All-Servers'!$H472)</f>
        <v>220</v>
      </c>
    </row>
    <row r="463" spans="8:11">
      <c r="H463" s="60">
        <f>PRODUCT('All-Servers'!D473,'All-Servers'!$H473)</f>
        <v>4</v>
      </c>
      <c r="I463" s="60">
        <f>PRODUCT('All-Servers'!E473,'All-Servers'!$H473)</f>
        <v>15000</v>
      </c>
      <c r="J463" s="60">
        <f>PRODUCT('All-Servers'!F473,'All-Servers'!$H473)</f>
        <v>80</v>
      </c>
      <c r="K463" s="60">
        <f>PRODUCT('All-Servers'!G473,'All-Servers'!$H473)</f>
        <v>820</v>
      </c>
    </row>
    <row r="464" spans="8:11">
      <c r="H464" s="60">
        <f>PRODUCT('All-Servers'!D474,'All-Servers'!$H474)</f>
        <v>1</v>
      </c>
      <c r="I464" s="60">
        <f>PRODUCT('All-Servers'!E474,'All-Servers'!$H474)</f>
        <v>1700</v>
      </c>
      <c r="J464" s="60">
        <f>PRODUCT('All-Servers'!F474,'All-Servers'!$H474)</f>
        <v>160</v>
      </c>
      <c r="K464" s="60">
        <f>PRODUCT('All-Servers'!G474,'All-Servers'!$H474)</f>
        <v>20</v>
      </c>
    </row>
    <row r="465" spans="8:11">
      <c r="H465" s="60">
        <f>PRODUCT('All-Servers'!D475,'All-Servers'!$H475)</f>
        <v>1</v>
      </c>
      <c r="I465" s="60">
        <f>PRODUCT('All-Servers'!E475,'All-Servers'!$H475)</f>
        <v>1700</v>
      </c>
      <c r="J465" s="60">
        <f>PRODUCT('All-Servers'!F475,'All-Servers'!$H475)</f>
        <v>160</v>
      </c>
      <c r="K465" s="60">
        <f>PRODUCT('All-Servers'!G475,'All-Servers'!$H475)</f>
        <v>820</v>
      </c>
    </row>
    <row r="466" spans="8:11">
      <c r="H466" s="60">
        <f>PRODUCT('All-Servers'!D476,'All-Servers'!$H476)</f>
        <v>1</v>
      </c>
      <c r="I466" s="60">
        <f>PRODUCT('All-Servers'!E476,'All-Servers'!$H476)</f>
        <v>3750</v>
      </c>
      <c r="J466" s="60">
        <f>PRODUCT('All-Servers'!F476,'All-Servers'!$H476)</f>
        <v>4</v>
      </c>
      <c r="K466" s="60">
        <f>PRODUCT('All-Servers'!G476,'All-Servers'!$H476)</f>
        <v>520</v>
      </c>
    </row>
    <row r="467" spans="8:11">
      <c r="H467" s="60">
        <f>PRODUCT('All-Servers'!D477,'All-Servers'!$H477)</f>
        <v>1</v>
      </c>
      <c r="I467" s="60">
        <f>PRODUCT('All-Servers'!E477,'All-Servers'!$H477)</f>
        <v>2000</v>
      </c>
      <c r="J467" s="60">
        <f>PRODUCT('All-Servers'!F477,'All-Servers'!$H477)</f>
        <v>0</v>
      </c>
      <c r="K467" s="60">
        <f>PRODUCT('All-Servers'!G477,'All-Servers'!$H477)</f>
        <v>20</v>
      </c>
    </row>
    <row r="468" spans="8:11">
      <c r="H468" s="60">
        <f>PRODUCT('All-Servers'!D478,'All-Servers'!$H478)</f>
        <v>8</v>
      </c>
      <c r="I468" s="60">
        <f>PRODUCT('All-Servers'!E478,'All-Servers'!$H478)</f>
        <v>15000</v>
      </c>
      <c r="J468" s="60">
        <f>PRODUCT('All-Servers'!F478,'All-Servers'!$H478)</f>
        <v>160</v>
      </c>
      <c r="K468" s="60">
        <f>PRODUCT('All-Servers'!G478,'All-Servers'!$H478)</f>
        <v>20</v>
      </c>
    </row>
    <row r="469" spans="8:11">
      <c r="H469" s="60">
        <f>PRODUCT('All-Servers'!D479,'All-Servers'!$H479)</f>
        <v>1</v>
      </c>
      <c r="I469" s="60">
        <f>PRODUCT('All-Servers'!E479,'All-Servers'!$H479)</f>
        <v>1700</v>
      </c>
      <c r="J469" s="60">
        <f>PRODUCT('All-Servers'!F479,'All-Servers'!$H479)</f>
        <v>160</v>
      </c>
      <c r="K469" s="60">
        <f>PRODUCT('All-Servers'!G479,'All-Servers'!$H479)</f>
        <v>20</v>
      </c>
    </row>
    <row r="470" spans="8:11">
      <c r="H470" s="60">
        <f>PRODUCT('All-Servers'!D480,'All-Servers'!$H480)</f>
        <v>4</v>
      </c>
      <c r="I470" s="60">
        <f>PRODUCT('All-Servers'!E480,'All-Servers'!$H480)</f>
        <v>15000</v>
      </c>
      <c r="J470" s="60">
        <f>PRODUCT('All-Servers'!F480,'All-Servers'!$H480)</f>
        <v>80</v>
      </c>
      <c r="K470" s="60">
        <f>PRODUCT('All-Servers'!G480,'All-Servers'!$H480)</f>
        <v>420</v>
      </c>
    </row>
    <row r="471" spans="8:11">
      <c r="H471" s="60">
        <f>PRODUCT('All-Servers'!D481,'All-Servers'!$H481)</f>
        <v>1</v>
      </c>
      <c r="I471" s="60">
        <f>PRODUCT('All-Servers'!E481,'All-Servers'!$H481)</f>
        <v>2000</v>
      </c>
      <c r="J471" s="60">
        <f>PRODUCT('All-Servers'!F481,'All-Servers'!$H481)</f>
        <v>0</v>
      </c>
      <c r="K471" s="60">
        <f>PRODUCT('All-Servers'!G481,'All-Servers'!$H481)</f>
        <v>20</v>
      </c>
    </row>
    <row r="472" spans="8:11">
      <c r="H472" s="60">
        <f>PRODUCT('All-Servers'!D482,'All-Servers'!$H482)</f>
        <v>1</v>
      </c>
      <c r="I472" s="60">
        <f>PRODUCT('All-Servers'!E482,'All-Servers'!$H482)</f>
        <v>1700</v>
      </c>
      <c r="J472" s="60">
        <f>PRODUCT('All-Servers'!F482,'All-Servers'!$H482)</f>
        <v>160</v>
      </c>
      <c r="K472" s="60">
        <f>PRODUCT('All-Servers'!G482,'All-Servers'!$H482)</f>
        <v>820</v>
      </c>
    </row>
    <row r="473" spans="8:11">
      <c r="H473" s="60">
        <f>PRODUCT('All-Servers'!D483,'All-Servers'!$H483)</f>
        <v>1</v>
      </c>
      <c r="I473" s="60">
        <f>PRODUCT('All-Servers'!E483,'All-Servers'!$H483)</f>
        <v>2000</v>
      </c>
      <c r="J473" s="60">
        <f>PRODUCT('All-Servers'!F483,'All-Servers'!$H483)</f>
        <v>0</v>
      </c>
      <c r="K473" s="60">
        <f>PRODUCT('All-Servers'!G483,'All-Servers'!$H483)</f>
        <v>20</v>
      </c>
    </row>
    <row r="474" spans="8:11">
      <c r="H474" s="60">
        <f>PRODUCT('All-Servers'!D484,'All-Servers'!$H484)</f>
        <v>4</v>
      </c>
      <c r="I474" s="60">
        <f>PRODUCT('All-Servers'!E484,'All-Servers'!$H484)</f>
        <v>7500</v>
      </c>
      <c r="J474" s="60">
        <f>PRODUCT('All-Servers'!F484,'All-Servers'!$H484)</f>
        <v>80</v>
      </c>
      <c r="K474" s="60">
        <f>PRODUCT('All-Servers'!G484,'All-Servers'!$H484)</f>
        <v>130</v>
      </c>
    </row>
    <row r="475" spans="8:11">
      <c r="H475" s="60">
        <f>PRODUCT('All-Servers'!D485,'All-Servers'!$H485)</f>
        <v>1</v>
      </c>
      <c r="I475" s="60">
        <f>PRODUCT('All-Servers'!E485,'All-Servers'!$H485)</f>
        <v>1700</v>
      </c>
      <c r="J475" s="60">
        <f>PRODUCT('All-Servers'!F485,'All-Servers'!$H485)</f>
        <v>160</v>
      </c>
      <c r="K475" s="60">
        <f>PRODUCT('All-Servers'!G485,'All-Servers'!$H485)</f>
        <v>20</v>
      </c>
    </row>
    <row r="476" spans="8:11">
      <c r="H476" s="60">
        <f>PRODUCT('All-Servers'!D486,'All-Servers'!$H486)</f>
        <v>1</v>
      </c>
      <c r="I476" s="60">
        <f>PRODUCT('All-Servers'!E486,'All-Servers'!$H486)</f>
        <v>1700</v>
      </c>
      <c r="J476" s="60">
        <f>PRODUCT('All-Servers'!F486,'All-Servers'!$H486)</f>
        <v>160</v>
      </c>
      <c r="K476" s="60">
        <f>PRODUCT('All-Servers'!G486,'All-Servers'!$H486)</f>
        <v>20</v>
      </c>
    </row>
    <row r="477" spans="8:11">
      <c r="H477" s="60">
        <f>PRODUCT('All-Servers'!D487,'All-Servers'!$H487)</f>
        <v>1</v>
      </c>
      <c r="I477" s="60">
        <f>PRODUCT('All-Servers'!E487,'All-Servers'!$H487)</f>
        <v>2000</v>
      </c>
      <c r="J477" s="60">
        <f>PRODUCT('All-Servers'!F487,'All-Servers'!$H487)</f>
        <v>0</v>
      </c>
      <c r="K477" s="60">
        <f>PRODUCT('All-Servers'!G487,'All-Servers'!$H487)</f>
        <v>420</v>
      </c>
    </row>
    <row r="478" spans="8:11">
      <c r="H478" s="60">
        <f>PRODUCT('All-Servers'!D488,'All-Servers'!$H488)</f>
        <v>1</v>
      </c>
      <c r="I478" s="60">
        <f>PRODUCT('All-Servers'!E488,'All-Servers'!$H488)</f>
        <v>1700</v>
      </c>
      <c r="J478" s="60">
        <f>PRODUCT('All-Servers'!F488,'All-Servers'!$H488)</f>
        <v>160</v>
      </c>
      <c r="K478" s="60">
        <f>PRODUCT('All-Servers'!G488,'All-Servers'!$H488)</f>
        <v>70</v>
      </c>
    </row>
    <row r="479" spans="8:11">
      <c r="H479" s="60">
        <f>PRODUCT('All-Servers'!D489,'All-Servers'!$H489)</f>
        <v>2</v>
      </c>
      <c r="I479" s="60">
        <f>PRODUCT('All-Servers'!E489,'All-Servers'!$H489)</f>
        <v>3750</v>
      </c>
      <c r="J479" s="60">
        <f>PRODUCT('All-Servers'!F489,'All-Servers'!$H489)</f>
        <v>32</v>
      </c>
      <c r="K479" s="60">
        <f>PRODUCT('All-Servers'!G489,'All-Servers'!$H489)</f>
        <v>20</v>
      </c>
    </row>
    <row r="480" spans="8:11">
      <c r="H480" s="60">
        <f>PRODUCT('All-Servers'!D490,'All-Servers'!$H490)</f>
        <v>1</v>
      </c>
      <c r="I480" s="60">
        <f>PRODUCT('All-Servers'!E490,'All-Servers'!$H490)</f>
        <v>615</v>
      </c>
      <c r="J480" s="60">
        <f>PRODUCT('All-Servers'!F490,'All-Servers'!$H490)</f>
        <v>160</v>
      </c>
      <c r="K480" s="60">
        <f>PRODUCT('All-Servers'!G490,'All-Servers'!$H490)</f>
        <v>8</v>
      </c>
    </row>
    <row r="481" spans="8:11">
      <c r="H481" s="60">
        <f>PRODUCT('All-Servers'!D491,'All-Servers'!$H491)</f>
        <v>2</v>
      </c>
      <c r="I481" s="60">
        <f>PRODUCT('All-Servers'!E491,'All-Servers'!$H491)</f>
        <v>4000</v>
      </c>
      <c r="J481" s="60">
        <f>PRODUCT('All-Servers'!F491,'All-Servers'!$H491)</f>
        <v>0</v>
      </c>
      <c r="K481" s="60">
        <f>PRODUCT('All-Servers'!G491,'All-Servers'!$H491)</f>
        <v>20</v>
      </c>
    </row>
    <row r="482" spans="8:11">
      <c r="H482" s="60">
        <f>PRODUCT('All-Servers'!D492,'All-Servers'!$H492)</f>
        <v>1</v>
      </c>
      <c r="I482" s="60">
        <f>PRODUCT('All-Servers'!E492,'All-Servers'!$H492)</f>
        <v>3750</v>
      </c>
      <c r="J482" s="60">
        <f>PRODUCT('All-Servers'!F492,'All-Servers'!$H492)</f>
        <v>4</v>
      </c>
      <c r="K482" s="60">
        <f>PRODUCT('All-Servers'!G492,'All-Servers'!$H492)</f>
        <v>220</v>
      </c>
    </row>
    <row r="483" spans="8:11">
      <c r="H483" s="60">
        <f>PRODUCT('All-Servers'!D493,'All-Servers'!$H493)</f>
        <v>1</v>
      </c>
      <c r="I483" s="60">
        <f>PRODUCT('All-Servers'!E493,'All-Servers'!$H493)</f>
        <v>1700</v>
      </c>
      <c r="J483" s="60">
        <f>PRODUCT('All-Servers'!F493,'All-Servers'!$H493)</f>
        <v>160</v>
      </c>
      <c r="K483" s="60">
        <f>PRODUCT('All-Servers'!G493,'All-Servers'!$H493)</f>
        <v>20</v>
      </c>
    </row>
    <row r="484" spans="8:11">
      <c r="H484" s="60">
        <f>PRODUCT('All-Servers'!D494,'All-Servers'!$H494)</f>
        <v>1</v>
      </c>
      <c r="I484" s="60">
        <f>PRODUCT('All-Servers'!E494,'All-Servers'!$H494)</f>
        <v>2000</v>
      </c>
      <c r="J484" s="60">
        <f>PRODUCT('All-Servers'!F494,'All-Servers'!$H494)</f>
        <v>0</v>
      </c>
      <c r="K484" s="60">
        <f>PRODUCT('All-Servers'!G494,'All-Servers'!$H494)</f>
        <v>220</v>
      </c>
    </row>
    <row r="485" spans="8:11">
      <c r="H485" s="60">
        <f>PRODUCT('All-Servers'!D495,'All-Servers'!$H495)</f>
        <v>1</v>
      </c>
      <c r="I485" s="60">
        <f>PRODUCT('All-Servers'!E495,'All-Servers'!$H495)</f>
        <v>1700</v>
      </c>
      <c r="J485" s="60">
        <f>PRODUCT('All-Servers'!F495,'All-Servers'!$H495)</f>
        <v>160</v>
      </c>
      <c r="K485" s="60">
        <f>PRODUCT('All-Servers'!G495,'All-Servers'!$H495)</f>
        <v>70</v>
      </c>
    </row>
    <row r="486" spans="8:11">
      <c r="H486" s="60">
        <f>PRODUCT('All-Servers'!D496,'All-Servers'!$H496)</f>
        <v>2</v>
      </c>
      <c r="I486" s="60">
        <f>PRODUCT('All-Servers'!E496,'All-Servers'!$H496)</f>
        <v>3750</v>
      </c>
      <c r="J486" s="60">
        <f>PRODUCT('All-Servers'!F496,'All-Servers'!$H496)</f>
        <v>32</v>
      </c>
      <c r="K486" s="60">
        <f>PRODUCT('All-Servers'!G496,'All-Servers'!$H496)</f>
        <v>20</v>
      </c>
    </row>
    <row r="487" spans="8:11">
      <c r="H487" s="60">
        <f>PRODUCT('All-Servers'!D497,'All-Servers'!$H497)</f>
        <v>4</v>
      </c>
      <c r="I487" s="60">
        <f>PRODUCT('All-Servers'!E497,'All-Servers'!$H497)</f>
        <v>15000</v>
      </c>
      <c r="J487" s="60">
        <f>PRODUCT('All-Servers'!F497,'All-Servers'!$H497)</f>
        <v>80</v>
      </c>
      <c r="K487" s="60">
        <f>PRODUCT('All-Servers'!G497,'All-Servers'!$H497)</f>
        <v>820</v>
      </c>
    </row>
    <row r="488" spans="8:11">
      <c r="H488" s="60">
        <f>PRODUCT('All-Servers'!D498,'All-Servers'!$H498)</f>
        <v>4</v>
      </c>
      <c r="I488" s="60">
        <f>PRODUCT('All-Servers'!E498,'All-Servers'!$H498)</f>
        <v>15000</v>
      </c>
      <c r="J488" s="60">
        <f>PRODUCT('All-Servers'!F498,'All-Servers'!$H498)</f>
        <v>80</v>
      </c>
      <c r="K488" s="60">
        <f>PRODUCT('All-Servers'!G498,'All-Servers'!$H498)</f>
        <v>420</v>
      </c>
    </row>
    <row r="489" spans="8:11">
      <c r="H489" s="60">
        <f>PRODUCT('All-Servers'!D499,'All-Servers'!$H499)</f>
        <v>1</v>
      </c>
      <c r="I489" s="60">
        <f>PRODUCT('All-Servers'!E499,'All-Servers'!$H499)</f>
        <v>1700</v>
      </c>
      <c r="J489" s="60">
        <f>PRODUCT('All-Servers'!F499,'All-Servers'!$H499)</f>
        <v>160</v>
      </c>
      <c r="K489" s="60">
        <f>PRODUCT('All-Servers'!G499,'All-Servers'!$H499)</f>
        <v>20</v>
      </c>
    </row>
    <row r="490" spans="8:11">
      <c r="H490" s="60">
        <f>PRODUCT('All-Servers'!D500,'All-Servers'!$H500)</f>
        <v>1</v>
      </c>
      <c r="I490" s="60">
        <f>PRODUCT('All-Servers'!E500,'All-Servers'!$H500)</f>
        <v>1700</v>
      </c>
      <c r="J490" s="60">
        <f>PRODUCT('All-Servers'!F500,'All-Servers'!$H500)</f>
        <v>160</v>
      </c>
      <c r="K490" s="60">
        <f>PRODUCT('All-Servers'!G500,'All-Servers'!$H500)</f>
        <v>420</v>
      </c>
    </row>
    <row r="491" spans="8:11">
      <c r="H491" s="60">
        <f>PRODUCT('All-Servers'!D501,'All-Servers'!$H501)</f>
        <v>1</v>
      </c>
      <c r="I491" s="60">
        <f>PRODUCT('All-Servers'!E501,'All-Servers'!$H501)</f>
        <v>2000</v>
      </c>
      <c r="J491" s="60">
        <f>PRODUCT('All-Servers'!F501,'All-Servers'!$H501)</f>
        <v>0</v>
      </c>
      <c r="K491" s="60">
        <f>PRODUCT('All-Servers'!G501,'All-Servers'!$H501)</f>
        <v>20</v>
      </c>
    </row>
    <row r="492" spans="8:11">
      <c r="H492" s="60">
        <f>PRODUCT('All-Servers'!D502,'All-Servers'!$H502)</f>
        <v>1</v>
      </c>
      <c r="I492" s="60">
        <f>PRODUCT('All-Servers'!E502,'All-Servers'!$H502)</f>
        <v>1700</v>
      </c>
      <c r="J492" s="60">
        <f>PRODUCT('All-Servers'!F502,'All-Servers'!$H502)</f>
        <v>160</v>
      </c>
      <c r="K492" s="60">
        <f>PRODUCT('All-Servers'!G502,'All-Servers'!$H502)</f>
        <v>20</v>
      </c>
    </row>
    <row r="493" spans="8:11">
      <c r="H493" s="60">
        <f>PRODUCT('All-Servers'!D503,'All-Servers'!$H503)</f>
        <v>1</v>
      </c>
      <c r="I493" s="60">
        <f>PRODUCT('All-Servers'!E503,'All-Servers'!$H503)</f>
        <v>2000</v>
      </c>
      <c r="J493" s="60">
        <f>PRODUCT('All-Servers'!F503,'All-Servers'!$H503)</f>
        <v>0</v>
      </c>
      <c r="K493" s="60">
        <f>PRODUCT('All-Servers'!G503,'All-Servers'!$H503)</f>
        <v>420</v>
      </c>
    </row>
    <row r="494" spans="8:11">
      <c r="H494" s="60">
        <f>PRODUCT('All-Servers'!D504,'All-Servers'!$H504)</f>
        <v>1</v>
      </c>
      <c r="I494" s="60">
        <f>PRODUCT('All-Servers'!E504,'All-Servers'!$H504)</f>
        <v>1700</v>
      </c>
      <c r="J494" s="60">
        <f>PRODUCT('All-Servers'!F504,'All-Servers'!$H504)</f>
        <v>160</v>
      </c>
      <c r="K494" s="60">
        <f>PRODUCT('All-Servers'!G504,'All-Servers'!$H504)</f>
        <v>20</v>
      </c>
    </row>
    <row r="495" spans="8:11">
      <c r="H495" s="60">
        <f>PRODUCT('All-Servers'!D505,'All-Servers'!$H505)</f>
        <v>1</v>
      </c>
      <c r="I495" s="60">
        <f>PRODUCT('All-Servers'!E505,'All-Servers'!$H505)</f>
        <v>1700</v>
      </c>
      <c r="J495" s="60">
        <f>PRODUCT('All-Servers'!F505,'All-Servers'!$H505)</f>
        <v>160</v>
      </c>
      <c r="K495" s="60">
        <f>PRODUCT('All-Servers'!G505,'All-Servers'!$H505)</f>
        <v>820</v>
      </c>
    </row>
    <row r="496" spans="8:11">
      <c r="H496" s="60">
        <f>PRODUCT('All-Servers'!D506,'All-Servers'!$H506)</f>
        <v>1</v>
      </c>
      <c r="I496" s="60">
        <f>PRODUCT('All-Servers'!E506,'All-Servers'!$H506)</f>
        <v>1700</v>
      </c>
      <c r="J496" s="60">
        <f>PRODUCT('All-Servers'!F506,'All-Servers'!$H506)</f>
        <v>160</v>
      </c>
      <c r="K496" s="60">
        <f>PRODUCT('All-Servers'!G506,'All-Servers'!$H506)</f>
        <v>20</v>
      </c>
    </row>
    <row r="497" spans="8:11">
      <c r="H497" s="60">
        <f>PRODUCT('All-Servers'!D507,'All-Servers'!$H507)</f>
        <v>1</v>
      </c>
      <c r="I497" s="60">
        <f>PRODUCT('All-Servers'!E507,'All-Servers'!$H507)</f>
        <v>1700</v>
      </c>
      <c r="J497" s="60">
        <f>PRODUCT('All-Servers'!F507,'All-Servers'!$H507)</f>
        <v>160</v>
      </c>
      <c r="K497" s="60">
        <f>PRODUCT('All-Servers'!G507,'All-Servers'!$H507)</f>
        <v>20</v>
      </c>
    </row>
    <row r="498" spans="8:11">
      <c r="H498" s="60">
        <f>PRODUCT('All-Servers'!D508,'All-Servers'!$H508)</f>
        <v>1</v>
      </c>
      <c r="I498" s="60">
        <f>PRODUCT('All-Servers'!E508,'All-Servers'!$H508)</f>
        <v>1700</v>
      </c>
      <c r="J498" s="60">
        <f>PRODUCT('All-Servers'!F508,'All-Servers'!$H508)</f>
        <v>160</v>
      </c>
      <c r="K498" s="60">
        <f>PRODUCT('All-Servers'!G508,'All-Servers'!$H508)</f>
        <v>20</v>
      </c>
    </row>
    <row r="499" spans="8:11">
      <c r="H499" s="60">
        <f>PRODUCT('All-Servers'!D509,'All-Servers'!$H509)</f>
        <v>1</v>
      </c>
      <c r="I499" s="60">
        <f>PRODUCT('All-Servers'!E509,'All-Servers'!$H509)</f>
        <v>3750</v>
      </c>
      <c r="J499" s="60">
        <f>PRODUCT('All-Servers'!F509,'All-Servers'!$H509)</f>
        <v>4</v>
      </c>
      <c r="K499" s="60">
        <f>PRODUCT('All-Servers'!G509,'All-Servers'!$H509)</f>
        <v>20</v>
      </c>
    </row>
    <row r="500" spans="8:11">
      <c r="H500" s="60">
        <f>PRODUCT('All-Servers'!D510,'All-Servers'!$H510)</f>
        <v>1</v>
      </c>
      <c r="I500" s="60">
        <f>PRODUCT('All-Servers'!E510,'All-Servers'!$H510)</f>
        <v>3750</v>
      </c>
      <c r="J500" s="60">
        <f>PRODUCT('All-Servers'!F510,'All-Servers'!$H510)</f>
        <v>4</v>
      </c>
      <c r="K500" s="60">
        <f>PRODUCT('All-Servers'!G510,'All-Servers'!$H510)</f>
        <v>20</v>
      </c>
    </row>
    <row r="501" spans="8:11">
      <c r="H501" s="60">
        <f>PRODUCT('All-Servers'!D511,'All-Servers'!$H511)</f>
        <v>1</v>
      </c>
      <c r="I501" s="60">
        <f>PRODUCT('All-Servers'!E511,'All-Servers'!$H511)</f>
        <v>2000</v>
      </c>
      <c r="J501" s="60">
        <f>PRODUCT('All-Servers'!F511,'All-Servers'!$H511)</f>
        <v>0</v>
      </c>
      <c r="K501" s="60">
        <f>PRODUCT('All-Servers'!G511,'All-Servers'!$H511)</f>
        <v>20</v>
      </c>
    </row>
    <row r="502" spans="8:11">
      <c r="H502" s="60">
        <f>PRODUCT('All-Servers'!D512,'All-Servers'!$H512)</f>
        <v>1</v>
      </c>
      <c r="I502" s="60">
        <f>PRODUCT('All-Servers'!E512,'All-Servers'!$H512)</f>
        <v>2000</v>
      </c>
      <c r="J502" s="60">
        <f>PRODUCT('All-Servers'!F512,'All-Servers'!$H512)</f>
        <v>0</v>
      </c>
      <c r="K502" s="60">
        <f>PRODUCT('All-Servers'!G512,'All-Servers'!$H512)</f>
        <v>20</v>
      </c>
    </row>
    <row r="503" spans="8:11">
      <c r="H503" s="60">
        <f>PRODUCT('All-Servers'!D513,'All-Servers'!$H513)</f>
        <v>1</v>
      </c>
      <c r="I503" s="60">
        <f>PRODUCT('All-Servers'!E513,'All-Servers'!$H513)</f>
        <v>2000</v>
      </c>
      <c r="J503" s="60">
        <f>PRODUCT('All-Servers'!F513,'All-Servers'!$H513)</f>
        <v>0</v>
      </c>
      <c r="K503" s="60">
        <f>PRODUCT('All-Servers'!G513,'All-Servers'!$H513)</f>
        <v>20</v>
      </c>
    </row>
    <row r="504" spans="8:11">
      <c r="H504" s="60">
        <f>PRODUCT('All-Servers'!D514,'All-Servers'!$H514)</f>
        <v>1</v>
      </c>
      <c r="I504" s="60">
        <f>PRODUCT('All-Servers'!E514,'All-Servers'!$H514)</f>
        <v>2000</v>
      </c>
      <c r="J504" s="60">
        <f>PRODUCT('All-Servers'!F514,'All-Servers'!$H514)</f>
        <v>0</v>
      </c>
      <c r="K504" s="60">
        <f>PRODUCT('All-Servers'!G514,'All-Servers'!$H514)</f>
        <v>20</v>
      </c>
    </row>
    <row r="505" spans="8:11">
      <c r="H505" s="60">
        <f>PRODUCT('All-Servers'!D515,'All-Servers'!$H515)</f>
        <v>1</v>
      </c>
      <c r="I505" s="60">
        <f>PRODUCT('All-Servers'!E515,'All-Servers'!$H515)</f>
        <v>1700</v>
      </c>
      <c r="J505" s="60">
        <f>PRODUCT('All-Servers'!F515,'All-Servers'!$H515)</f>
        <v>160</v>
      </c>
      <c r="K505" s="60">
        <f>PRODUCT('All-Servers'!G515,'All-Servers'!$H515)</f>
        <v>20</v>
      </c>
    </row>
    <row r="506" spans="8:11">
      <c r="H506" s="60">
        <f>PRODUCT('All-Servers'!D516,'All-Servers'!$H516)</f>
        <v>2</v>
      </c>
      <c r="I506" s="60">
        <f>PRODUCT('All-Servers'!E516,'All-Servers'!$H516)</f>
        <v>4000</v>
      </c>
      <c r="J506" s="60">
        <f>PRODUCT('All-Servers'!F516,'All-Servers'!$H516)</f>
        <v>0</v>
      </c>
      <c r="K506" s="60">
        <f>PRODUCT('All-Servers'!G516,'All-Servers'!$H516)</f>
        <v>820</v>
      </c>
    </row>
    <row r="507" spans="8:11">
      <c r="H507" s="60">
        <f>PRODUCT('All-Servers'!D517,'All-Servers'!$H517)</f>
        <v>2</v>
      </c>
      <c r="I507" s="60">
        <f>PRODUCT('All-Servers'!E517,'All-Servers'!$H517)</f>
        <v>4000</v>
      </c>
      <c r="J507" s="60">
        <f>PRODUCT('All-Servers'!F517,'All-Servers'!$H517)</f>
        <v>0</v>
      </c>
      <c r="K507" s="60">
        <f>PRODUCT('All-Servers'!G517,'All-Servers'!$H517)</f>
        <v>420</v>
      </c>
    </row>
    <row r="508" spans="8:11">
      <c r="H508" s="60">
        <f>PRODUCT('All-Servers'!D518,'All-Servers'!$H518)</f>
        <v>2</v>
      </c>
      <c r="I508" s="60">
        <f>PRODUCT('All-Servers'!E518,'All-Servers'!$H518)</f>
        <v>4000</v>
      </c>
      <c r="J508" s="60">
        <f>PRODUCT('All-Servers'!F518,'All-Servers'!$H518)</f>
        <v>0</v>
      </c>
      <c r="K508" s="60">
        <f>PRODUCT('All-Servers'!G518,'All-Servers'!$H518)</f>
        <v>420</v>
      </c>
    </row>
    <row r="509" spans="8:11">
      <c r="H509" s="60">
        <f>PRODUCT('All-Servers'!D519,'All-Servers'!$H519)</f>
        <v>1</v>
      </c>
      <c r="I509" s="60">
        <f>PRODUCT('All-Servers'!E519,'All-Servers'!$H519)</f>
        <v>615</v>
      </c>
      <c r="J509" s="60">
        <f>PRODUCT('All-Servers'!F519,'All-Servers'!$H519)</f>
        <v>160</v>
      </c>
      <c r="K509" s="60">
        <f>PRODUCT('All-Servers'!G519,'All-Servers'!$H519)</f>
        <v>20</v>
      </c>
    </row>
    <row r="510" spans="8:11">
      <c r="H510" s="60">
        <f>PRODUCT('All-Servers'!D520,'All-Servers'!$H520)</f>
        <v>1</v>
      </c>
      <c r="I510" s="60">
        <f>PRODUCT('All-Servers'!E520,'All-Servers'!$H520)</f>
        <v>2000</v>
      </c>
      <c r="J510" s="60">
        <f>PRODUCT('All-Servers'!F520,'All-Servers'!$H520)</f>
        <v>0</v>
      </c>
      <c r="K510" s="60">
        <f>PRODUCT('All-Servers'!G520,'All-Servers'!$H520)</f>
        <v>20</v>
      </c>
    </row>
    <row r="511" spans="8:11">
      <c r="H511" s="60">
        <f>PRODUCT('All-Servers'!D521,'All-Servers'!$H521)</f>
        <v>8</v>
      </c>
      <c r="I511" s="60">
        <f>PRODUCT('All-Servers'!E521,'All-Servers'!$H521)</f>
        <v>15000</v>
      </c>
      <c r="J511" s="60">
        <f>PRODUCT('All-Servers'!F521,'All-Servers'!$H521)</f>
        <v>160</v>
      </c>
      <c r="K511" s="60">
        <f>PRODUCT('All-Servers'!G521,'All-Servers'!$H521)</f>
        <v>20</v>
      </c>
    </row>
    <row r="512" spans="8:11">
      <c r="H512" s="60">
        <f>PRODUCT('All-Servers'!D522,'All-Servers'!$H522)</f>
        <v>1</v>
      </c>
      <c r="I512" s="60">
        <f>PRODUCT('All-Servers'!E522,'All-Servers'!$H522)</f>
        <v>615</v>
      </c>
      <c r="J512" s="60">
        <f>PRODUCT('All-Servers'!F522,'All-Servers'!$H522)</f>
        <v>160</v>
      </c>
      <c r="K512" s="60">
        <f>PRODUCT('All-Servers'!G522,'All-Servers'!$H522)</f>
        <v>8</v>
      </c>
    </row>
    <row r="513" spans="8:11">
      <c r="H513" s="60">
        <f>PRODUCT('All-Servers'!D523,'All-Servers'!$H523)</f>
        <v>2</v>
      </c>
      <c r="I513" s="60">
        <f>PRODUCT('All-Servers'!E523,'All-Servers'!$H523)</f>
        <v>3750</v>
      </c>
      <c r="J513" s="60">
        <f>PRODUCT('All-Servers'!F523,'All-Servers'!$H523)</f>
        <v>32</v>
      </c>
      <c r="K513" s="60">
        <f>PRODUCT('All-Servers'!G523,'All-Servers'!$H523)</f>
        <v>20</v>
      </c>
    </row>
    <row r="514" spans="8:11">
      <c r="H514" s="60">
        <f>PRODUCT('All-Servers'!D524,'All-Servers'!$H524)</f>
        <v>2</v>
      </c>
      <c r="I514" s="60">
        <f>PRODUCT('All-Servers'!E524,'All-Servers'!$H524)</f>
        <v>4000</v>
      </c>
      <c r="J514" s="60">
        <f>PRODUCT('All-Servers'!F524,'All-Servers'!$H524)</f>
        <v>0</v>
      </c>
      <c r="K514" s="60">
        <f>PRODUCT('All-Servers'!G524,'All-Servers'!$H524)</f>
        <v>20</v>
      </c>
    </row>
    <row r="515" spans="8:11">
      <c r="H515" s="60">
        <f>PRODUCT('All-Servers'!D525,'All-Servers'!$H525)</f>
        <v>1</v>
      </c>
      <c r="I515" s="60">
        <f>PRODUCT('All-Servers'!E525,'All-Servers'!$H525)</f>
        <v>2000</v>
      </c>
      <c r="J515" s="60">
        <f>PRODUCT('All-Servers'!F525,'All-Servers'!$H525)</f>
        <v>0</v>
      </c>
      <c r="K515" s="60">
        <f>PRODUCT('All-Servers'!G525,'All-Servers'!$H525)</f>
        <v>20</v>
      </c>
    </row>
    <row r="516" spans="8:11">
      <c r="H516" s="60">
        <f>PRODUCT('All-Servers'!D526,'All-Servers'!$H526)</f>
        <v>1</v>
      </c>
      <c r="I516" s="60">
        <f>PRODUCT('All-Servers'!E526,'All-Servers'!$H526)</f>
        <v>2000</v>
      </c>
      <c r="J516" s="60">
        <f>PRODUCT('All-Servers'!F526,'All-Servers'!$H526)</f>
        <v>0</v>
      </c>
      <c r="K516" s="60">
        <f>PRODUCT('All-Servers'!G526,'All-Servers'!$H526)</f>
        <v>20</v>
      </c>
    </row>
    <row r="517" spans="8:11">
      <c r="H517" s="60">
        <f>PRODUCT('All-Servers'!D527,'All-Servers'!$H527)</f>
        <v>1</v>
      </c>
      <c r="I517" s="60">
        <f>PRODUCT('All-Servers'!E527,'All-Servers'!$H527)</f>
        <v>3750</v>
      </c>
      <c r="J517" s="60">
        <f>PRODUCT('All-Servers'!F527,'All-Servers'!$H527)</f>
        <v>4</v>
      </c>
      <c r="K517" s="60">
        <f>PRODUCT('All-Servers'!G527,'All-Servers'!$H527)</f>
        <v>20</v>
      </c>
    </row>
    <row r="518" spans="8:11">
      <c r="H518" s="60">
        <f>PRODUCT('All-Servers'!D528,'All-Servers'!$H528)</f>
        <v>1</v>
      </c>
      <c r="I518" s="60">
        <f>PRODUCT('All-Servers'!E528,'All-Servers'!$H528)</f>
        <v>2000</v>
      </c>
      <c r="J518" s="60">
        <f>PRODUCT('All-Servers'!F528,'All-Servers'!$H528)</f>
        <v>0</v>
      </c>
      <c r="K518" s="60">
        <f>PRODUCT('All-Servers'!G528,'All-Servers'!$H528)</f>
        <v>20</v>
      </c>
    </row>
    <row r="519" spans="8:11">
      <c r="H519" s="60">
        <f>PRODUCT('All-Servers'!D529,'All-Servers'!$H529)</f>
        <v>1</v>
      </c>
      <c r="I519" s="60">
        <f>PRODUCT('All-Servers'!E529,'All-Servers'!$H529)</f>
        <v>2000</v>
      </c>
      <c r="J519" s="60">
        <f>PRODUCT('All-Servers'!F529,'All-Servers'!$H529)</f>
        <v>0</v>
      </c>
      <c r="K519" s="60">
        <f>PRODUCT('All-Servers'!G529,'All-Servers'!$H529)</f>
        <v>20</v>
      </c>
    </row>
    <row r="520" spans="8:11">
      <c r="H520" s="60">
        <f>PRODUCT('All-Servers'!D530,'All-Servers'!$H530)</f>
        <v>2</v>
      </c>
      <c r="I520" s="60">
        <f>PRODUCT('All-Servers'!E530,'All-Servers'!$H530)</f>
        <v>4000</v>
      </c>
      <c r="J520" s="60">
        <f>PRODUCT('All-Servers'!F530,'All-Servers'!$H530)</f>
        <v>0</v>
      </c>
      <c r="K520" s="60">
        <f>PRODUCT('All-Servers'!G530,'All-Servers'!$H530)</f>
        <v>120</v>
      </c>
    </row>
    <row r="521" spans="8:11">
      <c r="H521" s="60">
        <f>PRODUCT('All-Servers'!D531,'All-Servers'!$H531)</f>
        <v>1</v>
      </c>
      <c r="I521" s="60">
        <f>PRODUCT('All-Servers'!E531,'All-Servers'!$H531)</f>
        <v>2000</v>
      </c>
      <c r="J521" s="60">
        <f>PRODUCT('All-Servers'!F531,'All-Servers'!$H531)</f>
        <v>0</v>
      </c>
      <c r="K521" s="60">
        <f>PRODUCT('All-Servers'!G531,'All-Servers'!$H531)</f>
        <v>20</v>
      </c>
    </row>
    <row r="522" spans="8:11">
      <c r="H522" s="60">
        <f>PRODUCT('All-Servers'!D532,'All-Servers'!$H532)</f>
        <v>1</v>
      </c>
      <c r="I522" s="60">
        <f>PRODUCT('All-Servers'!E532,'All-Servers'!$H532)</f>
        <v>2000</v>
      </c>
      <c r="J522" s="60">
        <f>PRODUCT('All-Servers'!F532,'All-Servers'!$H532)</f>
        <v>0</v>
      </c>
      <c r="K522" s="60">
        <f>PRODUCT('All-Servers'!G532,'All-Servers'!$H532)</f>
        <v>20</v>
      </c>
    </row>
    <row r="523" spans="8:11">
      <c r="H523" s="60">
        <f>PRODUCT('All-Servers'!D533,'All-Servers'!$H533)</f>
        <v>2</v>
      </c>
      <c r="I523" s="60">
        <f>PRODUCT('All-Servers'!E533,'All-Servers'!$H533)</f>
        <v>4000</v>
      </c>
      <c r="J523" s="60">
        <f>PRODUCT('All-Servers'!F533,'All-Servers'!$H533)</f>
        <v>0</v>
      </c>
      <c r="K523" s="60">
        <f>PRODUCT('All-Servers'!G533,'All-Servers'!$H533)</f>
        <v>120</v>
      </c>
    </row>
    <row r="524" spans="8:11">
      <c r="H524" s="60">
        <f>PRODUCT('All-Servers'!D534,'All-Servers'!$H534)</f>
        <v>1</v>
      </c>
      <c r="I524" s="60">
        <f>PRODUCT('All-Servers'!E534,'All-Servers'!$H534)</f>
        <v>2000</v>
      </c>
      <c r="J524" s="60">
        <f>PRODUCT('All-Servers'!F534,'All-Servers'!$H534)</f>
        <v>0</v>
      </c>
      <c r="K524" s="60">
        <f>PRODUCT('All-Servers'!G534,'All-Servers'!$H534)</f>
        <v>20</v>
      </c>
    </row>
    <row r="525" spans="8:11">
      <c r="H525" s="60">
        <f>PRODUCT('All-Servers'!D535,'All-Servers'!$H535)</f>
        <v>1</v>
      </c>
      <c r="I525" s="60">
        <f>PRODUCT('All-Servers'!E535,'All-Servers'!$H535)</f>
        <v>2000</v>
      </c>
      <c r="J525" s="60">
        <f>PRODUCT('All-Servers'!F535,'All-Servers'!$H535)</f>
        <v>0</v>
      </c>
      <c r="K525" s="60">
        <f>PRODUCT('All-Servers'!G535,'All-Servers'!$H535)</f>
        <v>20</v>
      </c>
    </row>
    <row r="526" spans="8:11">
      <c r="H526" s="60">
        <f>PRODUCT('All-Servers'!D536,'All-Servers'!$H536)</f>
        <v>1</v>
      </c>
      <c r="I526" s="60">
        <f>PRODUCT('All-Servers'!E536,'All-Servers'!$H536)</f>
        <v>2000</v>
      </c>
      <c r="J526" s="60">
        <f>PRODUCT('All-Servers'!F536,'All-Servers'!$H536)</f>
        <v>0</v>
      </c>
      <c r="K526" s="60">
        <f>PRODUCT('All-Servers'!G536,'All-Servers'!$H536)</f>
        <v>20</v>
      </c>
    </row>
    <row r="527" spans="8:11">
      <c r="H527" s="60">
        <f>PRODUCT('All-Servers'!D537,'All-Servers'!$H537)</f>
        <v>1</v>
      </c>
      <c r="I527" s="60">
        <f>PRODUCT('All-Servers'!E537,'All-Servers'!$H537)</f>
        <v>2000</v>
      </c>
      <c r="J527" s="60">
        <f>PRODUCT('All-Servers'!F537,'All-Servers'!$H537)</f>
        <v>0</v>
      </c>
      <c r="K527" s="60">
        <f>PRODUCT('All-Servers'!G537,'All-Servers'!$H537)</f>
        <v>20</v>
      </c>
    </row>
    <row r="528" spans="8:11">
      <c r="H528" s="60">
        <f>PRODUCT('All-Servers'!D538,'All-Servers'!$H538)</f>
        <v>4</v>
      </c>
      <c r="I528" s="60">
        <f>PRODUCT('All-Servers'!E538,'All-Servers'!$H538)</f>
        <v>15000</v>
      </c>
      <c r="J528" s="60">
        <f>PRODUCT('All-Servers'!F538,'All-Servers'!$H538)</f>
        <v>1690</v>
      </c>
      <c r="K528" s="60">
        <f>PRODUCT('All-Servers'!G538,'All-Servers'!$H538)</f>
        <v>20</v>
      </c>
    </row>
    <row r="529" spans="8:11">
      <c r="H529" s="60">
        <f>PRODUCT('All-Servers'!D539,'All-Servers'!$H539)</f>
        <v>1</v>
      </c>
      <c r="I529" s="60">
        <f>PRODUCT('All-Servers'!E539,'All-Servers'!$H539)</f>
        <v>1700</v>
      </c>
      <c r="J529" s="60">
        <f>PRODUCT('All-Servers'!F539,'All-Servers'!$H539)</f>
        <v>160</v>
      </c>
      <c r="K529" s="60">
        <f>PRODUCT('All-Servers'!G539,'All-Servers'!$H539)</f>
        <v>20</v>
      </c>
    </row>
    <row r="530" spans="8:11">
      <c r="H530" s="60">
        <f>PRODUCT('All-Servers'!D540,'All-Servers'!$H540)</f>
        <v>1</v>
      </c>
      <c r="I530" s="60">
        <f>PRODUCT('All-Servers'!E540,'All-Servers'!$H540)</f>
        <v>3750</v>
      </c>
      <c r="J530" s="60">
        <f>PRODUCT('All-Servers'!F540,'All-Servers'!$H540)</f>
        <v>4</v>
      </c>
      <c r="K530" s="60">
        <f>PRODUCT('All-Servers'!G540,'All-Servers'!$H540)</f>
        <v>20</v>
      </c>
    </row>
    <row r="531" spans="8:11">
      <c r="H531" s="60">
        <f>PRODUCT('All-Servers'!D541,'All-Servers'!$H541)</f>
        <v>1</v>
      </c>
      <c r="I531" s="60">
        <f>PRODUCT('All-Servers'!E541,'All-Servers'!$H541)</f>
        <v>3750</v>
      </c>
      <c r="J531" s="60">
        <f>PRODUCT('All-Servers'!F541,'All-Servers'!$H541)</f>
        <v>4</v>
      </c>
      <c r="K531" s="60">
        <f>PRODUCT('All-Servers'!G541,'All-Servers'!$H541)</f>
        <v>20</v>
      </c>
    </row>
    <row r="532" spans="8:11">
      <c r="H532" s="60">
        <f>PRODUCT('All-Servers'!D542,'All-Servers'!$H542)</f>
        <v>1</v>
      </c>
      <c r="I532" s="60">
        <f>PRODUCT('All-Servers'!E542,'All-Servers'!$H542)</f>
        <v>3750</v>
      </c>
      <c r="J532" s="60">
        <f>PRODUCT('All-Servers'!F542,'All-Servers'!$H542)</f>
        <v>4</v>
      </c>
      <c r="K532" s="60">
        <f>PRODUCT('All-Servers'!G542,'All-Servers'!$H542)</f>
        <v>20</v>
      </c>
    </row>
    <row r="533" spans="8:11">
      <c r="H533" s="60">
        <f>PRODUCT('All-Servers'!D543,'All-Servers'!$H543)</f>
        <v>1</v>
      </c>
      <c r="I533" s="60">
        <f>PRODUCT('All-Servers'!E543,'All-Servers'!$H543)</f>
        <v>3750</v>
      </c>
      <c r="J533" s="60">
        <f>PRODUCT('All-Servers'!F543,'All-Servers'!$H543)</f>
        <v>4</v>
      </c>
      <c r="K533" s="60">
        <f>PRODUCT('All-Servers'!G543,'All-Servers'!$H543)</f>
        <v>20</v>
      </c>
    </row>
    <row r="534" spans="8:11">
      <c r="H534" s="60">
        <f>PRODUCT('All-Servers'!D544,'All-Servers'!$H544)</f>
        <v>1</v>
      </c>
      <c r="I534" s="60">
        <f>PRODUCT('All-Servers'!E544,'All-Servers'!$H544)</f>
        <v>3750</v>
      </c>
      <c r="J534" s="60">
        <f>PRODUCT('All-Servers'!F544,'All-Servers'!$H544)</f>
        <v>4</v>
      </c>
      <c r="K534" s="60">
        <f>PRODUCT('All-Servers'!G544,'All-Servers'!$H544)</f>
        <v>20</v>
      </c>
    </row>
    <row r="535" spans="8:11">
      <c r="H535" s="60">
        <f>PRODUCT('All-Servers'!D545,'All-Servers'!$H545)</f>
        <v>1</v>
      </c>
      <c r="I535" s="60">
        <f>PRODUCT('All-Servers'!E545,'All-Servers'!$H545)</f>
        <v>3750</v>
      </c>
      <c r="J535" s="60">
        <f>PRODUCT('All-Servers'!F545,'All-Servers'!$H545)</f>
        <v>4</v>
      </c>
      <c r="K535" s="60">
        <f>PRODUCT('All-Servers'!G545,'All-Servers'!$H545)</f>
        <v>20</v>
      </c>
    </row>
    <row r="536" spans="8:11">
      <c r="H536" s="60">
        <f>PRODUCT('All-Servers'!D546,'All-Servers'!$H546)</f>
        <v>1</v>
      </c>
      <c r="I536" s="60">
        <f>PRODUCT('All-Servers'!E546,'All-Servers'!$H546)</f>
        <v>3750</v>
      </c>
      <c r="J536" s="60">
        <f>PRODUCT('All-Servers'!F546,'All-Servers'!$H546)</f>
        <v>4</v>
      </c>
      <c r="K536" s="60">
        <f>PRODUCT('All-Servers'!G546,'All-Servers'!$H546)</f>
        <v>20</v>
      </c>
    </row>
    <row r="537" spans="8:11">
      <c r="H537" s="60">
        <f>PRODUCT('All-Servers'!D547,'All-Servers'!$H547)</f>
        <v>1</v>
      </c>
      <c r="I537" s="60">
        <f>PRODUCT('All-Servers'!E547,'All-Servers'!$H547)</f>
        <v>2000</v>
      </c>
      <c r="J537" s="60">
        <f>PRODUCT('All-Servers'!F547,'All-Servers'!$H547)</f>
        <v>0</v>
      </c>
      <c r="K537" s="60">
        <f>PRODUCT('All-Servers'!G547,'All-Servers'!$H547)</f>
        <v>20</v>
      </c>
    </row>
    <row r="538" spans="8:11">
      <c r="H538" s="60">
        <f>PRODUCT('All-Servers'!D548,'All-Servers'!$H548)</f>
        <v>1</v>
      </c>
      <c r="I538" s="60">
        <f>PRODUCT('All-Servers'!E548,'All-Servers'!$H548)</f>
        <v>1700</v>
      </c>
      <c r="J538" s="60">
        <f>PRODUCT('All-Servers'!F548,'All-Servers'!$H548)</f>
        <v>160</v>
      </c>
      <c r="K538" s="60">
        <f>PRODUCT('All-Servers'!G548,'All-Servers'!$H548)</f>
        <v>20</v>
      </c>
    </row>
    <row r="539" spans="8:11">
      <c r="H539" s="60">
        <f>PRODUCT('All-Servers'!D549,'All-Servers'!$H549)</f>
        <v>1</v>
      </c>
      <c r="I539" s="60">
        <f>PRODUCT('All-Servers'!E549,'All-Servers'!$H549)</f>
        <v>1700</v>
      </c>
      <c r="J539" s="60">
        <f>PRODUCT('All-Servers'!F549,'All-Servers'!$H549)</f>
        <v>160</v>
      </c>
      <c r="K539" s="60">
        <f>PRODUCT('All-Servers'!G549,'All-Servers'!$H549)</f>
        <v>20</v>
      </c>
    </row>
    <row r="540" spans="8:11">
      <c r="H540" s="60">
        <f>PRODUCT('All-Servers'!D550,'All-Servers'!$H550)</f>
        <v>1</v>
      </c>
      <c r="I540" s="60">
        <f>PRODUCT('All-Servers'!E550,'All-Servers'!$H550)</f>
        <v>2000</v>
      </c>
      <c r="J540" s="60">
        <f>PRODUCT('All-Servers'!F550,'All-Servers'!$H550)</f>
        <v>0</v>
      </c>
      <c r="K540" s="60">
        <f>PRODUCT('All-Servers'!G550,'All-Servers'!$H550)</f>
        <v>20</v>
      </c>
    </row>
    <row r="541" spans="8:11">
      <c r="H541" s="60">
        <f>PRODUCT('All-Servers'!D551,'All-Servers'!$H551)</f>
        <v>1</v>
      </c>
      <c r="I541" s="60">
        <f>PRODUCT('All-Servers'!E551,'All-Servers'!$H551)</f>
        <v>1700</v>
      </c>
      <c r="J541" s="60">
        <f>PRODUCT('All-Servers'!F551,'All-Servers'!$H551)</f>
        <v>160</v>
      </c>
      <c r="K541" s="60">
        <f>PRODUCT('All-Servers'!G551,'All-Servers'!$H551)</f>
        <v>20</v>
      </c>
    </row>
    <row r="542" spans="8:11">
      <c r="H542" s="60">
        <f>PRODUCT('All-Servers'!D552,'All-Servers'!$H552)</f>
        <v>8</v>
      </c>
      <c r="I542" s="60">
        <f>PRODUCT('All-Servers'!E552,'All-Servers'!$H552)</f>
        <v>15000</v>
      </c>
      <c r="J542" s="60">
        <f>PRODUCT('All-Servers'!F552,'All-Servers'!$H552)</f>
        <v>160</v>
      </c>
      <c r="K542" s="60">
        <f>PRODUCT('All-Servers'!G552,'All-Servers'!$H552)</f>
        <v>20</v>
      </c>
    </row>
    <row r="543" spans="8:11">
      <c r="H543" s="60">
        <f>PRODUCT('All-Servers'!D553,'All-Servers'!$H553)</f>
        <v>8</v>
      </c>
      <c r="I543" s="60">
        <f>PRODUCT('All-Servers'!E553,'All-Servers'!$H553)</f>
        <v>15000</v>
      </c>
      <c r="J543" s="60">
        <f>PRODUCT('All-Servers'!F553,'All-Servers'!$H553)</f>
        <v>160</v>
      </c>
      <c r="K543" s="60">
        <f>PRODUCT('All-Servers'!G553,'All-Servers'!$H553)</f>
        <v>20</v>
      </c>
    </row>
    <row r="544" spans="8:11">
      <c r="H544" s="60">
        <f>PRODUCT('All-Servers'!D554,'All-Servers'!$H554)</f>
        <v>4</v>
      </c>
      <c r="I544" s="60">
        <f>PRODUCT('All-Servers'!E554,'All-Servers'!$H554)</f>
        <v>30500</v>
      </c>
      <c r="J544" s="60">
        <f>PRODUCT('All-Servers'!F554,'All-Servers'!$H554)</f>
        <v>720</v>
      </c>
      <c r="K544" s="60">
        <f>PRODUCT('All-Servers'!G554,'All-Servers'!$H554)</f>
        <v>20</v>
      </c>
    </row>
    <row r="545" spans="8:11">
      <c r="H545" s="60">
        <f>PRODUCT('All-Servers'!D555,'All-Servers'!$H555)</f>
        <v>4</v>
      </c>
      <c r="I545" s="60">
        <f>PRODUCT('All-Servers'!E555,'All-Servers'!$H555)</f>
        <v>30500</v>
      </c>
      <c r="J545" s="60">
        <f>PRODUCT('All-Servers'!F555,'All-Servers'!$H555)</f>
        <v>720</v>
      </c>
      <c r="K545" s="60">
        <f>PRODUCT('All-Servers'!G555,'All-Servers'!$H555)</f>
        <v>20</v>
      </c>
    </row>
    <row r="546" spans="8:11">
      <c r="H546" s="60">
        <f>PRODUCT('All-Servers'!D556,'All-Servers'!$H556)</f>
        <v>4</v>
      </c>
      <c r="I546" s="60">
        <f>PRODUCT('All-Servers'!E556,'All-Servers'!$H556)</f>
        <v>30500</v>
      </c>
      <c r="J546" s="60">
        <f>PRODUCT('All-Servers'!F556,'All-Servers'!$H556)</f>
        <v>720</v>
      </c>
      <c r="K546" s="60">
        <f>PRODUCT('All-Servers'!G556,'All-Servers'!$H556)</f>
        <v>20</v>
      </c>
    </row>
    <row r="547" spans="8:11">
      <c r="H547" s="60">
        <f>PRODUCT('All-Servers'!D557,'All-Servers'!$H557)</f>
        <v>4</v>
      </c>
      <c r="I547" s="60">
        <f>PRODUCT('All-Servers'!E557,'All-Servers'!$H557)</f>
        <v>30500</v>
      </c>
      <c r="J547" s="60">
        <f>PRODUCT('All-Servers'!F557,'All-Servers'!$H557)</f>
        <v>720</v>
      </c>
      <c r="K547" s="60">
        <f>PRODUCT('All-Servers'!G557,'All-Servers'!$H557)</f>
        <v>20</v>
      </c>
    </row>
    <row r="548" spans="8:11">
      <c r="H548" s="60">
        <f>PRODUCT('All-Servers'!D558,'All-Servers'!$H558)</f>
        <v>2</v>
      </c>
      <c r="I548" s="60">
        <f>PRODUCT('All-Servers'!E558,'All-Servers'!$H558)</f>
        <v>4000</v>
      </c>
      <c r="J548" s="60">
        <f>PRODUCT('All-Servers'!F558,'All-Servers'!$H558)</f>
        <v>0</v>
      </c>
      <c r="K548" s="60">
        <f>PRODUCT('All-Servers'!G558,'All-Servers'!$H558)</f>
        <v>20</v>
      </c>
    </row>
    <row r="549" spans="8:11">
      <c r="H549" s="60">
        <f>PRODUCT('All-Servers'!D559,'All-Servers'!$H559)</f>
        <v>1</v>
      </c>
      <c r="I549" s="60">
        <f>PRODUCT('All-Servers'!E559,'All-Servers'!$H559)</f>
        <v>615</v>
      </c>
      <c r="J549" s="60">
        <f>PRODUCT('All-Servers'!F559,'All-Servers'!$H559)</f>
        <v>160</v>
      </c>
      <c r="K549" s="60">
        <f>PRODUCT('All-Servers'!G559,'All-Servers'!$H559)</f>
        <v>20</v>
      </c>
    </row>
    <row r="550" spans="8:11">
      <c r="H550" s="60">
        <f>PRODUCT('All-Servers'!D560,'All-Servers'!$H560)</f>
        <v>4</v>
      </c>
      <c r="I550" s="60">
        <f>PRODUCT('All-Servers'!E560,'All-Servers'!$H560)</f>
        <v>15000</v>
      </c>
      <c r="J550" s="60">
        <f>PRODUCT('All-Servers'!F560,'All-Servers'!$H560)</f>
        <v>80</v>
      </c>
      <c r="K550" s="60">
        <f>PRODUCT('All-Servers'!G560,'All-Servers'!$H560)</f>
        <v>2078</v>
      </c>
    </row>
    <row r="551" spans="8:11">
      <c r="H551" s="60">
        <f>PRODUCT('All-Servers'!D561,'All-Servers'!$H561)</f>
        <v>2</v>
      </c>
      <c r="I551" s="60">
        <f>PRODUCT('All-Servers'!E561,'All-Servers'!$H561)</f>
        <v>4000</v>
      </c>
      <c r="J551" s="60">
        <f>PRODUCT('All-Servers'!F561,'All-Servers'!$H561)</f>
        <v>0</v>
      </c>
      <c r="K551" s="60">
        <f>PRODUCT('All-Servers'!G561,'All-Servers'!$H561)</f>
        <v>20</v>
      </c>
    </row>
    <row r="552" spans="8:11">
      <c r="H552" s="60">
        <f>PRODUCT('All-Servers'!D562,'All-Servers'!$H562)</f>
        <v>2</v>
      </c>
      <c r="I552" s="60">
        <f>PRODUCT('All-Servers'!E562,'All-Servers'!$H562)</f>
        <v>7500</v>
      </c>
      <c r="J552" s="60">
        <f>PRODUCT('All-Servers'!F562,'All-Servers'!$H562)</f>
        <v>32</v>
      </c>
      <c r="K552" s="60">
        <f>PRODUCT('All-Servers'!G562,'All-Servers'!$H562)</f>
        <v>420</v>
      </c>
    </row>
    <row r="553" spans="8:11">
      <c r="H553" s="60">
        <f>PRODUCT('All-Servers'!D563,'All-Servers'!$H563)</f>
        <v>2</v>
      </c>
      <c r="I553" s="60">
        <f>PRODUCT('All-Servers'!E563,'All-Servers'!$H563)</f>
        <v>7500</v>
      </c>
      <c r="J553" s="60">
        <f>PRODUCT('All-Servers'!F563,'All-Servers'!$H563)</f>
        <v>32</v>
      </c>
      <c r="K553" s="60">
        <f>PRODUCT('All-Servers'!G563,'All-Servers'!$H563)</f>
        <v>420</v>
      </c>
    </row>
    <row r="554" spans="8:11">
      <c r="H554" s="60">
        <f>PRODUCT('All-Servers'!D564,'All-Servers'!$H564)</f>
        <v>2</v>
      </c>
      <c r="I554" s="60">
        <f>PRODUCT('All-Servers'!E564,'All-Servers'!$H564)</f>
        <v>7500</v>
      </c>
      <c r="J554" s="60">
        <f>PRODUCT('All-Servers'!F564,'All-Servers'!$H564)</f>
        <v>32</v>
      </c>
      <c r="K554" s="60">
        <f>PRODUCT('All-Servers'!G564,'All-Servers'!$H564)</f>
        <v>420</v>
      </c>
    </row>
    <row r="555" spans="8:11">
      <c r="H555" s="60">
        <f>PRODUCT('All-Servers'!D565,'All-Servers'!$H565)</f>
        <v>2</v>
      </c>
      <c r="I555" s="60">
        <f>PRODUCT('All-Servers'!E565,'All-Servers'!$H565)</f>
        <v>4000</v>
      </c>
      <c r="J555" s="60">
        <f>PRODUCT('All-Servers'!F565,'All-Servers'!$H565)</f>
        <v>0</v>
      </c>
      <c r="K555" s="60">
        <f>PRODUCT('All-Servers'!G565,'All-Servers'!$H565)</f>
        <v>20</v>
      </c>
    </row>
    <row r="556" spans="8:11">
      <c r="H556" s="60">
        <f>PRODUCT('All-Servers'!D566,'All-Servers'!$H566)</f>
        <v>2</v>
      </c>
      <c r="I556" s="60">
        <f>PRODUCT('All-Servers'!E566,'All-Servers'!$H566)</f>
        <v>7500</v>
      </c>
      <c r="J556" s="60">
        <f>PRODUCT('All-Servers'!F566,'All-Servers'!$H566)</f>
        <v>32</v>
      </c>
      <c r="K556" s="60">
        <f>PRODUCT('All-Servers'!G566,'All-Servers'!$H566)</f>
        <v>820</v>
      </c>
    </row>
    <row r="557" spans="8:11">
      <c r="H557" s="60">
        <f>PRODUCT('All-Servers'!D567,'All-Servers'!$H567)</f>
        <v>1</v>
      </c>
      <c r="I557" s="60">
        <f>PRODUCT('All-Servers'!E567,'All-Servers'!$H567)</f>
        <v>3750</v>
      </c>
      <c r="J557" s="60">
        <f>PRODUCT('All-Servers'!F567,'All-Servers'!$H567)</f>
        <v>410</v>
      </c>
      <c r="K557" s="60">
        <f>PRODUCT('All-Servers'!G567,'All-Servers'!$H567)</f>
        <v>20</v>
      </c>
    </row>
    <row r="558" spans="8:11">
      <c r="H558" s="60">
        <f>PRODUCT('All-Servers'!D568,'All-Servers'!$H568)</f>
        <v>2</v>
      </c>
      <c r="I558" s="60">
        <f>PRODUCT('All-Servers'!E568,'All-Servers'!$H568)</f>
        <v>4000</v>
      </c>
      <c r="J558" s="60">
        <f>PRODUCT('All-Servers'!F568,'All-Servers'!$H568)</f>
        <v>0</v>
      </c>
      <c r="K558" s="60">
        <f>PRODUCT('All-Servers'!G568,'All-Servers'!$H568)</f>
        <v>20</v>
      </c>
    </row>
    <row r="559" spans="8:11">
      <c r="H559" s="60">
        <f>PRODUCT('All-Servers'!D569,'All-Servers'!$H569)</f>
        <v>1</v>
      </c>
      <c r="I559" s="60">
        <f>PRODUCT('All-Servers'!E569,'All-Servers'!$H569)</f>
        <v>2000</v>
      </c>
      <c r="J559" s="60">
        <f>PRODUCT('All-Servers'!F569,'All-Servers'!$H569)</f>
        <v>0</v>
      </c>
      <c r="K559" s="60">
        <f>PRODUCT('All-Servers'!G569,'All-Servers'!$H569)</f>
        <v>20</v>
      </c>
    </row>
    <row r="560" spans="8:11">
      <c r="H560" s="60">
        <f>PRODUCT('All-Servers'!D570,'All-Servers'!$H570)</f>
        <v>1</v>
      </c>
      <c r="I560" s="60">
        <f>PRODUCT('All-Servers'!E570,'All-Servers'!$H570)</f>
        <v>1700</v>
      </c>
      <c r="J560" s="60">
        <f>PRODUCT('All-Servers'!F570,'All-Servers'!$H570)</f>
        <v>160</v>
      </c>
      <c r="K560" s="60">
        <f>PRODUCT('All-Servers'!G570,'All-Servers'!$H570)</f>
        <v>20</v>
      </c>
    </row>
    <row r="561" spans="8:11">
      <c r="H561" s="60">
        <f>PRODUCT('All-Servers'!D571,'All-Servers'!$H571)</f>
        <v>1</v>
      </c>
      <c r="I561" s="60">
        <f>PRODUCT('All-Servers'!E571,'All-Servers'!$H571)</f>
        <v>2000</v>
      </c>
      <c r="J561" s="60">
        <f>PRODUCT('All-Servers'!F571,'All-Servers'!$H571)</f>
        <v>0</v>
      </c>
      <c r="K561" s="60">
        <f>PRODUCT('All-Servers'!G571,'All-Servers'!$H571)</f>
        <v>20</v>
      </c>
    </row>
    <row r="562" spans="8:11">
      <c r="H562" s="60">
        <f>PRODUCT('All-Servers'!D572,'All-Servers'!$H572)</f>
        <v>1</v>
      </c>
      <c r="I562" s="60">
        <f>PRODUCT('All-Servers'!E572,'All-Servers'!$H572)</f>
        <v>2000</v>
      </c>
      <c r="J562" s="60">
        <f>PRODUCT('All-Servers'!F572,'All-Servers'!$H572)</f>
        <v>0</v>
      </c>
      <c r="K562" s="60">
        <f>PRODUCT('All-Servers'!G572,'All-Servers'!$H572)</f>
        <v>20</v>
      </c>
    </row>
    <row r="563" spans="8:11">
      <c r="H563" s="60">
        <f>PRODUCT('All-Servers'!D573,'All-Servers'!$H573)</f>
        <v>16</v>
      </c>
      <c r="I563" s="60">
        <f>PRODUCT('All-Servers'!E573,'All-Servers'!$H573)</f>
        <v>30000</v>
      </c>
      <c r="J563" s="60">
        <f>PRODUCT('All-Servers'!F573,'All-Servers'!$H573)</f>
        <v>320</v>
      </c>
      <c r="K563" s="60">
        <f>PRODUCT('All-Servers'!G573,'All-Servers'!$H573)</f>
        <v>20</v>
      </c>
    </row>
    <row r="564" spans="8:11">
      <c r="H564" s="60">
        <f>PRODUCT('All-Servers'!D574,'All-Servers'!$H574)</f>
        <v>1</v>
      </c>
      <c r="I564" s="60">
        <f>PRODUCT('All-Servers'!E574,'All-Servers'!$H574)</f>
        <v>1700</v>
      </c>
      <c r="J564" s="60">
        <f>PRODUCT('All-Servers'!F574,'All-Servers'!$H574)</f>
        <v>160</v>
      </c>
      <c r="K564" s="60">
        <f>PRODUCT('All-Servers'!G574,'All-Servers'!$H574)</f>
        <v>20</v>
      </c>
    </row>
    <row r="565" spans="8:11">
      <c r="H565" s="60">
        <f>PRODUCT('All-Servers'!D575,'All-Servers'!$H575)</f>
        <v>2</v>
      </c>
      <c r="I565" s="60">
        <f>PRODUCT('All-Servers'!E575,'All-Servers'!$H575)</f>
        <v>3750</v>
      </c>
      <c r="J565" s="60">
        <f>PRODUCT('All-Servers'!F575,'All-Servers'!$H575)</f>
        <v>32</v>
      </c>
      <c r="K565" s="60">
        <f>PRODUCT('All-Servers'!G575,'All-Servers'!$H575)</f>
        <v>20</v>
      </c>
    </row>
    <row r="566" spans="8:11">
      <c r="H566" s="60">
        <f>PRODUCT('All-Servers'!D576,'All-Servers'!$H576)</f>
        <v>1</v>
      </c>
      <c r="I566" s="60">
        <f>PRODUCT('All-Servers'!E576,'All-Servers'!$H576)</f>
        <v>1000</v>
      </c>
      <c r="J566" s="60">
        <f>PRODUCT('All-Servers'!F576,'All-Servers'!$H576)</f>
        <v>0</v>
      </c>
      <c r="K566" s="60">
        <f>PRODUCT('All-Servers'!G576,'All-Servers'!$H576)</f>
        <v>8</v>
      </c>
    </row>
    <row r="567" spans="8:11">
      <c r="H567" s="60">
        <f>PRODUCT('All-Servers'!D577,'All-Servers'!$H577)</f>
        <v>1</v>
      </c>
      <c r="I567" s="60">
        <f>PRODUCT('All-Servers'!E577,'All-Servers'!$H577)</f>
        <v>2000</v>
      </c>
      <c r="J567" s="60">
        <f>PRODUCT('All-Servers'!F577,'All-Servers'!$H577)</f>
        <v>0</v>
      </c>
      <c r="K567" s="60">
        <f>PRODUCT('All-Servers'!G577,'All-Servers'!$H577)</f>
        <v>20</v>
      </c>
    </row>
    <row r="568" spans="8:11">
      <c r="H568" s="60">
        <f>PRODUCT('All-Servers'!D578,'All-Servers'!$H578)</f>
        <v>1</v>
      </c>
      <c r="I568" s="60">
        <f>PRODUCT('All-Servers'!E578,'All-Servers'!$H578)</f>
        <v>2000</v>
      </c>
      <c r="J568" s="60">
        <f>PRODUCT('All-Servers'!F578,'All-Servers'!$H578)</f>
        <v>0</v>
      </c>
      <c r="K568" s="60">
        <f>PRODUCT('All-Servers'!G578,'All-Servers'!$H578)</f>
        <v>20</v>
      </c>
    </row>
    <row r="569" spans="8:11">
      <c r="H569" s="60">
        <f>PRODUCT('All-Servers'!D579,'All-Servers'!$H579)</f>
        <v>1</v>
      </c>
      <c r="I569" s="60">
        <f>PRODUCT('All-Servers'!E579,'All-Servers'!$H579)</f>
        <v>2000</v>
      </c>
      <c r="J569" s="60">
        <f>PRODUCT('All-Servers'!F579,'All-Servers'!$H579)</f>
        <v>0</v>
      </c>
      <c r="K569" s="60">
        <f>PRODUCT('All-Servers'!G579,'All-Servers'!$H579)</f>
        <v>20</v>
      </c>
    </row>
    <row r="570" spans="8:11">
      <c r="H570" s="60">
        <f>PRODUCT('All-Servers'!D580,'All-Servers'!$H580)</f>
        <v>1</v>
      </c>
      <c r="I570" s="60">
        <f>PRODUCT('All-Servers'!E580,'All-Servers'!$H580)</f>
        <v>2000</v>
      </c>
      <c r="J570" s="60">
        <f>PRODUCT('All-Servers'!F580,'All-Servers'!$H580)</f>
        <v>0</v>
      </c>
      <c r="K570" s="60">
        <f>PRODUCT('All-Servers'!G580,'All-Servers'!$H580)</f>
        <v>20</v>
      </c>
    </row>
    <row r="571" spans="8:11">
      <c r="H571" s="60">
        <f>PRODUCT('All-Servers'!D581,'All-Servers'!$H581)</f>
        <v>1</v>
      </c>
      <c r="I571" s="60">
        <f>PRODUCT('All-Servers'!E581,'All-Servers'!$H581)</f>
        <v>2000</v>
      </c>
      <c r="J571" s="60">
        <f>PRODUCT('All-Servers'!F581,'All-Servers'!$H581)</f>
        <v>0</v>
      </c>
      <c r="K571" s="60">
        <f>PRODUCT('All-Servers'!G581,'All-Servers'!$H581)</f>
        <v>20</v>
      </c>
    </row>
    <row r="572" spans="8:11">
      <c r="H572" s="60">
        <f>PRODUCT('All-Servers'!D582,'All-Servers'!$H582)</f>
        <v>8</v>
      </c>
      <c r="I572" s="60">
        <f>PRODUCT('All-Servers'!E582,'All-Servers'!$H582)</f>
        <v>15000</v>
      </c>
      <c r="J572" s="60">
        <f>PRODUCT('All-Servers'!F582,'All-Servers'!$H582)</f>
        <v>160</v>
      </c>
      <c r="K572" s="60">
        <f>PRODUCT('All-Servers'!G582,'All-Servers'!$H582)</f>
        <v>20</v>
      </c>
    </row>
    <row r="573" spans="8:11">
      <c r="H573" s="60">
        <f>PRODUCT('All-Servers'!D583,'All-Servers'!$H583)</f>
        <v>8</v>
      </c>
      <c r="I573" s="60">
        <f>PRODUCT('All-Servers'!E583,'All-Servers'!$H583)</f>
        <v>15000</v>
      </c>
      <c r="J573" s="60">
        <f>PRODUCT('All-Servers'!F583,'All-Servers'!$H583)</f>
        <v>160</v>
      </c>
      <c r="K573" s="60">
        <f>PRODUCT('All-Servers'!G583,'All-Servers'!$H583)</f>
        <v>20</v>
      </c>
    </row>
    <row r="574" spans="8:11">
      <c r="H574" s="60">
        <f>PRODUCT('All-Servers'!D584,'All-Servers'!$H584)</f>
        <v>8</v>
      </c>
      <c r="I574" s="60">
        <f>PRODUCT('All-Servers'!E584,'All-Servers'!$H584)</f>
        <v>15000</v>
      </c>
      <c r="J574" s="60">
        <f>PRODUCT('All-Servers'!F584,'All-Servers'!$H584)</f>
        <v>160</v>
      </c>
      <c r="K574" s="60">
        <f>PRODUCT('All-Servers'!G584,'All-Servers'!$H584)</f>
        <v>20</v>
      </c>
    </row>
    <row r="575" spans="8:11">
      <c r="H575" s="60">
        <f>PRODUCT('All-Servers'!D585,'All-Servers'!$H585)</f>
        <v>1</v>
      </c>
      <c r="I575" s="60">
        <f>PRODUCT('All-Servers'!E585,'All-Servers'!$H585)</f>
        <v>2000</v>
      </c>
      <c r="J575" s="60">
        <f>PRODUCT('All-Servers'!F585,'All-Servers'!$H585)</f>
        <v>0</v>
      </c>
      <c r="K575" s="60">
        <f>PRODUCT('All-Servers'!G585,'All-Servers'!$H585)</f>
        <v>20</v>
      </c>
    </row>
    <row r="576" spans="8:11">
      <c r="H576" s="60">
        <f>PRODUCT('All-Servers'!D586,'All-Servers'!$H586)</f>
        <v>2</v>
      </c>
      <c r="I576" s="60">
        <f>PRODUCT('All-Servers'!E586,'All-Servers'!$H586)</f>
        <v>3750</v>
      </c>
      <c r="J576" s="60">
        <f>PRODUCT('All-Servers'!F586,'All-Servers'!$H586)</f>
        <v>32</v>
      </c>
      <c r="K576" s="60">
        <f>PRODUCT('All-Servers'!G586,'All-Servers'!$H586)</f>
        <v>20</v>
      </c>
    </row>
    <row r="577" spans="8:11">
      <c r="H577" s="60">
        <f>PRODUCT('All-Servers'!D587,'All-Servers'!$H587)</f>
        <v>2</v>
      </c>
      <c r="I577" s="60">
        <f>PRODUCT('All-Servers'!E587,'All-Servers'!$H587)</f>
        <v>3750</v>
      </c>
      <c r="J577" s="60">
        <f>PRODUCT('All-Servers'!F587,'All-Servers'!$H587)</f>
        <v>32</v>
      </c>
      <c r="K577" s="60">
        <f>PRODUCT('All-Servers'!G587,'All-Servers'!$H587)</f>
        <v>20</v>
      </c>
    </row>
    <row r="578" spans="8:11">
      <c r="H578" s="60">
        <f>PRODUCT('All-Servers'!D588,'All-Servers'!$H588)</f>
        <v>2</v>
      </c>
      <c r="I578" s="60">
        <f>PRODUCT('All-Servers'!E588,'All-Servers'!$H588)</f>
        <v>3750</v>
      </c>
      <c r="J578" s="60">
        <f>PRODUCT('All-Servers'!F588,'All-Servers'!$H588)</f>
        <v>32</v>
      </c>
      <c r="K578" s="60">
        <f>PRODUCT('All-Servers'!G588,'All-Servers'!$H588)</f>
        <v>20</v>
      </c>
    </row>
    <row r="579" spans="8:11">
      <c r="H579" s="60">
        <f>PRODUCT('All-Servers'!D589,'All-Servers'!$H589)</f>
        <v>2</v>
      </c>
      <c r="I579" s="60">
        <f>PRODUCT('All-Servers'!E589,'All-Servers'!$H589)</f>
        <v>3750</v>
      </c>
      <c r="J579" s="60">
        <f>PRODUCT('All-Servers'!F589,'All-Servers'!$H589)</f>
        <v>32</v>
      </c>
      <c r="K579" s="60">
        <f>PRODUCT('All-Servers'!G589,'All-Servers'!$H589)</f>
        <v>20</v>
      </c>
    </row>
    <row r="580" spans="8:11">
      <c r="H580" s="60">
        <f>PRODUCT('All-Servers'!D590,'All-Servers'!$H590)</f>
        <v>2</v>
      </c>
      <c r="I580" s="60">
        <f>PRODUCT('All-Servers'!E590,'All-Servers'!$H590)</f>
        <v>3750</v>
      </c>
      <c r="J580" s="60">
        <f>PRODUCT('All-Servers'!F590,'All-Servers'!$H590)</f>
        <v>32</v>
      </c>
      <c r="K580" s="60">
        <f>PRODUCT('All-Servers'!G590,'All-Servers'!$H590)</f>
        <v>20</v>
      </c>
    </row>
    <row r="581" spans="8:11">
      <c r="H581" s="60">
        <f>PRODUCT('All-Servers'!D591,'All-Servers'!$H591)</f>
        <v>2</v>
      </c>
      <c r="I581" s="60">
        <f>PRODUCT('All-Servers'!E591,'All-Servers'!$H591)</f>
        <v>3750</v>
      </c>
      <c r="J581" s="60">
        <f>PRODUCT('All-Servers'!F591,'All-Servers'!$H591)</f>
        <v>32</v>
      </c>
      <c r="K581" s="60">
        <f>PRODUCT('All-Servers'!G591,'All-Servers'!$H591)</f>
        <v>20</v>
      </c>
    </row>
    <row r="582" spans="8:11">
      <c r="H582" s="60">
        <f>PRODUCT('All-Servers'!D592,'All-Servers'!$H592)</f>
        <v>2</v>
      </c>
      <c r="I582" s="60">
        <f>PRODUCT('All-Servers'!E592,'All-Servers'!$H592)</f>
        <v>3750</v>
      </c>
      <c r="J582" s="60">
        <f>PRODUCT('All-Servers'!F592,'All-Servers'!$H592)</f>
        <v>32</v>
      </c>
      <c r="K582" s="60">
        <f>PRODUCT('All-Servers'!G592,'All-Servers'!$H592)</f>
        <v>20</v>
      </c>
    </row>
    <row r="583" spans="8:11">
      <c r="H583" s="60">
        <f>PRODUCT('All-Servers'!D593,'All-Servers'!$H593)</f>
        <v>2</v>
      </c>
      <c r="I583" s="60">
        <f>PRODUCT('All-Servers'!E593,'All-Servers'!$H593)</f>
        <v>3750</v>
      </c>
      <c r="J583" s="60">
        <f>PRODUCT('All-Servers'!F593,'All-Servers'!$H593)</f>
        <v>32</v>
      </c>
      <c r="K583" s="60">
        <f>PRODUCT('All-Servers'!G593,'All-Servers'!$H593)</f>
        <v>20</v>
      </c>
    </row>
    <row r="584" spans="8:11">
      <c r="H584" s="60">
        <f>PRODUCT('All-Servers'!D594,'All-Servers'!$H594)</f>
        <v>2</v>
      </c>
      <c r="I584" s="60">
        <f>PRODUCT('All-Servers'!E594,'All-Servers'!$H594)</f>
        <v>3750</v>
      </c>
      <c r="J584" s="60">
        <f>PRODUCT('All-Servers'!F594,'All-Servers'!$H594)</f>
        <v>32</v>
      </c>
      <c r="K584" s="60">
        <f>PRODUCT('All-Servers'!G594,'All-Servers'!$H594)</f>
        <v>20</v>
      </c>
    </row>
    <row r="585" spans="8:11">
      <c r="H585" s="60">
        <f>PRODUCT('All-Servers'!D595,'All-Servers'!$H595)</f>
        <v>2</v>
      </c>
      <c r="I585" s="60">
        <f>PRODUCT('All-Servers'!E595,'All-Servers'!$H595)</f>
        <v>3750</v>
      </c>
      <c r="J585" s="60">
        <f>PRODUCT('All-Servers'!F595,'All-Servers'!$H595)</f>
        <v>32</v>
      </c>
      <c r="K585" s="60">
        <f>PRODUCT('All-Servers'!G595,'All-Servers'!$H595)</f>
        <v>20</v>
      </c>
    </row>
    <row r="586" spans="8:11">
      <c r="H586" s="60">
        <f>PRODUCT('All-Servers'!D596,'All-Servers'!$H596)</f>
        <v>2</v>
      </c>
      <c r="I586" s="60">
        <f>PRODUCT('All-Servers'!E596,'All-Servers'!$H596)</f>
        <v>3750</v>
      </c>
      <c r="J586" s="60">
        <f>PRODUCT('All-Servers'!F596,'All-Servers'!$H596)</f>
        <v>32</v>
      </c>
      <c r="K586" s="60">
        <f>PRODUCT('All-Servers'!G596,'All-Servers'!$H596)</f>
        <v>20</v>
      </c>
    </row>
    <row r="587" spans="8:11">
      <c r="H587" s="60">
        <f>PRODUCT('All-Servers'!D597,'All-Servers'!$H597)</f>
        <v>2</v>
      </c>
      <c r="I587" s="60">
        <f>PRODUCT('All-Servers'!E597,'All-Servers'!$H597)</f>
        <v>3750</v>
      </c>
      <c r="J587" s="60">
        <f>PRODUCT('All-Servers'!F597,'All-Servers'!$H597)</f>
        <v>32</v>
      </c>
      <c r="K587" s="60">
        <f>PRODUCT('All-Servers'!G597,'All-Servers'!$H597)</f>
        <v>20</v>
      </c>
    </row>
    <row r="588" spans="8:11">
      <c r="H588" s="60">
        <f>PRODUCT('All-Servers'!D598,'All-Servers'!$H598)</f>
        <v>2</v>
      </c>
      <c r="I588" s="60">
        <f>PRODUCT('All-Servers'!E598,'All-Servers'!$H598)</f>
        <v>3750</v>
      </c>
      <c r="J588" s="60">
        <f>PRODUCT('All-Servers'!F598,'All-Servers'!$H598)</f>
        <v>32</v>
      </c>
      <c r="K588" s="60">
        <f>PRODUCT('All-Servers'!G598,'All-Servers'!$H598)</f>
        <v>20</v>
      </c>
    </row>
    <row r="589" spans="8:11">
      <c r="H589" s="60">
        <f>PRODUCT('All-Servers'!D599,'All-Servers'!$H599)</f>
        <v>2</v>
      </c>
      <c r="I589" s="60">
        <f>PRODUCT('All-Servers'!E599,'All-Servers'!$H599)</f>
        <v>3750</v>
      </c>
      <c r="J589" s="60">
        <f>PRODUCT('All-Servers'!F599,'All-Servers'!$H599)</f>
        <v>32</v>
      </c>
      <c r="K589" s="60">
        <f>PRODUCT('All-Servers'!G599,'All-Servers'!$H599)</f>
        <v>20</v>
      </c>
    </row>
    <row r="590" spans="8:11">
      <c r="H590" s="60">
        <f>PRODUCT('All-Servers'!D600,'All-Servers'!$H600)</f>
        <v>2</v>
      </c>
      <c r="I590" s="60">
        <f>PRODUCT('All-Servers'!E600,'All-Servers'!$H600)</f>
        <v>3750</v>
      </c>
      <c r="J590" s="60">
        <f>PRODUCT('All-Servers'!F600,'All-Servers'!$H600)</f>
        <v>32</v>
      </c>
      <c r="K590" s="60">
        <f>PRODUCT('All-Servers'!G600,'All-Servers'!$H600)</f>
        <v>20</v>
      </c>
    </row>
    <row r="591" spans="8:11">
      <c r="H591" s="60">
        <f>PRODUCT('All-Servers'!D601,'All-Servers'!$H601)</f>
        <v>2</v>
      </c>
      <c r="I591" s="60">
        <f>PRODUCT('All-Servers'!E601,'All-Servers'!$H601)</f>
        <v>3750</v>
      </c>
      <c r="J591" s="60">
        <f>PRODUCT('All-Servers'!F601,'All-Servers'!$H601)</f>
        <v>32</v>
      </c>
      <c r="K591" s="60">
        <f>PRODUCT('All-Servers'!G601,'All-Servers'!$H601)</f>
        <v>20</v>
      </c>
    </row>
    <row r="592" spans="8:11">
      <c r="H592" s="60">
        <f>PRODUCT('All-Servers'!D602,'All-Servers'!$H602)</f>
        <v>2</v>
      </c>
      <c r="I592" s="60">
        <f>PRODUCT('All-Servers'!E602,'All-Servers'!$H602)</f>
        <v>3750</v>
      </c>
      <c r="J592" s="60">
        <f>PRODUCT('All-Servers'!F602,'All-Servers'!$H602)</f>
        <v>32</v>
      </c>
      <c r="K592" s="60">
        <f>PRODUCT('All-Servers'!G602,'All-Servers'!$H602)</f>
        <v>20</v>
      </c>
    </row>
    <row r="593" spans="8:11">
      <c r="H593" s="60">
        <f>PRODUCT('All-Servers'!D603,'All-Servers'!$H603)</f>
        <v>1</v>
      </c>
      <c r="I593" s="60">
        <f>PRODUCT('All-Servers'!E603,'All-Servers'!$H603)</f>
        <v>2000</v>
      </c>
      <c r="J593" s="60">
        <f>PRODUCT('All-Servers'!F603,'All-Servers'!$H603)</f>
        <v>0</v>
      </c>
      <c r="K593" s="60">
        <f>PRODUCT('All-Servers'!G603,'All-Servers'!$H603)</f>
        <v>20</v>
      </c>
    </row>
    <row r="594" spans="8:11">
      <c r="H594" s="60">
        <f>PRODUCT('All-Servers'!D604,'All-Servers'!$H604)</f>
        <v>2</v>
      </c>
      <c r="I594" s="60">
        <f>PRODUCT('All-Servers'!E604,'All-Servers'!$H604)</f>
        <v>3750</v>
      </c>
      <c r="J594" s="60">
        <f>PRODUCT('All-Servers'!F604,'All-Servers'!$H604)</f>
        <v>32</v>
      </c>
      <c r="K594" s="60">
        <f>PRODUCT('All-Servers'!G604,'All-Servers'!$H604)</f>
        <v>20</v>
      </c>
    </row>
    <row r="595" spans="8:11">
      <c r="H595" s="60">
        <f>PRODUCT('All-Servers'!D605,'All-Servers'!$H605)</f>
        <v>1</v>
      </c>
      <c r="I595" s="60">
        <f>PRODUCT('All-Servers'!E605,'All-Servers'!$H605)</f>
        <v>2000</v>
      </c>
      <c r="J595" s="60">
        <f>PRODUCT('All-Servers'!F605,'All-Servers'!$H605)</f>
        <v>0</v>
      </c>
      <c r="K595" s="60">
        <f>PRODUCT('All-Servers'!G605,'All-Servers'!$H605)</f>
        <v>20</v>
      </c>
    </row>
    <row r="596" spans="8:11">
      <c r="H596" s="60">
        <f>PRODUCT('All-Servers'!D606,'All-Servers'!$H606)</f>
        <v>1</v>
      </c>
      <c r="I596" s="60">
        <f>PRODUCT('All-Servers'!E606,'All-Servers'!$H606)</f>
        <v>2000</v>
      </c>
      <c r="J596" s="60">
        <f>PRODUCT('All-Servers'!F606,'All-Servers'!$H606)</f>
        <v>0</v>
      </c>
      <c r="K596" s="60">
        <f>PRODUCT('All-Servers'!G606,'All-Servers'!$H606)</f>
        <v>20</v>
      </c>
    </row>
    <row r="597" spans="8:11">
      <c r="H597" s="60">
        <f>PRODUCT('All-Servers'!D607,'All-Servers'!$H607)</f>
        <v>2</v>
      </c>
      <c r="I597" s="60">
        <f>PRODUCT('All-Servers'!E607,'All-Servers'!$H607)</f>
        <v>3750</v>
      </c>
      <c r="J597" s="60">
        <f>PRODUCT('All-Servers'!F607,'All-Servers'!$H607)</f>
        <v>32</v>
      </c>
      <c r="K597" s="60">
        <f>PRODUCT('All-Servers'!G607,'All-Servers'!$H607)</f>
        <v>20</v>
      </c>
    </row>
    <row r="598" spans="8:11">
      <c r="H598" s="60">
        <f>PRODUCT('All-Servers'!D608,'All-Servers'!$H608)</f>
        <v>2</v>
      </c>
      <c r="I598" s="60">
        <f>PRODUCT('All-Servers'!E608,'All-Servers'!$H608)</f>
        <v>3750</v>
      </c>
      <c r="J598" s="60">
        <f>PRODUCT('All-Servers'!F608,'All-Servers'!$H608)</f>
        <v>32</v>
      </c>
      <c r="K598" s="60">
        <f>PRODUCT('All-Servers'!G608,'All-Servers'!$H608)</f>
        <v>20</v>
      </c>
    </row>
    <row r="599" spans="8:11">
      <c r="H599" s="60">
        <f>PRODUCT('All-Servers'!D609,'All-Servers'!$H609)</f>
        <v>2</v>
      </c>
      <c r="I599" s="60">
        <f>PRODUCT('All-Servers'!E609,'All-Servers'!$H609)</f>
        <v>3750</v>
      </c>
      <c r="J599" s="60">
        <f>PRODUCT('All-Servers'!F609,'All-Servers'!$H609)</f>
        <v>32</v>
      </c>
      <c r="K599" s="60">
        <f>PRODUCT('All-Servers'!G609,'All-Servers'!$H609)</f>
        <v>20</v>
      </c>
    </row>
    <row r="600" spans="8:11">
      <c r="H600" s="60">
        <f>PRODUCT('All-Servers'!D610,'All-Servers'!$H610)</f>
        <v>2</v>
      </c>
      <c r="I600" s="60">
        <f>PRODUCT('All-Servers'!E610,'All-Servers'!$H610)</f>
        <v>3750</v>
      </c>
      <c r="J600" s="60">
        <f>PRODUCT('All-Servers'!F610,'All-Servers'!$H610)</f>
        <v>32</v>
      </c>
      <c r="K600" s="60">
        <f>PRODUCT('All-Servers'!G610,'All-Servers'!$H610)</f>
        <v>20</v>
      </c>
    </row>
    <row r="601" spans="8:11">
      <c r="H601" s="60">
        <f>PRODUCT('All-Servers'!D611,'All-Servers'!$H611)</f>
        <v>2</v>
      </c>
      <c r="I601" s="60">
        <f>PRODUCT('All-Servers'!E611,'All-Servers'!$H611)</f>
        <v>3750</v>
      </c>
      <c r="J601" s="60">
        <f>PRODUCT('All-Servers'!F611,'All-Servers'!$H611)</f>
        <v>32</v>
      </c>
      <c r="K601" s="60">
        <f>PRODUCT('All-Servers'!G611,'All-Servers'!$H611)</f>
        <v>20</v>
      </c>
    </row>
    <row r="602" spans="8:11">
      <c r="H602" s="60">
        <f>PRODUCT('All-Servers'!D612,'All-Servers'!$H612)</f>
        <v>2</v>
      </c>
      <c r="I602" s="60">
        <f>PRODUCT('All-Servers'!E612,'All-Servers'!$H612)</f>
        <v>3750</v>
      </c>
      <c r="J602" s="60">
        <f>PRODUCT('All-Servers'!F612,'All-Servers'!$H612)</f>
        <v>32</v>
      </c>
      <c r="K602" s="60">
        <f>PRODUCT('All-Servers'!G612,'All-Servers'!$H612)</f>
        <v>20</v>
      </c>
    </row>
    <row r="603" spans="8:11">
      <c r="H603" s="60">
        <f>PRODUCT('All-Servers'!D613,'All-Servers'!$H613)</f>
        <v>2</v>
      </c>
      <c r="I603" s="60">
        <f>PRODUCT('All-Servers'!E613,'All-Servers'!$H613)</f>
        <v>3750</v>
      </c>
      <c r="J603" s="60">
        <f>PRODUCT('All-Servers'!F613,'All-Servers'!$H613)</f>
        <v>32</v>
      </c>
      <c r="K603" s="60">
        <f>PRODUCT('All-Servers'!G613,'All-Servers'!$H613)</f>
        <v>20</v>
      </c>
    </row>
    <row r="604" spans="8:11">
      <c r="H604" s="60">
        <f>PRODUCT('All-Servers'!D614,'All-Servers'!$H614)</f>
        <v>2</v>
      </c>
      <c r="I604" s="60">
        <f>PRODUCT('All-Servers'!E614,'All-Servers'!$H614)</f>
        <v>3750</v>
      </c>
      <c r="J604" s="60">
        <f>PRODUCT('All-Servers'!F614,'All-Servers'!$H614)</f>
        <v>32</v>
      </c>
      <c r="K604" s="60">
        <f>PRODUCT('All-Servers'!G614,'All-Servers'!$H614)</f>
        <v>20</v>
      </c>
    </row>
    <row r="605" spans="8:11">
      <c r="H605" s="60">
        <f>PRODUCT('All-Servers'!D615,'All-Servers'!$H615)</f>
        <v>1</v>
      </c>
      <c r="I605" s="60">
        <f>PRODUCT('All-Servers'!E615,'All-Servers'!$H615)</f>
        <v>1700</v>
      </c>
      <c r="J605" s="60">
        <f>PRODUCT('All-Servers'!F615,'All-Servers'!$H615)</f>
        <v>160</v>
      </c>
      <c r="K605" s="60">
        <f>PRODUCT('All-Servers'!G615,'All-Servers'!$H615)</f>
        <v>20</v>
      </c>
    </row>
    <row r="606" spans="8:11">
      <c r="H606" s="60">
        <f>PRODUCT('All-Servers'!D616,'All-Servers'!$H616)</f>
        <v>2</v>
      </c>
      <c r="I606" s="60">
        <f>PRODUCT('All-Servers'!E616,'All-Servers'!$H616)</f>
        <v>3750</v>
      </c>
      <c r="J606" s="60">
        <f>PRODUCT('All-Servers'!F616,'All-Servers'!$H616)</f>
        <v>32</v>
      </c>
      <c r="K606" s="60">
        <f>PRODUCT('All-Servers'!G616,'All-Servers'!$H616)</f>
        <v>20</v>
      </c>
    </row>
    <row r="607" spans="8:11">
      <c r="H607" s="60">
        <f>PRODUCT('All-Servers'!D617,'All-Servers'!$H617)</f>
        <v>2</v>
      </c>
      <c r="I607" s="60">
        <f>PRODUCT('All-Servers'!E617,'All-Servers'!$H617)</f>
        <v>3750</v>
      </c>
      <c r="J607" s="60">
        <f>PRODUCT('All-Servers'!F617,'All-Servers'!$H617)</f>
        <v>32</v>
      </c>
      <c r="K607" s="60">
        <f>PRODUCT('All-Servers'!G617,'All-Servers'!$H617)</f>
        <v>20</v>
      </c>
    </row>
    <row r="608" spans="8:11">
      <c r="H608" s="60">
        <f>PRODUCT('All-Servers'!D618,'All-Servers'!$H618)</f>
        <v>2</v>
      </c>
      <c r="I608" s="60">
        <f>PRODUCT('All-Servers'!E618,'All-Servers'!$H618)</f>
        <v>3750</v>
      </c>
      <c r="J608" s="60">
        <f>PRODUCT('All-Servers'!F618,'All-Servers'!$H618)</f>
        <v>32</v>
      </c>
      <c r="K608" s="60">
        <f>PRODUCT('All-Servers'!G618,'All-Servers'!$H618)</f>
        <v>20</v>
      </c>
    </row>
    <row r="609" spans="8:11">
      <c r="H609" s="60">
        <f>PRODUCT('All-Servers'!D619,'All-Servers'!$H619)</f>
        <v>2</v>
      </c>
      <c r="I609" s="60">
        <f>PRODUCT('All-Servers'!E619,'All-Servers'!$H619)</f>
        <v>3750</v>
      </c>
      <c r="J609" s="60">
        <f>PRODUCT('All-Servers'!F619,'All-Servers'!$H619)</f>
        <v>32</v>
      </c>
      <c r="K609" s="60">
        <f>PRODUCT('All-Servers'!G619,'All-Servers'!$H619)</f>
        <v>20</v>
      </c>
    </row>
    <row r="610" spans="8:11">
      <c r="H610" s="60">
        <f>PRODUCT('All-Servers'!D620,'All-Servers'!$H620)</f>
        <v>2</v>
      </c>
      <c r="I610" s="60">
        <f>PRODUCT('All-Servers'!E620,'All-Servers'!$H620)</f>
        <v>3750</v>
      </c>
      <c r="J610" s="60">
        <f>PRODUCT('All-Servers'!F620,'All-Servers'!$H620)</f>
        <v>32</v>
      </c>
      <c r="K610" s="60">
        <f>PRODUCT('All-Servers'!G620,'All-Servers'!$H620)</f>
        <v>20</v>
      </c>
    </row>
    <row r="611" spans="8:11">
      <c r="H611" s="60">
        <f>PRODUCT('All-Servers'!D621,'All-Servers'!$H621)</f>
        <v>2</v>
      </c>
      <c r="I611" s="60">
        <f>PRODUCT('All-Servers'!E621,'All-Servers'!$H621)</f>
        <v>3750</v>
      </c>
      <c r="J611" s="60">
        <f>PRODUCT('All-Servers'!F621,'All-Servers'!$H621)</f>
        <v>32</v>
      </c>
      <c r="K611" s="60">
        <f>PRODUCT('All-Servers'!G621,'All-Servers'!$H621)</f>
        <v>20</v>
      </c>
    </row>
    <row r="612" spans="8:11">
      <c r="H612" s="60">
        <f>PRODUCT('All-Servers'!D622,'All-Servers'!$H622)</f>
        <v>2</v>
      </c>
      <c r="I612" s="60">
        <f>PRODUCT('All-Servers'!E622,'All-Servers'!$H622)</f>
        <v>3750</v>
      </c>
      <c r="J612" s="60">
        <f>PRODUCT('All-Servers'!F622,'All-Servers'!$H622)</f>
        <v>32</v>
      </c>
      <c r="K612" s="60">
        <f>PRODUCT('All-Servers'!G622,'All-Servers'!$H622)</f>
        <v>20</v>
      </c>
    </row>
    <row r="613" spans="8:11">
      <c r="H613" s="60">
        <f>PRODUCT('All-Servers'!D623,'All-Servers'!$H623)</f>
        <v>2</v>
      </c>
      <c r="I613" s="60">
        <f>PRODUCT('All-Servers'!E623,'All-Servers'!$H623)</f>
        <v>3750</v>
      </c>
      <c r="J613" s="60">
        <f>PRODUCT('All-Servers'!F623,'All-Servers'!$H623)</f>
        <v>32</v>
      </c>
      <c r="K613" s="60">
        <f>PRODUCT('All-Servers'!G623,'All-Servers'!$H623)</f>
        <v>20</v>
      </c>
    </row>
    <row r="614" spans="8:11">
      <c r="H614" s="60">
        <f>PRODUCT('All-Servers'!D624,'All-Servers'!$H624)</f>
        <v>2</v>
      </c>
      <c r="I614" s="60">
        <f>PRODUCT('All-Servers'!E624,'All-Servers'!$H624)</f>
        <v>3750</v>
      </c>
      <c r="J614" s="60">
        <f>PRODUCT('All-Servers'!F624,'All-Servers'!$H624)</f>
        <v>32</v>
      </c>
      <c r="K614" s="60">
        <f>PRODUCT('All-Servers'!G624,'All-Servers'!$H624)</f>
        <v>20</v>
      </c>
    </row>
    <row r="615" spans="8:11">
      <c r="H615" s="60">
        <f>PRODUCT('All-Servers'!D625,'All-Servers'!$H625)</f>
        <v>2</v>
      </c>
      <c r="I615" s="60">
        <f>PRODUCT('All-Servers'!E625,'All-Servers'!$H625)</f>
        <v>3750</v>
      </c>
      <c r="J615" s="60">
        <f>PRODUCT('All-Servers'!F625,'All-Servers'!$H625)</f>
        <v>32</v>
      </c>
      <c r="K615" s="60">
        <f>PRODUCT('All-Servers'!G625,'All-Servers'!$H625)</f>
        <v>20</v>
      </c>
    </row>
    <row r="616" spans="8:11">
      <c r="H616" s="60">
        <f>PRODUCT('All-Servers'!D626,'All-Servers'!$H626)</f>
        <v>2</v>
      </c>
      <c r="I616" s="60">
        <f>PRODUCT('All-Servers'!E626,'All-Servers'!$H626)</f>
        <v>3750</v>
      </c>
      <c r="J616" s="60">
        <f>PRODUCT('All-Servers'!F626,'All-Servers'!$H626)</f>
        <v>32</v>
      </c>
      <c r="K616" s="60">
        <f>PRODUCT('All-Servers'!G626,'All-Servers'!$H626)</f>
        <v>20</v>
      </c>
    </row>
    <row r="617" spans="8:11">
      <c r="H617" s="60">
        <f>PRODUCT('All-Servers'!D627,'All-Servers'!$H627)</f>
        <v>2</v>
      </c>
      <c r="I617" s="60">
        <f>PRODUCT('All-Servers'!E627,'All-Servers'!$H627)</f>
        <v>3750</v>
      </c>
      <c r="J617" s="60">
        <f>PRODUCT('All-Servers'!F627,'All-Servers'!$H627)</f>
        <v>32</v>
      </c>
      <c r="K617" s="60">
        <f>PRODUCT('All-Servers'!G627,'All-Servers'!$H627)</f>
        <v>20</v>
      </c>
    </row>
    <row r="618" spans="8:11">
      <c r="H618" s="60">
        <f>PRODUCT('All-Servers'!D628,'All-Servers'!$H628)</f>
        <v>2</v>
      </c>
      <c r="I618" s="60">
        <f>PRODUCT('All-Servers'!E628,'All-Servers'!$H628)</f>
        <v>3750</v>
      </c>
      <c r="J618" s="60">
        <f>PRODUCT('All-Servers'!F628,'All-Servers'!$H628)</f>
        <v>32</v>
      </c>
      <c r="K618" s="60">
        <f>PRODUCT('All-Servers'!G628,'All-Servers'!$H628)</f>
        <v>20</v>
      </c>
    </row>
    <row r="619" spans="8:11">
      <c r="H619" s="60">
        <f>PRODUCT('All-Servers'!D629,'All-Servers'!$H629)</f>
        <v>2</v>
      </c>
      <c r="I619" s="60">
        <f>PRODUCT('All-Servers'!E629,'All-Servers'!$H629)</f>
        <v>3750</v>
      </c>
      <c r="J619" s="60">
        <f>PRODUCT('All-Servers'!F629,'All-Servers'!$H629)</f>
        <v>32</v>
      </c>
      <c r="K619" s="60">
        <f>PRODUCT('All-Servers'!G629,'All-Servers'!$H629)</f>
        <v>20</v>
      </c>
    </row>
    <row r="620" spans="8:11">
      <c r="H620" s="60">
        <f>PRODUCT('All-Servers'!D630,'All-Servers'!$H630)</f>
        <v>2</v>
      </c>
      <c r="I620" s="60">
        <f>PRODUCT('All-Servers'!E630,'All-Servers'!$H630)</f>
        <v>3750</v>
      </c>
      <c r="J620" s="60">
        <f>PRODUCT('All-Servers'!F630,'All-Servers'!$H630)</f>
        <v>32</v>
      </c>
      <c r="K620" s="60">
        <f>PRODUCT('All-Servers'!G630,'All-Servers'!$H630)</f>
        <v>20</v>
      </c>
    </row>
    <row r="621" spans="8:11">
      <c r="H621" s="60">
        <f>PRODUCT('All-Servers'!D631,'All-Servers'!$H631)</f>
        <v>2</v>
      </c>
      <c r="I621" s="60">
        <f>PRODUCT('All-Servers'!E631,'All-Servers'!$H631)</f>
        <v>3750</v>
      </c>
      <c r="J621" s="60">
        <f>PRODUCT('All-Servers'!F631,'All-Servers'!$H631)</f>
        <v>32</v>
      </c>
      <c r="K621" s="60">
        <f>PRODUCT('All-Servers'!G631,'All-Servers'!$H631)</f>
        <v>20</v>
      </c>
    </row>
    <row r="622" spans="8:11">
      <c r="H622" s="60">
        <f>PRODUCT('All-Servers'!D632,'All-Servers'!$H632)</f>
        <v>2</v>
      </c>
      <c r="I622" s="60">
        <f>PRODUCT('All-Servers'!E632,'All-Servers'!$H632)</f>
        <v>7500</v>
      </c>
      <c r="J622" s="60">
        <f>PRODUCT('All-Servers'!F632,'All-Servers'!$H632)</f>
        <v>32</v>
      </c>
      <c r="K622" s="60">
        <f>PRODUCT('All-Servers'!G632,'All-Servers'!$H632)</f>
        <v>420</v>
      </c>
    </row>
    <row r="623" spans="8:11">
      <c r="H623" s="60">
        <f>PRODUCT('All-Servers'!D633,'All-Servers'!$H633)</f>
        <v>2</v>
      </c>
      <c r="I623" s="60">
        <f>PRODUCT('All-Servers'!E633,'All-Servers'!$H633)</f>
        <v>7500</v>
      </c>
      <c r="J623" s="60">
        <f>PRODUCT('All-Servers'!F633,'All-Servers'!$H633)</f>
        <v>32</v>
      </c>
      <c r="K623" s="60">
        <f>PRODUCT('All-Servers'!G633,'All-Servers'!$H633)</f>
        <v>1420</v>
      </c>
    </row>
    <row r="624" spans="8:11">
      <c r="H624" s="60">
        <f>PRODUCT('All-Servers'!D634,'All-Servers'!$H634)</f>
        <v>2</v>
      </c>
      <c r="I624" s="60">
        <f>PRODUCT('All-Servers'!E634,'All-Servers'!$H634)</f>
        <v>7500</v>
      </c>
      <c r="J624" s="60">
        <f>PRODUCT('All-Servers'!F634,'All-Servers'!$H634)</f>
        <v>32</v>
      </c>
      <c r="K624" s="60">
        <f>PRODUCT('All-Servers'!G634,'All-Servers'!$H634)</f>
        <v>420</v>
      </c>
    </row>
    <row r="625" spans="8:11">
      <c r="H625" s="60">
        <f>PRODUCT('All-Servers'!D635,'All-Servers'!$H635)</f>
        <v>2</v>
      </c>
      <c r="I625" s="60">
        <f>PRODUCT('All-Servers'!E635,'All-Servers'!$H635)</f>
        <v>4000</v>
      </c>
      <c r="J625" s="60">
        <f>PRODUCT('All-Servers'!F635,'All-Servers'!$H635)</f>
        <v>0</v>
      </c>
      <c r="K625" s="60">
        <f>PRODUCT('All-Servers'!G635,'All-Servers'!$H635)</f>
        <v>20</v>
      </c>
    </row>
    <row r="626" spans="8:11">
      <c r="H626" s="60">
        <f>PRODUCT('All-Servers'!D636,'All-Servers'!$H636)</f>
        <v>2</v>
      </c>
      <c r="I626" s="60">
        <f>PRODUCT('All-Servers'!E636,'All-Servers'!$H636)</f>
        <v>7500</v>
      </c>
      <c r="J626" s="60">
        <f>PRODUCT('All-Servers'!F636,'All-Servers'!$H636)</f>
        <v>32</v>
      </c>
      <c r="K626" s="60">
        <f>PRODUCT('All-Servers'!G636,'All-Servers'!$H636)</f>
        <v>420</v>
      </c>
    </row>
    <row r="627" spans="8:11">
      <c r="H627" s="60">
        <f>PRODUCT('All-Servers'!D637,'All-Servers'!$H637)</f>
        <v>2</v>
      </c>
      <c r="I627" s="60">
        <f>PRODUCT('All-Servers'!E637,'All-Servers'!$H637)</f>
        <v>3750</v>
      </c>
      <c r="J627" s="60">
        <f>PRODUCT('All-Servers'!F637,'All-Servers'!$H637)</f>
        <v>32</v>
      </c>
      <c r="K627" s="60">
        <f>PRODUCT('All-Servers'!G637,'All-Servers'!$H637)</f>
        <v>20</v>
      </c>
    </row>
    <row r="628" spans="8:11">
      <c r="H628" s="60">
        <f>PRODUCT('All-Servers'!D638,'All-Servers'!$H638)</f>
        <v>2</v>
      </c>
      <c r="I628" s="60">
        <f>PRODUCT('All-Servers'!E638,'All-Servers'!$H638)</f>
        <v>7500</v>
      </c>
      <c r="J628" s="60">
        <f>PRODUCT('All-Servers'!F638,'All-Servers'!$H638)</f>
        <v>32</v>
      </c>
      <c r="K628" s="60">
        <f>PRODUCT('All-Servers'!G638,'All-Servers'!$H638)</f>
        <v>20</v>
      </c>
    </row>
    <row r="629" spans="8:11">
      <c r="H629" s="60">
        <f>PRODUCT('All-Servers'!D639,'All-Servers'!$H639)</f>
        <v>2</v>
      </c>
      <c r="I629" s="60">
        <f>PRODUCT('All-Servers'!E639,'All-Servers'!$H639)</f>
        <v>7500</v>
      </c>
      <c r="J629" s="60">
        <f>PRODUCT('All-Servers'!F639,'All-Servers'!$H639)</f>
        <v>32</v>
      </c>
      <c r="K629" s="60">
        <f>PRODUCT('All-Servers'!G639,'All-Servers'!$H639)</f>
        <v>20</v>
      </c>
    </row>
    <row r="630" spans="8:11">
      <c r="H630" s="60">
        <f>PRODUCT('All-Servers'!D640,'All-Servers'!$H640)</f>
        <v>2</v>
      </c>
      <c r="I630" s="60">
        <f>PRODUCT('All-Servers'!E640,'All-Servers'!$H640)</f>
        <v>7500</v>
      </c>
      <c r="J630" s="60">
        <f>PRODUCT('All-Servers'!F640,'All-Servers'!$H640)</f>
        <v>32</v>
      </c>
      <c r="K630" s="60">
        <f>PRODUCT('All-Servers'!G640,'All-Servers'!$H640)</f>
        <v>20</v>
      </c>
    </row>
    <row r="631" spans="8:11">
      <c r="H631" s="60">
        <f>PRODUCT('All-Servers'!D641,'All-Servers'!$H641)</f>
        <v>2</v>
      </c>
      <c r="I631" s="60">
        <f>PRODUCT('All-Servers'!E641,'All-Servers'!$H641)</f>
        <v>7500</v>
      </c>
      <c r="J631" s="60">
        <f>PRODUCT('All-Servers'!F641,'All-Servers'!$H641)</f>
        <v>32</v>
      </c>
      <c r="K631" s="60">
        <f>PRODUCT('All-Servers'!G641,'All-Servers'!$H641)</f>
        <v>20</v>
      </c>
    </row>
    <row r="632" spans="8:11">
      <c r="H632" s="60">
        <f>PRODUCT('All-Servers'!D642,'All-Servers'!$H642)</f>
        <v>2</v>
      </c>
      <c r="I632" s="60">
        <f>PRODUCT('All-Servers'!E642,'All-Servers'!$H642)</f>
        <v>3750</v>
      </c>
      <c r="J632" s="60">
        <f>PRODUCT('All-Servers'!F642,'All-Servers'!$H642)</f>
        <v>32</v>
      </c>
      <c r="K632" s="60">
        <f>PRODUCT('All-Servers'!G642,'All-Servers'!$H642)</f>
        <v>20</v>
      </c>
    </row>
    <row r="633" spans="8:11">
      <c r="H633" s="60">
        <f>PRODUCT('All-Servers'!D643,'All-Servers'!$H643)</f>
        <v>2</v>
      </c>
      <c r="I633" s="60">
        <f>PRODUCT('All-Servers'!E643,'All-Servers'!$H643)</f>
        <v>3750</v>
      </c>
      <c r="J633" s="60">
        <f>PRODUCT('All-Servers'!F643,'All-Servers'!$H643)</f>
        <v>32</v>
      </c>
      <c r="K633" s="60">
        <f>PRODUCT('All-Servers'!G643,'All-Servers'!$H643)</f>
        <v>20</v>
      </c>
    </row>
    <row r="634" spans="8:11">
      <c r="H634" s="60">
        <f>PRODUCT('All-Servers'!D644,'All-Servers'!$H644)</f>
        <v>2</v>
      </c>
      <c r="I634" s="60">
        <f>PRODUCT('All-Servers'!E644,'All-Servers'!$H644)</f>
        <v>3750</v>
      </c>
      <c r="J634" s="60">
        <f>PRODUCT('All-Servers'!F644,'All-Servers'!$H644)</f>
        <v>32</v>
      </c>
      <c r="K634" s="60">
        <f>PRODUCT('All-Servers'!G644,'All-Servers'!$H644)</f>
        <v>20</v>
      </c>
    </row>
    <row r="635" spans="8:11">
      <c r="H635" s="60">
        <f>PRODUCT('All-Servers'!D645,'All-Servers'!$H645)</f>
        <v>2</v>
      </c>
      <c r="I635" s="60">
        <f>PRODUCT('All-Servers'!E645,'All-Servers'!$H645)</f>
        <v>3750</v>
      </c>
      <c r="J635" s="60">
        <f>PRODUCT('All-Servers'!F645,'All-Servers'!$H645)</f>
        <v>32</v>
      </c>
      <c r="K635" s="60">
        <f>PRODUCT('All-Servers'!G645,'All-Servers'!$H645)</f>
        <v>20</v>
      </c>
    </row>
    <row r="636" spans="8:11">
      <c r="H636" s="60">
        <f>PRODUCT('All-Servers'!D646,'All-Servers'!$H646)</f>
        <v>2</v>
      </c>
      <c r="I636" s="60">
        <f>PRODUCT('All-Servers'!E646,'All-Servers'!$H646)</f>
        <v>3750</v>
      </c>
      <c r="J636" s="60">
        <f>PRODUCT('All-Servers'!F646,'All-Servers'!$H646)</f>
        <v>32</v>
      </c>
      <c r="K636" s="60">
        <f>PRODUCT('All-Servers'!G646,'All-Servers'!$H646)</f>
        <v>20</v>
      </c>
    </row>
    <row r="637" spans="8:11">
      <c r="H637" s="60">
        <f>PRODUCT('All-Servers'!D647,'All-Servers'!$H647)</f>
        <v>1</v>
      </c>
      <c r="I637" s="60">
        <f>PRODUCT('All-Servers'!E647,'All-Servers'!$H647)</f>
        <v>2000</v>
      </c>
      <c r="J637" s="60">
        <f>PRODUCT('All-Servers'!F647,'All-Servers'!$H647)</f>
        <v>0</v>
      </c>
      <c r="K637" s="60">
        <f>PRODUCT('All-Servers'!G647,'All-Servers'!$H647)</f>
        <v>20</v>
      </c>
    </row>
    <row r="638" spans="8:11">
      <c r="H638" s="60">
        <f>PRODUCT('All-Servers'!D648,'All-Servers'!$H648)</f>
        <v>1</v>
      </c>
      <c r="I638" s="60">
        <f>PRODUCT('All-Servers'!E648,'All-Servers'!$H648)</f>
        <v>2000</v>
      </c>
      <c r="J638" s="60">
        <f>PRODUCT('All-Servers'!F648,'All-Servers'!$H648)</f>
        <v>0</v>
      </c>
      <c r="K638" s="60">
        <f>PRODUCT('All-Servers'!G648,'All-Servers'!$H648)</f>
        <v>20</v>
      </c>
    </row>
    <row r="639" spans="8:11">
      <c r="H639" s="60">
        <f>PRODUCT('All-Servers'!D649,'All-Servers'!$H649)</f>
        <v>2</v>
      </c>
      <c r="I639" s="60">
        <f>PRODUCT('All-Servers'!E649,'All-Servers'!$H649)</f>
        <v>3750</v>
      </c>
      <c r="J639" s="60">
        <f>PRODUCT('All-Servers'!F649,'All-Servers'!$H649)</f>
        <v>32</v>
      </c>
      <c r="K639" s="60">
        <f>PRODUCT('All-Servers'!G649,'All-Servers'!$H649)</f>
        <v>20</v>
      </c>
    </row>
    <row r="640" spans="8:11">
      <c r="H640" s="60">
        <f>PRODUCT('All-Servers'!D650,'All-Servers'!$H650)</f>
        <v>1</v>
      </c>
      <c r="I640" s="60">
        <f>PRODUCT('All-Servers'!E650,'All-Servers'!$H650)</f>
        <v>3750</v>
      </c>
      <c r="J640" s="60">
        <f>PRODUCT('All-Servers'!F650,'All-Servers'!$H650)</f>
        <v>4</v>
      </c>
      <c r="K640" s="60">
        <f>PRODUCT('All-Servers'!G650,'All-Servers'!$H650)</f>
        <v>20</v>
      </c>
    </row>
    <row r="641" spans="8:11">
      <c r="H641" s="60">
        <f>PRODUCT('All-Servers'!D651,'All-Servers'!$H651)</f>
        <v>2</v>
      </c>
      <c r="I641" s="60">
        <f>PRODUCT('All-Servers'!E651,'All-Servers'!$H651)</f>
        <v>3750</v>
      </c>
      <c r="J641" s="60">
        <f>PRODUCT('All-Servers'!F651,'All-Servers'!$H651)</f>
        <v>32</v>
      </c>
      <c r="K641" s="60">
        <f>PRODUCT('All-Servers'!G651,'All-Servers'!$H651)</f>
        <v>20</v>
      </c>
    </row>
    <row r="642" spans="8:11">
      <c r="H642" s="60">
        <f>PRODUCT('All-Servers'!D652,'All-Servers'!$H652)</f>
        <v>1</v>
      </c>
      <c r="I642" s="60">
        <f>PRODUCT('All-Servers'!E652,'All-Servers'!$H652)</f>
        <v>2000</v>
      </c>
      <c r="J642" s="60">
        <f>PRODUCT('All-Servers'!F652,'All-Servers'!$H652)</f>
        <v>0</v>
      </c>
      <c r="K642" s="60">
        <f>PRODUCT('All-Servers'!G652,'All-Servers'!$H652)</f>
        <v>20</v>
      </c>
    </row>
    <row r="643" spans="8:11">
      <c r="H643" s="60">
        <f>PRODUCT('All-Servers'!D653,'All-Servers'!$H653)</f>
        <v>1</v>
      </c>
      <c r="I643" s="60">
        <f>PRODUCT('All-Servers'!E653,'All-Servers'!$H653)</f>
        <v>2000</v>
      </c>
      <c r="J643" s="60">
        <f>PRODUCT('All-Servers'!F653,'All-Servers'!$H653)</f>
        <v>0</v>
      </c>
      <c r="K643" s="60">
        <f>PRODUCT('All-Servers'!G653,'All-Servers'!$H653)</f>
        <v>20</v>
      </c>
    </row>
    <row r="644" spans="8:11">
      <c r="H644" s="60">
        <f>PRODUCT('All-Servers'!D654,'All-Servers'!$H654)</f>
        <v>1</v>
      </c>
      <c r="I644" s="60">
        <f>PRODUCT('All-Servers'!E654,'All-Servers'!$H654)</f>
        <v>2000</v>
      </c>
      <c r="J644" s="60">
        <f>PRODUCT('All-Servers'!F654,'All-Servers'!$H654)</f>
        <v>0</v>
      </c>
      <c r="K644" s="60">
        <f>PRODUCT('All-Servers'!G654,'All-Servers'!$H654)</f>
        <v>20</v>
      </c>
    </row>
    <row r="645" spans="8:11">
      <c r="H645" s="60">
        <f>PRODUCT('All-Servers'!D655,'All-Servers'!$H655)</f>
        <v>2</v>
      </c>
      <c r="I645" s="60">
        <f>PRODUCT('All-Servers'!E655,'All-Servers'!$H655)</f>
        <v>3750</v>
      </c>
      <c r="J645" s="60">
        <f>PRODUCT('All-Servers'!F655,'All-Servers'!$H655)</f>
        <v>32</v>
      </c>
      <c r="K645" s="60">
        <f>PRODUCT('All-Servers'!G655,'All-Servers'!$H655)</f>
        <v>20</v>
      </c>
    </row>
    <row r="646" spans="8:11">
      <c r="H646" s="60">
        <f>PRODUCT('All-Servers'!D656,'All-Servers'!$H656)</f>
        <v>2</v>
      </c>
      <c r="I646" s="60">
        <f>PRODUCT('All-Servers'!E656,'All-Servers'!$H656)</f>
        <v>3750</v>
      </c>
      <c r="J646" s="60">
        <f>PRODUCT('All-Servers'!F656,'All-Servers'!$H656)</f>
        <v>32</v>
      </c>
      <c r="K646" s="60">
        <f>PRODUCT('All-Servers'!G656,'All-Servers'!$H656)</f>
        <v>20</v>
      </c>
    </row>
    <row r="647" spans="8:11">
      <c r="H647" s="60">
        <f>PRODUCT('All-Servers'!D657,'All-Servers'!$H657)</f>
        <v>2</v>
      </c>
      <c r="I647" s="60">
        <f>PRODUCT('All-Servers'!E657,'All-Servers'!$H657)</f>
        <v>3750</v>
      </c>
      <c r="J647" s="60">
        <f>PRODUCT('All-Servers'!F657,'All-Servers'!$H657)</f>
        <v>32</v>
      </c>
      <c r="K647" s="60">
        <f>PRODUCT('All-Servers'!G657,'All-Servers'!$H657)</f>
        <v>20</v>
      </c>
    </row>
    <row r="648" spans="8:11">
      <c r="H648" s="60">
        <f>PRODUCT('All-Servers'!D658,'All-Servers'!$H658)</f>
        <v>2</v>
      </c>
      <c r="I648" s="60">
        <f>PRODUCT('All-Servers'!E658,'All-Servers'!$H658)</f>
        <v>3750</v>
      </c>
      <c r="J648" s="60">
        <f>PRODUCT('All-Servers'!F658,'All-Servers'!$H658)</f>
        <v>32</v>
      </c>
      <c r="K648" s="60">
        <f>PRODUCT('All-Servers'!G658,'All-Servers'!$H658)</f>
        <v>20</v>
      </c>
    </row>
    <row r="649" spans="8:11">
      <c r="H649" s="60">
        <f>PRODUCT('All-Servers'!D659,'All-Servers'!$H659)</f>
        <v>1</v>
      </c>
      <c r="I649" s="60">
        <f>PRODUCT('All-Servers'!E659,'All-Servers'!$H659)</f>
        <v>2000</v>
      </c>
      <c r="J649" s="60">
        <f>PRODUCT('All-Servers'!F659,'All-Servers'!$H659)</f>
        <v>0</v>
      </c>
      <c r="K649" s="60">
        <f>PRODUCT('All-Servers'!G659,'All-Servers'!$H659)</f>
        <v>20</v>
      </c>
    </row>
    <row r="650" spans="8:11">
      <c r="H650" s="60">
        <f>PRODUCT('All-Servers'!D660,'All-Servers'!$H660)</f>
        <v>2</v>
      </c>
      <c r="I650" s="60">
        <f>PRODUCT('All-Servers'!E660,'All-Servers'!$H660)</f>
        <v>3750</v>
      </c>
      <c r="J650" s="60">
        <f>PRODUCT('All-Servers'!F660,'All-Servers'!$H660)</f>
        <v>32</v>
      </c>
      <c r="K650" s="60">
        <f>PRODUCT('All-Servers'!G660,'All-Servers'!$H660)</f>
        <v>20</v>
      </c>
    </row>
    <row r="651" spans="8:11">
      <c r="H651" s="60">
        <f>PRODUCT('All-Servers'!D661,'All-Servers'!$H661)</f>
        <v>2</v>
      </c>
      <c r="I651" s="60">
        <f>PRODUCT('All-Servers'!E661,'All-Servers'!$H661)</f>
        <v>3750</v>
      </c>
      <c r="J651" s="60">
        <f>PRODUCT('All-Servers'!F661,'All-Servers'!$H661)</f>
        <v>32</v>
      </c>
      <c r="K651" s="60">
        <f>PRODUCT('All-Servers'!G661,'All-Servers'!$H661)</f>
        <v>20</v>
      </c>
    </row>
    <row r="652" spans="8:11">
      <c r="H652" s="60">
        <f>PRODUCT('All-Servers'!D662,'All-Servers'!$H662)</f>
        <v>2</v>
      </c>
      <c r="I652" s="60">
        <f>PRODUCT('All-Servers'!E662,'All-Servers'!$H662)</f>
        <v>3750</v>
      </c>
      <c r="J652" s="60">
        <f>PRODUCT('All-Servers'!F662,'All-Servers'!$H662)</f>
        <v>32</v>
      </c>
      <c r="K652" s="60">
        <f>PRODUCT('All-Servers'!G662,'All-Servers'!$H662)</f>
        <v>20</v>
      </c>
    </row>
    <row r="653" spans="8:11">
      <c r="H653" s="60">
        <f>PRODUCT('All-Servers'!D663,'All-Servers'!$H663)</f>
        <v>2</v>
      </c>
      <c r="I653" s="60">
        <f>PRODUCT('All-Servers'!E663,'All-Servers'!$H663)</f>
        <v>3750</v>
      </c>
      <c r="J653" s="60">
        <f>PRODUCT('All-Servers'!F663,'All-Servers'!$H663)</f>
        <v>32</v>
      </c>
      <c r="K653" s="60">
        <f>PRODUCT('All-Servers'!G663,'All-Servers'!$H663)</f>
        <v>20</v>
      </c>
    </row>
    <row r="654" spans="8:11">
      <c r="H654" s="60">
        <f>PRODUCT('All-Servers'!D664,'All-Servers'!$H664)</f>
        <v>2</v>
      </c>
      <c r="I654" s="60">
        <f>PRODUCT('All-Servers'!E664,'All-Servers'!$H664)</f>
        <v>3750</v>
      </c>
      <c r="J654" s="60">
        <f>PRODUCT('All-Servers'!F664,'All-Servers'!$H664)</f>
        <v>32</v>
      </c>
      <c r="K654" s="60">
        <f>PRODUCT('All-Servers'!G664,'All-Servers'!$H664)</f>
        <v>20</v>
      </c>
    </row>
    <row r="655" spans="8:11">
      <c r="H655" s="60">
        <f>PRODUCT('All-Servers'!D665,'All-Servers'!$H665)</f>
        <v>2</v>
      </c>
      <c r="I655" s="60">
        <f>PRODUCT('All-Servers'!E665,'All-Servers'!$H665)</f>
        <v>3750</v>
      </c>
      <c r="J655" s="60">
        <f>PRODUCT('All-Servers'!F665,'All-Servers'!$H665)</f>
        <v>32</v>
      </c>
      <c r="K655" s="60">
        <f>PRODUCT('All-Servers'!G665,'All-Servers'!$H665)</f>
        <v>20</v>
      </c>
    </row>
    <row r="656" spans="8:11">
      <c r="H656" s="60">
        <f>PRODUCT('All-Servers'!D666,'All-Servers'!$H666)</f>
        <v>2</v>
      </c>
      <c r="I656" s="60">
        <f>PRODUCT('All-Servers'!E666,'All-Servers'!$H666)</f>
        <v>3750</v>
      </c>
      <c r="J656" s="60">
        <f>PRODUCT('All-Servers'!F666,'All-Servers'!$H666)</f>
        <v>32</v>
      </c>
      <c r="K656" s="60">
        <f>PRODUCT('All-Servers'!G666,'All-Servers'!$H666)</f>
        <v>20</v>
      </c>
    </row>
    <row r="657" spans="8:11">
      <c r="H657" s="60">
        <f>PRODUCT('All-Servers'!D667,'All-Servers'!$H667)</f>
        <v>2</v>
      </c>
      <c r="I657" s="60">
        <f>PRODUCT('All-Servers'!E667,'All-Servers'!$H667)</f>
        <v>3750</v>
      </c>
      <c r="J657" s="60">
        <f>PRODUCT('All-Servers'!F667,'All-Servers'!$H667)</f>
        <v>32</v>
      </c>
      <c r="K657" s="60">
        <f>PRODUCT('All-Servers'!G667,'All-Servers'!$H667)</f>
        <v>20</v>
      </c>
    </row>
    <row r="658" spans="8:11">
      <c r="H658" s="60">
        <f>PRODUCT('All-Servers'!D668,'All-Servers'!$H668)</f>
        <v>2</v>
      </c>
      <c r="I658" s="60">
        <f>PRODUCT('All-Servers'!E668,'All-Servers'!$H668)</f>
        <v>3750</v>
      </c>
      <c r="J658" s="60">
        <f>PRODUCT('All-Servers'!F668,'All-Servers'!$H668)</f>
        <v>32</v>
      </c>
      <c r="K658" s="60">
        <f>PRODUCT('All-Servers'!G668,'All-Servers'!$H668)</f>
        <v>20</v>
      </c>
    </row>
    <row r="659" spans="8:11">
      <c r="H659" s="60">
        <f>PRODUCT('All-Servers'!D669,'All-Servers'!$H669)</f>
        <v>2</v>
      </c>
      <c r="I659" s="60">
        <f>PRODUCT('All-Servers'!E669,'All-Servers'!$H669)</f>
        <v>3750</v>
      </c>
      <c r="J659" s="60">
        <f>PRODUCT('All-Servers'!F669,'All-Servers'!$H669)</f>
        <v>32</v>
      </c>
      <c r="K659" s="60">
        <f>PRODUCT('All-Servers'!G669,'All-Servers'!$H669)</f>
        <v>20</v>
      </c>
    </row>
    <row r="660" spans="8:11">
      <c r="H660" s="60">
        <f>PRODUCT('All-Servers'!D670,'All-Servers'!$H670)</f>
        <v>2</v>
      </c>
      <c r="I660" s="60">
        <f>PRODUCT('All-Servers'!E670,'All-Servers'!$H670)</f>
        <v>3750</v>
      </c>
      <c r="J660" s="60">
        <f>PRODUCT('All-Servers'!F670,'All-Servers'!$H670)</f>
        <v>32</v>
      </c>
      <c r="K660" s="60">
        <f>PRODUCT('All-Servers'!G670,'All-Servers'!$H670)</f>
        <v>20</v>
      </c>
    </row>
    <row r="661" spans="8:11">
      <c r="H661" s="60">
        <f>PRODUCT('All-Servers'!D671,'All-Servers'!$H671)</f>
        <v>2</v>
      </c>
      <c r="I661" s="60">
        <f>PRODUCT('All-Servers'!E671,'All-Servers'!$H671)</f>
        <v>3750</v>
      </c>
      <c r="J661" s="60">
        <f>PRODUCT('All-Servers'!F671,'All-Servers'!$H671)</f>
        <v>32</v>
      </c>
      <c r="K661" s="60">
        <f>PRODUCT('All-Servers'!G671,'All-Servers'!$H671)</f>
        <v>20</v>
      </c>
    </row>
    <row r="662" spans="8:11">
      <c r="H662" s="60">
        <f>PRODUCT('All-Servers'!D672,'All-Servers'!$H672)</f>
        <v>2</v>
      </c>
      <c r="I662" s="60">
        <f>PRODUCT('All-Servers'!E672,'All-Servers'!$H672)</f>
        <v>3750</v>
      </c>
      <c r="J662" s="60">
        <f>PRODUCT('All-Servers'!F672,'All-Servers'!$H672)</f>
        <v>32</v>
      </c>
      <c r="K662" s="60">
        <f>PRODUCT('All-Servers'!G672,'All-Servers'!$H672)</f>
        <v>20</v>
      </c>
    </row>
    <row r="663" spans="8:11">
      <c r="H663" s="60">
        <f>PRODUCT('All-Servers'!D673,'All-Servers'!$H673)</f>
        <v>2</v>
      </c>
      <c r="I663" s="60">
        <f>PRODUCT('All-Servers'!E673,'All-Servers'!$H673)</f>
        <v>3750</v>
      </c>
      <c r="J663" s="60">
        <f>PRODUCT('All-Servers'!F673,'All-Servers'!$H673)</f>
        <v>32</v>
      </c>
      <c r="K663" s="60">
        <f>PRODUCT('All-Servers'!G673,'All-Servers'!$H673)</f>
        <v>20</v>
      </c>
    </row>
    <row r="664" spans="8:11">
      <c r="H664" s="60">
        <f>PRODUCT('All-Servers'!D674,'All-Servers'!$H674)</f>
        <v>2</v>
      </c>
      <c r="I664" s="60">
        <f>PRODUCT('All-Servers'!E674,'All-Servers'!$H674)</f>
        <v>3750</v>
      </c>
      <c r="J664" s="60">
        <f>PRODUCT('All-Servers'!F674,'All-Servers'!$H674)</f>
        <v>32</v>
      </c>
      <c r="K664" s="60">
        <f>PRODUCT('All-Servers'!G674,'All-Servers'!$H674)</f>
        <v>20</v>
      </c>
    </row>
    <row r="665" spans="8:11">
      <c r="H665" s="60">
        <f>PRODUCT('All-Servers'!D675,'All-Servers'!$H675)</f>
        <v>2</v>
      </c>
      <c r="I665" s="60">
        <f>PRODUCT('All-Servers'!E675,'All-Servers'!$H675)</f>
        <v>3750</v>
      </c>
      <c r="J665" s="60">
        <f>PRODUCT('All-Servers'!F675,'All-Servers'!$H675)</f>
        <v>32</v>
      </c>
      <c r="K665" s="60">
        <f>PRODUCT('All-Servers'!G675,'All-Servers'!$H675)</f>
        <v>20</v>
      </c>
    </row>
    <row r="666" spans="8:11">
      <c r="H666" s="60">
        <f>PRODUCT('All-Servers'!D676,'All-Servers'!$H676)</f>
        <v>2</v>
      </c>
      <c r="I666" s="60">
        <f>PRODUCT('All-Servers'!E676,'All-Servers'!$H676)</f>
        <v>3750</v>
      </c>
      <c r="J666" s="60">
        <f>PRODUCT('All-Servers'!F676,'All-Servers'!$H676)</f>
        <v>32</v>
      </c>
      <c r="K666" s="60">
        <f>PRODUCT('All-Servers'!G676,'All-Servers'!$H676)</f>
        <v>20</v>
      </c>
    </row>
    <row r="667" spans="8:11">
      <c r="H667" s="60">
        <f>PRODUCT('All-Servers'!D677,'All-Servers'!$H677)</f>
        <v>2</v>
      </c>
      <c r="I667" s="60">
        <f>PRODUCT('All-Servers'!E677,'All-Servers'!$H677)</f>
        <v>3750</v>
      </c>
      <c r="J667" s="60">
        <f>PRODUCT('All-Servers'!F677,'All-Servers'!$H677)</f>
        <v>32</v>
      </c>
      <c r="K667" s="60">
        <f>PRODUCT('All-Servers'!G677,'All-Servers'!$H677)</f>
        <v>20</v>
      </c>
    </row>
    <row r="668" spans="8:11">
      <c r="H668" s="60">
        <f>PRODUCT('All-Servers'!D678,'All-Servers'!$H678)</f>
        <v>2</v>
      </c>
      <c r="I668" s="60">
        <f>PRODUCT('All-Servers'!E678,'All-Servers'!$H678)</f>
        <v>3750</v>
      </c>
      <c r="J668" s="60">
        <f>PRODUCT('All-Servers'!F678,'All-Servers'!$H678)</f>
        <v>32</v>
      </c>
      <c r="K668" s="60">
        <f>PRODUCT('All-Servers'!G678,'All-Servers'!$H678)</f>
        <v>20</v>
      </c>
    </row>
    <row r="669" spans="8:11">
      <c r="H669" s="60">
        <f>PRODUCT('All-Servers'!D679,'All-Servers'!$H679)</f>
        <v>2</v>
      </c>
      <c r="I669" s="60">
        <f>PRODUCT('All-Servers'!E679,'All-Servers'!$H679)</f>
        <v>3750</v>
      </c>
      <c r="J669" s="60">
        <f>PRODUCT('All-Servers'!F679,'All-Servers'!$H679)</f>
        <v>32</v>
      </c>
      <c r="K669" s="60">
        <f>PRODUCT('All-Servers'!G679,'All-Servers'!$H679)</f>
        <v>20</v>
      </c>
    </row>
    <row r="670" spans="8:11">
      <c r="H670" s="60">
        <f>PRODUCT('All-Servers'!D680,'All-Servers'!$H680)</f>
        <v>2</v>
      </c>
      <c r="I670" s="60">
        <f>PRODUCT('All-Servers'!E680,'All-Servers'!$H680)</f>
        <v>3750</v>
      </c>
      <c r="J670" s="60">
        <f>PRODUCT('All-Servers'!F680,'All-Servers'!$H680)</f>
        <v>32</v>
      </c>
      <c r="K670" s="60">
        <f>PRODUCT('All-Servers'!G680,'All-Servers'!$H680)</f>
        <v>20</v>
      </c>
    </row>
    <row r="671" spans="8:11">
      <c r="H671" s="60">
        <f>PRODUCT('All-Servers'!D681,'All-Servers'!$H681)</f>
        <v>2</v>
      </c>
      <c r="I671" s="60">
        <f>PRODUCT('All-Servers'!E681,'All-Servers'!$H681)</f>
        <v>3750</v>
      </c>
      <c r="J671" s="60">
        <f>PRODUCT('All-Servers'!F681,'All-Servers'!$H681)</f>
        <v>32</v>
      </c>
      <c r="K671" s="60">
        <f>PRODUCT('All-Servers'!G681,'All-Servers'!$H681)</f>
        <v>20</v>
      </c>
    </row>
    <row r="672" spans="8:11">
      <c r="H672" s="60">
        <f>PRODUCT('All-Servers'!D682,'All-Servers'!$H682)</f>
        <v>2</v>
      </c>
      <c r="I672" s="60">
        <f>PRODUCT('All-Servers'!E682,'All-Servers'!$H682)</f>
        <v>3750</v>
      </c>
      <c r="J672" s="60">
        <f>PRODUCT('All-Servers'!F682,'All-Servers'!$H682)</f>
        <v>32</v>
      </c>
      <c r="K672" s="60">
        <f>PRODUCT('All-Servers'!G682,'All-Servers'!$H682)</f>
        <v>20</v>
      </c>
    </row>
    <row r="673" spans="8:11">
      <c r="H673" s="60">
        <f>PRODUCT('All-Servers'!D683,'All-Servers'!$H683)</f>
        <v>2</v>
      </c>
      <c r="I673" s="60">
        <f>PRODUCT('All-Servers'!E683,'All-Servers'!$H683)</f>
        <v>3750</v>
      </c>
      <c r="J673" s="60">
        <f>PRODUCT('All-Servers'!F683,'All-Servers'!$H683)</f>
        <v>32</v>
      </c>
      <c r="K673" s="60">
        <f>PRODUCT('All-Servers'!G683,'All-Servers'!$H683)</f>
        <v>20</v>
      </c>
    </row>
    <row r="674" spans="8:11">
      <c r="H674" s="60">
        <f>PRODUCT('All-Servers'!D684,'All-Servers'!$H684)</f>
        <v>2</v>
      </c>
      <c r="I674" s="60">
        <f>PRODUCT('All-Servers'!E684,'All-Servers'!$H684)</f>
        <v>3750</v>
      </c>
      <c r="J674" s="60">
        <f>PRODUCT('All-Servers'!F684,'All-Servers'!$H684)</f>
        <v>32</v>
      </c>
      <c r="K674" s="60">
        <f>PRODUCT('All-Servers'!G684,'All-Servers'!$H684)</f>
        <v>20</v>
      </c>
    </row>
    <row r="675" spans="8:11">
      <c r="H675" s="60">
        <f>PRODUCT('All-Servers'!D685,'All-Servers'!$H685)</f>
        <v>2</v>
      </c>
      <c r="I675" s="60">
        <f>PRODUCT('All-Servers'!E685,'All-Servers'!$H685)</f>
        <v>3750</v>
      </c>
      <c r="J675" s="60">
        <f>PRODUCT('All-Servers'!F685,'All-Servers'!$H685)</f>
        <v>32</v>
      </c>
      <c r="K675" s="60">
        <f>PRODUCT('All-Servers'!G685,'All-Servers'!$H685)</f>
        <v>20</v>
      </c>
    </row>
    <row r="676" spans="8:11">
      <c r="H676" s="60">
        <f>PRODUCT('All-Servers'!D686,'All-Servers'!$H686)</f>
        <v>2</v>
      </c>
      <c r="I676" s="60">
        <f>PRODUCT('All-Servers'!E686,'All-Servers'!$H686)</f>
        <v>3750</v>
      </c>
      <c r="J676" s="60">
        <f>PRODUCT('All-Servers'!F686,'All-Servers'!$H686)</f>
        <v>32</v>
      </c>
      <c r="K676" s="60">
        <f>PRODUCT('All-Servers'!G686,'All-Servers'!$H686)</f>
        <v>20</v>
      </c>
    </row>
    <row r="677" spans="8:11">
      <c r="H677" s="60">
        <f>PRODUCT('All-Servers'!D687,'All-Servers'!$H687)</f>
        <v>2</v>
      </c>
      <c r="I677" s="60">
        <f>PRODUCT('All-Servers'!E687,'All-Servers'!$H687)</f>
        <v>3750</v>
      </c>
      <c r="J677" s="60">
        <f>PRODUCT('All-Servers'!F687,'All-Servers'!$H687)</f>
        <v>32</v>
      </c>
      <c r="K677" s="60">
        <f>PRODUCT('All-Servers'!G687,'All-Servers'!$H687)</f>
        <v>20</v>
      </c>
    </row>
    <row r="678" spans="8:11">
      <c r="H678" s="60">
        <f>PRODUCT('All-Servers'!D688,'All-Servers'!$H688)</f>
        <v>2</v>
      </c>
      <c r="I678" s="60">
        <f>PRODUCT('All-Servers'!E688,'All-Servers'!$H688)</f>
        <v>3750</v>
      </c>
      <c r="J678" s="60">
        <f>PRODUCT('All-Servers'!F688,'All-Servers'!$H688)</f>
        <v>32</v>
      </c>
      <c r="K678" s="60">
        <f>PRODUCT('All-Servers'!G688,'All-Servers'!$H688)</f>
        <v>20</v>
      </c>
    </row>
    <row r="679" spans="8:11">
      <c r="H679" s="60">
        <f>PRODUCT('All-Servers'!D689,'All-Servers'!$H689)</f>
        <v>2</v>
      </c>
      <c r="I679" s="60">
        <f>PRODUCT('All-Servers'!E689,'All-Servers'!$H689)</f>
        <v>3750</v>
      </c>
      <c r="J679" s="60">
        <f>PRODUCT('All-Servers'!F689,'All-Servers'!$H689)</f>
        <v>32</v>
      </c>
      <c r="K679" s="60">
        <f>PRODUCT('All-Servers'!G689,'All-Servers'!$H689)</f>
        <v>20</v>
      </c>
    </row>
    <row r="680" spans="8:11">
      <c r="H680" s="60">
        <f>PRODUCT('All-Servers'!D690,'All-Servers'!$H690)</f>
        <v>2</v>
      </c>
      <c r="I680" s="60">
        <f>PRODUCT('All-Servers'!E690,'All-Servers'!$H690)</f>
        <v>3750</v>
      </c>
      <c r="J680" s="60">
        <f>PRODUCT('All-Servers'!F690,'All-Servers'!$H690)</f>
        <v>32</v>
      </c>
      <c r="K680" s="60">
        <f>PRODUCT('All-Servers'!G690,'All-Servers'!$H690)</f>
        <v>20</v>
      </c>
    </row>
    <row r="681" spans="8:11">
      <c r="H681" s="60">
        <f>PRODUCT('All-Servers'!D691,'All-Servers'!$H691)</f>
        <v>2</v>
      </c>
      <c r="I681" s="60">
        <f>PRODUCT('All-Servers'!E691,'All-Servers'!$H691)</f>
        <v>3750</v>
      </c>
      <c r="J681" s="60">
        <f>PRODUCT('All-Servers'!F691,'All-Servers'!$H691)</f>
        <v>32</v>
      </c>
      <c r="K681" s="60">
        <f>PRODUCT('All-Servers'!G691,'All-Servers'!$H691)</f>
        <v>20</v>
      </c>
    </row>
    <row r="682" spans="8:11">
      <c r="H682" s="60">
        <f>PRODUCT('All-Servers'!D692,'All-Servers'!$H692)</f>
        <v>2</v>
      </c>
      <c r="I682" s="60">
        <f>PRODUCT('All-Servers'!E692,'All-Servers'!$H692)</f>
        <v>3750</v>
      </c>
      <c r="J682" s="60">
        <f>PRODUCT('All-Servers'!F692,'All-Servers'!$H692)</f>
        <v>32</v>
      </c>
      <c r="K682" s="60">
        <f>PRODUCT('All-Servers'!G692,'All-Servers'!$H692)</f>
        <v>20</v>
      </c>
    </row>
    <row r="683" spans="8:11">
      <c r="H683" s="60">
        <f>PRODUCT('All-Servers'!D693,'All-Servers'!$H693)</f>
        <v>2</v>
      </c>
      <c r="I683" s="60">
        <f>PRODUCT('All-Servers'!E693,'All-Servers'!$H693)</f>
        <v>3750</v>
      </c>
      <c r="J683" s="60">
        <f>PRODUCT('All-Servers'!F693,'All-Servers'!$H693)</f>
        <v>32</v>
      </c>
      <c r="K683" s="60">
        <f>PRODUCT('All-Servers'!G693,'All-Servers'!$H693)</f>
        <v>20</v>
      </c>
    </row>
    <row r="684" spans="8:11">
      <c r="H684" s="60">
        <f>PRODUCT('All-Servers'!D694,'All-Servers'!$H694)</f>
        <v>2</v>
      </c>
      <c r="I684" s="60">
        <f>PRODUCT('All-Servers'!E694,'All-Servers'!$H694)</f>
        <v>3750</v>
      </c>
      <c r="J684" s="60">
        <f>PRODUCT('All-Servers'!F694,'All-Servers'!$H694)</f>
        <v>32</v>
      </c>
      <c r="K684" s="60">
        <f>PRODUCT('All-Servers'!G694,'All-Servers'!$H694)</f>
        <v>20</v>
      </c>
    </row>
    <row r="685" spans="8:11">
      <c r="H685" s="60">
        <f>PRODUCT('All-Servers'!D695,'All-Servers'!$H695)</f>
        <v>2</v>
      </c>
      <c r="I685" s="60">
        <f>PRODUCT('All-Servers'!E695,'All-Servers'!$H695)</f>
        <v>3750</v>
      </c>
      <c r="J685" s="60">
        <f>PRODUCT('All-Servers'!F695,'All-Servers'!$H695)</f>
        <v>32</v>
      </c>
      <c r="K685" s="60">
        <f>PRODUCT('All-Servers'!G695,'All-Servers'!$H695)</f>
        <v>20</v>
      </c>
    </row>
    <row r="686" spans="8:11">
      <c r="H686" s="60">
        <f>PRODUCT('All-Servers'!D696,'All-Servers'!$H696)</f>
        <v>2</v>
      </c>
      <c r="I686" s="60">
        <f>PRODUCT('All-Servers'!E696,'All-Servers'!$H696)</f>
        <v>3750</v>
      </c>
      <c r="J686" s="60">
        <f>PRODUCT('All-Servers'!F696,'All-Servers'!$H696)</f>
        <v>32</v>
      </c>
      <c r="K686" s="60">
        <f>PRODUCT('All-Servers'!G696,'All-Servers'!$H696)</f>
        <v>20</v>
      </c>
    </row>
    <row r="687" spans="8:11">
      <c r="H687" s="60">
        <f>PRODUCT('All-Servers'!D697,'All-Servers'!$H697)</f>
        <v>2</v>
      </c>
      <c r="I687" s="60">
        <f>PRODUCT('All-Servers'!E697,'All-Servers'!$H697)</f>
        <v>3750</v>
      </c>
      <c r="J687" s="60">
        <f>PRODUCT('All-Servers'!F697,'All-Servers'!$H697)</f>
        <v>32</v>
      </c>
      <c r="K687" s="60">
        <f>PRODUCT('All-Servers'!G697,'All-Servers'!$H697)</f>
        <v>20</v>
      </c>
    </row>
    <row r="688" spans="8:11">
      <c r="H688" s="60">
        <f>PRODUCT('All-Servers'!D698,'All-Servers'!$H698)</f>
        <v>2</v>
      </c>
      <c r="I688" s="60">
        <f>PRODUCT('All-Servers'!E698,'All-Servers'!$H698)</f>
        <v>3750</v>
      </c>
      <c r="J688" s="60">
        <f>PRODUCT('All-Servers'!F698,'All-Servers'!$H698)</f>
        <v>32</v>
      </c>
      <c r="K688" s="60">
        <f>PRODUCT('All-Servers'!G698,'All-Servers'!$H698)</f>
        <v>20</v>
      </c>
    </row>
    <row r="689" spans="8:11">
      <c r="H689" s="60">
        <f>PRODUCT('All-Servers'!D699,'All-Servers'!$H699)</f>
        <v>1</v>
      </c>
      <c r="I689" s="60">
        <f>PRODUCT('All-Servers'!E699,'All-Servers'!$H699)</f>
        <v>2000</v>
      </c>
      <c r="J689" s="60">
        <f>PRODUCT('All-Servers'!F699,'All-Servers'!$H699)</f>
        <v>0</v>
      </c>
      <c r="K689" s="60">
        <f>PRODUCT('All-Servers'!G699,'All-Servers'!$H699)</f>
        <v>20</v>
      </c>
    </row>
    <row r="690" spans="8:11">
      <c r="H690" s="60">
        <f>PRODUCT('All-Servers'!D700,'All-Servers'!$H700)</f>
        <v>1</v>
      </c>
      <c r="I690" s="60">
        <f>PRODUCT('All-Servers'!E700,'All-Servers'!$H700)</f>
        <v>2000</v>
      </c>
      <c r="J690" s="60">
        <f>PRODUCT('All-Servers'!F700,'All-Servers'!$H700)</f>
        <v>0</v>
      </c>
      <c r="K690" s="60">
        <f>PRODUCT('All-Servers'!G700,'All-Servers'!$H700)</f>
        <v>20</v>
      </c>
    </row>
    <row r="691" spans="8:11">
      <c r="H691" s="60">
        <f>PRODUCT('All-Servers'!D701,'All-Servers'!$H701)</f>
        <v>1</v>
      </c>
      <c r="I691" s="60">
        <f>PRODUCT('All-Servers'!E701,'All-Servers'!$H701)</f>
        <v>2000</v>
      </c>
      <c r="J691" s="60">
        <f>PRODUCT('All-Servers'!F701,'All-Servers'!$H701)</f>
        <v>0</v>
      </c>
      <c r="K691" s="60">
        <f>PRODUCT('All-Servers'!G701,'All-Servers'!$H701)</f>
        <v>20</v>
      </c>
    </row>
    <row r="692" spans="8:11">
      <c r="H692" s="60">
        <f>PRODUCT('All-Servers'!D702,'All-Servers'!$H702)</f>
        <v>2</v>
      </c>
      <c r="I692" s="60">
        <f>PRODUCT('All-Servers'!E702,'All-Servers'!$H702)</f>
        <v>3750</v>
      </c>
      <c r="J692" s="60">
        <f>PRODUCT('All-Servers'!F702,'All-Servers'!$H702)</f>
        <v>32</v>
      </c>
      <c r="K692" s="60">
        <f>PRODUCT('All-Servers'!G702,'All-Servers'!$H702)</f>
        <v>20</v>
      </c>
    </row>
    <row r="693" spans="8:11">
      <c r="H693" s="60">
        <f>PRODUCT('All-Servers'!D703,'All-Servers'!$H703)</f>
        <v>2</v>
      </c>
      <c r="I693" s="60">
        <f>PRODUCT('All-Servers'!E703,'All-Servers'!$H703)</f>
        <v>3750</v>
      </c>
      <c r="J693" s="60">
        <f>PRODUCT('All-Servers'!F703,'All-Servers'!$H703)</f>
        <v>32</v>
      </c>
      <c r="K693" s="60">
        <f>PRODUCT('All-Servers'!G703,'All-Servers'!$H703)</f>
        <v>20</v>
      </c>
    </row>
    <row r="694" spans="8:11">
      <c r="H694" s="60">
        <f>PRODUCT('All-Servers'!D704,'All-Servers'!$H704)</f>
        <v>2</v>
      </c>
      <c r="I694" s="60">
        <f>PRODUCT('All-Servers'!E704,'All-Servers'!$H704)</f>
        <v>3750</v>
      </c>
      <c r="J694" s="60">
        <f>PRODUCT('All-Servers'!F704,'All-Servers'!$H704)</f>
        <v>32</v>
      </c>
      <c r="K694" s="60">
        <f>PRODUCT('All-Servers'!G704,'All-Servers'!$H704)</f>
        <v>20</v>
      </c>
    </row>
    <row r="695" spans="8:11">
      <c r="H695" s="60">
        <f>PRODUCT('All-Servers'!D705,'All-Servers'!$H705)</f>
        <v>2</v>
      </c>
      <c r="I695" s="60">
        <f>PRODUCT('All-Servers'!E705,'All-Servers'!$H705)</f>
        <v>3750</v>
      </c>
      <c r="J695" s="60">
        <f>PRODUCT('All-Servers'!F705,'All-Servers'!$H705)</f>
        <v>32</v>
      </c>
      <c r="K695" s="60">
        <f>PRODUCT('All-Servers'!G705,'All-Servers'!$H705)</f>
        <v>20</v>
      </c>
    </row>
    <row r="696" spans="8:11">
      <c r="H696" s="60">
        <f>PRODUCT('All-Servers'!D706,'All-Servers'!$H706)</f>
        <v>2</v>
      </c>
      <c r="I696" s="60">
        <f>PRODUCT('All-Servers'!E706,'All-Servers'!$H706)</f>
        <v>3750</v>
      </c>
      <c r="J696" s="60">
        <f>PRODUCT('All-Servers'!F706,'All-Servers'!$H706)</f>
        <v>32</v>
      </c>
      <c r="K696" s="60">
        <f>PRODUCT('All-Servers'!G706,'All-Servers'!$H706)</f>
        <v>20</v>
      </c>
    </row>
    <row r="697" spans="8:11">
      <c r="H697" s="60">
        <f>PRODUCT('All-Servers'!D707,'All-Servers'!$H707)</f>
        <v>2</v>
      </c>
      <c r="I697" s="60">
        <f>PRODUCT('All-Servers'!E707,'All-Servers'!$H707)</f>
        <v>3750</v>
      </c>
      <c r="J697" s="60">
        <f>PRODUCT('All-Servers'!F707,'All-Servers'!$H707)</f>
        <v>32</v>
      </c>
      <c r="K697" s="60">
        <f>PRODUCT('All-Servers'!G707,'All-Servers'!$H707)</f>
        <v>20</v>
      </c>
    </row>
    <row r="698" spans="8:11">
      <c r="H698" s="60">
        <f>PRODUCT('All-Servers'!D708,'All-Servers'!$H708)</f>
        <v>2</v>
      </c>
      <c r="I698" s="60">
        <f>PRODUCT('All-Servers'!E708,'All-Servers'!$H708)</f>
        <v>3750</v>
      </c>
      <c r="J698" s="60">
        <f>PRODUCT('All-Servers'!F708,'All-Servers'!$H708)</f>
        <v>32</v>
      </c>
      <c r="K698" s="60">
        <f>PRODUCT('All-Servers'!G708,'All-Servers'!$H708)</f>
        <v>20</v>
      </c>
    </row>
    <row r="699" spans="8:11">
      <c r="H699" s="60">
        <f>PRODUCT('All-Servers'!D709,'All-Servers'!$H709)</f>
        <v>2</v>
      </c>
      <c r="I699" s="60">
        <f>PRODUCT('All-Servers'!E709,'All-Servers'!$H709)</f>
        <v>3750</v>
      </c>
      <c r="J699" s="60">
        <f>PRODUCT('All-Servers'!F709,'All-Servers'!$H709)</f>
        <v>32</v>
      </c>
      <c r="K699" s="60">
        <f>PRODUCT('All-Servers'!G709,'All-Servers'!$H709)</f>
        <v>20</v>
      </c>
    </row>
    <row r="700" spans="8:11">
      <c r="H700" s="60">
        <f>PRODUCT('All-Servers'!D710,'All-Servers'!$H710)</f>
        <v>2</v>
      </c>
      <c r="I700" s="60">
        <f>PRODUCT('All-Servers'!E710,'All-Servers'!$H710)</f>
        <v>3750</v>
      </c>
      <c r="J700" s="60">
        <f>PRODUCT('All-Servers'!F710,'All-Servers'!$H710)</f>
        <v>32</v>
      </c>
      <c r="K700" s="60">
        <f>PRODUCT('All-Servers'!G710,'All-Servers'!$H710)</f>
        <v>20</v>
      </c>
    </row>
    <row r="701" spans="8:11">
      <c r="H701" s="60">
        <f>PRODUCT('All-Servers'!D711,'All-Servers'!$H711)</f>
        <v>2</v>
      </c>
      <c r="I701" s="60">
        <f>PRODUCT('All-Servers'!E711,'All-Servers'!$H711)</f>
        <v>3750</v>
      </c>
      <c r="J701" s="60">
        <f>PRODUCT('All-Servers'!F711,'All-Servers'!$H711)</f>
        <v>32</v>
      </c>
      <c r="K701" s="60">
        <f>PRODUCT('All-Servers'!G711,'All-Servers'!$H711)</f>
        <v>20</v>
      </c>
    </row>
    <row r="702" spans="8:11">
      <c r="H702" s="60">
        <f>PRODUCT('All-Servers'!D712,'All-Servers'!$H712)</f>
        <v>2</v>
      </c>
      <c r="I702" s="60">
        <f>PRODUCT('All-Servers'!E712,'All-Servers'!$H712)</f>
        <v>3750</v>
      </c>
      <c r="J702" s="60">
        <f>PRODUCT('All-Servers'!F712,'All-Servers'!$H712)</f>
        <v>32</v>
      </c>
      <c r="K702" s="60">
        <f>PRODUCT('All-Servers'!G712,'All-Servers'!$H712)</f>
        <v>20</v>
      </c>
    </row>
    <row r="703" spans="8:11">
      <c r="H703" s="60">
        <f>PRODUCT('All-Servers'!D713,'All-Servers'!$H713)</f>
        <v>2</v>
      </c>
      <c r="I703" s="60">
        <f>PRODUCT('All-Servers'!E713,'All-Servers'!$H713)</f>
        <v>4000</v>
      </c>
      <c r="J703" s="60">
        <f>PRODUCT('All-Servers'!F713,'All-Servers'!$H713)</f>
        <v>0</v>
      </c>
      <c r="K703" s="60">
        <f>PRODUCT('All-Servers'!G713,'All-Servers'!$H713)</f>
        <v>20</v>
      </c>
    </row>
    <row r="704" spans="8:11">
      <c r="H704" s="60">
        <f>PRODUCT('All-Servers'!D714,'All-Servers'!$H714)</f>
        <v>1</v>
      </c>
      <c r="I704" s="60">
        <f>PRODUCT('All-Servers'!E714,'All-Servers'!$H714)</f>
        <v>2000</v>
      </c>
      <c r="J704" s="60">
        <f>PRODUCT('All-Servers'!F714,'All-Servers'!$H714)</f>
        <v>0</v>
      </c>
      <c r="K704" s="60">
        <f>PRODUCT('All-Servers'!G714,'All-Servers'!$H714)</f>
        <v>20</v>
      </c>
    </row>
    <row r="705" spans="8:11">
      <c r="H705" s="60">
        <f>PRODUCT('All-Servers'!D715,'All-Servers'!$H715)</f>
        <v>1</v>
      </c>
      <c r="I705" s="60">
        <f>PRODUCT('All-Servers'!E715,'All-Servers'!$H715)</f>
        <v>2000</v>
      </c>
      <c r="J705" s="60">
        <f>PRODUCT('All-Servers'!F715,'All-Servers'!$H715)</f>
        <v>0</v>
      </c>
      <c r="K705" s="60">
        <f>PRODUCT('All-Servers'!G715,'All-Servers'!$H715)</f>
        <v>20</v>
      </c>
    </row>
    <row r="706" spans="8:11">
      <c r="H706" s="60">
        <f>PRODUCT('All-Servers'!D716,'All-Servers'!$H716)</f>
        <v>8</v>
      </c>
      <c r="I706" s="60">
        <f>PRODUCT('All-Servers'!E716,'All-Servers'!$H716)</f>
        <v>15000</v>
      </c>
      <c r="J706" s="60">
        <f>PRODUCT('All-Servers'!F716,'All-Servers'!$H716)</f>
        <v>160</v>
      </c>
      <c r="K706" s="60">
        <f>PRODUCT('All-Servers'!G716,'All-Servers'!$H716)</f>
        <v>20</v>
      </c>
    </row>
    <row r="707" spans="8:11">
      <c r="H707" s="60">
        <f>PRODUCT('All-Servers'!D717,'All-Servers'!$H717)</f>
        <v>8</v>
      </c>
      <c r="I707" s="60">
        <f>PRODUCT('All-Servers'!E717,'All-Servers'!$H717)</f>
        <v>15000</v>
      </c>
      <c r="J707" s="60">
        <f>PRODUCT('All-Servers'!F717,'All-Servers'!$H717)</f>
        <v>160</v>
      </c>
      <c r="K707" s="60">
        <f>PRODUCT('All-Servers'!G717,'All-Servers'!$H717)</f>
        <v>20</v>
      </c>
    </row>
    <row r="708" spans="8:11">
      <c r="H708" s="60">
        <f>PRODUCT('All-Servers'!D718,'All-Servers'!$H718)</f>
        <v>8</v>
      </c>
      <c r="I708" s="60">
        <f>PRODUCT('All-Servers'!E718,'All-Servers'!$H718)</f>
        <v>15000</v>
      </c>
      <c r="J708" s="60">
        <f>PRODUCT('All-Servers'!F718,'All-Servers'!$H718)</f>
        <v>160</v>
      </c>
      <c r="K708" s="60">
        <f>PRODUCT('All-Servers'!G718,'All-Servers'!$H718)</f>
        <v>20</v>
      </c>
    </row>
    <row r="709" spans="8:11">
      <c r="H709" s="60">
        <f>PRODUCT('All-Servers'!D719,'All-Servers'!$H719)</f>
        <v>8</v>
      </c>
      <c r="I709" s="60">
        <f>PRODUCT('All-Servers'!E719,'All-Servers'!$H719)</f>
        <v>15000</v>
      </c>
      <c r="J709" s="60">
        <f>PRODUCT('All-Servers'!F719,'All-Servers'!$H719)</f>
        <v>160</v>
      </c>
      <c r="K709" s="60">
        <f>PRODUCT('All-Servers'!G719,'All-Servers'!$H719)</f>
        <v>20</v>
      </c>
    </row>
    <row r="710" spans="8:11">
      <c r="H710" s="60">
        <f>PRODUCT('All-Servers'!D720,'All-Servers'!$H720)</f>
        <v>8</v>
      </c>
      <c r="I710" s="60">
        <f>PRODUCT('All-Servers'!E720,'All-Servers'!$H720)</f>
        <v>15000</v>
      </c>
      <c r="J710" s="60">
        <f>PRODUCT('All-Servers'!F720,'All-Servers'!$H720)</f>
        <v>160</v>
      </c>
      <c r="K710" s="60">
        <f>PRODUCT('All-Servers'!G720,'All-Servers'!$H720)</f>
        <v>20</v>
      </c>
    </row>
    <row r="711" spans="8:11">
      <c r="H711" s="60">
        <f>PRODUCT('All-Servers'!D721,'All-Servers'!$H721)</f>
        <v>2</v>
      </c>
      <c r="I711" s="60">
        <f>PRODUCT('All-Servers'!E721,'All-Servers'!$H721)</f>
        <v>3750</v>
      </c>
      <c r="J711" s="60">
        <f>PRODUCT('All-Servers'!F721,'All-Servers'!$H721)</f>
        <v>32</v>
      </c>
      <c r="K711" s="60">
        <f>PRODUCT('All-Servers'!G721,'All-Servers'!$H721)</f>
        <v>220</v>
      </c>
    </row>
    <row r="712" spans="8:11">
      <c r="H712" s="60">
        <f>PRODUCT('All-Servers'!D722,'All-Servers'!$H722)</f>
        <v>8</v>
      </c>
      <c r="I712" s="60">
        <f>PRODUCT('All-Servers'!E722,'All-Servers'!$H722)</f>
        <v>15000</v>
      </c>
      <c r="J712" s="60">
        <f>PRODUCT('All-Servers'!F722,'All-Servers'!$H722)</f>
        <v>160</v>
      </c>
      <c r="K712" s="60">
        <f>PRODUCT('All-Servers'!G722,'All-Servers'!$H722)</f>
        <v>20</v>
      </c>
    </row>
    <row r="713" spans="8:11">
      <c r="H713" s="60">
        <f>PRODUCT('All-Servers'!D723,'All-Servers'!$H723)</f>
        <v>2</v>
      </c>
      <c r="I713" s="60">
        <f>PRODUCT('All-Servers'!E723,'All-Servers'!$H723)</f>
        <v>3750</v>
      </c>
      <c r="J713" s="60">
        <f>PRODUCT('All-Servers'!F723,'All-Servers'!$H723)</f>
        <v>32</v>
      </c>
      <c r="K713" s="60">
        <f>PRODUCT('All-Servers'!G723,'All-Servers'!$H723)</f>
        <v>50</v>
      </c>
    </row>
    <row r="714" spans="8:11">
      <c r="H714" s="60">
        <f>PRODUCT('All-Servers'!D724,'All-Servers'!$H724)</f>
        <v>1</v>
      </c>
      <c r="I714" s="60">
        <f>PRODUCT('All-Servers'!E724,'All-Servers'!$H724)</f>
        <v>2000</v>
      </c>
      <c r="J714" s="60">
        <f>PRODUCT('All-Servers'!F724,'All-Servers'!$H724)</f>
        <v>0</v>
      </c>
      <c r="K714" s="60">
        <f>PRODUCT('All-Servers'!G724,'All-Servers'!$H724)</f>
        <v>20</v>
      </c>
    </row>
    <row r="715" spans="8:11">
      <c r="H715" s="60">
        <f>PRODUCT('All-Servers'!D725,'All-Servers'!$H725)</f>
        <v>1</v>
      </c>
      <c r="I715" s="60">
        <f>PRODUCT('All-Servers'!E725,'All-Servers'!$H725)</f>
        <v>2000</v>
      </c>
      <c r="J715" s="60">
        <f>PRODUCT('All-Servers'!F725,'All-Servers'!$H725)</f>
        <v>0</v>
      </c>
      <c r="K715" s="60">
        <f>PRODUCT('All-Servers'!G725,'All-Servers'!$H725)</f>
        <v>20</v>
      </c>
    </row>
    <row r="716" spans="8:11">
      <c r="H716" s="60">
        <f>PRODUCT('All-Servers'!D726,'All-Servers'!$H726)</f>
        <v>2</v>
      </c>
      <c r="I716" s="60">
        <f>PRODUCT('All-Servers'!E726,'All-Servers'!$H726)</f>
        <v>4000</v>
      </c>
      <c r="J716" s="60">
        <f>PRODUCT('All-Servers'!F726,'All-Servers'!$H726)</f>
        <v>0</v>
      </c>
      <c r="K716" s="60">
        <f>PRODUCT('All-Servers'!G726,'All-Servers'!$H726)</f>
        <v>20</v>
      </c>
    </row>
    <row r="717" spans="8:11">
      <c r="H717" s="60">
        <f>PRODUCT('All-Servers'!D727,'All-Servers'!$H727)</f>
        <v>2</v>
      </c>
      <c r="I717" s="60">
        <f>PRODUCT('All-Servers'!E727,'All-Servers'!$H727)</f>
        <v>7500</v>
      </c>
      <c r="J717" s="60">
        <f>PRODUCT('All-Servers'!F727,'All-Servers'!$H727)</f>
        <v>32</v>
      </c>
      <c r="K717" s="60">
        <f>PRODUCT('All-Servers'!G727,'All-Servers'!$H727)</f>
        <v>420</v>
      </c>
    </row>
    <row r="718" spans="8:11">
      <c r="H718" s="60">
        <f>PRODUCT('All-Servers'!D728,'All-Servers'!$H728)</f>
        <v>2</v>
      </c>
      <c r="I718" s="60">
        <f>PRODUCT('All-Servers'!E728,'All-Servers'!$H728)</f>
        <v>7500</v>
      </c>
      <c r="J718" s="60">
        <f>PRODUCT('All-Servers'!F728,'All-Servers'!$H728)</f>
        <v>32</v>
      </c>
      <c r="K718" s="60">
        <f>PRODUCT('All-Servers'!G728,'All-Servers'!$H728)</f>
        <v>420</v>
      </c>
    </row>
    <row r="719" spans="8:11">
      <c r="H719" s="60">
        <f>PRODUCT('All-Servers'!D729,'All-Servers'!$H729)</f>
        <v>2</v>
      </c>
      <c r="I719" s="60">
        <f>PRODUCT('All-Servers'!E729,'All-Servers'!$H729)</f>
        <v>7500</v>
      </c>
      <c r="J719" s="60">
        <f>PRODUCT('All-Servers'!F729,'All-Servers'!$H729)</f>
        <v>32</v>
      </c>
      <c r="K719" s="60">
        <f>PRODUCT('All-Servers'!G729,'All-Servers'!$H729)</f>
        <v>820</v>
      </c>
    </row>
    <row r="720" spans="8:11">
      <c r="H720" s="60">
        <f>PRODUCT('All-Servers'!D730,'All-Servers'!$H730)</f>
        <v>2</v>
      </c>
      <c r="I720" s="60">
        <f>PRODUCT('All-Servers'!E730,'All-Servers'!$H730)</f>
        <v>7500</v>
      </c>
      <c r="J720" s="60">
        <f>PRODUCT('All-Servers'!F730,'All-Servers'!$H730)</f>
        <v>32</v>
      </c>
      <c r="K720" s="60">
        <f>PRODUCT('All-Servers'!G730,'All-Servers'!$H730)</f>
        <v>420</v>
      </c>
    </row>
    <row r="721" spans="8:11">
      <c r="H721" s="60">
        <f>PRODUCT('All-Servers'!D731,'All-Servers'!$H731)</f>
        <v>2</v>
      </c>
      <c r="I721" s="60">
        <f>PRODUCT('All-Servers'!E731,'All-Servers'!$H731)</f>
        <v>3750</v>
      </c>
      <c r="J721" s="60">
        <f>PRODUCT('All-Servers'!F731,'All-Servers'!$H731)</f>
        <v>32</v>
      </c>
      <c r="K721" s="60">
        <f>PRODUCT('All-Servers'!G731,'All-Servers'!$H731)</f>
        <v>20</v>
      </c>
    </row>
    <row r="722" spans="8:11">
      <c r="H722" s="60">
        <f>PRODUCT('All-Servers'!D732,'All-Servers'!$H732)</f>
        <v>2</v>
      </c>
      <c r="I722" s="60">
        <f>PRODUCT('All-Servers'!E732,'All-Servers'!$H732)</f>
        <v>3750</v>
      </c>
      <c r="J722" s="60">
        <f>PRODUCT('All-Servers'!F732,'All-Servers'!$H732)</f>
        <v>32</v>
      </c>
      <c r="K722" s="60">
        <f>PRODUCT('All-Servers'!G732,'All-Servers'!$H732)</f>
        <v>20</v>
      </c>
    </row>
    <row r="723" spans="8:11">
      <c r="H723" s="60">
        <f>PRODUCT('All-Servers'!D733,'All-Servers'!$H733)</f>
        <v>1</v>
      </c>
      <c r="I723" s="60">
        <f>PRODUCT('All-Servers'!E733,'All-Servers'!$H733)</f>
        <v>2000</v>
      </c>
      <c r="J723" s="60">
        <f>PRODUCT('All-Servers'!F733,'All-Servers'!$H733)</f>
        <v>0</v>
      </c>
      <c r="K723" s="60">
        <f>PRODUCT('All-Servers'!G733,'All-Servers'!$H733)</f>
        <v>20</v>
      </c>
    </row>
    <row r="724" spans="8:11">
      <c r="H724" s="60">
        <f>PRODUCT('All-Servers'!D734,'All-Servers'!$H734)</f>
        <v>1</v>
      </c>
      <c r="I724" s="60">
        <f>PRODUCT('All-Servers'!E734,'All-Servers'!$H734)</f>
        <v>3750</v>
      </c>
      <c r="J724" s="60">
        <f>PRODUCT('All-Servers'!F734,'All-Servers'!$H734)</f>
        <v>4</v>
      </c>
      <c r="K724" s="60">
        <f>PRODUCT('All-Servers'!G734,'All-Servers'!$H734)</f>
        <v>30</v>
      </c>
    </row>
    <row r="725" spans="8:11">
      <c r="H725" s="60">
        <f>PRODUCT('All-Servers'!D735,'All-Servers'!$H735)</f>
        <v>2</v>
      </c>
      <c r="I725" s="60">
        <f>PRODUCT('All-Servers'!E735,'All-Servers'!$H735)</f>
        <v>4000</v>
      </c>
      <c r="J725" s="60">
        <f>PRODUCT('All-Servers'!F735,'All-Servers'!$H735)</f>
        <v>0</v>
      </c>
      <c r="K725" s="60">
        <f>PRODUCT('All-Servers'!G735,'All-Servers'!$H735)</f>
        <v>20</v>
      </c>
    </row>
    <row r="726" spans="8:11">
      <c r="H726" s="60">
        <f>PRODUCT('All-Servers'!D736,'All-Servers'!$H736)</f>
        <v>1</v>
      </c>
      <c r="I726" s="60">
        <f>PRODUCT('All-Servers'!E736,'All-Servers'!$H736)</f>
        <v>3750</v>
      </c>
      <c r="J726" s="60">
        <f>PRODUCT('All-Servers'!F736,'All-Servers'!$H736)</f>
        <v>4</v>
      </c>
      <c r="K726" s="60">
        <f>PRODUCT('All-Servers'!G736,'All-Servers'!$H736)</f>
        <v>8</v>
      </c>
    </row>
    <row r="727" spans="8:11">
      <c r="H727" s="60">
        <f>PRODUCT('All-Servers'!D737,'All-Servers'!$H737)</f>
        <v>2</v>
      </c>
      <c r="I727" s="60">
        <f>PRODUCT('All-Servers'!E737,'All-Servers'!$H737)</f>
        <v>4000</v>
      </c>
      <c r="J727" s="60">
        <f>PRODUCT('All-Servers'!F737,'All-Servers'!$H737)</f>
        <v>0</v>
      </c>
      <c r="K727" s="60">
        <f>PRODUCT('All-Servers'!G737,'All-Servers'!$H737)</f>
        <v>20</v>
      </c>
    </row>
    <row r="728" spans="8:11">
      <c r="H728" s="60">
        <f>PRODUCT('All-Servers'!D738,'All-Servers'!$H738)</f>
        <v>2</v>
      </c>
      <c r="I728" s="60">
        <f>PRODUCT('All-Servers'!E738,'All-Servers'!$H738)</f>
        <v>4000</v>
      </c>
      <c r="J728" s="60">
        <f>PRODUCT('All-Servers'!F738,'All-Servers'!$H738)</f>
        <v>0</v>
      </c>
      <c r="K728" s="60">
        <f>PRODUCT('All-Servers'!G738,'All-Servers'!$H738)</f>
        <v>20</v>
      </c>
    </row>
    <row r="729" spans="8:11">
      <c r="H729" s="60">
        <f>PRODUCT('All-Servers'!D739,'All-Servers'!$H739)</f>
        <v>1</v>
      </c>
      <c r="I729" s="60">
        <f>PRODUCT('All-Servers'!E739,'All-Servers'!$H739)</f>
        <v>2000</v>
      </c>
      <c r="J729" s="60">
        <f>PRODUCT('All-Servers'!F739,'All-Servers'!$H739)</f>
        <v>0</v>
      </c>
      <c r="K729" s="60">
        <f>PRODUCT('All-Servers'!G739,'All-Servers'!$H739)</f>
        <v>20</v>
      </c>
    </row>
    <row r="730" spans="8:11">
      <c r="H730" s="60">
        <f>PRODUCT('All-Servers'!D740,'All-Servers'!$H740)</f>
        <v>1</v>
      </c>
      <c r="I730" s="60">
        <f>PRODUCT('All-Servers'!E740,'All-Servers'!$H740)</f>
        <v>2000</v>
      </c>
      <c r="J730" s="60">
        <f>PRODUCT('All-Servers'!F740,'All-Servers'!$H740)</f>
        <v>0</v>
      </c>
      <c r="K730" s="60">
        <f>PRODUCT('All-Servers'!G740,'All-Servers'!$H740)</f>
        <v>20</v>
      </c>
    </row>
    <row r="731" spans="8:11">
      <c r="H731" s="60">
        <f>PRODUCT('All-Servers'!D741,'All-Servers'!$H741)</f>
        <v>1</v>
      </c>
      <c r="I731" s="60">
        <f>PRODUCT('All-Servers'!E741,'All-Servers'!$H741)</f>
        <v>2000</v>
      </c>
      <c r="J731" s="60">
        <f>PRODUCT('All-Servers'!F741,'All-Servers'!$H741)</f>
        <v>0</v>
      </c>
      <c r="K731" s="60">
        <f>PRODUCT('All-Servers'!G741,'All-Servers'!$H741)</f>
        <v>20</v>
      </c>
    </row>
    <row r="732" spans="8:11">
      <c r="H732" s="60">
        <f>PRODUCT('All-Servers'!D742,'All-Servers'!$H742)</f>
        <v>1</v>
      </c>
      <c r="I732" s="60">
        <f>PRODUCT('All-Servers'!E742,'All-Servers'!$H742)</f>
        <v>1000</v>
      </c>
      <c r="J732" s="60">
        <f>PRODUCT('All-Servers'!F742,'All-Servers'!$H742)</f>
        <v>0</v>
      </c>
      <c r="K732" s="60">
        <f>PRODUCT('All-Servers'!G742,'All-Servers'!$H742)</f>
        <v>20</v>
      </c>
    </row>
    <row r="733" spans="8:11">
      <c r="H733" s="60">
        <f>PRODUCT('All-Servers'!D743,'All-Servers'!$H743)</f>
        <v>4</v>
      </c>
      <c r="I733" s="60">
        <f>PRODUCT('All-Servers'!E743,'All-Servers'!$H743)</f>
        <v>7500</v>
      </c>
      <c r="J733" s="60">
        <f>PRODUCT('All-Servers'!F743,'All-Servers'!$H743)</f>
        <v>80</v>
      </c>
      <c r="K733" s="60">
        <f>PRODUCT('All-Servers'!G743,'All-Servers'!$H743)</f>
        <v>20</v>
      </c>
    </row>
    <row r="734" spans="8:11">
      <c r="H734" s="60">
        <f>PRODUCT('All-Servers'!D744,'All-Servers'!$H744)</f>
        <v>4</v>
      </c>
      <c r="I734" s="60">
        <f>PRODUCT('All-Servers'!E744,'All-Servers'!$H744)</f>
        <v>7500</v>
      </c>
      <c r="J734" s="60">
        <f>PRODUCT('All-Servers'!F744,'All-Servers'!$H744)</f>
        <v>80</v>
      </c>
      <c r="K734" s="60">
        <f>PRODUCT('All-Servers'!G744,'All-Servers'!$H744)</f>
        <v>20</v>
      </c>
    </row>
    <row r="735" spans="8:11">
      <c r="H735" s="60">
        <f>PRODUCT('All-Servers'!D745,'All-Servers'!$H745)</f>
        <v>2</v>
      </c>
      <c r="I735" s="60">
        <f>PRODUCT('All-Servers'!E745,'All-Servers'!$H745)</f>
        <v>7500</v>
      </c>
      <c r="J735" s="60">
        <f>PRODUCT('All-Servers'!F745,'All-Servers'!$H745)</f>
        <v>32</v>
      </c>
      <c r="K735" s="60">
        <f>PRODUCT('All-Servers'!G745,'All-Servers'!$H745)</f>
        <v>820</v>
      </c>
    </row>
    <row r="736" spans="8:11">
      <c r="H736" s="60">
        <f>PRODUCT('All-Servers'!D746,'All-Servers'!$H746)</f>
        <v>2</v>
      </c>
      <c r="I736" s="60">
        <f>PRODUCT('All-Servers'!E746,'All-Servers'!$H746)</f>
        <v>7500</v>
      </c>
      <c r="J736" s="60">
        <f>PRODUCT('All-Servers'!F746,'All-Servers'!$H746)</f>
        <v>32</v>
      </c>
      <c r="K736" s="60">
        <f>PRODUCT('All-Servers'!G746,'All-Servers'!$H746)</f>
        <v>420</v>
      </c>
    </row>
    <row r="737" spans="8:11">
      <c r="H737" s="60">
        <f>PRODUCT('All-Servers'!D747,'All-Servers'!$H747)</f>
        <v>2</v>
      </c>
      <c r="I737" s="60">
        <f>PRODUCT('All-Servers'!E747,'All-Servers'!$H747)</f>
        <v>7500</v>
      </c>
      <c r="J737" s="60">
        <f>PRODUCT('All-Servers'!F747,'All-Servers'!$H747)</f>
        <v>32</v>
      </c>
      <c r="K737" s="60">
        <f>PRODUCT('All-Servers'!G747,'All-Servers'!$H747)</f>
        <v>420</v>
      </c>
    </row>
    <row r="738" spans="8:11">
      <c r="H738" s="60">
        <f>PRODUCT('All-Servers'!D748,'All-Servers'!$H748)</f>
        <v>1</v>
      </c>
      <c r="I738" s="60">
        <f>PRODUCT('All-Servers'!E748,'All-Servers'!$H748)</f>
        <v>2000</v>
      </c>
      <c r="J738" s="60">
        <f>PRODUCT('All-Servers'!F748,'All-Servers'!$H748)</f>
        <v>0</v>
      </c>
      <c r="K738" s="60">
        <f>PRODUCT('All-Servers'!G748,'All-Servers'!$H748)</f>
        <v>20</v>
      </c>
    </row>
    <row r="739" spans="8:11">
      <c r="H739" s="60">
        <f>PRODUCT('All-Servers'!D749,'All-Servers'!$H749)</f>
        <v>2</v>
      </c>
      <c r="I739" s="60">
        <f>PRODUCT('All-Servers'!E749,'All-Servers'!$H749)</f>
        <v>7500</v>
      </c>
      <c r="J739" s="60">
        <f>PRODUCT('All-Servers'!F749,'All-Servers'!$H749)</f>
        <v>32</v>
      </c>
      <c r="K739" s="60">
        <f>PRODUCT('All-Servers'!G749,'All-Servers'!$H749)</f>
        <v>820</v>
      </c>
    </row>
    <row r="740" spans="8:11">
      <c r="H740" s="60">
        <f>PRODUCT('All-Servers'!D750,'All-Servers'!$H750)</f>
        <v>2</v>
      </c>
      <c r="I740" s="60">
        <f>PRODUCT('All-Servers'!E750,'All-Servers'!$H750)</f>
        <v>4000</v>
      </c>
      <c r="J740" s="60">
        <f>PRODUCT('All-Servers'!F750,'All-Servers'!$H750)</f>
        <v>0</v>
      </c>
      <c r="K740" s="60">
        <f>PRODUCT('All-Servers'!G750,'All-Servers'!$H750)</f>
        <v>20</v>
      </c>
    </row>
    <row r="741" spans="8:11">
      <c r="H741" s="60">
        <f>PRODUCT('All-Servers'!D751,'All-Servers'!$H751)</f>
        <v>2</v>
      </c>
      <c r="I741" s="60">
        <f>PRODUCT('All-Servers'!E751,'All-Servers'!$H751)</f>
        <v>7500</v>
      </c>
      <c r="J741" s="60">
        <f>PRODUCT('All-Servers'!F751,'All-Servers'!$H751)</f>
        <v>32</v>
      </c>
      <c r="K741" s="60">
        <f>PRODUCT('All-Servers'!G751,'All-Servers'!$H751)</f>
        <v>420</v>
      </c>
    </row>
    <row r="742" spans="8:11">
      <c r="H742" s="60">
        <f>PRODUCT('All-Servers'!D752,'All-Servers'!$H752)</f>
        <v>2</v>
      </c>
      <c r="I742" s="60">
        <f>PRODUCT('All-Servers'!E752,'All-Servers'!$H752)</f>
        <v>7500</v>
      </c>
      <c r="J742" s="60">
        <f>PRODUCT('All-Servers'!F752,'All-Servers'!$H752)</f>
        <v>32</v>
      </c>
      <c r="K742" s="60">
        <f>PRODUCT('All-Servers'!G752,'All-Servers'!$H752)</f>
        <v>420</v>
      </c>
    </row>
    <row r="743" spans="8:11">
      <c r="H743" s="60">
        <f>PRODUCT('All-Servers'!D753,'All-Servers'!$H753)</f>
        <v>2</v>
      </c>
      <c r="I743" s="60">
        <f>PRODUCT('All-Servers'!E753,'All-Servers'!$H753)</f>
        <v>7500</v>
      </c>
      <c r="J743" s="60">
        <f>PRODUCT('All-Servers'!F753,'All-Servers'!$H753)</f>
        <v>32</v>
      </c>
      <c r="K743" s="60">
        <f>PRODUCT('All-Servers'!G753,'All-Servers'!$H753)</f>
        <v>420</v>
      </c>
    </row>
    <row r="744" spans="8:11">
      <c r="H744" s="60">
        <f>PRODUCT('All-Servers'!D754,'All-Servers'!$H754)</f>
        <v>1</v>
      </c>
      <c r="I744" s="60">
        <f>PRODUCT('All-Servers'!E754,'All-Servers'!$H754)</f>
        <v>2000</v>
      </c>
      <c r="J744" s="60">
        <f>PRODUCT('All-Servers'!F754,'All-Servers'!$H754)</f>
        <v>0</v>
      </c>
      <c r="K744" s="60">
        <f>PRODUCT('All-Servers'!G754,'All-Servers'!$H754)</f>
        <v>20</v>
      </c>
    </row>
    <row r="745" spans="8:11">
      <c r="H745" s="60">
        <f>PRODUCT('All-Servers'!D755,'All-Servers'!$H755)</f>
        <v>1</v>
      </c>
      <c r="I745" s="60">
        <f>PRODUCT('All-Servers'!E755,'All-Servers'!$H755)</f>
        <v>2000</v>
      </c>
      <c r="J745" s="60">
        <f>PRODUCT('All-Servers'!F755,'All-Servers'!$H755)</f>
        <v>0</v>
      </c>
      <c r="K745" s="60">
        <f>PRODUCT('All-Servers'!G755,'All-Servers'!$H755)</f>
        <v>20</v>
      </c>
    </row>
    <row r="746" spans="8:11">
      <c r="H746" s="60">
        <f>PRODUCT('All-Servers'!D756,'All-Servers'!$H756)</f>
        <v>1</v>
      </c>
      <c r="I746" s="60">
        <f>PRODUCT('All-Servers'!E756,'All-Servers'!$H756)</f>
        <v>2000</v>
      </c>
      <c r="J746" s="60">
        <f>PRODUCT('All-Servers'!F756,'All-Servers'!$H756)</f>
        <v>0</v>
      </c>
      <c r="K746" s="60">
        <f>PRODUCT('All-Servers'!G756,'All-Servers'!$H756)</f>
        <v>20</v>
      </c>
    </row>
    <row r="747" spans="8:11">
      <c r="H747" s="60">
        <f>PRODUCT('All-Servers'!D757,'All-Servers'!$H757)</f>
        <v>2</v>
      </c>
      <c r="I747" s="60">
        <f>PRODUCT('All-Servers'!E757,'All-Servers'!$H757)</f>
        <v>4000</v>
      </c>
      <c r="J747" s="60">
        <f>PRODUCT('All-Servers'!F757,'All-Servers'!$H757)</f>
        <v>0</v>
      </c>
      <c r="K747" s="60">
        <f>PRODUCT('All-Servers'!G757,'All-Servers'!$H757)</f>
        <v>20</v>
      </c>
    </row>
    <row r="748" spans="8:11">
      <c r="H748" s="60">
        <f>PRODUCT('All-Servers'!D758,'All-Servers'!$H758)</f>
        <v>2</v>
      </c>
      <c r="I748" s="60">
        <f>PRODUCT('All-Servers'!E758,'All-Servers'!$H758)</f>
        <v>4000</v>
      </c>
      <c r="J748" s="60">
        <f>PRODUCT('All-Servers'!F758,'All-Servers'!$H758)</f>
        <v>0</v>
      </c>
      <c r="K748" s="60">
        <f>PRODUCT('All-Servers'!G758,'All-Servers'!$H758)</f>
        <v>20</v>
      </c>
    </row>
    <row r="749" spans="8:11">
      <c r="H749" s="60">
        <f>PRODUCT('All-Servers'!D759,'All-Servers'!$H759)</f>
        <v>2</v>
      </c>
      <c r="I749" s="60">
        <f>PRODUCT('All-Servers'!E759,'All-Servers'!$H759)</f>
        <v>3750</v>
      </c>
      <c r="J749" s="60">
        <f>PRODUCT('All-Servers'!F759,'All-Servers'!$H759)</f>
        <v>32</v>
      </c>
      <c r="K749" s="60">
        <f>PRODUCT('All-Servers'!G759,'All-Servers'!$H759)</f>
        <v>20</v>
      </c>
    </row>
    <row r="750" spans="8:11">
      <c r="H750" s="60">
        <f>PRODUCT('All-Servers'!D760,'All-Servers'!$H760)</f>
        <v>2</v>
      </c>
      <c r="I750" s="60">
        <f>PRODUCT('All-Servers'!E760,'All-Servers'!$H760)</f>
        <v>4000</v>
      </c>
      <c r="J750" s="60">
        <f>PRODUCT('All-Servers'!F760,'All-Servers'!$H760)</f>
        <v>0</v>
      </c>
      <c r="K750" s="60">
        <f>PRODUCT('All-Servers'!G760,'All-Servers'!$H760)</f>
        <v>20</v>
      </c>
    </row>
    <row r="751" spans="8:11">
      <c r="H751" s="60">
        <f>PRODUCT('All-Servers'!D761,'All-Servers'!$H761)</f>
        <v>1</v>
      </c>
      <c r="I751" s="60">
        <f>PRODUCT('All-Servers'!E761,'All-Servers'!$H761)</f>
        <v>2000</v>
      </c>
      <c r="J751" s="60">
        <f>PRODUCT('All-Servers'!F761,'All-Servers'!$H761)</f>
        <v>0</v>
      </c>
      <c r="K751" s="60">
        <f>PRODUCT('All-Servers'!G761,'All-Servers'!$H761)</f>
        <v>20</v>
      </c>
    </row>
    <row r="752" spans="8:11">
      <c r="H752" s="60">
        <f>PRODUCT('All-Servers'!D762,'All-Servers'!$H762)</f>
        <v>1</v>
      </c>
      <c r="I752" s="60">
        <f>PRODUCT('All-Servers'!E762,'All-Servers'!$H762)</f>
        <v>2000</v>
      </c>
      <c r="J752" s="60">
        <f>PRODUCT('All-Servers'!F762,'All-Servers'!$H762)</f>
        <v>0</v>
      </c>
      <c r="K752" s="60">
        <f>PRODUCT('All-Servers'!G762,'All-Servers'!$H762)</f>
        <v>20</v>
      </c>
    </row>
    <row r="753" spans="8:11">
      <c r="H753" s="60">
        <f>PRODUCT('All-Servers'!D763,'All-Servers'!$H763)</f>
        <v>1</v>
      </c>
      <c r="I753" s="60">
        <f>PRODUCT('All-Servers'!E763,'All-Servers'!$H763)</f>
        <v>2000</v>
      </c>
      <c r="J753" s="60">
        <f>PRODUCT('All-Servers'!F763,'All-Servers'!$H763)</f>
        <v>0</v>
      </c>
      <c r="K753" s="60">
        <f>PRODUCT('All-Servers'!G763,'All-Servers'!$H763)</f>
        <v>20</v>
      </c>
    </row>
    <row r="754" spans="8:11">
      <c r="H754" s="60">
        <f>PRODUCT('All-Servers'!D764,'All-Servers'!$H764)</f>
        <v>1</v>
      </c>
      <c r="I754" s="60">
        <f>PRODUCT('All-Servers'!E764,'All-Servers'!$H764)</f>
        <v>2000</v>
      </c>
      <c r="J754" s="60">
        <f>PRODUCT('All-Servers'!F764,'All-Servers'!$H764)</f>
        <v>0</v>
      </c>
      <c r="K754" s="60">
        <f>PRODUCT('All-Servers'!G764,'All-Servers'!$H764)</f>
        <v>20</v>
      </c>
    </row>
    <row r="755" spans="8:11">
      <c r="H755" s="60">
        <f>PRODUCT('All-Servers'!D765,'All-Servers'!$H765)</f>
        <v>1</v>
      </c>
      <c r="I755" s="60">
        <f>PRODUCT('All-Servers'!E765,'All-Servers'!$H765)</f>
        <v>2000</v>
      </c>
      <c r="J755" s="60">
        <f>PRODUCT('All-Servers'!F765,'All-Servers'!$H765)</f>
        <v>0</v>
      </c>
      <c r="K755" s="60">
        <f>PRODUCT('All-Servers'!G765,'All-Servers'!$H765)</f>
        <v>20</v>
      </c>
    </row>
    <row r="756" spans="8:11">
      <c r="H756" s="60">
        <f>PRODUCT('All-Servers'!D766,'All-Servers'!$H766)</f>
        <v>1</v>
      </c>
      <c r="I756" s="60">
        <f>PRODUCT('All-Servers'!E766,'All-Servers'!$H766)</f>
        <v>1700</v>
      </c>
      <c r="J756" s="60">
        <f>PRODUCT('All-Servers'!F766,'All-Servers'!$H766)</f>
        <v>160</v>
      </c>
      <c r="K756" s="60">
        <f>PRODUCT('All-Servers'!G766,'All-Servers'!$H766)</f>
        <v>20</v>
      </c>
    </row>
    <row r="757" spans="8:11">
      <c r="H757" s="60">
        <f>PRODUCT('All-Servers'!D767,'All-Servers'!$H767)</f>
        <v>1</v>
      </c>
      <c r="I757" s="60">
        <f>PRODUCT('All-Servers'!E767,'All-Servers'!$H767)</f>
        <v>1700</v>
      </c>
      <c r="J757" s="60">
        <f>PRODUCT('All-Servers'!F767,'All-Servers'!$H767)</f>
        <v>160</v>
      </c>
      <c r="K757" s="60">
        <f>PRODUCT('All-Servers'!G767,'All-Servers'!$H767)</f>
        <v>20</v>
      </c>
    </row>
    <row r="758" spans="8:11">
      <c r="H758" s="60">
        <f>PRODUCT('All-Servers'!D768,'All-Servers'!$H768)</f>
        <v>1</v>
      </c>
      <c r="I758" s="60">
        <f>PRODUCT('All-Servers'!E768,'All-Servers'!$H768)</f>
        <v>1700</v>
      </c>
      <c r="J758" s="60">
        <f>PRODUCT('All-Servers'!F768,'All-Servers'!$H768)</f>
        <v>160</v>
      </c>
      <c r="K758" s="60">
        <f>PRODUCT('All-Servers'!G768,'All-Servers'!$H768)</f>
        <v>20</v>
      </c>
    </row>
    <row r="759" spans="8:11">
      <c r="H759" s="60">
        <f>PRODUCT('All-Servers'!D769,'All-Servers'!$H769)</f>
        <v>1</v>
      </c>
      <c r="I759" s="60">
        <f>PRODUCT('All-Servers'!E769,'All-Servers'!$H769)</f>
        <v>3750</v>
      </c>
      <c r="J759" s="60">
        <f>PRODUCT('All-Servers'!F769,'All-Servers'!$H769)</f>
        <v>410</v>
      </c>
      <c r="K759" s="60">
        <f>PRODUCT('All-Servers'!G769,'All-Servers'!$H769)</f>
        <v>20</v>
      </c>
    </row>
    <row r="760" spans="8:11">
      <c r="H760" s="60">
        <f>PRODUCT('All-Servers'!D770,'All-Servers'!$H770)</f>
        <v>1</v>
      </c>
      <c r="I760" s="60">
        <f>PRODUCT('All-Servers'!E770,'All-Servers'!$H770)</f>
        <v>1700</v>
      </c>
      <c r="J760" s="60">
        <f>PRODUCT('All-Servers'!F770,'All-Servers'!$H770)</f>
        <v>160</v>
      </c>
      <c r="K760" s="60">
        <f>PRODUCT('All-Servers'!G770,'All-Servers'!$H770)</f>
        <v>20</v>
      </c>
    </row>
    <row r="761" spans="8:11">
      <c r="H761" s="60">
        <f>PRODUCT('All-Servers'!D771,'All-Servers'!$H771)</f>
        <v>1</v>
      </c>
      <c r="I761" s="60">
        <f>PRODUCT('All-Servers'!E771,'All-Servers'!$H771)</f>
        <v>1700</v>
      </c>
      <c r="J761" s="60">
        <f>PRODUCT('All-Servers'!F771,'All-Servers'!$H771)</f>
        <v>160</v>
      </c>
      <c r="K761" s="60">
        <f>PRODUCT('All-Servers'!G771,'All-Servers'!$H771)</f>
        <v>20</v>
      </c>
    </row>
    <row r="762" spans="8:11">
      <c r="H762" s="60">
        <f>PRODUCT('All-Servers'!D772,'All-Servers'!$H772)</f>
        <v>2</v>
      </c>
      <c r="I762" s="60">
        <f>PRODUCT('All-Servers'!E772,'All-Servers'!$H772)</f>
        <v>4000</v>
      </c>
      <c r="J762" s="60">
        <f>PRODUCT('All-Servers'!F772,'All-Servers'!$H772)</f>
        <v>0</v>
      </c>
      <c r="K762" s="60">
        <f>PRODUCT('All-Servers'!G772,'All-Servers'!$H772)</f>
        <v>20</v>
      </c>
    </row>
    <row r="763" spans="8:11">
      <c r="H763" s="60">
        <f>PRODUCT('All-Servers'!D773,'All-Servers'!$H773)</f>
        <v>1</v>
      </c>
      <c r="I763" s="60">
        <f>PRODUCT('All-Servers'!E773,'All-Servers'!$H773)</f>
        <v>1700</v>
      </c>
      <c r="J763" s="60">
        <f>PRODUCT('All-Servers'!F773,'All-Servers'!$H773)</f>
        <v>160</v>
      </c>
      <c r="K763" s="60">
        <f>PRODUCT('All-Servers'!G773,'All-Servers'!$H773)</f>
        <v>20</v>
      </c>
    </row>
    <row r="764" spans="8:11">
      <c r="H764" s="60">
        <f>PRODUCT('All-Servers'!D774,'All-Servers'!$H774)</f>
        <v>2</v>
      </c>
      <c r="I764" s="60">
        <f>PRODUCT('All-Servers'!E774,'All-Servers'!$H774)</f>
        <v>4000</v>
      </c>
      <c r="J764" s="60">
        <f>PRODUCT('All-Servers'!F774,'All-Servers'!$H774)</f>
        <v>0</v>
      </c>
      <c r="K764" s="60">
        <f>PRODUCT('All-Servers'!G774,'All-Servers'!$H774)</f>
        <v>20</v>
      </c>
    </row>
    <row r="765" spans="8:11">
      <c r="H765" s="60">
        <f>PRODUCT('All-Servers'!D775,'All-Servers'!$H775)</f>
        <v>1</v>
      </c>
      <c r="I765" s="60">
        <f>PRODUCT('All-Servers'!E775,'All-Servers'!$H775)</f>
        <v>2000</v>
      </c>
      <c r="J765" s="60">
        <f>PRODUCT('All-Servers'!F775,'All-Servers'!$H775)</f>
        <v>0</v>
      </c>
      <c r="K765" s="60">
        <f>PRODUCT('All-Servers'!G775,'All-Servers'!$H775)</f>
        <v>20</v>
      </c>
    </row>
    <row r="766" spans="8:11">
      <c r="H766" s="60">
        <f>PRODUCT('All-Servers'!D776,'All-Servers'!$H776)</f>
        <v>1</v>
      </c>
      <c r="I766" s="60">
        <f>PRODUCT('All-Servers'!E776,'All-Servers'!$H776)</f>
        <v>2000</v>
      </c>
      <c r="J766" s="60">
        <f>PRODUCT('All-Servers'!F776,'All-Servers'!$H776)</f>
        <v>0</v>
      </c>
      <c r="K766" s="60">
        <f>PRODUCT('All-Servers'!G776,'All-Servers'!$H776)</f>
        <v>20</v>
      </c>
    </row>
    <row r="767" spans="8:11">
      <c r="H767" s="60">
        <f>PRODUCT('All-Servers'!D777,'All-Servers'!$H777)</f>
        <v>1</v>
      </c>
      <c r="I767" s="60">
        <f>PRODUCT('All-Servers'!E777,'All-Servers'!$H777)</f>
        <v>2000</v>
      </c>
      <c r="J767" s="60">
        <f>PRODUCT('All-Servers'!F777,'All-Servers'!$H777)</f>
        <v>0</v>
      </c>
      <c r="K767" s="60">
        <f>PRODUCT('All-Servers'!G777,'All-Servers'!$H777)</f>
        <v>20</v>
      </c>
    </row>
    <row r="768" spans="8:11">
      <c r="H768" s="60">
        <f>PRODUCT('All-Servers'!D778,'All-Servers'!$H778)</f>
        <v>1</v>
      </c>
      <c r="I768" s="60">
        <f>PRODUCT('All-Servers'!E778,'All-Servers'!$H778)</f>
        <v>2000</v>
      </c>
      <c r="J768" s="60">
        <f>PRODUCT('All-Servers'!F778,'All-Servers'!$H778)</f>
        <v>0</v>
      </c>
      <c r="K768" s="60">
        <f>PRODUCT('All-Servers'!G778,'All-Servers'!$H778)</f>
        <v>20</v>
      </c>
    </row>
    <row r="769" spans="8:11">
      <c r="H769" s="60">
        <f>PRODUCT('All-Servers'!D779,'All-Servers'!$H779)</f>
        <v>2</v>
      </c>
      <c r="I769" s="60">
        <f>PRODUCT('All-Servers'!E779,'All-Servers'!$H779)</f>
        <v>4000</v>
      </c>
      <c r="J769" s="60">
        <f>PRODUCT('All-Servers'!F779,'All-Servers'!$H779)</f>
        <v>0</v>
      </c>
      <c r="K769" s="60">
        <f>PRODUCT('All-Servers'!G779,'All-Servers'!$H779)</f>
        <v>20</v>
      </c>
    </row>
    <row r="770" spans="8:11">
      <c r="H770" s="60">
        <f>PRODUCT('All-Servers'!D780,'All-Servers'!$H780)</f>
        <v>2</v>
      </c>
      <c r="I770" s="60">
        <f>PRODUCT('All-Servers'!E780,'All-Servers'!$H780)</f>
        <v>4000</v>
      </c>
      <c r="J770" s="60">
        <f>PRODUCT('All-Servers'!F780,'All-Servers'!$H780)</f>
        <v>0</v>
      </c>
      <c r="K770" s="60">
        <f>PRODUCT('All-Servers'!G780,'All-Servers'!$H780)</f>
        <v>20</v>
      </c>
    </row>
    <row r="771" spans="8:11">
      <c r="H771" s="60">
        <f>PRODUCT('All-Servers'!D781,'All-Servers'!$H781)</f>
        <v>2</v>
      </c>
      <c r="I771" s="60">
        <f>PRODUCT('All-Servers'!E781,'All-Servers'!$H781)</f>
        <v>7500</v>
      </c>
      <c r="J771" s="60">
        <f>PRODUCT('All-Servers'!F781,'All-Servers'!$H781)</f>
        <v>32</v>
      </c>
      <c r="K771" s="60">
        <f>PRODUCT('All-Servers'!G781,'All-Servers'!$H781)</f>
        <v>820</v>
      </c>
    </row>
    <row r="772" spans="8:11">
      <c r="H772" s="60">
        <f>PRODUCT('All-Servers'!D782,'All-Servers'!$H782)</f>
        <v>2</v>
      </c>
      <c r="I772" s="60">
        <f>PRODUCT('All-Servers'!E782,'All-Servers'!$H782)</f>
        <v>7500</v>
      </c>
      <c r="J772" s="60">
        <f>PRODUCT('All-Servers'!F782,'All-Servers'!$H782)</f>
        <v>32</v>
      </c>
      <c r="K772" s="60">
        <f>PRODUCT('All-Servers'!G782,'All-Servers'!$H782)</f>
        <v>420</v>
      </c>
    </row>
    <row r="773" spans="8:11">
      <c r="H773" s="60">
        <f>PRODUCT('All-Servers'!D783,'All-Servers'!$H783)</f>
        <v>2</v>
      </c>
      <c r="I773" s="60">
        <f>PRODUCT('All-Servers'!E783,'All-Servers'!$H783)</f>
        <v>7500</v>
      </c>
      <c r="J773" s="60">
        <f>PRODUCT('All-Servers'!F783,'All-Servers'!$H783)</f>
        <v>32</v>
      </c>
      <c r="K773" s="60">
        <f>PRODUCT('All-Servers'!G783,'All-Servers'!$H783)</f>
        <v>420</v>
      </c>
    </row>
    <row r="774" spans="8:11">
      <c r="H774" s="60">
        <f>PRODUCT('All-Servers'!D784,'All-Servers'!$H784)</f>
        <v>1</v>
      </c>
      <c r="I774" s="60">
        <f>PRODUCT('All-Servers'!E784,'All-Servers'!$H784)</f>
        <v>2000</v>
      </c>
      <c r="J774" s="60">
        <f>PRODUCT('All-Servers'!F784,'All-Servers'!$H784)</f>
        <v>0</v>
      </c>
      <c r="K774" s="60">
        <f>PRODUCT('All-Servers'!G784,'All-Servers'!$H784)</f>
        <v>20</v>
      </c>
    </row>
    <row r="775" spans="8:11">
      <c r="H775" s="60">
        <f>PRODUCT('All-Servers'!D785,'All-Servers'!$H785)</f>
        <v>1</v>
      </c>
      <c r="I775" s="60">
        <f>PRODUCT('All-Servers'!E785,'All-Servers'!$H785)</f>
        <v>2000</v>
      </c>
      <c r="J775" s="60">
        <f>PRODUCT('All-Servers'!F785,'All-Servers'!$H785)</f>
        <v>0</v>
      </c>
      <c r="K775" s="60">
        <f>PRODUCT('All-Servers'!G785,'All-Servers'!$H785)</f>
        <v>20</v>
      </c>
    </row>
    <row r="776" spans="8:11">
      <c r="H776" s="60">
        <f>PRODUCT('All-Servers'!D786,'All-Servers'!$H786)</f>
        <v>1</v>
      </c>
      <c r="I776" s="60">
        <f>PRODUCT('All-Servers'!E786,'All-Servers'!$H786)</f>
        <v>2000</v>
      </c>
      <c r="J776" s="60">
        <f>PRODUCT('All-Servers'!F786,'All-Servers'!$H786)</f>
        <v>0</v>
      </c>
      <c r="K776" s="60">
        <f>PRODUCT('All-Servers'!G786,'All-Servers'!$H786)</f>
        <v>20</v>
      </c>
    </row>
    <row r="777" spans="8:11">
      <c r="H777" s="60">
        <f>PRODUCT('All-Servers'!D787,'All-Servers'!$H787)</f>
        <v>1</v>
      </c>
      <c r="I777" s="60">
        <f>PRODUCT('All-Servers'!E787,'All-Servers'!$H787)</f>
        <v>2000</v>
      </c>
      <c r="J777" s="60">
        <f>PRODUCT('All-Servers'!F787,'All-Servers'!$H787)</f>
        <v>0</v>
      </c>
      <c r="K777" s="60">
        <f>PRODUCT('All-Servers'!G787,'All-Servers'!$H787)</f>
        <v>20</v>
      </c>
    </row>
    <row r="778" spans="8:11">
      <c r="H778" s="60">
        <f>PRODUCT('All-Servers'!D788,'All-Servers'!$H788)</f>
        <v>1</v>
      </c>
      <c r="I778" s="60">
        <f>PRODUCT('All-Servers'!E788,'All-Servers'!$H788)</f>
        <v>2000</v>
      </c>
      <c r="J778" s="60">
        <f>PRODUCT('All-Servers'!F788,'All-Servers'!$H788)</f>
        <v>0</v>
      </c>
      <c r="K778" s="60">
        <f>PRODUCT('All-Servers'!G788,'All-Servers'!$H788)</f>
        <v>20</v>
      </c>
    </row>
    <row r="779" spans="8:11">
      <c r="H779" s="60">
        <f>PRODUCT('All-Servers'!D789,'All-Servers'!$H789)</f>
        <v>1</v>
      </c>
      <c r="I779" s="60">
        <f>PRODUCT('All-Servers'!E789,'All-Servers'!$H789)</f>
        <v>2000</v>
      </c>
      <c r="J779" s="60">
        <f>PRODUCT('All-Servers'!F789,'All-Servers'!$H789)</f>
        <v>0</v>
      </c>
      <c r="K779" s="60">
        <f>PRODUCT('All-Servers'!G789,'All-Servers'!$H789)</f>
        <v>20</v>
      </c>
    </row>
    <row r="780" spans="8:11">
      <c r="H780" s="60">
        <f>PRODUCT('All-Servers'!D790,'All-Servers'!$H790)</f>
        <v>1</v>
      </c>
      <c r="I780" s="60">
        <f>PRODUCT('All-Servers'!E790,'All-Servers'!$H790)</f>
        <v>2000</v>
      </c>
      <c r="J780" s="60">
        <f>PRODUCT('All-Servers'!F790,'All-Servers'!$H790)</f>
        <v>0</v>
      </c>
      <c r="K780" s="60">
        <f>PRODUCT('All-Servers'!G790,'All-Servers'!$H790)</f>
        <v>20</v>
      </c>
    </row>
    <row r="781" spans="8:11">
      <c r="H781" s="60">
        <f>PRODUCT('All-Servers'!D791,'All-Servers'!$H791)</f>
        <v>1</v>
      </c>
      <c r="I781" s="60">
        <f>PRODUCT('All-Servers'!E791,'All-Servers'!$H791)</f>
        <v>2000</v>
      </c>
      <c r="J781" s="60">
        <f>PRODUCT('All-Servers'!F791,'All-Servers'!$H791)</f>
        <v>0</v>
      </c>
      <c r="K781" s="60">
        <f>PRODUCT('All-Servers'!G791,'All-Servers'!$H791)</f>
        <v>20</v>
      </c>
    </row>
    <row r="782" spans="8:11">
      <c r="H782" s="60">
        <f>PRODUCT('All-Servers'!D792,'All-Servers'!$H792)</f>
        <v>1</v>
      </c>
      <c r="I782" s="60">
        <f>PRODUCT('All-Servers'!E792,'All-Servers'!$H792)</f>
        <v>2000</v>
      </c>
      <c r="J782" s="60">
        <f>PRODUCT('All-Servers'!F792,'All-Servers'!$H792)</f>
        <v>0</v>
      </c>
      <c r="K782" s="60">
        <f>PRODUCT('All-Servers'!G792,'All-Servers'!$H792)</f>
        <v>20</v>
      </c>
    </row>
    <row r="783" spans="8:11">
      <c r="H783" s="60">
        <f>PRODUCT('All-Servers'!D793,'All-Servers'!$H793)</f>
        <v>1</v>
      </c>
      <c r="I783" s="60">
        <f>PRODUCT('All-Servers'!E793,'All-Servers'!$H793)</f>
        <v>2000</v>
      </c>
      <c r="J783" s="60">
        <f>PRODUCT('All-Servers'!F793,'All-Servers'!$H793)</f>
        <v>0</v>
      </c>
      <c r="K783" s="60">
        <f>PRODUCT('All-Servers'!G793,'All-Servers'!$H793)</f>
        <v>20</v>
      </c>
    </row>
    <row r="784" spans="8:11">
      <c r="H784" s="60">
        <f>PRODUCT('All-Servers'!D794,'All-Servers'!$H794)</f>
        <v>1</v>
      </c>
      <c r="I784" s="60">
        <f>PRODUCT('All-Servers'!E794,'All-Servers'!$H794)</f>
        <v>2000</v>
      </c>
      <c r="J784" s="60">
        <f>PRODUCT('All-Servers'!F794,'All-Servers'!$H794)</f>
        <v>0</v>
      </c>
      <c r="K784" s="60">
        <f>PRODUCT('All-Servers'!G794,'All-Servers'!$H794)</f>
        <v>20</v>
      </c>
    </row>
    <row r="785" spans="8:11">
      <c r="H785" s="60">
        <f>PRODUCT('All-Servers'!D795,'All-Servers'!$H795)</f>
        <v>1</v>
      </c>
      <c r="I785" s="60">
        <f>PRODUCT('All-Servers'!E795,'All-Servers'!$H795)</f>
        <v>2000</v>
      </c>
      <c r="J785" s="60">
        <f>PRODUCT('All-Servers'!F795,'All-Servers'!$H795)</f>
        <v>0</v>
      </c>
      <c r="K785" s="60">
        <f>PRODUCT('All-Servers'!G795,'All-Servers'!$H795)</f>
        <v>20</v>
      </c>
    </row>
    <row r="786" spans="8:11">
      <c r="H786" s="60">
        <f>PRODUCT('All-Servers'!D796,'All-Servers'!$H796)</f>
        <v>2</v>
      </c>
      <c r="I786" s="60">
        <f>PRODUCT('All-Servers'!E796,'All-Servers'!$H796)</f>
        <v>4000</v>
      </c>
      <c r="J786" s="60">
        <f>PRODUCT('All-Servers'!F796,'All-Servers'!$H796)</f>
        <v>0</v>
      </c>
      <c r="K786" s="60">
        <f>PRODUCT('All-Servers'!G796,'All-Servers'!$H796)</f>
        <v>420</v>
      </c>
    </row>
    <row r="787" spans="8:11">
      <c r="H787" s="60">
        <f>PRODUCT('All-Servers'!D797,'All-Servers'!$H797)</f>
        <v>2</v>
      </c>
      <c r="I787" s="60">
        <f>PRODUCT('All-Servers'!E797,'All-Servers'!$H797)</f>
        <v>4000</v>
      </c>
      <c r="J787" s="60">
        <f>PRODUCT('All-Servers'!F797,'All-Servers'!$H797)</f>
        <v>0</v>
      </c>
      <c r="K787" s="60">
        <f>PRODUCT('All-Servers'!G797,'All-Servers'!$H797)</f>
        <v>420</v>
      </c>
    </row>
    <row r="788" spans="8:11">
      <c r="H788" s="60">
        <f>PRODUCT('All-Servers'!D798,'All-Servers'!$H798)</f>
        <v>2</v>
      </c>
      <c r="I788" s="60">
        <f>PRODUCT('All-Servers'!E798,'All-Servers'!$H798)</f>
        <v>4000</v>
      </c>
      <c r="J788" s="60">
        <f>PRODUCT('All-Servers'!F798,'All-Servers'!$H798)</f>
        <v>0</v>
      </c>
      <c r="K788" s="60">
        <f>PRODUCT('All-Servers'!G798,'All-Servers'!$H798)</f>
        <v>820</v>
      </c>
    </row>
    <row r="789" spans="8:11">
      <c r="H789" s="60">
        <f>PRODUCT('All-Servers'!D799,'All-Servers'!$H799)</f>
        <v>1</v>
      </c>
      <c r="I789" s="60">
        <f>PRODUCT('All-Servers'!E799,'All-Servers'!$H799)</f>
        <v>2000</v>
      </c>
      <c r="J789" s="60">
        <f>PRODUCT('All-Servers'!F799,'All-Servers'!$H799)</f>
        <v>0</v>
      </c>
      <c r="K789" s="60">
        <f>PRODUCT('All-Servers'!G799,'All-Servers'!$H799)</f>
        <v>20</v>
      </c>
    </row>
    <row r="790" spans="8:11">
      <c r="H790" s="60">
        <f>PRODUCT('All-Servers'!D800,'All-Servers'!$H800)</f>
        <v>1</v>
      </c>
      <c r="I790" s="60">
        <f>PRODUCT('All-Servers'!E800,'All-Servers'!$H800)</f>
        <v>2000</v>
      </c>
      <c r="J790" s="60">
        <f>PRODUCT('All-Servers'!F800,'All-Servers'!$H800)</f>
        <v>0</v>
      </c>
      <c r="K790" s="60">
        <f>PRODUCT('All-Servers'!G800,'All-Servers'!$H800)</f>
        <v>20</v>
      </c>
    </row>
    <row r="791" spans="8:11">
      <c r="H791" s="60">
        <f>PRODUCT('All-Servers'!D801,'All-Servers'!$H801)</f>
        <v>1</v>
      </c>
      <c r="I791" s="60">
        <f>PRODUCT('All-Servers'!E801,'All-Servers'!$H801)</f>
        <v>2000</v>
      </c>
      <c r="J791" s="60">
        <f>PRODUCT('All-Servers'!F801,'All-Servers'!$H801)</f>
        <v>0</v>
      </c>
      <c r="K791" s="60">
        <f>PRODUCT('All-Servers'!G801,'All-Servers'!$H801)</f>
        <v>20</v>
      </c>
    </row>
    <row r="792" spans="8:11">
      <c r="H792" s="60">
        <f>PRODUCT('All-Servers'!D802,'All-Servers'!$H802)</f>
        <v>1</v>
      </c>
      <c r="I792" s="60">
        <f>PRODUCT('All-Servers'!E802,'All-Servers'!$H802)</f>
        <v>2000</v>
      </c>
      <c r="J792" s="60">
        <f>PRODUCT('All-Servers'!F802,'All-Servers'!$H802)</f>
        <v>0</v>
      </c>
      <c r="K792" s="60">
        <f>PRODUCT('All-Servers'!G802,'All-Servers'!$H802)</f>
        <v>20</v>
      </c>
    </row>
    <row r="793" spans="8:11">
      <c r="H793" s="60">
        <f>PRODUCT('All-Servers'!D803,'All-Servers'!$H803)</f>
        <v>1</v>
      </c>
      <c r="I793" s="60">
        <f>PRODUCT('All-Servers'!E803,'All-Servers'!$H803)</f>
        <v>2000</v>
      </c>
      <c r="J793" s="60">
        <f>PRODUCT('All-Servers'!F803,'All-Servers'!$H803)</f>
        <v>0</v>
      </c>
      <c r="K793" s="60">
        <f>PRODUCT('All-Servers'!G803,'All-Servers'!$H803)</f>
        <v>20</v>
      </c>
    </row>
    <row r="794" spans="8:11">
      <c r="H794" s="60">
        <f>PRODUCT('All-Servers'!D804,'All-Servers'!$H804)</f>
        <v>1</v>
      </c>
      <c r="I794" s="60">
        <f>PRODUCT('All-Servers'!E804,'All-Servers'!$H804)</f>
        <v>2000</v>
      </c>
      <c r="J794" s="60">
        <f>PRODUCT('All-Servers'!F804,'All-Servers'!$H804)</f>
        <v>0</v>
      </c>
      <c r="K794" s="60">
        <f>PRODUCT('All-Servers'!G804,'All-Servers'!$H804)</f>
        <v>20</v>
      </c>
    </row>
    <row r="795" spans="8:11">
      <c r="H795" s="60">
        <f>PRODUCT('All-Servers'!D805,'All-Servers'!$H805)</f>
        <v>1</v>
      </c>
      <c r="I795" s="60">
        <f>PRODUCT('All-Servers'!E805,'All-Servers'!$H805)</f>
        <v>2000</v>
      </c>
      <c r="J795" s="60">
        <f>PRODUCT('All-Servers'!F805,'All-Servers'!$H805)</f>
        <v>0</v>
      </c>
      <c r="K795" s="60">
        <f>PRODUCT('All-Servers'!G805,'All-Servers'!$H805)</f>
        <v>20</v>
      </c>
    </row>
    <row r="796" spans="8:11">
      <c r="H796" s="60">
        <f>PRODUCT('All-Servers'!D806,'All-Servers'!$H806)</f>
        <v>1</v>
      </c>
      <c r="I796" s="60">
        <f>PRODUCT('All-Servers'!E806,'All-Servers'!$H806)</f>
        <v>2000</v>
      </c>
      <c r="J796" s="60">
        <f>PRODUCT('All-Servers'!F806,'All-Servers'!$H806)</f>
        <v>0</v>
      </c>
      <c r="K796" s="60">
        <f>PRODUCT('All-Servers'!G806,'All-Servers'!$H806)</f>
        <v>20</v>
      </c>
    </row>
    <row r="797" spans="8:11">
      <c r="H797" s="60">
        <f>PRODUCT('All-Servers'!D807,'All-Servers'!$H807)</f>
        <v>1</v>
      </c>
      <c r="I797" s="60">
        <f>PRODUCT('All-Servers'!E807,'All-Servers'!$H807)</f>
        <v>2000</v>
      </c>
      <c r="J797" s="60">
        <f>PRODUCT('All-Servers'!F807,'All-Servers'!$H807)</f>
        <v>0</v>
      </c>
      <c r="K797" s="60">
        <f>PRODUCT('All-Servers'!G807,'All-Servers'!$H807)</f>
        <v>20</v>
      </c>
    </row>
    <row r="798" spans="8:11">
      <c r="H798" s="60">
        <f>PRODUCT('All-Servers'!D808,'All-Servers'!$H808)</f>
        <v>1</v>
      </c>
      <c r="I798" s="60">
        <f>PRODUCT('All-Servers'!E808,'All-Servers'!$H808)</f>
        <v>2000</v>
      </c>
      <c r="J798" s="60">
        <f>PRODUCT('All-Servers'!F808,'All-Servers'!$H808)</f>
        <v>0</v>
      </c>
      <c r="K798" s="60">
        <f>PRODUCT('All-Servers'!G808,'All-Servers'!$H808)</f>
        <v>20</v>
      </c>
    </row>
    <row r="799" spans="8:11">
      <c r="H799" s="60">
        <f>PRODUCT('All-Servers'!D809,'All-Servers'!$H809)</f>
        <v>1</v>
      </c>
      <c r="I799" s="60">
        <f>PRODUCT('All-Servers'!E809,'All-Servers'!$H809)</f>
        <v>2000</v>
      </c>
      <c r="J799" s="60">
        <f>PRODUCT('All-Servers'!F809,'All-Servers'!$H809)</f>
        <v>0</v>
      </c>
      <c r="K799" s="60">
        <f>PRODUCT('All-Servers'!G809,'All-Servers'!$H809)</f>
        <v>20</v>
      </c>
    </row>
    <row r="800" spans="8:11">
      <c r="H800" s="60">
        <f>PRODUCT('All-Servers'!D810,'All-Servers'!$H810)</f>
        <v>1</v>
      </c>
      <c r="I800" s="60">
        <f>PRODUCT('All-Servers'!E810,'All-Servers'!$H810)</f>
        <v>3750</v>
      </c>
      <c r="J800" s="60">
        <f>PRODUCT('All-Servers'!F810,'All-Servers'!$H810)</f>
        <v>410</v>
      </c>
      <c r="K800" s="60">
        <f>PRODUCT('All-Servers'!G810,'All-Servers'!$H810)</f>
        <v>20</v>
      </c>
    </row>
    <row r="801" spans="8:11">
      <c r="H801" s="60">
        <f>PRODUCT('All-Servers'!D811,'All-Servers'!$H811)</f>
        <v>1</v>
      </c>
      <c r="I801" s="60">
        <f>PRODUCT('All-Servers'!E811,'All-Servers'!$H811)</f>
        <v>1700</v>
      </c>
      <c r="J801" s="60">
        <f>PRODUCT('All-Servers'!F811,'All-Servers'!$H811)</f>
        <v>160</v>
      </c>
      <c r="K801" s="60">
        <f>PRODUCT('All-Servers'!G811,'All-Servers'!$H811)</f>
        <v>20</v>
      </c>
    </row>
    <row r="802" spans="8:11">
      <c r="H802" s="60">
        <f>PRODUCT('All-Servers'!D812,'All-Servers'!$H812)</f>
        <v>1</v>
      </c>
      <c r="I802" s="60">
        <f>PRODUCT('All-Servers'!E812,'All-Servers'!$H812)</f>
        <v>3750</v>
      </c>
      <c r="J802" s="60">
        <f>PRODUCT('All-Servers'!F812,'All-Servers'!$H812)</f>
        <v>410</v>
      </c>
      <c r="K802" s="60">
        <f>PRODUCT('All-Servers'!G812,'All-Servers'!$H812)</f>
        <v>20</v>
      </c>
    </row>
    <row r="803" spans="8:11">
      <c r="H803" s="60">
        <f>PRODUCT('All-Servers'!D813,'All-Servers'!$H813)</f>
        <v>1</v>
      </c>
      <c r="I803" s="60">
        <f>PRODUCT('All-Servers'!E813,'All-Servers'!$H813)</f>
        <v>2000</v>
      </c>
      <c r="J803" s="60">
        <f>PRODUCT('All-Servers'!F813,'All-Servers'!$H813)</f>
        <v>0</v>
      </c>
      <c r="K803" s="60">
        <f>PRODUCT('All-Servers'!G813,'All-Servers'!$H813)</f>
        <v>20</v>
      </c>
    </row>
    <row r="804" spans="8:11">
      <c r="H804" s="60">
        <f>PRODUCT('All-Servers'!D814,'All-Servers'!$H814)</f>
        <v>1</v>
      </c>
      <c r="I804" s="60">
        <f>PRODUCT('All-Servers'!E814,'All-Servers'!$H814)</f>
        <v>2000</v>
      </c>
      <c r="J804" s="60">
        <f>PRODUCT('All-Servers'!F814,'All-Servers'!$H814)</f>
        <v>0</v>
      </c>
      <c r="K804" s="60">
        <f>PRODUCT('All-Servers'!G814,'All-Servers'!$H814)</f>
        <v>20</v>
      </c>
    </row>
    <row r="805" spans="8:11">
      <c r="H805" s="60">
        <f>PRODUCT('All-Servers'!D815,'All-Servers'!$H815)</f>
        <v>1</v>
      </c>
      <c r="I805" s="60">
        <f>PRODUCT('All-Servers'!E815,'All-Servers'!$H815)</f>
        <v>2000</v>
      </c>
      <c r="J805" s="60">
        <f>PRODUCT('All-Servers'!F815,'All-Servers'!$H815)</f>
        <v>0</v>
      </c>
      <c r="K805" s="60">
        <f>PRODUCT('All-Servers'!G815,'All-Servers'!$H815)</f>
        <v>20</v>
      </c>
    </row>
    <row r="806" spans="8:11">
      <c r="H806" s="60">
        <f>PRODUCT('All-Servers'!D816,'All-Servers'!$H816)</f>
        <v>1</v>
      </c>
      <c r="I806" s="60">
        <f>PRODUCT('All-Servers'!E816,'All-Servers'!$H816)</f>
        <v>2000</v>
      </c>
      <c r="J806" s="60">
        <f>PRODUCT('All-Servers'!F816,'All-Servers'!$H816)</f>
        <v>0</v>
      </c>
      <c r="K806" s="60">
        <f>PRODUCT('All-Servers'!G816,'All-Servers'!$H816)</f>
        <v>20</v>
      </c>
    </row>
    <row r="807" spans="8:11">
      <c r="H807" s="60">
        <f>PRODUCT('All-Servers'!D817,'All-Servers'!$H817)</f>
        <v>1</v>
      </c>
      <c r="I807" s="60">
        <f>PRODUCT('All-Servers'!E817,'All-Servers'!$H817)</f>
        <v>2000</v>
      </c>
      <c r="J807" s="60">
        <f>PRODUCT('All-Servers'!F817,'All-Servers'!$H817)</f>
        <v>0</v>
      </c>
      <c r="K807" s="60">
        <f>PRODUCT('All-Servers'!G817,'All-Servers'!$H817)</f>
        <v>20</v>
      </c>
    </row>
    <row r="808" spans="8:11">
      <c r="H808" s="60">
        <f>PRODUCT('All-Servers'!D818,'All-Servers'!$H818)</f>
        <v>1</v>
      </c>
      <c r="I808" s="60">
        <f>PRODUCT('All-Servers'!E818,'All-Servers'!$H818)</f>
        <v>2000</v>
      </c>
      <c r="J808" s="60">
        <f>PRODUCT('All-Servers'!F818,'All-Servers'!$H818)</f>
        <v>0</v>
      </c>
      <c r="K808" s="60">
        <f>PRODUCT('All-Servers'!G818,'All-Servers'!$H818)</f>
        <v>20</v>
      </c>
    </row>
    <row r="809" spans="8:11">
      <c r="H809" s="60">
        <f>PRODUCT('All-Servers'!D819,'All-Servers'!$H819)</f>
        <v>1</v>
      </c>
      <c r="I809" s="60">
        <f>PRODUCT('All-Servers'!E819,'All-Servers'!$H819)</f>
        <v>2000</v>
      </c>
      <c r="J809" s="60">
        <f>PRODUCT('All-Servers'!F819,'All-Servers'!$H819)</f>
        <v>0</v>
      </c>
      <c r="K809" s="60">
        <f>PRODUCT('All-Servers'!G819,'All-Servers'!$H819)</f>
        <v>20</v>
      </c>
    </row>
    <row r="810" spans="8:11">
      <c r="H810" s="60">
        <f>PRODUCT('All-Servers'!D820,'All-Servers'!$H820)</f>
        <v>1</v>
      </c>
      <c r="I810" s="60">
        <f>PRODUCT('All-Servers'!E820,'All-Servers'!$H820)</f>
        <v>2000</v>
      </c>
      <c r="J810" s="60">
        <f>PRODUCT('All-Servers'!F820,'All-Servers'!$H820)</f>
        <v>0</v>
      </c>
      <c r="K810" s="60">
        <f>PRODUCT('All-Servers'!G820,'All-Servers'!$H820)</f>
        <v>20</v>
      </c>
    </row>
    <row r="811" spans="8:11">
      <c r="H811" s="60">
        <f>PRODUCT('All-Servers'!D821,'All-Servers'!$H821)</f>
        <v>1</v>
      </c>
      <c r="I811" s="60">
        <f>PRODUCT('All-Servers'!E821,'All-Servers'!$H821)</f>
        <v>2000</v>
      </c>
      <c r="J811" s="60">
        <f>PRODUCT('All-Servers'!F821,'All-Servers'!$H821)</f>
        <v>0</v>
      </c>
      <c r="K811" s="60">
        <f>PRODUCT('All-Servers'!G821,'All-Servers'!$H821)</f>
        <v>20</v>
      </c>
    </row>
    <row r="812" spans="8:11">
      <c r="H812" s="60">
        <f>PRODUCT('All-Servers'!D822,'All-Servers'!$H822)</f>
        <v>1</v>
      </c>
      <c r="I812" s="60">
        <f>PRODUCT('All-Servers'!E822,'All-Servers'!$H822)</f>
        <v>2000</v>
      </c>
      <c r="J812" s="60">
        <f>PRODUCT('All-Servers'!F822,'All-Servers'!$H822)</f>
        <v>0</v>
      </c>
      <c r="K812" s="60">
        <f>PRODUCT('All-Servers'!G822,'All-Servers'!$H822)</f>
        <v>20</v>
      </c>
    </row>
    <row r="813" spans="8:11">
      <c r="H813" s="60">
        <f>PRODUCT('All-Servers'!D823,'All-Servers'!$H823)</f>
        <v>1</v>
      </c>
      <c r="I813" s="60">
        <f>PRODUCT('All-Servers'!E823,'All-Servers'!$H823)</f>
        <v>2000</v>
      </c>
      <c r="J813" s="60">
        <f>PRODUCT('All-Servers'!F823,'All-Servers'!$H823)</f>
        <v>0</v>
      </c>
      <c r="K813" s="60">
        <f>PRODUCT('All-Servers'!G823,'All-Servers'!$H823)</f>
        <v>20</v>
      </c>
    </row>
    <row r="814" spans="8:11">
      <c r="H814" s="60">
        <f>PRODUCT('All-Servers'!D824,'All-Servers'!$H824)</f>
        <v>1</v>
      </c>
      <c r="I814" s="60">
        <f>PRODUCT('All-Servers'!E824,'All-Servers'!$H824)</f>
        <v>2000</v>
      </c>
      <c r="J814" s="60">
        <f>PRODUCT('All-Servers'!F824,'All-Servers'!$H824)</f>
        <v>0</v>
      </c>
      <c r="K814" s="60">
        <f>PRODUCT('All-Servers'!G824,'All-Servers'!$H824)</f>
        <v>20</v>
      </c>
    </row>
    <row r="815" spans="8:11">
      <c r="H815" s="60">
        <f>PRODUCT('All-Servers'!D825,'All-Servers'!$H825)</f>
        <v>1</v>
      </c>
      <c r="I815" s="60">
        <f>PRODUCT('All-Servers'!E825,'All-Servers'!$H825)</f>
        <v>2000</v>
      </c>
      <c r="J815" s="60">
        <f>PRODUCT('All-Servers'!F825,'All-Servers'!$H825)</f>
        <v>0</v>
      </c>
      <c r="K815" s="60">
        <f>PRODUCT('All-Servers'!G825,'All-Servers'!$H825)</f>
        <v>20</v>
      </c>
    </row>
    <row r="816" spans="8:11">
      <c r="H816" s="60">
        <f>PRODUCT('All-Servers'!D826,'All-Servers'!$H826)</f>
        <v>1</v>
      </c>
      <c r="I816" s="60">
        <f>PRODUCT('All-Servers'!E826,'All-Servers'!$H826)</f>
        <v>2000</v>
      </c>
      <c r="J816" s="60">
        <f>PRODUCT('All-Servers'!F826,'All-Servers'!$H826)</f>
        <v>0</v>
      </c>
      <c r="K816" s="60">
        <f>PRODUCT('All-Servers'!G826,'All-Servers'!$H826)</f>
        <v>20</v>
      </c>
    </row>
    <row r="817" spans="8:11">
      <c r="H817" s="60">
        <f>PRODUCT('All-Servers'!D827,'All-Servers'!$H827)</f>
        <v>1</v>
      </c>
      <c r="I817" s="60">
        <f>PRODUCT('All-Servers'!E827,'All-Servers'!$H827)</f>
        <v>2000</v>
      </c>
      <c r="J817" s="60">
        <f>PRODUCT('All-Servers'!F827,'All-Servers'!$H827)</f>
        <v>0</v>
      </c>
      <c r="K817" s="60">
        <f>PRODUCT('All-Servers'!G827,'All-Servers'!$H827)</f>
        <v>20</v>
      </c>
    </row>
    <row r="818" spans="8:11">
      <c r="H818" s="60">
        <f>PRODUCT('All-Servers'!D828,'All-Servers'!$H828)</f>
        <v>1</v>
      </c>
      <c r="I818" s="60">
        <f>PRODUCT('All-Servers'!E828,'All-Servers'!$H828)</f>
        <v>2000</v>
      </c>
      <c r="J818" s="60">
        <f>PRODUCT('All-Servers'!F828,'All-Servers'!$H828)</f>
        <v>0</v>
      </c>
      <c r="K818" s="60">
        <f>PRODUCT('All-Servers'!G828,'All-Servers'!$H828)</f>
        <v>20</v>
      </c>
    </row>
    <row r="819" spans="8:11">
      <c r="H819" s="60">
        <f>PRODUCT('All-Servers'!D829,'All-Servers'!$H829)</f>
        <v>1</v>
      </c>
      <c r="I819" s="60">
        <f>PRODUCT('All-Servers'!E829,'All-Servers'!$H829)</f>
        <v>2000</v>
      </c>
      <c r="J819" s="60">
        <f>PRODUCT('All-Servers'!F829,'All-Servers'!$H829)</f>
        <v>0</v>
      </c>
      <c r="K819" s="60">
        <f>PRODUCT('All-Servers'!G829,'All-Servers'!$H829)</f>
        <v>20</v>
      </c>
    </row>
    <row r="820" spans="8:11">
      <c r="H820" s="60">
        <f>PRODUCT('All-Servers'!D830,'All-Servers'!$H830)</f>
        <v>1</v>
      </c>
      <c r="I820" s="60">
        <f>PRODUCT('All-Servers'!E830,'All-Servers'!$H830)</f>
        <v>2000</v>
      </c>
      <c r="J820" s="60">
        <f>PRODUCT('All-Servers'!F830,'All-Servers'!$H830)</f>
        <v>0</v>
      </c>
      <c r="K820" s="60">
        <f>PRODUCT('All-Servers'!G830,'All-Servers'!$H830)</f>
        <v>20</v>
      </c>
    </row>
    <row r="821" spans="8:11">
      <c r="H821" s="60">
        <f>PRODUCT('All-Servers'!D831,'All-Servers'!$H831)</f>
        <v>1</v>
      </c>
      <c r="I821" s="60">
        <f>PRODUCT('All-Servers'!E831,'All-Servers'!$H831)</f>
        <v>2000</v>
      </c>
      <c r="J821" s="60">
        <f>PRODUCT('All-Servers'!F831,'All-Servers'!$H831)</f>
        <v>0</v>
      </c>
      <c r="K821" s="60">
        <f>PRODUCT('All-Servers'!G831,'All-Servers'!$H831)</f>
        <v>20</v>
      </c>
    </row>
    <row r="822" spans="8:11">
      <c r="H822" s="60">
        <f>PRODUCT('All-Servers'!D832,'All-Servers'!$H832)</f>
        <v>1</v>
      </c>
      <c r="I822" s="60">
        <f>PRODUCT('All-Servers'!E832,'All-Servers'!$H832)</f>
        <v>2000</v>
      </c>
      <c r="J822" s="60">
        <f>PRODUCT('All-Servers'!F832,'All-Servers'!$H832)</f>
        <v>0</v>
      </c>
      <c r="K822" s="60">
        <f>PRODUCT('All-Servers'!G832,'All-Servers'!$H832)</f>
        <v>20</v>
      </c>
    </row>
    <row r="823" spans="8:11">
      <c r="H823" s="60">
        <f>PRODUCT('All-Servers'!D833,'All-Servers'!$H833)</f>
        <v>1</v>
      </c>
      <c r="I823" s="60">
        <f>PRODUCT('All-Servers'!E833,'All-Servers'!$H833)</f>
        <v>3750</v>
      </c>
      <c r="J823" s="60">
        <f>PRODUCT('All-Servers'!F833,'All-Servers'!$H833)</f>
        <v>4</v>
      </c>
      <c r="K823" s="60">
        <f>PRODUCT('All-Servers'!G833,'All-Servers'!$H833)</f>
        <v>4020</v>
      </c>
    </row>
    <row r="824" spans="8:11">
      <c r="H824" s="60">
        <f>PRODUCT('All-Servers'!D834,'All-Servers'!$H834)</f>
        <v>2</v>
      </c>
      <c r="I824" s="60">
        <f>PRODUCT('All-Servers'!E834,'All-Servers'!$H834)</f>
        <v>3750</v>
      </c>
      <c r="J824" s="60">
        <f>PRODUCT('All-Servers'!F834,'All-Servers'!$H834)</f>
        <v>32</v>
      </c>
      <c r="K824" s="60">
        <f>PRODUCT('All-Servers'!G834,'All-Servers'!$H834)</f>
        <v>4020</v>
      </c>
    </row>
    <row r="825" spans="8:11">
      <c r="H825" s="60">
        <f>PRODUCT('All-Servers'!D835,'All-Servers'!$H835)</f>
        <v>1</v>
      </c>
      <c r="I825" s="60">
        <f>PRODUCT('All-Servers'!E835,'All-Servers'!$H835)</f>
        <v>2000</v>
      </c>
      <c r="J825" s="60">
        <f>PRODUCT('All-Servers'!F835,'All-Servers'!$H835)</f>
        <v>0</v>
      </c>
      <c r="K825" s="60">
        <f>PRODUCT('All-Servers'!G835,'All-Servers'!$H835)</f>
        <v>20</v>
      </c>
    </row>
    <row r="826" spans="8:11">
      <c r="H826" s="60">
        <f>PRODUCT('All-Servers'!D836,'All-Servers'!$H836)</f>
        <v>1</v>
      </c>
      <c r="I826" s="60">
        <f>PRODUCT('All-Servers'!E836,'All-Servers'!$H836)</f>
        <v>1000</v>
      </c>
      <c r="J826" s="60">
        <f>PRODUCT('All-Servers'!F836,'All-Servers'!$H836)</f>
        <v>0</v>
      </c>
      <c r="K826" s="60">
        <f>PRODUCT('All-Servers'!G836,'All-Servers'!$H836)</f>
        <v>8</v>
      </c>
    </row>
    <row r="827" spans="8:11">
      <c r="H827" s="60">
        <f>PRODUCT('All-Servers'!D837,'All-Servers'!$H837)</f>
        <v>1</v>
      </c>
      <c r="I827" s="60">
        <f>PRODUCT('All-Servers'!E837,'All-Servers'!$H837)</f>
        <v>2000</v>
      </c>
      <c r="J827" s="60">
        <f>PRODUCT('All-Servers'!F837,'All-Servers'!$H837)</f>
        <v>0</v>
      </c>
      <c r="K827" s="60">
        <f>PRODUCT('All-Servers'!G837,'All-Servers'!$H837)</f>
        <v>20</v>
      </c>
    </row>
    <row r="828" spans="8:11">
      <c r="H828" s="60">
        <f>PRODUCT('All-Servers'!D838,'All-Servers'!$H838)</f>
        <v>1</v>
      </c>
      <c r="I828" s="60">
        <f>PRODUCT('All-Servers'!E838,'All-Servers'!$H838)</f>
        <v>2000</v>
      </c>
      <c r="J828" s="60">
        <f>PRODUCT('All-Servers'!F838,'All-Servers'!$H838)</f>
        <v>0</v>
      </c>
      <c r="K828" s="60">
        <f>PRODUCT('All-Servers'!G838,'All-Servers'!$H838)</f>
        <v>20</v>
      </c>
    </row>
    <row r="829" spans="8:11">
      <c r="H829" s="60">
        <f>PRODUCT('All-Servers'!D839,'All-Servers'!$H839)</f>
        <v>2</v>
      </c>
      <c r="I829" s="60">
        <f>PRODUCT('All-Servers'!E839,'All-Servers'!$H839)</f>
        <v>7500</v>
      </c>
      <c r="J829" s="60">
        <f>PRODUCT('All-Servers'!F839,'All-Servers'!$H839)</f>
        <v>32</v>
      </c>
      <c r="K829" s="60">
        <f>PRODUCT('All-Servers'!G839,'All-Servers'!$H839)</f>
        <v>420</v>
      </c>
    </row>
    <row r="830" spans="8:11">
      <c r="H830" s="60">
        <f>PRODUCT('All-Servers'!D840,'All-Servers'!$H840)</f>
        <v>1</v>
      </c>
      <c r="I830" s="60">
        <f>PRODUCT('All-Servers'!E840,'All-Servers'!$H840)</f>
        <v>2000</v>
      </c>
      <c r="J830" s="60">
        <f>PRODUCT('All-Servers'!F840,'All-Servers'!$H840)</f>
        <v>0</v>
      </c>
      <c r="K830" s="60">
        <f>PRODUCT('All-Servers'!G840,'All-Servers'!$H840)</f>
        <v>20</v>
      </c>
    </row>
    <row r="831" spans="8:11">
      <c r="H831" s="60">
        <f>PRODUCT('All-Servers'!D841,'All-Servers'!$H841)</f>
        <v>2</v>
      </c>
      <c r="I831" s="60">
        <f>PRODUCT('All-Servers'!E841,'All-Servers'!$H841)</f>
        <v>7500</v>
      </c>
      <c r="J831" s="60">
        <f>PRODUCT('All-Servers'!F841,'All-Servers'!$H841)</f>
        <v>32</v>
      </c>
      <c r="K831" s="60">
        <f>PRODUCT('All-Servers'!G841,'All-Servers'!$H841)</f>
        <v>820</v>
      </c>
    </row>
    <row r="832" spans="8:11">
      <c r="H832" s="60">
        <f>PRODUCT('All-Servers'!D842,'All-Servers'!$H842)</f>
        <v>2</v>
      </c>
      <c r="I832" s="60">
        <f>PRODUCT('All-Servers'!E842,'All-Servers'!$H842)</f>
        <v>7500</v>
      </c>
      <c r="J832" s="60">
        <f>PRODUCT('All-Servers'!F842,'All-Servers'!$H842)</f>
        <v>32</v>
      </c>
      <c r="K832" s="60">
        <f>PRODUCT('All-Servers'!G842,'All-Servers'!$H842)</f>
        <v>420</v>
      </c>
    </row>
    <row r="833" spans="8:11">
      <c r="H833" s="60">
        <f>PRODUCT('All-Servers'!D843,'All-Servers'!$H843)</f>
        <v>2</v>
      </c>
      <c r="I833" s="60">
        <f>PRODUCT('All-Servers'!E843,'All-Servers'!$H843)</f>
        <v>7500</v>
      </c>
      <c r="J833" s="60">
        <f>PRODUCT('All-Servers'!F843,'All-Servers'!$H843)</f>
        <v>32</v>
      </c>
      <c r="K833" s="60">
        <f>PRODUCT('All-Servers'!G843,'All-Servers'!$H843)</f>
        <v>420</v>
      </c>
    </row>
    <row r="834" spans="8:11">
      <c r="H834" s="60">
        <f>PRODUCT('All-Servers'!D844,'All-Servers'!$H844)</f>
        <v>1</v>
      </c>
      <c r="I834" s="60">
        <f>PRODUCT('All-Servers'!E844,'All-Servers'!$H844)</f>
        <v>2000</v>
      </c>
      <c r="J834" s="60">
        <f>PRODUCT('All-Servers'!F844,'All-Servers'!$H844)</f>
        <v>0</v>
      </c>
      <c r="K834" s="60">
        <f>PRODUCT('All-Servers'!G844,'All-Servers'!$H844)</f>
        <v>20</v>
      </c>
    </row>
    <row r="835" spans="8:11">
      <c r="H835" s="60">
        <f>PRODUCT('All-Servers'!D845,'All-Servers'!$H845)</f>
        <v>1</v>
      </c>
      <c r="I835" s="60">
        <f>PRODUCT('All-Servers'!E845,'All-Servers'!$H845)</f>
        <v>2000</v>
      </c>
      <c r="J835" s="60">
        <f>PRODUCT('All-Servers'!F845,'All-Servers'!$H845)</f>
        <v>0</v>
      </c>
      <c r="K835" s="60">
        <f>PRODUCT('All-Servers'!G845,'All-Servers'!$H845)</f>
        <v>20</v>
      </c>
    </row>
    <row r="836" spans="8:11">
      <c r="H836" s="60">
        <f>PRODUCT('All-Servers'!D846,'All-Servers'!$H846)</f>
        <v>1</v>
      </c>
      <c r="I836" s="60">
        <f>PRODUCT('All-Servers'!E846,'All-Servers'!$H846)</f>
        <v>2000</v>
      </c>
      <c r="J836" s="60">
        <f>PRODUCT('All-Servers'!F846,'All-Servers'!$H846)</f>
        <v>0</v>
      </c>
      <c r="K836" s="60">
        <f>PRODUCT('All-Servers'!G846,'All-Servers'!$H846)</f>
        <v>20</v>
      </c>
    </row>
    <row r="837" spans="8:11">
      <c r="H837" s="60">
        <f>PRODUCT('All-Servers'!D847,'All-Servers'!$H847)</f>
        <v>2</v>
      </c>
      <c r="I837" s="60">
        <f>PRODUCT('All-Servers'!E847,'All-Servers'!$H847)</f>
        <v>4000</v>
      </c>
      <c r="J837" s="60">
        <f>PRODUCT('All-Servers'!F847,'All-Servers'!$H847)</f>
        <v>0</v>
      </c>
      <c r="K837" s="60">
        <f>PRODUCT('All-Servers'!G847,'All-Servers'!$H847)</f>
        <v>20</v>
      </c>
    </row>
    <row r="838" spans="8:11">
      <c r="H838" s="60">
        <f>PRODUCT('All-Servers'!D848,'All-Servers'!$H848)</f>
        <v>2</v>
      </c>
      <c r="I838" s="60">
        <f>PRODUCT('All-Servers'!E848,'All-Servers'!$H848)</f>
        <v>4000</v>
      </c>
      <c r="J838" s="60">
        <f>PRODUCT('All-Servers'!F848,'All-Servers'!$H848)</f>
        <v>0</v>
      </c>
      <c r="K838" s="60">
        <f>PRODUCT('All-Servers'!G848,'All-Servers'!$H848)</f>
        <v>20</v>
      </c>
    </row>
    <row r="839" spans="8:11">
      <c r="H839" s="60">
        <f>PRODUCT('All-Servers'!D849,'All-Servers'!$H849)</f>
        <v>2</v>
      </c>
      <c r="I839" s="60">
        <f>PRODUCT('All-Servers'!E849,'All-Servers'!$H849)</f>
        <v>4000</v>
      </c>
      <c r="J839" s="60">
        <f>PRODUCT('All-Servers'!F849,'All-Servers'!$H849)</f>
        <v>0</v>
      </c>
      <c r="K839" s="60">
        <f>PRODUCT('All-Servers'!G849,'All-Servers'!$H849)</f>
        <v>20</v>
      </c>
    </row>
    <row r="840" spans="8:11">
      <c r="H840" s="60">
        <f>PRODUCT('All-Servers'!D850,'All-Servers'!$H850)</f>
        <v>1</v>
      </c>
      <c r="I840" s="60">
        <f>PRODUCT('All-Servers'!E850,'All-Servers'!$H850)</f>
        <v>2000</v>
      </c>
      <c r="J840" s="60">
        <f>PRODUCT('All-Servers'!F850,'All-Servers'!$H850)</f>
        <v>0</v>
      </c>
      <c r="K840" s="60">
        <f>PRODUCT('All-Servers'!G850,'All-Servers'!$H850)</f>
        <v>20</v>
      </c>
    </row>
    <row r="841" spans="8:11">
      <c r="H841" s="60">
        <f>PRODUCT('All-Servers'!D851,'All-Servers'!$H851)</f>
        <v>1</v>
      </c>
      <c r="I841" s="60">
        <f>PRODUCT('All-Servers'!E851,'All-Servers'!$H851)</f>
        <v>2000</v>
      </c>
      <c r="J841" s="60">
        <f>PRODUCT('All-Servers'!F851,'All-Servers'!$H851)</f>
        <v>0</v>
      </c>
      <c r="K841" s="60">
        <f>PRODUCT('All-Servers'!G851,'All-Servers'!$H851)</f>
        <v>20</v>
      </c>
    </row>
    <row r="842" spans="8:11">
      <c r="H842" s="60">
        <f>PRODUCT('All-Servers'!D852,'All-Servers'!$H852)</f>
        <v>2</v>
      </c>
      <c r="I842" s="60">
        <f>PRODUCT('All-Servers'!E852,'All-Servers'!$H852)</f>
        <v>4000</v>
      </c>
      <c r="J842" s="60">
        <f>PRODUCT('All-Servers'!F852,'All-Servers'!$H852)</f>
        <v>0</v>
      </c>
      <c r="K842" s="60">
        <f>PRODUCT('All-Servers'!G852,'All-Servers'!$H852)</f>
        <v>20</v>
      </c>
    </row>
    <row r="843" spans="8:11">
      <c r="H843" s="60">
        <f>PRODUCT('All-Servers'!D853,'All-Servers'!$H853)</f>
        <v>2</v>
      </c>
      <c r="I843" s="60">
        <f>PRODUCT('All-Servers'!E853,'All-Servers'!$H853)</f>
        <v>4000</v>
      </c>
      <c r="J843" s="60">
        <f>PRODUCT('All-Servers'!F853,'All-Servers'!$H853)</f>
        <v>0</v>
      </c>
      <c r="K843" s="60">
        <f>PRODUCT('All-Servers'!G853,'All-Servers'!$H853)</f>
        <v>20</v>
      </c>
    </row>
    <row r="844" spans="8:11">
      <c r="H844" s="60">
        <f>PRODUCT('All-Servers'!D854,'All-Servers'!$H854)</f>
        <v>1</v>
      </c>
      <c r="I844" s="60">
        <f>PRODUCT('All-Servers'!E854,'All-Servers'!$H854)</f>
        <v>2000</v>
      </c>
      <c r="J844" s="60">
        <f>PRODUCT('All-Servers'!F854,'All-Servers'!$H854)</f>
        <v>0</v>
      </c>
      <c r="K844" s="60">
        <f>PRODUCT('All-Servers'!G854,'All-Servers'!$H854)</f>
        <v>20</v>
      </c>
    </row>
    <row r="845" spans="8:11">
      <c r="H845" s="60">
        <f>PRODUCT('All-Servers'!D855,'All-Servers'!$H855)</f>
        <v>1</v>
      </c>
      <c r="I845" s="60">
        <f>PRODUCT('All-Servers'!E855,'All-Servers'!$H855)</f>
        <v>2000</v>
      </c>
      <c r="J845" s="60">
        <f>PRODUCT('All-Servers'!F855,'All-Servers'!$H855)</f>
        <v>0</v>
      </c>
      <c r="K845" s="60">
        <f>PRODUCT('All-Servers'!G855,'All-Servers'!$H855)</f>
        <v>20</v>
      </c>
    </row>
    <row r="846" spans="8:11">
      <c r="H846" s="60">
        <f>PRODUCT('All-Servers'!D856,'All-Servers'!$H856)</f>
        <v>1</v>
      </c>
      <c r="I846" s="60">
        <f>PRODUCT('All-Servers'!E856,'All-Servers'!$H856)</f>
        <v>2000</v>
      </c>
      <c r="J846" s="60">
        <f>PRODUCT('All-Servers'!F856,'All-Servers'!$H856)</f>
        <v>0</v>
      </c>
      <c r="K846" s="60">
        <f>PRODUCT('All-Servers'!G856,'All-Servers'!$H856)</f>
        <v>20</v>
      </c>
    </row>
    <row r="847" spans="8:11">
      <c r="H847" s="60">
        <f>PRODUCT('All-Servers'!D857,'All-Servers'!$H857)</f>
        <v>4</v>
      </c>
      <c r="I847" s="60">
        <f>PRODUCT('All-Servers'!E857,'All-Servers'!$H857)</f>
        <v>7500</v>
      </c>
      <c r="J847" s="60">
        <f>PRODUCT('All-Servers'!F857,'All-Servers'!$H857)</f>
        <v>80</v>
      </c>
      <c r="K847" s="60">
        <f>PRODUCT('All-Servers'!G857,'All-Servers'!$H857)</f>
        <v>420</v>
      </c>
    </row>
    <row r="848" spans="8:11">
      <c r="H848" s="60">
        <f>PRODUCT('All-Servers'!D858,'All-Servers'!$H858)</f>
        <v>4</v>
      </c>
      <c r="I848" s="60">
        <f>PRODUCT('All-Servers'!E858,'All-Servers'!$H858)</f>
        <v>7500</v>
      </c>
      <c r="J848" s="60">
        <f>PRODUCT('All-Servers'!F858,'All-Servers'!$H858)</f>
        <v>80</v>
      </c>
      <c r="K848" s="60">
        <f>PRODUCT('All-Servers'!G858,'All-Servers'!$H858)</f>
        <v>420</v>
      </c>
    </row>
    <row r="849" spans="8:11">
      <c r="H849" s="60">
        <f>PRODUCT('All-Servers'!D859,'All-Servers'!$H859)</f>
        <v>4</v>
      </c>
      <c r="I849" s="60">
        <f>PRODUCT('All-Servers'!E859,'All-Servers'!$H859)</f>
        <v>7500</v>
      </c>
      <c r="J849" s="60">
        <f>PRODUCT('All-Servers'!F859,'All-Servers'!$H859)</f>
        <v>80</v>
      </c>
      <c r="K849" s="60">
        <f>PRODUCT('All-Servers'!G859,'All-Servers'!$H859)</f>
        <v>1420</v>
      </c>
    </row>
    <row r="850" spans="8:11">
      <c r="H850" s="60">
        <f>PRODUCT('All-Servers'!D860,'All-Servers'!$H860)</f>
        <v>1</v>
      </c>
      <c r="I850" s="60">
        <f>PRODUCT('All-Servers'!E860,'All-Servers'!$H860)</f>
        <v>2000</v>
      </c>
      <c r="J850" s="60">
        <f>PRODUCT('All-Servers'!F860,'All-Servers'!$H860)</f>
        <v>0</v>
      </c>
      <c r="K850" s="60">
        <f>PRODUCT('All-Servers'!G860,'All-Servers'!$H860)</f>
        <v>20</v>
      </c>
    </row>
    <row r="851" spans="8:11">
      <c r="H851" s="60">
        <f>PRODUCT('All-Servers'!D861,'All-Servers'!$H861)</f>
        <v>2</v>
      </c>
      <c r="I851" s="60">
        <f>PRODUCT('All-Servers'!E861,'All-Servers'!$H861)</f>
        <v>3750</v>
      </c>
      <c r="J851" s="60">
        <f>PRODUCT('All-Servers'!F861,'All-Servers'!$H861)</f>
        <v>32</v>
      </c>
      <c r="K851" s="60">
        <f>PRODUCT('All-Servers'!G861,'All-Servers'!$H861)</f>
        <v>20</v>
      </c>
    </row>
    <row r="852" spans="8:11">
      <c r="H852" s="60">
        <f>PRODUCT('All-Servers'!D862,'All-Servers'!$H862)</f>
        <v>1</v>
      </c>
      <c r="I852" s="60">
        <f>PRODUCT('All-Servers'!E862,'All-Servers'!$H862)</f>
        <v>2000</v>
      </c>
      <c r="J852" s="60">
        <f>PRODUCT('All-Servers'!F862,'All-Servers'!$H862)</f>
        <v>0</v>
      </c>
      <c r="K852" s="60">
        <f>PRODUCT('All-Servers'!G862,'All-Servers'!$H862)</f>
        <v>20</v>
      </c>
    </row>
    <row r="853" spans="8:11">
      <c r="H853" s="60">
        <f>PRODUCT('All-Servers'!D863,'All-Servers'!$H863)</f>
        <v>1</v>
      </c>
      <c r="I853" s="60">
        <f>PRODUCT('All-Servers'!E863,'All-Servers'!$H863)</f>
        <v>2000</v>
      </c>
      <c r="J853" s="60">
        <f>PRODUCT('All-Servers'!F863,'All-Servers'!$H863)</f>
        <v>0</v>
      </c>
      <c r="K853" s="60">
        <f>PRODUCT('All-Servers'!G863,'All-Servers'!$H863)</f>
        <v>20</v>
      </c>
    </row>
    <row r="854" spans="8:11">
      <c r="H854" s="60">
        <f>PRODUCT('All-Servers'!D864,'All-Servers'!$H864)</f>
        <v>1</v>
      </c>
      <c r="I854" s="60">
        <f>PRODUCT('All-Servers'!E864,'All-Servers'!$H864)</f>
        <v>2000</v>
      </c>
      <c r="J854" s="60">
        <f>PRODUCT('All-Servers'!F864,'All-Servers'!$H864)</f>
        <v>0</v>
      </c>
      <c r="K854" s="60">
        <f>PRODUCT('All-Servers'!G864,'All-Servers'!$H864)</f>
        <v>20</v>
      </c>
    </row>
    <row r="855" spans="8:11">
      <c r="H855" s="60">
        <f>PRODUCT('All-Servers'!D865,'All-Servers'!$H865)</f>
        <v>1</v>
      </c>
      <c r="I855" s="60">
        <f>PRODUCT('All-Servers'!E865,'All-Servers'!$H865)</f>
        <v>2000</v>
      </c>
      <c r="J855" s="60">
        <f>PRODUCT('All-Servers'!F865,'All-Servers'!$H865)</f>
        <v>0</v>
      </c>
      <c r="K855" s="60">
        <f>PRODUCT('All-Servers'!G865,'All-Servers'!$H865)</f>
        <v>20</v>
      </c>
    </row>
    <row r="856" spans="8:11">
      <c r="H856" s="60">
        <f>PRODUCT('All-Servers'!D866,'All-Servers'!$H866)</f>
        <v>2</v>
      </c>
      <c r="I856" s="60">
        <f>PRODUCT('All-Servers'!E866,'All-Servers'!$H866)</f>
        <v>3750</v>
      </c>
      <c r="J856" s="60">
        <f>PRODUCT('All-Servers'!F866,'All-Servers'!$H866)</f>
        <v>32</v>
      </c>
      <c r="K856" s="60">
        <f>PRODUCT('All-Servers'!G866,'All-Servers'!$H866)</f>
        <v>20</v>
      </c>
    </row>
    <row r="857" spans="8:11">
      <c r="H857" s="60">
        <f>PRODUCT('All-Servers'!D867,'All-Servers'!$H867)</f>
        <v>1</v>
      </c>
      <c r="I857" s="60">
        <f>PRODUCT('All-Servers'!E867,'All-Servers'!$H867)</f>
        <v>2000</v>
      </c>
      <c r="J857" s="60">
        <f>PRODUCT('All-Servers'!F867,'All-Servers'!$H867)</f>
        <v>0</v>
      </c>
      <c r="K857" s="60">
        <f>PRODUCT('All-Servers'!G867,'All-Servers'!$H867)</f>
        <v>20</v>
      </c>
    </row>
    <row r="858" spans="8:11">
      <c r="H858" s="60">
        <f>PRODUCT('All-Servers'!D868,'All-Servers'!$H868)</f>
        <v>1</v>
      </c>
      <c r="I858" s="60">
        <f>PRODUCT('All-Servers'!E868,'All-Servers'!$H868)</f>
        <v>2000</v>
      </c>
      <c r="J858" s="60">
        <f>PRODUCT('All-Servers'!F868,'All-Servers'!$H868)</f>
        <v>0</v>
      </c>
      <c r="K858" s="60">
        <f>PRODUCT('All-Servers'!G868,'All-Servers'!$H868)</f>
        <v>20</v>
      </c>
    </row>
    <row r="859" spans="8:11">
      <c r="H859" s="60">
        <f>PRODUCT('All-Servers'!D869,'All-Servers'!$H869)</f>
        <v>1</v>
      </c>
      <c r="I859" s="60">
        <f>PRODUCT('All-Servers'!E869,'All-Servers'!$H869)</f>
        <v>2000</v>
      </c>
      <c r="J859" s="60">
        <f>PRODUCT('All-Servers'!F869,'All-Servers'!$H869)</f>
        <v>0</v>
      </c>
      <c r="K859" s="60">
        <f>PRODUCT('All-Servers'!G869,'All-Servers'!$H869)</f>
        <v>20</v>
      </c>
    </row>
    <row r="860" spans="8:11">
      <c r="H860" s="60">
        <f>PRODUCT('All-Servers'!D870,'All-Servers'!$H870)</f>
        <v>1</v>
      </c>
      <c r="I860" s="60">
        <f>PRODUCT('All-Servers'!E870,'All-Servers'!$H870)</f>
        <v>2000</v>
      </c>
      <c r="J860" s="60">
        <f>PRODUCT('All-Servers'!F870,'All-Servers'!$H870)</f>
        <v>0</v>
      </c>
      <c r="K860" s="60">
        <f>PRODUCT('All-Servers'!G870,'All-Servers'!$H870)</f>
        <v>20</v>
      </c>
    </row>
    <row r="861" spans="8:11">
      <c r="H861" s="60">
        <f>PRODUCT('All-Servers'!D871,'All-Servers'!$H871)</f>
        <v>1</v>
      </c>
      <c r="I861" s="60">
        <f>PRODUCT('All-Servers'!E871,'All-Servers'!$H871)</f>
        <v>2000</v>
      </c>
      <c r="J861" s="60">
        <f>PRODUCT('All-Servers'!F871,'All-Servers'!$H871)</f>
        <v>0</v>
      </c>
      <c r="K861" s="60">
        <f>PRODUCT('All-Servers'!G871,'All-Servers'!$H871)</f>
        <v>20</v>
      </c>
    </row>
    <row r="862" spans="8:11">
      <c r="H862" s="60">
        <f>PRODUCT('All-Servers'!D872,'All-Servers'!$H872)</f>
        <v>1</v>
      </c>
      <c r="I862" s="60">
        <f>PRODUCT('All-Servers'!E872,'All-Servers'!$H872)</f>
        <v>2000</v>
      </c>
      <c r="J862" s="60">
        <f>PRODUCT('All-Servers'!F872,'All-Servers'!$H872)</f>
        <v>0</v>
      </c>
      <c r="K862" s="60">
        <f>PRODUCT('All-Servers'!G872,'All-Servers'!$H872)</f>
        <v>20</v>
      </c>
    </row>
    <row r="863" spans="8:11">
      <c r="H863" s="60">
        <f>PRODUCT('All-Servers'!D873,'All-Servers'!$H873)</f>
        <v>1</v>
      </c>
      <c r="I863" s="60">
        <f>PRODUCT('All-Servers'!E873,'All-Servers'!$H873)</f>
        <v>2000</v>
      </c>
      <c r="J863" s="60">
        <f>PRODUCT('All-Servers'!F873,'All-Servers'!$H873)</f>
        <v>0</v>
      </c>
      <c r="K863" s="60">
        <f>PRODUCT('All-Servers'!G873,'All-Servers'!$H873)</f>
        <v>20</v>
      </c>
    </row>
    <row r="864" spans="8:11">
      <c r="H864" s="60">
        <f>PRODUCT('All-Servers'!D874,'All-Servers'!$H874)</f>
        <v>1</v>
      </c>
      <c r="I864" s="60">
        <f>PRODUCT('All-Servers'!E874,'All-Servers'!$H874)</f>
        <v>2000</v>
      </c>
      <c r="J864" s="60">
        <f>PRODUCT('All-Servers'!F874,'All-Servers'!$H874)</f>
        <v>0</v>
      </c>
      <c r="K864" s="60">
        <f>PRODUCT('All-Servers'!G874,'All-Servers'!$H874)</f>
        <v>20</v>
      </c>
    </row>
    <row r="865" spans="8:11">
      <c r="H865" s="60">
        <f>PRODUCT('All-Servers'!D875,'All-Servers'!$H875)</f>
        <v>1</v>
      </c>
      <c r="I865" s="60">
        <f>PRODUCT('All-Servers'!E875,'All-Servers'!$H875)</f>
        <v>2000</v>
      </c>
      <c r="J865" s="60">
        <f>PRODUCT('All-Servers'!F875,'All-Servers'!$H875)</f>
        <v>0</v>
      </c>
      <c r="K865" s="60">
        <f>PRODUCT('All-Servers'!G875,'All-Servers'!$H875)</f>
        <v>20</v>
      </c>
    </row>
    <row r="866" spans="8:11">
      <c r="H866" s="60">
        <f>PRODUCT('All-Servers'!D876,'All-Servers'!$H876)</f>
        <v>2</v>
      </c>
      <c r="I866" s="60">
        <f>PRODUCT('All-Servers'!E876,'All-Servers'!$H876)</f>
        <v>7500</v>
      </c>
      <c r="J866" s="60">
        <f>PRODUCT('All-Servers'!F876,'All-Servers'!$H876)</f>
        <v>32</v>
      </c>
      <c r="K866" s="60">
        <f>PRODUCT('All-Servers'!G876,'All-Servers'!$H876)</f>
        <v>100</v>
      </c>
    </row>
    <row r="867" spans="8:11">
      <c r="H867" s="60">
        <f>PRODUCT('All-Servers'!D877,'All-Servers'!$H877)</f>
        <v>1</v>
      </c>
      <c r="I867" s="60">
        <f>PRODUCT('All-Servers'!E877,'All-Servers'!$H877)</f>
        <v>2000</v>
      </c>
      <c r="J867" s="60">
        <f>PRODUCT('All-Servers'!F877,'All-Servers'!$H877)</f>
        <v>0</v>
      </c>
      <c r="K867" s="60">
        <f>PRODUCT('All-Servers'!G877,'All-Servers'!$H877)</f>
        <v>20</v>
      </c>
    </row>
    <row r="868" spans="8:11">
      <c r="H868" s="60">
        <f>PRODUCT('All-Servers'!D878,'All-Servers'!$H878)</f>
        <v>1</v>
      </c>
      <c r="I868" s="60">
        <f>PRODUCT('All-Servers'!E878,'All-Servers'!$H878)</f>
        <v>2000</v>
      </c>
      <c r="J868" s="60">
        <f>PRODUCT('All-Servers'!F878,'All-Servers'!$H878)</f>
        <v>0</v>
      </c>
      <c r="K868" s="60">
        <f>PRODUCT('All-Servers'!G878,'All-Servers'!$H878)</f>
        <v>20</v>
      </c>
    </row>
    <row r="869" spans="8:11">
      <c r="H869" s="60">
        <f>PRODUCT('All-Servers'!D879,'All-Servers'!$H879)</f>
        <v>2</v>
      </c>
      <c r="I869" s="60">
        <f>PRODUCT('All-Servers'!E879,'All-Servers'!$H879)</f>
        <v>7500</v>
      </c>
      <c r="J869" s="60">
        <f>PRODUCT('All-Servers'!F879,'All-Servers'!$H879)</f>
        <v>32</v>
      </c>
      <c r="K869" s="60">
        <f>PRODUCT('All-Servers'!G879,'All-Servers'!$H879)</f>
        <v>420</v>
      </c>
    </row>
    <row r="870" spans="8:11">
      <c r="H870" s="60">
        <f>PRODUCT('All-Servers'!D880,'All-Servers'!$H880)</f>
        <v>2</v>
      </c>
      <c r="I870" s="60">
        <f>PRODUCT('All-Servers'!E880,'All-Servers'!$H880)</f>
        <v>7500</v>
      </c>
      <c r="J870" s="60">
        <f>PRODUCT('All-Servers'!F880,'All-Servers'!$H880)</f>
        <v>32</v>
      </c>
      <c r="K870" s="60">
        <f>PRODUCT('All-Servers'!G880,'All-Servers'!$H880)</f>
        <v>820</v>
      </c>
    </row>
    <row r="871" spans="8:11">
      <c r="H871" s="60">
        <f>PRODUCT('All-Servers'!D881,'All-Servers'!$H881)</f>
        <v>2</v>
      </c>
      <c r="I871" s="60">
        <f>PRODUCT('All-Servers'!E881,'All-Servers'!$H881)</f>
        <v>7500</v>
      </c>
      <c r="J871" s="60">
        <f>PRODUCT('All-Servers'!F881,'All-Servers'!$H881)</f>
        <v>32</v>
      </c>
      <c r="K871" s="60">
        <f>PRODUCT('All-Servers'!G881,'All-Servers'!$H881)</f>
        <v>420</v>
      </c>
    </row>
    <row r="872" spans="8:11">
      <c r="H872" s="60">
        <f>PRODUCT('All-Servers'!D882,'All-Servers'!$H882)</f>
        <v>2</v>
      </c>
      <c r="I872" s="60">
        <f>PRODUCT('All-Servers'!E882,'All-Servers'!$H882)</f>
        <v>4000</v>
      </c>
      <c r="J872" s="60">
        <f>PRODUCT('All-Servers'!F882,'All-Servers'!$H882)</f>
        <v>0</v>
      </c>
      <c r="K872" s="60">
        <f>PRODUCT('All-Servers'!G882,'All-Servers'!$H882)</f>
        <v>20</v>
      </c>
    </row>
    <row r="873" spans="8:11">
      <c r="H873" s="60">
        <f>PRODUCT('All-Servers'!D883,'All-Servers'!$H883)</f>
        <v>2</v>
      </c>
      <c r="I873" s="60">
        <f>PRODUCT('All-Servers'!E883,'All-Servers'!$H883)</f>
        <v>7500</v>
      </c>
      <c r="J873" s="60">
        <f>PRODUCT('All-Servers'!F883,'All-Servers'!$H883)</f>
        <v>32</v>
      </c>
      <c r="K873" s="60">
        <f>PRODUCT('All-Servers'!G883,'All-Servers'!$H883)</f>
        <v>420</v>
      </c>
    </row>
    <row r="874" spans="8:11">
      <c r="H874" s="60">
        <f>PRODUCT('All-Servers'!D884,'All-Servers'!$H884)</f>
        <v>1</v>
      </c>
      <c r="I874" s="60">
        <f>PRODUCT('All-Servers'!E884,'All-Servers'!$H884)</f>
        <v>3750</v>
      </c>
      <c r="J874" s="60">
        <f>PRODUCT('All-Servers'!F884,'All-Servers'!$H884)</f>
        <v>4</v>
      </c>
      <c r="K874" s="60">
        <f>PRODUCT('All-Servers'!G884,'All-Servers'!$H884)</f>
        <v>1420</v>
      </c>
    </row>
    <row r="875" spans="8:11">
      <c r="H875" s="60">
        <f>PRODUCT('All-Servers'!D885,'All-Servers'!$H885)</f>
        <v>1</v>
      </c>
      <c r="I875" s="60">
        <f>PRODUCT('All-Servers'!E885,'All-Servers'!$H885)</f>
        <v>3750</v>
      </c>
      <c r="J875" s="60">
        <f>PRODUCT('All-Servers'!F885,'All-Servers'!$H885)</f>
        <v>4</v>
      </c>
      <c r="K875" s="60">
        <f>PRODUCT('All-Servers'!G885,'All-Servers'!$H885)</f>
        <v>420</v>
      </c>
    </row>
    <row r="876" spans="8:11">
      <c r="H876" s="60">
        <f>PRODUCT('All-Servers'!D886,'All-Servers'!$H886)</f>
        <v>1</v>
      </c>
      <c r="I876" s="60">
        <f>PRODUCT('All-Servers'!E886,'All-Servers'!$H886)</f>
        <v>3750</v>
      </c>
      <c r="J876" s="60">
        <f>PRODUCT('All-Servers'!F886,'All-Servers'!$H886)</f>
        <v>4</v>
      </c>
      <c r="K876" s="60">
        <f>PRODUCT('All-Servers'!G886,'All-Servers'!$H886)</f>
        <v>420</v>
      </c>
    </row>
    <row r="877" spans="8:11">
      <c r="H877" s="60">
        <f>PRODUCT('All-Servers'!D887,'All-Servers'!$H887)</f>
        <v>1</v>
      </c>
      <c r="I877" s="60">
        <f>PRODUCT('All-Servers'!E887,'All-Servers'!$H887)</f>
        <v>3750</v>
      </c>
      <c r="J877" s="60">
        <f>PRODUCT('All-Servers'!F887,'All-Servers'!$H887)</f>
        <v>4</v>
      </c>
      <c r="K877" s="60">
        <f>PRODUCT('All-Servers'!G887,'All-Servers'!$H887)</f>
        <v>420</v>
      </c>
    </row>
    <row r="878" spans="8:11">
      <c r="H878" s="60">
        <f>PRODUCT('All-Servers'!D888,'All-Servers'!$H888)</f>
        <v>1</v>
      </c>
      <c r="I878" s="60">
        <f>PRODUCT('All-Servers'!E888,'All-Servers'!$H888)</f>
        <v>2000</v>
      </c>
      <c r="J878" s="60">
        <f>PRODUCT('All-Servers'!F888,'All-Servers'!$H888)</f>
        <v>0</v>
      </c>
      <c r="K878" s="60">
        <f>PRODUCT('All-Servers'!G888,'All-Servers'!$H888)</f>
        <v>20</v>
      </c>
    </row>
    <row r="879" spans="8:11">
      <c r="H879" s="60">
        <f>PRODUCT('All-Servers'!D889,'All-Servers'!$H889)</f>
        <v>2</v>
      </c>
      <c r="I879" s="60">
        <f>PRODUCT('All-Servers'!E889,'All-Servers'!$H889)</f>
        <v>4000</v>
      </c>
      <c r="J879" s="60">
        <f>PRODUCT('All-Servers'!F889,'All-Servers'!$H889)</f>
        <v>0</v>
      </c>
      <c r="K879" s="60">
        <f>PRODUCT('All-Servers'!G889,'All-Servers'!$H889)</f>
        <v>20</v>
      </c>
    </row>
    <row r="880" spans="8:11">
      <c r="H880" s="60">
        <f>PRODUCT('All-Servers'!D890,'All-Servers'!$H890)</f>
        <v>2</v>
      </c>
      <c r="I880" s="60">
        <f>PRODUCT('All-Servers'!E890,'All-Servers'!$H890)</f>
        <v>4000</v>
      </c>
      <c r="J880" s="60">
        <f>PRODUCT('All-Servers'!F890,'All-Servers'!$H890)</f>
        <v>0</v>
      </c>
      <c r="K880" s="60">
        <f>PRODUCT('All-Servers'!G890,'All-Servers'!$H890)</f>
        <v>20</v>
      </c>
    </row>
    <row r="881" spans="8:11">
      <c r="H881" s="60">
        <f>PRODUCT('All-Servers'!D891,'All-Servers'!$H891)</f>
        <v>1</v>
      </c>
      <c r="I881" s="60">
        <f>PRODUCT('All-Servers'!E891,'All-Servers'!$H891)</f>
        <v>2000</v>
      </c>
      <c r="J881" s="60">
        <f>PRODUCT('All-Servers'!F891,'All-Servers'!$H891)</f>
        <v>0</v>
      </c>
      <c r="K881" s="60">
        <f>PRODUCT('All-Servers'!G891,'All-Servers'!$H891)</f>
        <v>20</v>
      </c>
    </row>
    <row r="882" spans="8:11">
      <c r="H882" s="60">
        <f>PRODUCT('All-Servers'!D892,'All-Servers'!$H892)</f>
        <v>1</v>
      </c>
      <c r="I882" s="60">
        <f>PRODUCT('All-Servers'!E892,'All-Servers'!$H892)</f>
        <v>2000</v>
      </c>
      <c r="J882" s="60">
        <f>PRODUCT('All-Servers'!F892,'All-Servers'!$H892)</f>
        <v>0</v>
      </c>
      <c r="K882" s="60">
        <f>PRODUCT('All-Servers'!G892,'All-Servers'!$H892)</f>
        <v>20</v>
      </c>
    </row>
    <row r="883" spans="8:11">
      <c r="H883" s="60">
        <f>PRODUCT('All-Servers'!D893,'All-Servers'!$H893)</f>
        <v>1</v>
      </c>
      <c r="I883" s="60">
        <f>PRODUCT('All-Servers'!E893,'All-Servers'!$H893)</f>
        <v>2000</v>
      </c>
      <c r="J883" s="60">
        <f>PRODUCT('All-Servers'!F893,'All-Servers'!$H893)</f>
        <v>0</v>
      </c>
      <c r="K883" s="60">
        <f>PRODUCT('All-Servers'!G893,'All-Servers'!$H893)</f>
        <v>20</v>
      </c>
    </row>
    <row r="884" spans="8:11">
      <c r="H884" s="60">
        <f>PRODUCT('All-Servers'!D894,'All-Servers'!$H894)</f>
        <v>1</v>
      </c>
      <c r="I884" s="60">
        <f>PRODUCT('All-Servers'!E894,'All-Servers'!$H894)</f>
        <v>2000</v>
      </c>
      <c r="J884" s="60">
        <f>PRODUCT('All-Servers'!F894,'All-Servers'!$H894)</f>
        <v>0</v>
      </c>
      <c r="K884" s="60">
        <f>PRODUCT('All-Servers'!G894,'All-Servers'!$H894)</f>
        <v>20</v>
      </c>
    </row>
    <row r="885" spans="8:11">
      <c r="H885" s="60">
        <f>PRODUCT('All-Servers'!D895,'All-Servers'!$H895)</f>
        <v>1</v>
      </c>
      <c r="I885" s="60">
        <f>PRODUCT('All-Servers'!E895,'All-Servers'!$H895)</f>
        <v>2000</v>
      </c>
      <c r="J885" s="60">
        <f>PRODUCT('All-Servers'!F895,'All-Servers'!$H895)</f>
        <v>0</v>
      </c>
      <c r="K885" s="60">
        <f>PRODUCT('All-Servers'!G895,'All-Servers'!$H895)</f>
        <v>20</v>
      </c>
    </row>
    <row r="886" spans="8:11">
      <c r="H886" s="60">
        <f>PRODUCT('All-Servers'!D896,'All-Servers'!$H896)</f>
        <v>2</v>
      </c>
      <c r="I886" s="60">
        <f>PRODUCT('All-Servers'!E896,'All-Servers'!$H896)</f>
        <v>3750</v>
      </c>
      <c r="J886" s="60">
        <f>PRODUCT('All-Servers'!F896,'All-Servers'!$H896)</f>
        <v>32</v>
      </c>
      <c r="K886" s="60">
        <f>PRODUCT('All-Servers'!G896,'All-Servers'!$H896)</f>
        <v>8</v>
      </c>
    </row>
    <row r="887" spans="8:11">
      <c r="H887" s="60">
        <f>PRODUCT('All-Servers'!D897,'All-Servers'!$H897)</f>
        <v>2</v>
      </c>
      <c r="I887" s="60">
        <f>PRODUCT('All-Servers'!E897,'All-Servers'!$H897)</f>
        <v>3750</v>
      </c>
      <c r="J887" s="60">
        <f>PRODUCT('All-Servers'!F897,'All-Servers'!$H897)</f>
        <v>32</v>
      </c>
      <c r="K887" s="60">
        <f>PRODUCT('All-Servers'!G897,'All-Servers'!$H897)</f>
        <v>4020</v>
      </c>
    </row>
    <row r="888" spans="8:11">
      <c r="H888" s="60">
        <f>PRODUCT('All-Servers'!D898,'All-Servers'!$H898)</f>
        <v>1</v>
      </c>
      <c r="I888" s="60">
        <f>PRODUCT('All-Servers'!E898,'All-Servers'!$H898)</f>
        <v>2000</v>
      </c>
      <c r="J888" s="60">
        <f>PRODUCT('All-Servers'!F898,'All-Servers'!$H898)</f>
        <v>0</v>
      </c>
      <c r="K888" s="60">
        <f>PRODUCT('All-Servers'!G898,'All-Servers'!$H898)</f>
        <v>20</v>
      </c>
    </row>
    <row r="889" spans="8:11">
      <c r="H889" s="60">
        <f>PRODUCT('All-Servers'!D899,'All-Servers'!$H899)</f>
        <v>1</v>
      </c>
      <c r="I889" s="60">
        <f>PRODUCT('All-Servers'!E899,'All-Servers'!$H899)</f>
        <v>2000</v>
      </c>
      <c r="J889" s="60">
        <f>PRODUCT('All-Servers'!F899,'All-Servers'!$H899)</f>
        <v>0</v>
      </c>
      <c r="K889" s="60">
        <f>PRODUCT('All-Servers'!G899,'All-Servers'!$H899)</f>
        <v>20</v>
      </c>
    </row>
    <row r="890" spans="8:11">
      <c r="H890" s="60">
        <f>PRODUCT('All-Servers'!D900,'All-Servers'!$H900)</f>
        <v>1</v>
      </c>
      <c r="I890" s="60">
        <f>PRODUCT('All-Servers'!E900,'All-Servers'!$H900)</f>
        <v>2000</v>
      </c>
      <c r="J890" s="60">
        <f>PRODUCT('All-Servers'!F900,'All-Servers'!$H900)</f>
        <v>0</v>
      </c>
      <c r="K890" s="60">
        <f>PRODUCT('All-Servers'!G900,'All-Servers'!$H900)</f>
        <v>20</v>
      </c>
    </row>
    <row r="891" spans="8:11">
      <c r="H891" s="60">
        <f>PRODUCT('All-Servers'!D901,'All-Servers'!$H901)</f>
        <v>1</v>
      </c>
      <c r="I891" s="60">
        <f>PRODUCT('All-Servers'!E901,'All-Servers'!$H901)</f>
        <v>1700</v>
      </c>
      <c r="J891" s="60">
        <f>PRODUCT('All-Servers'!F901,'All-Servers'!$H901)</f>
        <v>160</v>
      </c>
      <c r="K891" s="60">
        <f>PRODUCT('All-Servers'!G901,'All-Servers'!$H901)</f>
        <v>420</v>
      </c>
    </row>
    <row r="892" spans="8:11">
      <c r="H892" s="60">
        <f>PRODUCT('All-Servers'!D902,'All-Servers'!$H902)</f>
        <v>1</v>
      </c>
      <c r="I892" s="60">
        <f>PRODUCT('All-Servers'!E902,'All-Servers'!$H902)</f>
        <v>1700</v>
      </c>
      <c r="J892" s="60">
        <f>PRODUCT('All-Servers'!F902,'All-Servers'!$H902)</f>
        <v>160</v>
      </c>
      <c r="K892" s="60">
        <f>PRODUCT('All-Servers'!G902,'All-Servers'!$H902)</f>
        <v>420</v>
      </c>
    </row>
    <row r="893" spans="8:11">
      <c r="H893" s="60">
        <f>PRODUCT('All-Servers'!D903,'All-Servers'!$H903)</f>
        <v>1</v>
      </c>
      <c r="I893" s="60">
        <f>PRODUCT('All-Servers'!E903,'All-Servers'!$H903)</f>
        <v>1700</v>
      </c>
      <c r="J893" s="60">
        <f>PRODUCT('All-Servers'!F903,'All-Servers'!$H903)</f>
        <v>160</v>
      </c>
      <c r="K893" s="60">
        <f>PRODUCT('All-Servers'!G903,'All-Servers'!$H903)</f>
        <v>820</v>
      </c>
    </row>
    <row r="894" spans="8:11">
      <c r="H894" s="60">
        <f>PRODUCT('All-Servers'!D904,'All-Servers'!$H904)</f>
        <v>8</v>
      </c>
      <c r="I894" s="60">
        <f>PRODUCT('All-Servers'!E904,'All-Servers'!$H904)</f>
        <v>30000</v>
      </c>
      <c r="J894" s="60">
        <f>PRODUCT('All-Servers'!F904,'All-Servers'!$H904)</f>
        <v>160</v>
      </c>
      <c r="K894" s="60">
        <f>PRODUCT('All-Servers'!G904,'All-Servers'!$H904)</f>
        <v>200</v>
      </c>
    </row>
    <row r="895" spans="8:11">
      <c r="H895" s="60">
        <f>PRODUCT('All-Servers'!D905,'All-Servers'!$H905)</f>
        <v>1</v>
      </c>
      <c r="I895" s="60">
        <f>PRODUCT('All-Servers'!E905,'All-Servers'!$H905)</f>
        <v>2000</v>
      </c>
      <c r="J895" s="60">
        <f>PRODUCT('All-Servers'!F905,'All-Servers'!$H905)</f>
        <v>0</v>
      </c>
      <c r="K895" s="60">
        <f>PRODUCT('All-Servers'!G905,'All-Servers'!$H905)</f>
        <v>20</v>
      </c>
    </row>
    <row r="896" spans="8:11">
      <c r="H896" s="60">
        <f>PRODUCT('All-Servers'!D906,'All-Servers'!$H906)</f>
        <v>1</v>
      </c>
      <c r="I896" s="60">
        <f>PRODUCT('All-Servers'!E906,'All-Servers'!$H906)</f>
        <v>2000</v>
      </c>
      <c r="J896" s="60">
        <f>PRODUCT('All-Servers'!F906,'All-Servers'!$H906)</f>
        <v>0</v>
      </c>
      <c r="K896" s="60">
        <f>PRODUCT('All-Servers'!G906,'All-Servers'!$H906)</f>
        <v>20</v>
      </c>
    </row>
    <row r="897" spans="8:11">
      <c r="H897" s="60">
        <f>PRODUCT('All-Servers'!D907,'All-Servers'!$H907)</f>
        <v>1</v>
      </c>
      <c r="I897" s="60">
        <f>PRODUCT('All-Servers'!E907,'All-Servers'!$H907)</f>
        <v>2000</v>
      </c>
      <c r="J897" s="60">
        <f>PRODUCT('All-Servers'!F907,'All-Servers'!$H907)</f>
        <v>0</v>
      </c>
      <c r="K897" s="60">
        <f>PRODUCT('All-Servers'!G907,'All-Servers'!$H907)</f>
        <v>20</v>
      </c>
    </row>
    <row r="898" spans="8:11">
      <c r="H898" s="60">
        <f>PRODUCT('All-Servers'!D908,'All-Servers'!$H908)</f>
        <v>16</v>
      </c>
      <c r="I898" s="60">
        <f>PRODUCT('All-Servers'!E908,'All-Servers'!$H908)</f>
        <v>30000</v>
      </c>
      <c r="J898" s="60">
        <f>PRODUCT('All-Servers'!F908,'All-Servers'!$H908)</f>
        <v>320</v>
      </c>
      <c r="K898" s="60">
        <f>PRODUCT('All-Servers'!G908,'All-Servers'!$H908)</f>
        <v>20</v>
      </c>
    </row>
    <row r="899" spans="8:11">
      <c r="H899" s="60">
        <f>PRODUCT('All-Servers'!D909,'All-Servers'!$H909)</f>
        <v>1</v>
      </c>
      <c r="I899" s="60">
        <f>PRODUCT('All-Servers'!E909,'All-Servers'!$H909)</f>
        <v>2000</v>
      </c>
      <c r="J899" s="60">
        <f>PRODUCT('All-Servers'!F909,'All-Servers'!$H909)</f>
        <v>0</v>
      </c>
      <c r="K899" s="60">
        <f>PRODUCT('All-Servers'!G909,'All-Servers'!$H909)</f>
        <v>20</v>
      </c>
    </row>
    <row r="900" spans="8:11">
      <c r="H900" s="60">
        <f>PRODUCT('All-Servers'!D910,'All-Servers'!$H910)</f>
        <v>1</v>
      </c>
      <c r="I900" s="60">
        <f>PRODUCT('All-Servers'!E910,'All-Servers'!$H910)</f>
        <v>2000</v>
      </c>
      <c r="J900" s="60">
        <f>PRODUCT('All-Servers'!F910,'All-Servers'!$H910)</f>
        <v>0</v>
      </c>
      <c r="K900" s="60">
        <f>PRODUCT('All-Servers'!G910,'All-Servers'!$H910)</f>
        <v>20</v>
      </c>
    </row>
    <row r="901" spans="8:11">
      <c r="H901" s="60">
        <f>PRODUCT('All-Servers'!D911,'All-Servers'!$H911)</f>
        <v>1</v>
      </c>
      <c r="I901" s="60">
        <f>PRODUCT('All-Servers'!E911,'All-Servers'!$H911)</f>
        <v>2000</v>
      </c>
      <c r="J901" s="60">
        <f>PRODUCT('All-Servers'!F911,'All-Servers'!$H911)</f>
        <v>0</v>
      </c>
      <c r="K901" s="60">
        <f>PRODUCT('All-Servers'!G911,'All-Servers'!$H911)</f>
        <v>20</v>
      </c>
    </row>
    <row r="902" spans="8:11">
      <c r="H902" s="60">
        <f>PRODUCT('All-Servers'!D912,'All-Servers'!$H912)</f>
        <v>1</v>
      </c>
      <c r="I902" s="60">
        <f>PRODUCT('All-Servers'!E912,'All-Servers'!$H912)</f>
        <v>3750</v>
      </c>
      <c r="J902" s="60">
        <f>PRODUCT('All-Servers'!F912,'All-Servers'!$H912)</f>
        <v>410</v>
      </c>
      <c r="K902" s="60">
        <f>PRODUCT('All-Servers'!G912,'All-Servers'!$H912)</f>
        <v>20</v>
      </c>
    </row>
    <row r="903" spans="8:11">
      <c r="H903" s="60">
        <f>PRODUCT('All-Servers'!D913,'All-Servers'!$H913)</f>
        <v>1</v>
      </c>
      <c r="I903" s="60">
        <f>PRODUCT('All-Servers'!E913,'All-Servers'!$H913)</f>
        <v>2000</v>
      </c>
      <c r="J903" s="60">
        <f>PRODUCT('All-Servers'!F913,'All-Servers'!$H913)</f>
        <v>0</v>
      </c>
      <c r="K903" s="60">
        <f>PRODUCT('All-Servers'!G913,'All-Servers'!$H913)</f>
        <v>20</v>
      </c>
    </row>
    <row r="904" spans="8:11">
      <c r="H904" s="60">
        <f>PRODUCT('All-Servers'!D914,'All-Servers'!$H914)</f>
        <v>1</v>
      </c>
      <c r="I904" s="60">
        <f>PRODUCT('All-Servers'!E914,'All-Servers'!$H914)</f>
        <v>2000</v>
      </c>
      <c r="J904" s="60">
        <f>PRODUCT('All-Servers'!F914,'All-Servers'!$H914)</f>
        <v>0</v>
      </c>
      <c r="K904" s="60">
        <f>PRODUCT('All-Servers'!G914,'All-Servers'!$H914)</f>
        <v>20</v>
      </c>
    </row>
    <row r="905" spans="8:11">
      <c r="H905" s="60">
        <f>PRODUCT('All-Servers'!D915,'All-Servers'!$H915)</f>
        <v>1</v>
      </c>
      <c r="I905" s="60">
        <f>PRODUCT('All-Servers'!E915,'All-Servers'!$H915)</f>
        <v>1700</v>
      </c>
      <c r="J905" s="60">
        <f>PRODUCT('All-Servers'!F915,'All-Servers'!$H915)</f>
        <v>160</v>
      </c>
      <c r="K905" s="60">
        <f>PRODUCT('All-Servers'!G915,'All-Servers'!$H915)</f>
        <v>20</v>
      </c>
    </row>
    <row r="906" spans="8:11">
      <c r="H906" s="60">
        <f>PRODUCT('All-Servers'!D916,'All-Servers'!$H916)</f>
        <v>1</v>
      </c>
      <c r="I906" s="60">
        <f>PRODUCT('All-Servers'!E916,'All-Servers'!$H916)</f>
        <v>1700</v>
      </c>
      <c r="J906" s="60">
        <f>PRODUCT('All-Servers'!F916,'All-Servers'!$H916)</f>
        <v>160</v>
      </c>
      <c r="K906" s="60">
        <f>PRODUCT('All-Servers'!G916,'All-Servers'!$H916)</f>
        <v>20</v>
      </c>
    </row>
    <row r="907" spans="8:11">
      <c r="H907" s="60">
        <f>PRODUCT('All-Servers'!D917,'All-Servers'!$H917)</f>
        <v>1</v>
      </c>
      <c r="I907" s="60">
        <f>PRODUCT('All-Servers'!E917,'All-Servers'!$H917)</f>
        <v>1700</v>
      </c>
      <c r="J907" s="60">
        <f>PRODUCT('All-Servers'!F917,'All-Servers'!$H917)</f>
        <v>160</v>
      </c>
      <c r="K907" s="60">
        <f>PRODUCT('All-Servers'!G917,'All-Servers'!$H917)</f>
        <v>20</v>
      </c>
    </row>
    <row r="908" spans="8:11">
      <c r="H908" s="60">
        <f>PRODUCT('All-Servers'!D918,'All-Servers'!$H918)</f>
        <v>1</v>
      </c>
      <c r="I908" s="60">
        <f>PRODUCT('All-Servers'!E918,'All-Servers'!$H918)</f>
        <v>2000</v>
      </c>
      <c r="J908" s="60">
        <f>PRODUCT('All-Servers'!F918,'All-Servers'!$H918)</f>
        <v>0</v>
      </c>
      <c r="K908" s="60">
        <f>PRODUCT('All-Servers'!G918,'All-Servers'!$H918)</f>
        <v>20</v>
      </c>
    </row>
    <row r="909" spans="8:11">
      <c r="H909" s="60">
        <f>PRODUCT('All-Servers'!D919,'All-Servers'!$H919)</f>
        <v>1</v>
      </c>
      <c r="I909" s="60">
        <f>PRODUCT('All-Servers'!E919,'All-Servers'!$H919)</f>
        <v>1700</v>
      </c>
      <c r="J909" s="60">
        <f>PRODUCT('All-Servers'!F919,'All-Servers'!$H919)</f>
        <v>160</v>
      </c>
      <c r="K909" s="60">
        <f>PRODUCT('All-Servers'!G919,'All-Servers'!$H919)</f>
        <v>20</v>
      </c>
    </row>
    <row r="910" spans="8:11">
      <c r="H910" s="60">
        <f>PRODUCT('All-Servers'!D920,'All-Servers'!$H920)</f>
        <v>1</v>
      </c>
      <c r="I910" s="60">
        <f>PRODUCT('All-Servers'!E920,'All-Servers'!$H920)</f>
        <v>2000</v>
      </c>
      <c r="J910" s="60">
        <f>PRODUCT('All-Servers'!F920,'All-Servers'!$H920)</f>
        <v>0</v>
      </c>
      <c r="K910" s="60">
        <f>PRODUCT('All-Servers'!G920,'All-Servers'!$H920)</f>
        <v>20</v>
      </c>
    </row>
    <row r="911" spans="8:11">
      <c r="H911" s="60">
        <f>PRODUCT('All-Servers'!D921,'All-Servers'!$H921)</f>
        <v>1</v>
      </c>
      <c r="I911" s="60">
        <f>PRODUCT('All-Servers'!E921,'All-Servers'!$H921)</f>
        <v>2000</v>
      </c>
      <c r="J911" s="60">
        <f>PRODUCT('All-Servers'!F921,'All-Servers'!$H921)</f>
        <v>0</v>
      </c>
      <c r="K911" s="60">
        <f>PRODUCT('All-Servers'!G921,'All-Servers'!$H921)</f>
        <v>20</v>
      </c>
    </row>
    <row r="912" spans="8:11">
      <c r="H912" s="60">
        <f>PRODUCT('All-Servers'!D922,'All-Servers'!$H922)</f>
        <v>1</v>
      </c>
      <c r="I912" s="60">
        <f>PRODUCT('All-Servers'!E922,'All-Servers'!$H922)</f>
        <v>2000</v>
      </c>
      <c r="J912" s="60">
        <f>PRODUCT('All-Servers'!F922,'All-Servers'!$H922)</f>
        <v>0</v>
      </c>
      <c r="K912" s="60">
        <f>PRODUCT('All-Servers'!G922,'All-Servers'!$H922)</f>
        <v>20</v>
      </c>
    </row>
    <row r="913" spans="8:11">
      <c r="H913" s="60">
        <f>PRODUCT('All-Servers'!D923,'All-Servers'!$H923)</f>
        <v>1</v>
      </c>
      <c r="I913" s="60">
        <f>PRODUCT('All-Servers'!E923,'All-Servers'!$H923)</f>
        <v>2000</v>
      </c>
      <c r="J913" s="60">
        <f>PRODUCT('All-Servers'!F923,'All-Servers'!$H923)</f>
        <v>0</v>
      </c>
      <c r="K913" s="60">
        <f>PRODUCT('All-Servers'!G923,'All-Servers'!$H923)</f>
        <v>20</v>
      </c>
    </row>
    <row r="914" spans="8:11">
      <c r="H914" s="60">
        <f>PRODUCT('All-Servers'!D924,'All-Servers'!$H924)</f>
        <v>1</v>
      </c>
      <c r="I914" s="60">
        <f>PRODUCT('All-Servers'!E924,'All-Servers'!$H924)</f>
        <v>2000</v>
      </c>
      <c r="J914" s="60">
        <f>PRODUCT('All-Servers'!F924,'All-Servers'!$H924)</f>
        <v>0</v>
      </c>
      <c r="K914" s="60">
        <f>PRODUCT('All-Servers'!G924,'All-Servers'!$H924)</f>
        <v>20</v>
      </c>
    </row>
    <row r="915" spans="8:11">
      <c r="H915" s="60">
        <f>PRODUCT('All-Servers'!D925,'All-Servers'!$H925)</f>
        <v>1</v>
      </c>
      <c r="I915" s="60">
        <f>PRODUCT('All-Servers'!E925,'All-Servers'!$H925)</f>
        <v>2000</v>
      </c>
      <c r="J915" s="60">
        <f>PRODUCT('All-Servers'!F925,'All-Servers'!$H925)</f>
        <v>0</v>
      </c>
      <c r="K915" s="60">
        <f>PRODUCT('All-Servers'!G925,'All-Servers'!$H925)</f>
        <v>20</v>
      </c>
    </row>
    <row r="916" spans="8:11">
      <c r="H916" s="60">
        <f>PRODUCT('All-Servers'!D926,'All-Servers'!$H926)</f>
        <v>1</v>
      </c>
      <c r="I916" s="60">
        <f>PRODUCT('All-Servers'!E926,'All-Servers'!$H926)</f>
        <v>2000</v>
      </c>
      <c r="J916" s="60">
        <f>PRODUCT('All-Servers'!F926,'All-Servers'!$H926)</f>
        <v>0</v>
      </c>
      <c r="K916" s="60">
        <f>PRODUCT('All-Servers'!G926,'All-Servers'!$H926)</f>
        <v>20</v>
      </c>
    </row>
    <row r="917" spans="8:11">
      <c r="H917" s="60">
        <f>PRODUCT('All-Servers'!D927,'All-Servers'!$H927)</f>
        <v>1</v>
      </c>
      <c r="I917" s="60">
        <f>PRODUCT('All-Servers'!E927,'All-Servers'!$H927)</f>
        <v>2000</v>
      </c>
      <c r="J917" s="60">
        <f>PRODUCT('All-Servers'!F927,'All-Servers'!$H927)</f>
        <v>0</v>
      </c>
      <c r="K917" s="60">
        <f>PRODUCT('All-Servers'!G927,'All-Servers'!$H927)</f>
        <v>20</v>
      </c>
    </row>
    <row r="918" spans="8:11">
      <c r="H918" s="60">
        <f>PRODUCT('All-Servers'!D928,'All-Servers'!$H928)</f>
        <v>1</v>
      </c>
      <c r="I918" s="60">
        <f>PRODUCT('All-Servers'!E928,'All-Servers'!$H928)</f>
        <v>1700</v>
      </c>
      <c r="J918" s="60">
        <f>PRODUCT('All-Servers'!F928,'All-Servers'!$H928)</f>
        <v>160</v>
      </c>
      <c r="K918" s="60">
        <f>PRODUCT('All-Servers'!G928,'All-Servers'!$H928)</f>
        <v>20</v>
      </c>
    </row>
    <row r="919" spans="8:11">
      <c r="H919" s="60">
        <f>PRODUCT('All-Servers'!D929,'All-Servers'!$H929)</f>
        <v>1</v>
      </c>
      <c r="I919" s="60">
        <f>PRODUCT('All-Servers'!E929,'All-Servers'!$H929)</f>
        <v>1700</v>
      </c>
      <c r="J919" s="60">
        <f>PRODUCT('All-Servers'!F929,'All-Servers'!$H929)</f>
        <v>160</v>
      </c>
      <c r="K919" s="60">
        <f>PRODUCT('All-Servers'!G929,'All-Servers'!$H929)</f>
        <v>20</v>
      </c>
    </row>
    <row r="920" spans="8:11">
      <c r="H920" s="60">
        <f>PRODUCT('All-Servers'!D930,'All-Servers'!$H930)</f>
        <v>1</v>
      </c>
      <c r="I920" s="60">
        <f>PRODUCT('All-Servers'!E930,'All-Servers'!$H930)</f>
        <v>2000</v>
      </c>
      <c r="J920" s="60">
        <f>PRODUCT('All-Servers'!F930,'All-Servers'!$H930)</f>
        <v>0</v>
      </c>
      <c r="K920" s="60">
        <f>PRODUCT('All-Servers'!G930,'All-Servers'!$H930)</f>
        <v>20</v>
      </c>
    </row>
    <row r="921" spans="8:11">
      <c r="H921" s="60">
        <f>PRODUCT('All-Servers'!D931,'All-Servers'!$H931)</f>
        <v>1</v>
      </c>
      <c r="I921" s="60">
        <f>PRODUCT('All-Servers'!E931,'All-Servers'!$H931)</f>
        <v>2000</v>
      </c>
      <c r="J921" s="60">
        <f>PRODUCT('All-Servers'!F931,'All-Servers'!$H931)</f>
        <v>0</v>
      </c>
      <c r="K921" s="60">
        <f>PRODUCT('All-Servers'!G931,'All-Servers'!$H931)</f>
        <v>20</v>
      </c>
    </row>
    <row r="922" spans="8:11">
      <c r="H922" s="60">
        <f>PRODUCT('All-Servers'!D932,'All-Servers'!$H932)</f>
        <v>1</v>
      </c>
      <c r="I922" s="60">
        <f>PRODUCT('All-Servers'!E932,'All-Servers'!$H932)</f>
        <v>1700</v>
      </c>
      <c r="J922" s="60">
        <f>PRODUCT('All-Servers'!F932,'All-Servers'!$H932)</f>
        <v>160</v>
      </c>
      <c r="K922" s="60">
        <f>PRODUCT('All-Servers'!G932,'All-Servers'!$H932)</f>
        <v>20</v>
      </c>
    </row>
    <row r="923" spans="8:11">
      <c r="H923" s="60">
        <f>PRODUCT('All-Servers'!D933,'All-Servers'!$H933)</f>
        <v>1</v>
      </c>
      <c r="I923" s="60">
        <f>PRODUCT('All-Servers'!E933,'All-Servers'!$H933)</f>
        <v>2000</v>
      </c>
      <c r="J923" s="60">
        <f>PRODUCT('All-Servers'!F933,'All-Servers'!$H933)</f>
        <v>0</v>
      </c>
      <c r="K923" s="60">
        <f>PRODUCT('All-Servers'!G933,'All-Servers'!$H933)</f>
        <v>20</v>
      </c>
    </row>
    <row r="924" spans="8:11">
      <c r="H924" s="60">
        <f>PRODUCT('All-Servers'!D934,'All-Servers'!$H934)</f>
        <v>1</v>
      </c>
      <c r="I924" s="60">
        <f>PRODUCT('All-Servers'!E934,'All-Servers'!$H934)</f>
        <v>1700</v>
      </c>
      <c r="J924" s="60">
        <f>PRODUCT('All-Servers'!F934,'All-Servers'!$H934)</f>
        <v>160</v>
      </c>
      <c r="K924" s="60">
        <f>PRODUCT('All-Servers'!G934,'All-Servers'!$H934)</f>
        <v>20</v>
      </c>
    </row>
    <row r="925" spans="8:11">
      <c r="H925" s="60">
        <f>PRODUCT('All-Servers'!D935,'All-Servers'!$H935)</f>
        <v>1</v>
      </c>
      <c r="I925" s="60">
        <f>PRODUCT('All-Servers'!E935,'All-Servers'!$H935)</f>
        <v>1700</v>
      </c>
      <c r="J925" s="60">
        <f>PRODUCT('All-Servers'!F935,'All-Servers'!$H935)</f>
        <v>160</v>
      </c>
      <c r="K925" s="60">
        <f>PRODUCT('All-Servers'!G935,'All-Servers'!$H935)</f>
        <v>20</v>
      </c>
    </row>
    <row r="926" spans="8:11">
      <c r="H926" s="60">
        <f>PRODUCT('All-Servers'!D936,'All-Servers'!$H936)</f>
        <v>1</v>
      </c>
      <c r="I926" s="60">
        <f>PRODUCT('All-Servers'!E936,'All-Servers'!$H936)</f>
        <v>2000</v>
      </c>
      <c r="J926" s="60">
        <f>PRODUCT('All-Servers'!F936,'All-Servers'!$H936)</f>
        <v>0</v>
      </c>
      <c r="K926" s="60">
        <f>PRODUCT('All-Servers'!G936,'All-Servers'!$H936)</f>
        <v>20</v>
      </c>
    </row>
    <row r="927" spans="8:11">
      <c r="H927" s="60">
        <f>PRODUCT('All-Servers'!D937,'All-Servers'!$H937)</f>
        <v>1</v>
      </c>
      <c r="I927" s="60">
        <f>PRODUCT('All-Servers'!E937,'All-Servers'!$H937)</f>
        <v>1700</v>
      </c>
      <c r="J927" s="60">
        <f>PRODUCT('All-Servers'!F937,'All-Servers'!$H937)</f>
        <v>160</v>
      </c>
      <c r="K927" s="60">
        <f>PRODUCT('All-Servers'!G937,'All-Servers'!$H937)</f>
        <v>20</v>
      </c>
    </row>
    <row r="928" spans="8:11">
      <c r="H928" s="60">
        <f>PRODUCT('All-Servers'!D938,'All-Servers'!$H938)</f>
        <v>1</v>
      </c>
      <c r="I928" s="60">
        <f>PRODUCT('All-Servers'!E938,'All-Servers'!$H938)</f>
        <v>1700</v>
      </c>
      <c r="J928" s="60">
        <f>PRODUCT('All-Servers'!F938,'All-Servers'!$H938)</f>
        <v>160</v>
      </c>
      <c r="K928" s="60">
        <f>PRODUCT('All-Servers'!G938,'All-Servers'!$H938)</f>
        <v>20</v>
      </c>
    </row>
    <row r="929" spans="8:11">
      <c r="H929" s="60">
        <f>PRODUCT('All-Servers'!D939,'All-Servers'!$H939)</f>
        <v>1</v>
      </c>
      <c r="I929" s="60">
        <f>PRODUCT('All-Servers'!E939,'All-Servers'!$H939)</f>
        <v>1700</v>
      </c>
      <c r="J929" s="60">
        <f>PRODUCT('All-Servers'!F939,'All-Servers'!$H939)</f>
        <v>160</v>
      </c>
      <c r="K929" s="60">
        <f>PRODUCT('All-Servers'!G939,'All-Servers'!$H939)</f>
        <v>20</v>
      </c>
    </row>
    <row r="930" spans="8:11">
      <c r="H930" s="60">
        <f>PRODUCT('All-Servers'!D940,'All-Servers'!$H940)</f>
        <v>1</v>
      </c>
      <c r="I930" s="60">
        <f>PRODUCT('All-Servers'!E940,'All-Servers'!$H940)</f>
        <v>1700</v>
      </c>
      <c r="J930" s="60">
        <f>PRODUCT('All-Servers'!F940,'All-Servers'!$H940)</f>
        <v>160</v>
      </c>
      <c r="K930" s="60">
        <f>PRODUCT('All-Servers'!G940,'All-Servers'!$H940)</f>
        <v>20</v>
      </c>
    </row>
    <row r="931" spans="8:11">
      <c r="H931" s="60">
        <f>PRODUCT('All-Servers'!D941,'All-Servers'!$H941)</f>
        <v>1</v>
      </c>
      <c r="I931" s="60">
        <f>PRODUCT('All-Servers'!E941,'All-Servers'!$H941)</f>
        <v>2000</v>
      </c>
      <c r="J931" s="60">
        <f>PRODUCT('All-Servers'!F941,'All-Servers'!$H941)</f>
        <v>0</v>
      </c>
      <c r="K931" s="60">
        <f>PRODUCT('All-Servers'!G941,'All-Servers'!$H941)</f>
        <v>20</v>
      </c>
    </row>
    <row r="932" spans="8:11">
      <c r="H932" s="60">
        <f>PRODUCT('All-Servers'!D942,'All-Servers'!$H942)</f>
        <v>1</v>
      </c>
      <c r="I932" s="60">
        <f>PRODUCT('All-Servers'!E942,'All-Servers'!$H942)</f>
        <v>1700</v>
      </c>
      <c r="J932" s="60">
        <f>PRODUCT('All-Servers'!F942,'All-Servers'!$H942)</f>
        <v>160</v>
      </c>
      <c r="K932" s="60">
        <f>PRODUCT('All-Servers'!G942,'All-Servers'!$H942)</f>
        <v>20</v>
      </c>
    </row>
    <row r="933" spans="8:11">
      <c r="H933" s="60">
        <f>PRODUCT('All-Servers'!D943,'All-Servers'!$H943)</f>
        <v>1</v>
      </c>
      <c r="I933" s="60">
        <f>PRODUCT('All-Servers'!E943,'All-Servers'!$H943)</f>
        <v>2000</v>
      </c>
      <c r="J933" s="60">
        <f>PRODUCT('All-Servers'!F943,'All-Servers'!$H943)</f>
        <v>0</v>
      </c>
      <c r="K933" s="60">
        <f>PRODUCT('All-Servers'!G943,'All-Servers'!$H943)</f>
        <v>20</v>
      </c>
    </row>
    <row r="934" spans="8:11">
      <c r="H934" s="60">
        <f>PRODUCT('All-Servers'!D944,'All-Servers'!$H944)</f>
        <v>1</v>
      </c>
      <c r="I934" s="60">
        <f>PRODUCT('All-Servers'!E944,'All-Servers'!$H944)</f>
        <v>1700</v>
      </c>
      <c r="J934" s="60">
        <f>PRODUCT('All-Servers'!F944,'All-Servers'!$H944)</f>
        <v>160</v>
      </c>
      <c r="K934" s="60">
        <f>PRODUCT('All-Servers'!G944,'All-Servers'!$H944)</f>
        <v>20</v>
      </c>
    </row>
    <row r="935" spans="8:11">
      <c r="H935" s="60">
        <f>PRODUCT('All-Servers'!D945,'All-Servers'!$H945)</f>
        <v>1</v>
      </c>
      <c r="I935" s="60">
        <f>PRODUCT('All-Servers'!E945,'All-Servers'!$H945)</f>
        <v>2000</v>
      </c>
      <c r="J935" s="60">
        <f>PRODUCT('All-Servers'!F945,'All-Servers'!$H945)</f>
        <v>0</v>
      </c>
      <c r="K935" s="60">
        <f>PRODUCT('All-Servers'!G945,'All-Servers'!$H945)</f>
        <v>20</v>
      </c>
    </row>
    <row r="936" spans="8:11">
      <c r="H936" s="60">
        <f>PRODUCT('All-Servers'!D946,'All-Servers'!$H946)</f>
        <v>1</v>
      </c>
      <c r="I936" s="60">
        <f>PRODUCT('All-Servers'!E946,'All-Servers'!$H946)</f>
        <v>1700</v>
      </c>
      <c r="J936" s="60">
        <f>PRODUCT('All-Servers'!F946,'All-Servers'!$H946)</f>
        <v>160</v>
      </c>
      <c r="K936" s="60">
        <f>PRODUCT('All-Servers'!G946,'All-Servers'!$H946)</f>
        <v>20</v>
      </c>
    </row>
    <row r="937" spans="8:11">
      <c r="H937" s="60">
        <f>PRODUCT('All-Servers'!D947,'All-Servers'!$H947)</f>
        <v>1</v>
      </c>
      <c r="I937" s="60">
        <f>PRODUCT('All-Servers'!E947,'All-Servers'!$H947)</f>
        <v>2000</v>
      </c>
      <c r="J937" s="60">
        <f>PRODUCT('All-Servers'!F947,'All-Servers'!$H947)</f>
        <v>0</v>
      </c>
      <c r="K937" s="60">
        <f>PRODUCT('All-Servers'!G947,'All-Servers'!$H947)</f>
        <v>20</v>
      </c>
    </row>
    <row r="938" spans="8:11">
      <c r="H938" s="60">
        <f>PRODUCT('All-Servers'!D948,'All-Servers'!$H948)</f>
        <v>1</v>
      </c>
      <c r="I938" s="60">
        <f>PRODUCT('All-Servers'!E948,'All-Servers'!$H948)</f>
        <v>1700</v>
      </c>
      <c r="J938" s="60">
        <f>PRODUCT('All-Servers'!F948,'All-Servers'!$H948)</f>
        <v>160</v>
      </c>
      <c r="K938" s="60">
        <f>PRODUCT('All-Servers'!G948,'All-Servers'!$H948)</f>
        <v>20</v>
      </c>
    </row>
    <row r="939" spans="8:11">
      <c r="H939" s="60">
        <f>PRODUCT('All-Servers'!D949,'All-Servers'!$H949)</f>
        <v>1</v>
      </c>
      <c r="I939" s="60">
        <f>PRODUCT('All-Servers'!E949,'All-Servers'!$H949)</f>
        <v>2000</v>
      </c>
      <c r="J939" s="60">
        <f>PRODUCT('All-Servers'!F949,'All-Servers'!$H949)</f>
        <v>0</v>
      </c>
      <c r="K939" s="60">
        <f>PRODUCT('All-Servers'!G949,'All-Servers'!$H949)</f>
        <v>20</v>
      </c>
    </row>
    <row r="940" spans="8:11">
      <c r="H940" s="60">
        <f>PRODUCT('All-Servers'!D950,'All-Servers'!$H950)</f>
        <v>1</v>
      </c>
      <c r="I940" s="60">
        <f>PRODUCT('All-Servers'!E950,'All-Servers'!$H950)</f>
        <v>1700</v>
      </c>
      <c r="J940" s="60">
        <f>PRODUCT('All-Servers'!F950,'All-Servers'!$H950)</f>
        <v>160</v>
      </c>
      <c r="K940" s="60">
        <f>PRODUCT('All-Servers'!G950,'All-Servers'!$H950)</f>
        <v>20</v>
      </c>
    </row>
    <row r="941" spans="8:11">
      <c r="H941" s="60">
        <f>PRODUCT('All-Servers'!D951,'All-Servers'!$H951)</f>
        <v>1</v>
      </c>
      <c r="I941" s="60">
        <f>PRODUCT('All-Servers'!E951,'All-Servers'!$H951)</f>
        <v>2000</v>
      </c>
      <c r="J941" s="60">
        <f>PRODUCT('All-Servers'!F951,'All-Servers'!$H951)</f>
        <v>0</v>
      </c>
      <c r="K941" s="60">
        <f>PRODUCT('All-Servers'!G951,'All-Servers'!$H951)</f>
        <v>20</v>
      </c>
    </row>
    <row r="942" spans="8:11">
      <c r="H942" s="60">
        <f>PRODUCT('All-Servers'!D952,'All-Servers'!$H952)</f>
        <v>1</v>
      </c>
      <c r="I942" s="60">
        <f>PRODUCT('All-Servers'!E952,'All-Servers'!$H952)</f>
        <v>2000</v>
      </c>
      <c r="J942" s="60">
        <f>PRODUCT('All-Servers'!F952,'All-Servers'!$H952)</f>
        <v>0</v>
      </c>
      <c r="K942" s="60">
        <f>PRODUCT('All-Servers'!G952,'All-Servers'!$H952)</f>
        <v>20</v>
      </c>
    </row>
    <row r="943" spans="8:11">
      <c r="H943" s="60">
        <f>PRODUCT('All-Servers'!D953,'All-Servers'!$H953)</f>
        <v>1</v>
      </c>
      <c r="I943" s="60">
        <f>PRODUCT('All-Servers'!E953,'All-Servers'!$H953)</f>
        <v>2000</v>
      </c>
      <c r="J943" s="60">
        <f>PRODUCT('All-Servers'!F953,'All-Servers'!$H953)</f>
        <v>0</v>
      </c>
      <c r="K943" s="60">
        <f>PRODUCT('All-Servers'!G953,'All-Servers'!$H953)</f>
        <v>20</v>
      </c>
    </row>
    <row r="944" spans="8:11">
      <c r="H944" s="60">
        <f>PRODUCT('All-Servers'!D954,'All-Servers'!$H954)</f>
        <v>1</v>
      </c>
      <c r="I944" s="60">
        <f>PRODUCT('All-Servers'!E954,'All-Servers'!$H954)</f>
        <v>1700</v>
      </c>
      <c r="J944" s="60">
        <f>PRODUCT('All-Servers'!F954,'All-Servers'!$H954)</f>
        <v>160</v>
      </c>
      <c r="K944" s="60">
        <f>PRODUCT('All-Servers'!G954,'All-Servers'!$H954)</f>
        <v>20</v>
      </c>
    </row>
    <row r="945" spans="8:11">
      <c r="H945" s="60">
        <f>PRODUCT('All-Servers'!D955,'All-Servers'!$H955)</f>
        <v>1</v>
      </c>
      <c r="I945" s="60">
        <f>PRODUCT('All-Servers'!E955,'All-Servers'!$H955)</f>
        <v>2000</v>
      </c>
      <c r="J945" s="60">
        <f>PRODUCT('All-Servers'!F955,'All-Servers'!$H955)</f>
        <v>0</v>
      </c>
      <c r="K945" s="60">
        <f>PRODUCT('All-Servers'!G955,'All-Servers'!$H955)</f>
        <v>20</v>
      </c>
    </row>
    <row r="946" spans="8:11">
      <c r="H946" s="60">
        <f>PRODUCT('All-Servers'!D956,'All-Servers'!$H956)</f>
        <v>1</v>
      </c>
      <c r="I946" s="60">
        <f>PRODUCT('All-Servers'!E956,'All-Servers'!$H956)</f>
        <v>2000</v>
      </c>
      <c r="J946" s="60">
        <f>PRODUCT('All-Servers'!F956,'All-Servers'!$H956)</f>
        <v>0</v>
      </c>
      <c r="K946" s="60">
        <f>PRODUCT('All-Servers'!G956,'All-Servers'!$H956)</f>
        <v>20</v>
      </c>
    </row>
    <row r="947" spans="8:11">
      <c r="H947" s="60">
        <f>PRODUCT('All-Servers'!D957,'All-Servers'!$H957)</f>
        <v>1</v>
      </c>
      <c r="I947" s="60">
        <f>PRODUCT('All-Servers'!E957,'All-Servers'!$H957)</f>
        <v>1700</v>
      </c>
      <c r="J947" s="60">
        <f>PRODUCT('All-Servers'!F957,'All-Servers'!$H957)</f>
        <v>160</v>
      </c>
      <c r="K947" s="60">
        <f>PRODUCT('All-Servers'!G957,'All-Servers'!$H957)</f>
        <v>20</v>
      </c>
    </row>
    <row r="948" spans="8:11">
      <c r="H948" s="60">
        <f>PRODUCT('All-Servers'!D958,'All-Servers'!$H958)</f>
        <v>1</v>
      </c>
      <c r="I948" s="60">
        <f>PRODUCT('All-Servers'!E958,'All-Servers'!$H958)</f>
        <v>1700</v>
      </c>
      <c r="J948" s="60">
        <f>PRODUCT('All-Servers'!F958,'All-Servers'!$H958)</f>
        <v>160</v>
      </c>
      <c r="K948" s="60">
        <f>PRODUCT('All-Servers'!G958,'All-Servers'!$H958)</f>
        <v>20</v>
      </c>
    </row>
    <row r="949" spans="8:11">
      <c r="H949" s="60">
        <f>PRODUCT('All-Servers'!D959,'All-Servers'!$H959)</f>
        <v>1</v>
      </c>
      <c r="I949" s="60">
        <f>PRODUCT('All-Servers'!E959,'All-Servers'!$H959)</f>
        <v>1700</v>
      </c>
      <c r="J949" s="60">
        <f>PRODUCT('All-Servers'!F959,'All-Servers'!$H959)</f>
        <v>160</v>
      </c>
      <c r="K949" s="60">
        <f>PRODUCT('All-Servers'!G959,'All-Servers'!$H959)</f>
        <v>20</v>
      </c>
    </row>
    <row r="950" spans="8:11">
      <c r="H950" s="60">
        <f>PRODUCT('All-Servers'!D960,'All-Servers'!$H960)</f>
        <v>1</v>
      </c>
      <c r="I950" s="60">
        <f>PRODUCT('All-Servers'!E960,'All-Servers'!$H960)</f>
        <v>2000</v>
      </c>
      <c r="J950" s="60">
        <f>PRODUCT('All-Servers'!F960,'All-Servers'!$H960)</f>
        <v>0</v>
      </c>
      <c r="K950" s="60">
        <f>PRODUCT('All-Servers'!G960,'All-Servers'!$H960)</f>
        <v>20</v>
      </c>
    </row>
    <row r="951" spans="8:11">
      <c r="H951" s="60">
        <f>PRODUCT('All-Servers'!D961,'All-Servers'!$H961)</f>
        <v>1</v>
      </c>
      <c r="I951" s="60">
        <f>PRODUCT('All-Servers'!E961,'All-Servers'!$H961)</f>
        <v>2000</v>
      </c>
      <c r="J951" s="60">
        <f>PRODUCT('All-Servers'!F961,'All-Servers'!$H961)</f>
        <v>0</v>
      </c>
      <c r="K951" s="60">
        <f>PRODUCT('All-Servers'!G961,'All-Servers'!$H961)</f>
        <v>20</v>
      </c>
    </row>
    <row r="952" spans="8:11">
      <c r="H952" s="60">
        <f>PRODUCT('All-Servers'!D962,'All-Servers'!$H962)</f>
        <v>1</v>
      </c>
      <c r="I952" s="60">
        <f>PRODUCT('All-Servers'!E962,'All-Servers'!$H962)</f>
        <v>2000</v>
      </c>
      <c r="J952" s="60">
        <f>PRODUCT('All-Servers'!F962,'All-Servers'!$H962)</f>
        <v>0</v>
      </c>
      <c r="K952" s="60">
        <f>PRODUCT('All-Servers'!G962,'All-Servers'!$H962)</f>
        <v>20</v>
      </c>
    </row>
    <row r="953" spans="8:11">
      <c r="H953" s="60">
        <f>PRODUCT('All-Servers'!D963,'All-Servers'!$H963)</f>
        <v>1</v>
      </c>
      <c r="I953" s="60">
        <f>PRODUCT('All-Servers'!E963,'All-Servers'!$H963)</f>
        <v>2000</v>
      </c>
      <c r="J953" s="60">
        <f>PRODUCT('All-Servers'!F963,'All-Servers'!$H963)</f>
        <v>0</v>
      </c>
      <c r="K953" s="60">
        <f>PRODUCT('All-Servers'!G963,'All-Servers'!$H963)</f>
        <v>20</v>
      </c>
    </row>
    <row r="954" spans="8:11">
      <c r="H954" s="60">
        <f>PRODUCT('All-Servers'!D964,'All-Servers'!$H964)</f>
        <v>1</v>
      </c>
      <c r="I954" s="60">
        <f>PRODUCT('All-Servers'!E964,'All-Servers'!$H964)</f>
        <v>2000</v>
      </c>
      <c r="J954" s="60">
        <f>PRODUCT('All-Servers'!F964,'All-Servers'!$H964)</f>
        <v>0</v>
      </c>
      <c r="K954" s="60">
        <f>PRODUCT('All-Servers'!G964,'All-Servers'!$H964)</f>
        <v>20</v>
      </c>
    </row>
    <row r="955" spans="8:11">
      <c r="H955" s="60">
        <f>PRODUCT('All-Servers'!D965,'All-Servers'!$H965)</f>
        <v>1</v>
      </c>
      <c r="I955" s="60">
        <f>PRODUCT('All-Servers'!E965,'All-Servers'!$H965)</f>
        <v>2000</v>
      </c>
      <c r="J955" s="60">
        <f>PRODUCT('All-Servers'!F965,'All-Servers'!$H965)</f>
        <v>0</v>
      </c>
      <c r="K955" s="60">
        <f>PRODUCT('All-Servers'!G965,'All-Servers'!$H965)</f>
        <v>20</v>
      </c>
    </row>
    <row r="956" spans="8:11">
      <c r="H956" s="60">
        <f>PRODUCT('All-Servers'!D966,'All-Servers'!$H966)</f>
        <v>1</v>
      </c>
      <c r="I956" s="60">
        <f>PRODUCT('All-Servers'!E966,'All-Servers'!$H966)</f>
        <v>2000</v>
      </c>
      <c r="J956" s="60">
        <f>PRODUCT('All-Servers'!F966,'All-Servers'!$H966)</f>
        <v>0</v>
      </c>
      <c r="K956" s="60">
        <f>PRODUCT('All-Servers'!G966,'All-Servers'!$H966)</f>
        <v>20</v>
      </c>
    </row>
    <row r="957" spans="8:11">
      <c r="H957" s="60">
        <f>PRODUCT('All-Servers'!D967,'All-Servers'!$H967)</f>
        <v>2</v>
      </c>
      <c r="I957" s="60">
        <f>PRODUCT('All-Servers'!E967,'All-Servers'!$H967)</f>
        <v>7500</v>
      </c>
      <c r="J957" s="60">
        <f>PRODUCT('All-Servers'!F967,'All-Servers'!$H967)</f>
        <v>32</v>
      </c>
      <c r="K957" s="60">
        <f>PRODUCT('All-Servers'!G967,'All-Servers'!$H967)</f>
        <v>420</v>
      </c>
    </row>
    <row r="958" spans="8:11">
      <c r="H958" s="60">
        <f>PRODUCT('All-Servers'!D968,'All-Servers'!$H968)</f>
        <v>2</v>
      </c>
      <c r="I958" s="60">
        <f>PRODUCT('All-Servers'!E968,'All-Servers'!$H968)</f>
        <v>7500</v>
      </c>
      <c r="J958" s="60">
        <f>PRODUCT('All-Servers'!F968,'All-Servers'!$H968)</f>
        <v>32</v>
      </c>
      <c r="K958" s="60">
        <f>PRODUCT('All-Servers'!G968,'All-Servers'!$H968)</f>
        <v>420</v>
      </c>
    </row>
    <row r="959" spans="8:11">
      <c r="H959" s="60">
        <f>PRODUCT('All-Servers'!D969,'All-Servers'!$H969)</f>
        <v>2</v>
      </c>
      <c r="I959" s="60">
        <f>PRODUCT('All-Servers'!E969,'All-Servers'!$H969)</f>
        <v>7500</v>
      </c>
      <c r="J959" s="60">
        <f>PRODUCT('All-Servers'!F969,'All-Servers'!$H969)</f>
        <v>32</v>
      </c>
      <c r="K959" s="60">
        <f>PRODUCT('All-Servers'!G969,'All-Servers'!$H969)</f>
        <v>820</v>
      </c>
    </row>
    <row r="960" spans="8:11">
      <c r="H960" s="60">
        <f>PRODUCT('All-Servers'!D970,'All-Servers'!$H970)</f>
        <v>2</v>
      </c>
      <c r="I960" s="60">
        <f>PRODUCT('All-Servers'!E970,'All-Servers'!$H970)</f>
        <v>3750</v>
      </c>
      <c r="J960" s="60">
        <f>PRODUCT('All-Servers'!F970,'All-Servers'!$H970)</f>
        <v>32</v>
      </c>
      <c r="K960" s="60">
        <f>PRODUCT('All-Servers'!G970,'All-Servers'!$H970)</f>
        <v>20</v>
      </c>
    </row>
    <row r="961" spans="8:11">
      <c r="H961" s="60">
        <f>PRODUCT('All-Servers'!D971,'All-Servers'!$H971)</f>
        <v>2</v>
      </c>
      <c r="I961" s="60">
        <f>PRODUCT('All-Servers'!E971,'All-Servers'!$H971)</f>
        <v>3750</v>
      </c>
      <c r="J961" s="60">
        <f>PRODUCT('All-Servers'!F971,'All-Servers'!$H971)</f>
        <v>32</v>
      </c>
      <c r="K961" s="60">
        <f>PRODUCT('All-Servers'!G971,'All-Servers'!$H971)</f>
        <v>20</v>
      </c>
    </row>
    <row r="962" spans="8:11">
      <c r="H962" s="60">
        <f>PRODUCT('All-Servers'!D972,'All-Servers'!$H972)</f>
        <v>2</v>
      </c>
      <c r="I962" s="60">
        <f>PRODUCT('All-Servers'!E972,'All-Servers'!$H972)</f>
        <v>3750</v>
      </c>
      <c r="J962" s="60">
        <f>PRODUCT('All-Servers'!F972,'All-Servers'!$H972)</f>
        <v>32</v>
      </c>
      <c r="K962" s="60">
        <f>PRODUCT('All-Servers'!G972,'All-Servers'!$H972)</f>
        <v>20</v>
      </c>
    </row>
    <row r="963" spans="8:11">
      <c r="H963" s="60">
        <f>PRODUCT('All-Servers'!D973,'All-Servers'!$H973)</f>
        <v>2</v>
      </c>
      <c r="I963" s="60">
        <f>PRODUCT('All-Servers'!E973,'All-Servers'!$H973)</f>
        <v>7500</v>
      </c>
      <c r="J963" s="60">
        <f>PRODUCT('All-Servers'!F973,'All-Servers'!$H973)</f>
        <v>32</v>
      </c>
      <c r="K963" s="60">
        <f>PRODUCT('All-Servers'!G973,'All-Servers'!$H973)</f>
        <v>420</v>
      </c>
    </row>
    <row r="964" spans="8:11">
      <c r="H964" s="60">
        <f>PRODUCT('All-Servers'!D974,'All-Servers'!$H974)</f>
        <v>1</v>
      </c>
      <c r="I964" s="60">
        <f>PRODUCT('All-Servers'!E974,'All-Servers'!$H974)</f>
        <v>2000</v>
      </c>
      <c r="J964" s="60">
        <f>PRODUCT('All-Servers'!F974,'All-Servers'!$H974)</f>
        <v>0</v>
      </c>
      <c r="K964" s="60">
        <f>PRODUCT('All-Servers'!G974,'All-Servers'!$H974)</f>
        <v>20</v>
      </c>
    </row>
    <row r="965" spans="8:11">
      <c r="H965" s="60">
        <f>PRODUCT('All-Servers'!D975,'All-Servers'!$H975)</f>
        <v>2</v>
      </c>
      <c r="I965" s="60">
        <f>PRODUCT('All-Servers'!E975,'All-Servers'!$H975)</f>
        <v>3750</v>
      </c>
      <c r="J965" s="60">
        <f>PRODUCT('All-Servers'!F975,'All-Servers'!$H975)</f>
        <v>32</v>
      </c>
      <c r="K965" s="60">
        <f>PRODUCT('All-Servers'!G975,'All-Servers'!$H975)</f>
        <v>20</v>
      </c>
    </row>
    <row r="966" spans="8:11">
      <c r="H966" s="60">
        <f>PRODUCT('All-Servers'!D976,'All-Servers'!$H976)</f>
        <v>1</v>
      </c>
      <c r="I966" s="60">
        <f>PRODUCT('All-Servers'!E976,'All-Servers'!$H976)</f>
        <v>2000</v>
      </c>
      <c r="J966" s="60">
        <f>PRODUCT('All-Servers'!F976,'All-Servers'!$H976)</f>
        <v>0</v>
      </c>
      <c r="K966" s="60">
        <f>PRODUCT('All-Servers'!G976,'All-Servers'!$H976)</f>
        <v>20</v>
      </c>
    </row>
    <row r="967" spans="8:11">
      <c r="H967" s="60">
        <f>PRODUCT('All-Servers'!D977,'All-Servers'!$H977)</f>
        <v>1</v>
      </c>
      <c r="I967" s="60">
        <f>PRODUCT('All-Servers'!E977,'All-Servers'!$H977)</f>
        <v>2000</v>
      </c>
      <c r="J967" s="60">
        <f>PRODUCT('All-Servers'!F977,'All-Servers'!$H977)</f>
        <v>0</v>
      </c>
      <c r="K967" s="60">
        <f>PRODUCT('All-Servers'!G977,'All-Servers'!$H977)</f>
        <v>20</v>
      </c>
    </row>
    <row r="968" spans="8:11">
      <c r="H968" s="60">
        <f>PRODUCT('All-Servers'!D978,'All-Servers'!$H978)</f>
        <v>1</v>
      </c>
      <c r="I968" s="60">
        <f>PRODUCT('All-Servers'!E978,'All-Servers'!$H978)</f>
        <v>2000</v>
      </c>
      <c r="J968" s="60">
        <f>PRODUCT('All-Servers'!F978,'All-Servers'!$H978)</f>
        <v>0</v>
      </c>
      <c r="K968" s="60">
        <f>PRODUCT('All-Servers'!G978,'All-Servers'!$H978)</f>
        <v>20</v>
      </c>
    </row>
    <row r="969" spans="8:11">
      <c r="H969" s="60">
        <f>PRODUCT('All-Servers'!D979,'All-Servers'!$H979)</f>
        <v>2</v>
      </c>
      <c r="I969" s="60">
        <f>PRODUCT('All-Servers'!E979,'All-Servers'!$H979)</f>
        <v>3750</v>
      </c>
      <c r="J969" s="60">
        <f>PRODUCT('All-Servers'!F979,'All-Servers'!$H979)</f>
        <v>32</v>
      </c>
      <c r="K969" s="60">
        <f>PRODUCT('All-Servers'!G979,'All-Servers'!$H979)</f>
        <v>20</v>
      </c>
    </row>
    <row r="970" spans="8:11">
      <c r="H970" s="60">
        <f>PRODUCT('All-Servers'!D980,'All-Servers'!$H980)</f>
        <v>2</v>
      </c>
      <c r="I970" s="60">
        <f>PRODUCT('All-Servers'!E980,'All-Servers'!$H980)</f>
        <v>3750</v>
      </c>
      <c r="J970" s="60">
        <f>PRODUCT('All-Servers'!F980,'All-Servers'!$H980)</f>
        <v>32</v>
      </c>
      <c r="K970" s="60">
        <f>PRODUCT('All-Servers'!G980,'All-Servers'!$H980)</f>
        <v>20</v>
      </c>
    </row>
    <row r="971" spans="8:11">
      <c r="H971" s="60">
        <f>PRODUCT('All-Servers'!D981,'All-Servers'!$H981)</f>
        <v>2</v>
      </c>
      <c r="I971" s="60">
        <f>PRODUCT('All-Servers'!E981,'All-Servers'!$H981)</f>
        <v>3750</v>
      </c>
      <c r="J971" s="60">
        <f>PRODUCT('All-Servers'!F981,'All-Servers'!$H981)</f>
        <v>32</v>
      </c>
      <c r="K971" s="60">
        <f>PRODUCT('All-Servers'!G981,'All-Servers'!$H981)</f>
        <v>20</v>
      </c>
    </row>
    <row r="972" spans="8:11">
      <c r="H972" s="60">
        <f>PRODUCT('All-Servers'!D982,'All-Servers'!$H982)</f>
        <v>2</v>
      </c>
      <c r="I972" s="60">
        <f>PRODUCT('All-Servers'!E982,'All-Servers'!$H982)</f>
        <v>3750</v>
      </c>
      <c r="J972" s="60">
        <f>PRODUCT('All-Servers'!F982,'All-Servers'!$H982)</f>
        <v>32</v>
      </c>
      <c r="K972" s="60">
        <f>PRODUCT('All-Servers'!G982,'All-Servers'!$H982)</f>
        <v>20</v>
      </c>
    </row>
    <row r="973" spans="8:11">
      <c r="H973" s="60">
        <f>PRODUCT('All-Servers'!D983,'All-Servers'!$H983)</f>
        <v>2</v>
      </c>
      <c r="I973" s="60">
        <f>PRODUCT('All-Servers'!E983,'All-Servers'!$H983)</f>
        <v>3750</v>
      </c>
      <c r="J973" s="60">
        <f>PRODUCT('All-Servers'!F983,'All-Servers'!$H983)</f>
        <v>32</v>
      </c>
      <c r="K973" s="60">
        <f>PRODUCT('All-Servers'!G983,'All-Servers'!$H983)</f>
        <v>20</v>
      </c>
    </row>
    <row r="974" spans="8:11">
      <c r="H974" s="60">
        <f>PRODUCT('All-Servers'!D984,'All-Servers'!$H984)</f>
        <v>2</v>
      </c>
      <c r="I974" s="60">
        <f>PRODUCT('All-Servers'!E984,'All-Servers'!$H984)</f>
        <v>3750</v>
      </c>
      <c r="J974" s="60">
        <f>PRODUCT('All-Servers'!F984,'All-Servers'!$H984)</f>
        <v>32</v>
      </c>
      <c r="K974" s="60">
        <f>PRODUCT('All-Servers'!G984,'All-Servers'!$H984)</f>
        <v>20</v>
      </c>
    </row>
    <row r="975" spans="8:11">
      <c r="H975" s="60">
        <f>PRODUCT('All-Servers'!D985,'All-Servers'!$H985)</f>
        <v>2</v>
      </c>
      <c r="I975" s="60">
        <f>PRODUCT('All-Servers'!E985,'All-Servers'!$H985)</f>
        <v>3750</v>
      </c>
      <c r="J975" s="60">
        <f>PRODUCT('All-Servers'!F985,'All-Servers'!$H985)</f>
        <v>32</v>
      </c>
      <c r="K975" s="60">
        <f>PRODUCT('All-Servers'!G985,'All-Servers'!$H985)</f>
        <v>20</v>
      </c>
    </row>
    <row r="976" spans="8:11">
      <c r="H976" s="60">
        <f>PRODUCT('All-Servers'!D986,'All-Servers'!$H986)</f>
        <v>4</v>
      </c>
      <c r="I976" s="60">
        <f>PRODUCT('All-Servers'!E986,'All-Servers'!$H986)</f>
        <v>7500</v>
      </c>
      <c r="J976" s="60">
        <f>PRODUCT('All-Servers'!F986,'All-Servers'!$H986)</f>
        <v>80</v>
      </c>
      <c r="K976" s="60">
        <f>PRODUCT('All-Servers'!G986,'All-Servers'!$H986)</f>
        <v>20</v>
      </c>
    </row>
    <row r="977" spans="8:11">
      <c r="H977" s="60">
        <f>PRODUCT('All-Servers'!D987,'All-Servers'!$H987)</f>
        <v>8</v>
      </c>
      <c r="I977" s="60">
        <f>PRODUCT('All-Servers'!E987,'All-Servers'!$H987)</f>
        <v>15000</v>
      </c>
      <c r="J977" s="60">
        <f>PRODUCT('All-Servers'!F987,'All-Servers'!$H987)</f>
        <v>160</v>
      </c>
      <c r="K977" s="60">
        <f>PRODUCT('All-Servers'!G987,'All-Servers'!$H987)</f>
        <v>20</v>
      </c>
    </row>
    <row r="978" spans="8:11">
      <c r="H978" s="60">
        <f>PRODUCT('All-Servers'!D988,'All-Servers'!$H988)</f>
        <v>16</v>
      </c>
      <c r="I978" s="60">
        <f>PRODUCT('All-Servers'!E988,'All-Servers'!$H988)</f>
        <v>30000</v>
      </c>
      <c r="J978" s="60">
        <f>PRODUCT('All-Servers'!F988,'All-Servers'!$H988)</f>
        <v>320</v>
      </c>
      <c r="K978" s="60">
        <f>PRODUCT('All-Servers'!G988,'All-Servers'!$H988)</f>
        <v>20</v>
      </c>
    </row>
    <row r="979" spans="8:11">
      <c r="H979" s="60">
        <f>PRODUCT('All-Servers'!D989,'All-Servers'!$H989)</f>
        <v>8</v>
      </c>
      <c r="I979" s="60">
        <f>PRODUCT('All-Servers'!E989,'All-Servers'!$H989)</f>
        <v>61000</v>
      </c>
      <c r="J979" s="60">
        <f>PRODUCT('All-Servers'!F989,'All-Servers'!$H989)</f>
        <v>1440</v>
      </c>
      <c r="K979" s="60">
        <f>PRODUCT('All-Servers'!G989,'All-Servers'!$H989)</f>
        <v>20</v>
      </c>
    </row>
    <row r="980" spans="8:11">
      <c r="H980" s="60">
        <f>PRODUCT('All-Servers'!D990,'All-Servers'!$H990)</f>
        <v>16</v>
      </c>
      <c r="I980" s="60">
        <f>PRODUCT('All-Servers'!E990,'All-Servers'!$H990)</f>
        <v>30000</v>
      </c>
      <c r="J980" s="60">
        <f>PRODUCT('All-Servers'!F990,'All-Servers'!$H990)</f>
        <v>320</v>
      </c>
      <c r="K980" s="60">
        <f>PRODUCT('All-Servers'!G990,'All-Servers'!$H990)</f>
        <v>20</v>
      </c>
    </row>
    <row r="981" spans="8:11">
      <c r="H981" s="60">
        <f>PRODUCT('All-Servers'!D991,'All-Servers'!$H991)</f>
        <v>8</v>
      </c>
      <c r="I981" s="60">
        <f>PRODUCT('All-Servers'!E991,'All-Servers'!$H991)</f>
        <v>30000</v>
      </c>
      <c r="J981" s="60">
        <f>PRODUCT('All-Servers'!F991,'All-Servers'!$H991)</f>
        <v>160</v>
      </c>
      <c r="K981" s="60">
        <f>PRODUCT('All-Servers'!G991,'All-Servers'!$H991)</f>
        <v>1820</v>
      </c>
    </row>
    <row r="982" spans="8:11">
      <c r="H982" s="60">
        <f>PRODUCT('All-Servers'!D992,'All-Servers'!$H992)</f>
        <v>8</v>
      </c>
      <c r="I982" s="60">
        <f>PRODUCT('All-Servers'!E992,'All-Servers'!$H992)</f>
        <v>30000</v>
      </c>
      <c r="J982" s="60">
        <f>PRODUCT('All-Servers'!F992,'All-Servers'!$H992)</f>
        <v>160</v>
      </c>
      <c r="K982" s="60">
        <f>PRODUCT('All-Servers'!G992,'All-Servers'!$H992)</f>
        <v>820</v>
      </c>
    </row>
    <row r="983" spans="8:11">
      <c r="H983" s="60">
        <f>PRODUCT('All-Servers'!D993,'All-Servers'!$H993)</f>
        <v>32</v>
      </c>
      <c r="I983" s="60">
        <f>PRODUCT('All-Servers'!E993,'All-Servers'!$H993)</f>
        <v>60000</v>
      </c>
      <c r="J983" s="60">
        <f>PRODUCT('All-Servers'!F993,'All-Servers'!$H993)</f>
        <v>640</v>
      </c>
      <c r="K983" s="60">
        <f>PRODUCT('All-Servers'!G993,'All-Servers'!$H993)</f>
        <v>20</v>
      </c>
    </row>
    <row r="984" spans="8:11">
      <c r="H984" s="60">
        <f>PRODUCT('All-Servers'!D994,'All-Servers'!$H994)</f>
        <v>1</v>
      </c>
      <c r="I984" s="60">
        <f>PRODUCT('All-Servers'!E994,'All-Servers'!$H994)</f>
        <v>1700</v>
      </c>
      <c r="J984" s="60">
        <f>PRODUCT('All-Servers'!F994,'All-Servers'!$H994)</f>
        <v>160</v>
      </c>
      <c r="K984" s="60">
        <f>PRODUCT('All-Servers'!G994,'All-Servers'!$H994)</f>
        <v>20</v>
      </c>
    </row>
    <row r="985" spans="8:11">
      <c r="H985" s="60">
        <f>PRODUCT('All-Servers'!D995,'All-Servers'!$H995)</f>
        <v>32</v>
      </c>
      <c r="I985" s="60">
        <f>PRODUCT('All-Servers'!E995,'All-Servers'!$H995)</f>
        <v>60000</v>
      </c>
      <c r="J985" s="60">
        <f>PRODUCT('All-Servers'!F995,'All-Servers'!$H995)</f>
        <v>640</v>
      </c>
      <c r="K985" s="60">
        <f>PRODUCT('All-Servers'!G995,'All-Servers'!$H995)</f>
        <v>20</v>
      </c>
    </row>
    <row r="986" spans="8:11">
      <c r="H986" s="60">
        <f>PRODUCT('All-Servers'!D996,'All-Servers'!$H996)</f>
        <v>8</v>
      </c>
      <c r="I986" s="60">
        <f>PRODUCT('All-Servers'!E996,'All-Servers'!$H996)</f>
        <v>30000</v>
      </c>
      <c r="J986" s="60">
        <f>PRODUCT('All-Servers'!F996,'All-Servers'!$H996)</f>
        <v>160</v>
      </c>
      <c r="K986" s="60">
        <f>PRODUCT('All-Servers'!G996,'All-Servers'!$H996)</f>
        <v>820</v>
      </c>
    </row>
    <row r="987" spans="8:11">
      <c r="H987" s="60">
        <f>PRODUCT('All-Servers'!D997,'All-Servers'!$H997)</f>
        <v>2</v>
      </c>
      <c r="I987" s="60">
        <f>PRODUCT('All-Servers'!E997,'All-Servers'!$H997)</f>
        <v>3750</v>
      </c>
      <c r="J987" s="60">
        <f>PRODUCT('All-Servers'!F997,'All-Servers'!$H997)</f>
        <v>32</v>
      </c>
      <c r="K987" s="60">
        <f>PRODUCT('All-Servers'!G997,'All-Servers'!$H997)</f>
        <v>20</v>
      </c>
    </row>
    <row r="988" spans="8:11">
      <c r="H988" s="60">
        <f>PRODUCT('All-Servers'!D998,'All-Servers'!$H998)</f>
        <v>1</v>
      </c>
      <c r="I988" s="60">
        <f>PRODUCT('All-Servers'!E998,'All-Servers'!$H998)</f>
        <v>1700</v>
      </c>
      <c r="J988" s="60">
        <f>PRODUCT('All-Servers'!F998,'All-Servers'!$H998)</f>
        <v>160</v>
      </c>
      <c r="K988" s="60">
        <f>PRODUCT('All-Servers'!G998,'All-Servers'!$H998)</f>
        <v>20</v>
      </c>
    </row>
    <row r="989" spans="8:11">
      <c r="H989" s="60">
        <f>PRODUCT('All-Servers'!D999,'All-Servers'!$H999)</f>
        <v>1</v>
      </c>
      <c r="I989" s="60">
        <f>PRODUCT('All-Servers'!E999,'All-Servers'!$H999)</f>
        <v>2000</v>
      </c>
      <c r="J989" s="60">
        <f>PRODUCT('All-Servers'!F999,'All-Servers'!$H999)</f>
        <v>0</v>
      </c>
      <c r="K989" s="60">
        <f>PRODUCT('All-Servers'!G999,'All-Servers'!$H999)</f>
        <v>20</v>
      </c>
    </row>
    <row r="990" spans="8:11">
      <c r="H990" s="60">
        <f>PRODUCT('All-Servers'!D1000,'All-Servers'!$H1000)</f>
        <v>1</v>
      </c>
      <c r="I990" s="60">
        <f>PRODUCT('All-Servers'!E1000,'All-Servers'!$H1000)</f>
        <v>2000</v>
      </c>
      <c r="J990" s="60">
        <f>PRODUCT('All-Servers'!F1000,'All-Servers'!$H1000)</f>
        <v>0</v>
      </c>
      <c r="K990" s="60">
        <f>PRODUCT('All-Servers'!G1000,'All-Servers'!$H1000)</f>
        <v>20</v>
      </c>
    </row>
    <row r="991" spans="8:11">
      <c r="H991" s="60">
        <f>PRODUCT('All-Servers'!D1001,'All-Servers'!$H1001)</f>
        <v>1</v>
      </c>
      <c r="I991" s="60">
        <f>PRODUCT('All-Servers'!E1001,'All-Servers'!$H1001)</f>
        <v>2000</v>
      </c>
      <c r="J991" s="60">
        <f>PRODUCT('All-Servers'!F1001,'All-Servers'!$H1001)</f>
        <v>0</v>
      </c>
      <c r="K991" s="60">
        <f>PRODUCT('All-Servers'!G1001,'All-Servers'!$H1001)</f>
        <v>20</v>
      </c>
    </row>
    <row r="992" spans="8:11">
      <c r="H992" s="60">
        <f>PRODUCT('All-Servers'!D1002,'All-Servers'!$H1002)</f>
        <v>1</v>
      </c>
      <c r="I992" s="60">
        <f>PRODUCT('All-Servers'!E1002,'All-Servers'!$H1002)</f>
        <v>2000</v>
      </c>
      <c r="J992" s="60">
        <f>PRODUCT('All-Servers'!F1002,'All-Servers'!$H1002)</f>
        <v>0</v>
      </c>
      <c r="K992" s="60">
        <f>PRODUCT('All-Servers'!G1002,'All-Servers'!$H1002)</f>
        <v>20</v>
      </c>
    </row>
    <row r="993" spans="8:11">
      <c r="H993" s="60">
        <f>PRODUCT('All-Servers'!D1003,'All-Servers'!$H1003)</f>
        <v>1</v>
      </c>
      <c r="I993" s="60">
        <f>PRODUCT('All-Servers'!E1003,'All-Servers'!$H1003)</f>
        <v>1700</v>
      </c>
      <c r="J993" s="60">
        <f>PRODUCT('All-Servers'!F1003,'All-Servers'!$H1003)</f>
        <v>160</v>
      </c>
      <c r="K993" s="60">
        <f>PRODUCT('All-Servers'!G1003,'All-Servers'!$H1003)</f>
        <v>20</v>
      </c>
    </row>
    <row r="994" spans="8:11">
      <c r="H994" s="60">
        <f>PRODUCT('All-Servers'!D1004,'All-Servers'!$H1004)</f>
        <v>1</v>
      </c>
      <c r="I994" s="60">
        <f>PRODUCT('All-Servers'!E1004,'All-Servers'!$H1004)</f>
        <v>2000</v>
      </c>
      <c r="J994" s="60">
        <f>PRODUCT('All-Servers'!F1004,'All-Servers'!$H1004)</f>
        <v>0</v>
      </c>
      <c r="K994" s="60">
        <f>PRODUCT('All-Servers'!G1004,'All-Servers'!$H1004)</f>
        <v>20</v>
      </c>
    </row>
    <row r="995" spans="8:11">
      <c r="H995" s="60">
        <f>PRODUCT('All-Servers'!D1005,'All-Servers'!$H1005)</f>
        <v>1</v>
      </c>
      <c r="I995" s="60">
        <f>PRODUCT('All-Servers'!E1005,'All-Servers'!$H1005)</f>
        <v>2000</v>
      </c>
      <c r="J995" s="60">
        <f>PRODUCT('All-Servers'!F1005,'All-Servers'!$H1005)</f>
        <v>0</v>
      </c>
      <c r="K995" s="60">
        <f>PRODUCT('All-Servers'!G1005,'All-Servers'!$H1005)</f>
        <v>20</v>
      </c>
    </row>
    <row r="996" spans="8:11">
      <c r="H996" s="60">
        <f>PRODUCT('All-Servers'!D1006,'All-Servers'!$H1006)</f>
        <v>1</v>
      </c>
      <c r="I996" s="60">
        <f>PRODUCT('All-Servers'!E1006,'All-Servers'!$H1006)</f>
        <v>2000</v>
      </c>
      <c r="J996" s="60">
        <f>PRODUCT('All-Servers'!F1006,'All-Servers'!$H1006)</f>
        <v>0</v>
      </c>
      <c r="K996" s="60">
        <f>PRODUCT('All-Servers'!G1006,'All-Servers'!$H1006)</f>
        <v>20</v>
      </c>
    </row>
    <row r="997" spans="8:11">
      <c r="H997" s="60">
        <f>PRODUCT('All-Servers'!D1007,'All-Servers'!$H1007)</f>
        <v>1</v>
      </c>
      <c r="I997" s="60">
        <f>PRODUCT('All-Servers'!E1007,'All-Servers'!$H1007)</f>
        <v>2000</v>
      </c>
      <c r="J997" s="60">
        <f>PRODUCT('All-Servers'!F1007,'All-Servers'!$H1007)</f>
        <v>0</v>
      </c>
      <c r="K997" s="60">
        <f>PRODUCT('All-Servers'!G1007,'All-Servers'!$H1007)</f>
        <v>20</v>
      </c>
    </row>
    <row r="998" spans="8:11">
      <c r="H998" s="60">
        <f>PRODUCT('All-Servers'!D1008,'All-Servers'!$H1008)</f>
        <v>2</v>
      </c>
      <c r="I998" s="60">
        <f>PRODUCT('All-Servers'!E1008,'All-Servers'!$H1008)</f>
        <v>3750</v>
      </c>
      <c r="J998" s="60">
        <f>PRODUCT('All-Servers'!F1008,'All-Servers'!$H1008)</f>
        <v>32</v>
      </c>
      <c r="K998" s="60">
        <f>PRODUCT('All-Servers'!G1008,'All-Servers'!$H1008)</f>
        <v>20</v>
      </c>
    </row>
    <row r="999" spans="8:11">
      <c r="H999" s="60">
        <f>PRODUCT('All-Servers'!D1009,'All-Servers'!$H1009)</f>
        <v>2</v>
      </c>
      <c r="I999" s="60">
        <f>PRODUCT('All-Servers'!E1009,'All-Servers'!$H1009)</f>
        <v>3750</v>
      </c>
      <c r="J999" s="60">
        <f>PRODUCT('All-Servers'!F1009,'All-Servers'!$H1009)</f>
        <v>32</v>
      </c>
      <c r="K999" s="60">
        <f>PRODUCT('All-Servers'!G1009,'All-Servers'!$H1009)</f>
        <v>20</v>
      </c>
    </row>
    <row r="1000" spans="8:11">
      <c r="H1000" s="60">
        <f>PRODUCT('All-Servers'!D1010,'All-Servers'!$H1010)</f>
        <v>2</v>
      </c>
      <c r="I1000" s="60">
        <f>PRODUCT('All-Servers'!E1010,'All-Servers'!$H1010)</f>
        <v>3750</v>
      </c>
      <c r="J1000" s="60">
        <f>PRODUCT('All-Servers'!F1010,'All-Servers'!$H1010)</f>
        <v>32</v>
      </c>
      <c r="K1000" s="60">
        <f>PRODUCT('All-Servers'!G1010,'All-Servers'!$H1010)</f>
        <v>20</v>
      </c>
    </row>
    <row r="1001" spans="8:11">
      <c r="H1001" s="60">
        <f>PRODUCT('All-Servers'!D1011,'All-Servers'!$H1011)</f>
        <v>2</v>
      </c>
      <c r="I1001" s="60">
        <f>PRODUCT('All-Servers'!E1011,'All-Servers'!$H1011)</f>
        <v>3750</v>
      </c>
      <c r="J1001" s="60">
        <f>PRODUCT('All-Servers'!F1011,'All-Servers'!$H1011)</f>
        <v>32</v>
      </c>
      <c r="K1001" s="60">
        <f>PRODUCT('All-Servers'!G1011,'All-Servers'!$H1011)</f>
        <v>20</v>
      </c>
    </row>
    <row r="1002" spans="8:11">
      <c r="H1002" s="60">
        <f>PRODUCT('All-Servers'!D1012,'All-Servers'!$H1012)</f>
        <v>1</v>
      </c>
      <c r="I1002" s="60">
        <f>PRODUCT('All-Servers'!E1012,'All-Servers'!$H1012)</f>
        <v>1700</v>
      </c>
      <c r="J1002" s="60">
        <f>PRODUCT('All-Servers'!F1012,'All-Servers'!$H1012)</f>
        <v>160</v>
      </c>
      <c r="K1002" s="60">
        <f>PRODUCT('All-Servers'!G1012,'All-Servers'!$H1012)</f>
        <v>20</v>
      </c>
    </row>
    <row r="1003" spans="8:11">
      <c r="H1003" s="60">
        <f>PRODUCT('All-Servers'!D1013,'All-Servers'!$H1013)</f>
        <v>1</v>
      </c>
      <c r="I1003" s="60">
        <f>PRODUCT('All-Servers'!E1013,'All-Servers'!$H1013)</f>
        <v>2000</v>
      </c>
      <c r="J1003" s="60">
        <f>PRODUCT('All-Servers'!F1013,'All-Servers'!$H1013)</f>
        <v>0</v>
      </c>
      <c r="K1003" s="60">
        <f>PRODUCT('All-Servers'!G1013,'All-Servers'!$H1013)</f>
        <v>20</v>
      </c>
    </row>
    <row r="1004" spans="8:11">
      <c r="H1004" s="60">
        <f>PRODUCT('All-Servers'!D1014,'All-Servers'!$H1014)</f>
        <v>1</v>
      </c>
      <c r="I1004" s="60">
        <f>PRODUCT('All-Servers'!E1014,'All-Servers'!$H1014)</f>
        <v>1700</v>
      </c>
      <c r="J1004" s="60">
        <f>PRODUCT('All-Servers'!F1014,'All-Servers'!$H1014)</f>
        <v>160</v>
      </c>
      <c r="K1004" s="60">
        <f>PRODUCT('All-Servers'!G1014,'All-Servers'!$H1014)</f>
        <v>20</v>
      </c>
    </row>
    <row r="1005" spans="8:11">
      <c r="H1005" s="60">
        <f>PRODUCT('All-Servers'!D1015,'All-Servers'!$H1015)</f>
        <v>1</v>
      </c>
      <c r="I1005" s="60">
        <f>PRODUCT('All-Servers'!E1015,'All-Servers'!$H1015)</f>
        <v>2000</v>
      </c>
      <c r="J1005" s="60">
        <f>PRODUCT('All-Servers'!F1015,'All-Servers'!$H1015)</f>
        <v>0</v>
      </c>
      <c r="K1005" s="60">
        <f>PRODUCT('All-Servers'!G1015,'All-Servers'!$H1015)</f>
        <v>20</v>
      </c>
    </row>
    <row r="1006" spans="8:11">
      <c r="H1006" s="60">
        <f>PRODUCT('All-Servers'!D1016,'All-Servers'!$H1016)</f>
        <v>1</v>
      </c>
      <c r="I1006" s="60">
        <f>PRODUCT('All-Servers'!E1016,'All-Servers'!$H1016)</f>
        <v>2000</v>
      </c>
      <c r="J1006" s="60">
        <f>PRODUCT('All-Servers'!F1016,'All-Servers'!$H1016)</f>
        <v>0</v>
      </c>
      <c r="K1006" s="60">
        <f>PRODUCT('All-Servers'!G1016,'All-Servers'!$H1016)</f>
        <v>20</v>
      </c>
    </row>
    <row r="1007" spans="8:11">
      <c r="H1007" s="60">
        <f>PRODUCT('All-Servers'!D1017,'All-Servers'!$H1017)</f>
        <v>1</v>
      </c>
      <c r="I1007" s="60">
        <f>PRODUCT('All-Servers'!E1017,'All-Servers'!$H1017)</f>
        <v>3750</v>
      </c>
      <c r="J1007" s="60">
        <f>PRODUCT('All-Servers'!F1017,'All-Servers'!$H1017)</f>
        <v>4</v>
      </c>
      <c r="K1007" s="60">
        <f>PRODUCT('All-Servers'!G1017,'All-Servers'!$H1017)</f>
        <v>20</v>
      </c>
    </row>
    <row r="1008" spans="8:11">
      <c r="H1008" s="60">
        <f>PRODUCT('All-Servers'!D1018,'All-Servers'!$H1018)</f>
        <v>1</v>
      </c>
      <c r="I1008" s="60">
        <f>PRODUCT('All-Servers'!E1018,'All-Servers'!$H1018)</f>
        <v>1700</v>
      </c>
      <c r="J1008" s="60">
        <f>PRODUCT('All-Servers'!F1018,'All-Servers'!$H1018)</f>
        <v>160</v>
      </c>
      <c r="K1008" s="60">
        <f>PRODUCT('All-Servers'!G1018,'All-Servers'!$H1018)</f>
        <v>20</v>
      </c>
    </row>
    <row r="1009" spans="8:11">
      <c r="H1009" s="60">
        <f>PRODUCT('All-Servers'!D1019,'All-Servers'!$H1019)</f>
        <v>1</v>
      </c>
      <c r="I1009" s="60">
        <f>PRODUCT('All-Servers'!E1019,'All-Servers'!$H1019)</f>
        <v>1700</v>
      </c>
      <c r="J1009" s="60">
        <f>PRODUCT('All-Servers'!F1019,'All-Servers'!$H1019)</f>
        <v>160</v>
      </c>
      <c r="K1009" s="60">
        <f>PRODUCT('All-Servers'!G1019,'All-Servers'!$H1019)</f>
        <v>20</v>
      </c>
    </row>
    <row r="1010" spans="8:11">
      <c r="H1010" s="60">
        <f>PRODUCT('All-Servers'!D1020,'All-Servers'!$H1020)</f>
        <v>1</v>
      </c>
      <c r="I1010" s="60">
        <f>PRODUCT('All-Servers'!E1020,'All-Servers'!$H1020)</f>
        <v>1700</v>
      </c>
      <c r="J1010" s="60">
        <f>PRODUCT('All-Servers'!F1020,'All-Servers'!$H1020)</f>
        <v>160</v>
      </c>
      <c r="K1010" s="60">
        <f>PRODUCT('All-Servers'!G1020,'All-Servers'!$H1020)</f>
        <v>20</v>
      </c>
    </row>
    <row r="1011" spans="8:11">
      <c r="H1011" s="60">
        <f>PRODUCT('All-Servers'!D1021,'All-Servers'!$H1021)</f>
        <v>1</v>
      </c>
      <c r="I1011" s="60">
        <f>PRODUCT('All-Servers'!E1021,'All-Servers'!$H1021)</f>
        <v>2000</v>
      </c>
      <c r="J1011" s="60">
        <f>PRODUCT('All-Servers'!F1021,'All-Servers'!$H1021)</f>
        <v>0</v>
      </c>
      <c r="K1011" s="60">
        <f>PRODUCT('All-Servers'!G1021,'All-Servers'!$H1021)</f>
        <v>20</v>
      </c>
    </row>
    <row r="1012" spans="8:11">
      <c r="H1012" s="60">
        <f>PRODUCT('All-Servers'!D1022,'All-Servers'!$H1022)</f>
        <v>1</v>
      </c>
      <c r="I1012" s="60">
        <f>PRODUCT('All-Servers'!E1022,'All-Servers'!$H1022)</f>
        <v>2000</v>
      </c>
      <c r="J1012" s="60">
        <f>PRODUCT('All-Servers'!F1022,'All-Servers'!$H1022)</f>
        <v>0</v>
      </c>
      <c r="K1012" s="60">
        <f>PRODUCT('All-Servers'!G1022,'All-Servers'!$H1022)</f>
        <v>20</v>
      </c>
    </row>
    <row r="1013" spans="8:11">
      <c r="H1013" s="60">
        <f>PRODUCT('All-Servers'!D1023,'All-Servers'!$H1023)</f>
        <v>1</v>
      </c>
      <c r="I1013" s="60">
        <f>PRODUCT('All-Servers'!E1023,'All-Servers'!$H1023)</f>
        <v>1700</v>
      </c>
      <c r="J1013" s="60">
        <f>PRODUCT('All-Servers'!F1023,'All-Servers'!$H1023)</f>
        <v>160</v>
      </c>
      <c r="K1013" s="60">
        <f>PRODUCT('All-Servers'!G1023,'All-Servers'!$H1023)</f>
        <v>20</v>
      </c>
    </row>
    <row r="1014" spans="8:11">
      <c r="H1014" s="60">
        <f>PRODUCT('All-Servers'!D1024,'All-Servers'!$H1024)</f>
        <v>2</v>
      </c>
      <c r="I1014" s="60">
        <f>PRODUCT('All-Servers'!E1024,'All-Servers'!$H1024)</f>
        <v>7500</v>
      </c>
      <c r="J1014" s="60">
        <f>PRODUCT('All-Servers'!F1024,'All-Servers'!$H1024)</f>
        <v>32</v>
      </c>
      <c r="K1014" s="60">
        <f>PRODUCT('All-Servers'!G1024,'All-Servers'!$H1024)</f>
        <v>420</v>
      </c>
    </row>
    <row r="1015" spans="8:11">
      <c r="H1015" s="60">
        <f>PRODUCT('All-Servers'!D1025,'All-Servers'!$H1025)</f>
        <v>2</v>
      </c>
      <c r="I1015" s="60">
        <f>PRODUCT('All-Servers'!E1025,'All-Servers'!$H1025)</f>
        <v>7500</v>
      </c>
      <c r="J1015" s="60">
        <f>PRODUCT('All-Servers'!F1025,'All-Servers'!$H1025)</f>
        <v>32</v>
      </c>
      <c r="K1015" s="60">
        <f>PRODUCT('All-Servers'!G1025,'All-Servers'!$H1025)</f>
        <v>420</v>
      </c>
    </row>
    <row r="1016" spans="8:11">
      <c r="H1016" s="60">
        <f>PRODUCT('All-Servers'!D1026,'All-Servers'!$H1026)</f>
        <v>2</v>
      </c>
      <c r="I1016" s="60">
        <f>PRODUCT('All-Servers'!E1026,'All-Servers'!$H1026)</f>
        <v>7500</v>
      </c>
      <c r="J1016" s="60">
        <f>PRODUCT('All-Servers'!F1026,'All-Servers'!$H1026)</f>
        <v>32</v>
      </c>
      <c r="K1016" s="60">
        <f>PRODUCT('All-Servers'!G1026,'All-Servers'!$H1026)</f>
        <v>820</v>
      </c>
    </row>
    <row r="1017" spans="8:11">
      <c r="H1017" s="60">
        <f>PRODUCT('All-Servers'!D1027,'All-Servers'!$H1027)</f>
        <v>1</v>
      </c>
      <c r="I1017" s="60">
        <f>PRODUCT('All-Servers'!E1027,'All-Servers'!$H1027)</f>
        <v>2000</v>
      </c>
      <c r="J1017" s="60">
        <f>PRODUCT('All-Servers'!F1027,'All-Servers'!$H1027)</f>
        <v>0</v>
      </c>
      <c r="K1017" s="60">
        <f>PRODUCT('All-Servers'!G1027,'All-Servers'!$H1027)</f>
        <v>20</v>
      </c>
    </row>
    <row r="1018" spans="8:11">
      <c r="H1018" s="60">
        <f>PRODUCT('All-Servers'!D1028,'All-Servers'!$H1028)</f>
        <v>1</v>
      </c>
      <c r="I1018" s="60">
        <f>PRODUCT('All-Servers'!E1028,'All-Servers'!$H1028)</f>
        <v>2000</v>
      </c>
      <c r="J1018" s="60">
        <f>PRODUCT('All-Servers'!F1028,'All-Servers'!$H1028)</f>
        <v>0</v>
      </c>
      <c r="K1018" s="60">
        <f>PRODUCT('All-Servers'!G1028,'All-Servers'!$H1028)</f>
        <v>20</v>
      </c>
    </row>
    <row r="1019" spans="8:11">
      <c r="H1019" s="60">
        <f>PRODUCT('All-Servers'!D1029,'All-Servers'!$H1029)</f>
        <v>1</v>
      </c>
      <c r="I1019" s="60">
        <f>PRODUCT('All-Servers'!E1029,'All-Servers'!$H1029)</f>
        <v>2000</v>
      </c>
      <c r="J1019" s="60">
        <f>PRODUCT('All-Servers'!F1029,'All-Servers'!$H1029)</f>
        <v>0</v>
      </c>
      <c r="K1019" s="60">
        <f>PRODUCT('All-Servers'!G1029,'All-Servers'!$H1029)</f>
        <v>20</v>
      </c>
    </row>
    <row r="1020" spans="8:11">
      <c r="H1020" s="60">
        <f>PRODUCT('All-Servers'!D1030,'All-Servers'!$H1030)</f>
        <v>1</v>
      </c>
      <c r="I1020" s="60">
        <f>PRODUCT('All-Servers'!E1030,'All-Servers'!$H1030)</f>
        <v>2000</v>
      </c>
      <c r="J1020" s="60">
        <f>PRODUCT('All-Servers'!F1030,'All-Servers'!$H1030)</f>
        <v>0</v>
      </c>
      <c r="K1020" s="60">
        <f>PRODUCT('All-Servers'!G1030,'All-Servers'!$H1030)</f>
        <v>20</v>
      </c>
    </row>
    <row r="1021" spans="8:11">
      <c r="H1021" s="60">
        <f>PRODUCT('All-Servers'!D1031,'All-Servers'!$H1031)</f>
        <v>1</v>
      </c>
      <c r="I1021" s="60">
        <f>PRODUCT('All-Servers'!E1031,'All-Servers'!$H1031)</f>
        <v>1700</v>
      </c>
      <c r="J1021" s="60">
        <f>PRODUCT('All-Servers'!F1031,'All-Servers'!$H1031)</f>
        <v>160</v>
      </c>
      <c r="K1021" s="60">
        <f>PRODUCT('All-Servers'!G1031,'All-Servers'!$H1031)</f>
        <v>20</v>
      </c>
    </row>
    <row r="1022" spans="8:11">
      <c r="H1022" s="60">
        <f>PRODUCT('All-Servers'!D1032,'All-Servers'!$H1032)</f>
        <v>1</v>
      </c>
      <c r="I1022" s="60">
        <f>PRODUCT('All-Servers'!E1032,'All-Servers'!$H1032)</f>
        <v>1700</v>
      </c>
      <c r="J1022" s="60">
        <f>PRODUCT('All-Servers'!F1032,'All-Servers'!$H1032)</f>
        <v>160</v>
      </c>
      <c r="K1022" s="60">
        <f>PRODUCT('All-Servers'!G1032,'All-Servers'!$H1032)</f>
        <v>20</v>
      </c>
    </row>
    <row r="1023" spans="8:11">
      <c r="H1023" s="60">
        <f>PRODUCT('All-Servers'!D1033,'All-Servers'!$H1033)</f>
        <v>1</v>
      </c>
      <c r="I1023" s="60">
        <f>PRODUCT('All-Servers'!E1033,'All-Servers'!$H1033)</f>
        <v>2000</v>
      </c>
      <c r="J1023" s="60">
        <f>PRODUCT('All-Servers'!F1033,'All-Servers'!$H1033)</f>
        <v>0</v>
      </c>
      <c r="K1023" s="60">
        <f>PRODUCT('All-Servers'!G1033,'All-Servers'!$H1033)</f>
        <v>20</v>
      </c>
    </row>
    <row r="1024" spans="8:11">
      <c r="H1024" s="60">
        <f>PRODUCT('All-Servers'!D1034,'All-Servers'!$H1034)</f>
        <v>1</v>
      </c>
      <c r="I1024" s="60">
        <f>PRODUCT('All-Servers'!E1034,'All-Servers'!$H1034)</f>
        <v>2000</v>
      </c>
      <c r="J1024" s="60">
        <f>PRODUCT('All-Servers'!F1034,'All-Servers'!$H1034)</f>
        <v>0</v>
      </c>
      <c r="K1024" s="60">
        <f>PRODUCT('All-Servers'!G1034,'All-Servers'!$H1034)</f>
        <v>20</v>
      </c>
    </row>
    <row r="1025" spans="8:11">
      <c r="H1025" s="60">
        <f>PRODUCT('All-Servers'!D1035,'All-Servers'!$H1035)</f>
        <v>2</v>
      </c>
      <c r="I1025" s="60">
        <f>PRODUCT('All-Servers'!E1035,'All-Servers'!$H1035)</f>
        <v>3750</v>
      </c>
      <c r="J1025" s="60">
        <f>PRODUCT('All-Servers'!F1035,'All-Servers'!$H1035)</f>
        <v>32</v>
      </c>
      <c r="K1025" s="60">
        <f>PRODUCT('All-Servers'!G1035,'All-Servers'!$H1035)</f>
        <v>20</v>
      </c>
    </row>
    <row r="1026" spans="8:11">
      <c r="H1026" s="60">
        <f>PRODUCT('All-Servers'!D1036,'All-Servers'!$H1036)</f>
        <v>1</v>
      </c>
      <c r="I1026" s="60">
        <f>PRODUCT('All-Servers'!E1036,'All-Servers'!$H1036)</f>
        <v>2000</v>
      </c>
      <c r="J1026" s="60">
        <f>PRODUCT('All-Servers'!F1036,'All-Servers'!$H1036)</f>
        <v>0</v>
      </c>
      <c r="K1026" s="60">
        <f>PRODUCT('All-Servers'!G1036,'All-Servers'!$H1036)</f>
        <v>20</v>
      </c>
    </row>
    <row r="1027" spans="8:11">
      <c r="H1027" s="60">
        <f>PRODUCT('All-Servers'!D1037,'All-Servers'!$H1037)</f>
        <v>1</v>
      </c>
      <c r="I1027" s="60">
        <f>PRODUCT('All-Servers'!E1037,'All-Servers'!$H1037)</f>
        <v>2000</v>
      </c>
      <c r="J1027" s="60">
        <f>PRODUCT('All-Servers'!F1037,'All-Servers'!$H1037)</f>
        <v>0</v>
      </c>
      <c r="K1027" s="60">
        <f>PRODUCT('All-Servers'!G1037,'All-Servers'!$H1037)</f>
        <v>20</v>
      </c>
    </row>
    <row r="1028" spans="8:11">
      <c r="H1028" s="60">
        <f>PRODUCT('All-Servers'!D1038,'All-Servers'!$H1038)</f>
        <v>1</v>
      </c>
      <c r="I1028" s="60">
        <f>PRODUCT('All-Servers'!E1038,'All-Servers'!$H1038)</f>
        <v>2000</v>
      </c>
      <c r="J1028" s="60">
        <f>PRODUCT('All-Servers'!F1038,'All-Servers'!$H1038)</f>
        <v>0</v>
      </c>
      <c r="K1028" s="60">
        <f>PRODUCT('All-Servers'!G1038,'All-Servers'!$H1038)</f>
        <v>20</v>
      </c>
    </row>
    <row r="1029" spans="8:11">
      <c r="H1029" s="60">
        <f>PRODUCT('All-Servers'!D1039,'All-Servers'!$H1039)</f>
        <v>1</v>
      </c>
      <c r="I1029" s="60">
        <f>PRODUCT('All-Servers'!E1039,'All-Servers'!$H1039)</f>
        <v>2000</v>
      </c>
      <c r="J1029" s="60">
        <f>PRODUCT('All-Servers'!F1039,'All-Servers'!$H1039)</f>
        <v>0</v>
      </c>
      <c r="K1029" s="60">
        <f>PRODUCT('All-Servers'!G1039,'All-Servers'!$H1039)</f>
        <v>20</v>
      </c>
    </row>
    <row r="1030" spans="8:11">
      <c r="H1030" s="60">
        <f>PRODUCT('All-Servers'!D1040,'All-Servers'!$H1040)</f>
        <v>1</v>
      </c>
      <c r="I1030" s="60">
        <f>PRODUCT('All-Servers'!E1040,'All-Servers'!$H1040)</f>
        <v>2000</v>
      </c>
      <c r="J1030" s="60">
        <f>PRODUCT('All-Servers'!F1040,'All-Servers'!$H1040)</f>
        <v>0</v>
      </c>
      <c r="K1030" s="60">
        <f>PRODUCT('All-Servers'!G1040,'All-Servers'!$H1040)</f>
        <v>20</v>
      </c>
    </row>
    <row r="1031" spans="8:11">
      <c r="H1031" s="60">
        <f>PRODUCT('All-Servers'!D1041,'All-Servers'!$H1041)</f>
        <v>1</v>
      </c>
      <c r="I1031" s="60">
        <f>PRODUCT('All-Servers'!E1041,'All-Servers'!$H1041)</f>
        <v>2000</v>
      </c>
      <c r="J1031" s="60">
        <f>PRODUCT('All-Servers'!F1041,'All-Servers'!$H1041)</f>
        <v>0</v>
      </c>
      <c r="K1031" s="60">
        <f>PRODUCT('All-Servers'!G1041,'All-Servers'!$H1041)</f>
        <v>20</v>
      </c>
    </row>
    <row r="1032" spans="8:11">
      <c r="H1032" s="60">
        <f>PRODUCT('All-Servers'!D1042,'All-Servers'!$H1042)</f>
        <v>1</v>
      </c>
      <c r="I1032" s="60">
        <f>PRODUCT('All-Servers'!E1042,'All-Servers'!$H1042)</f>
        <v>2000</v>
      </c>
      <c r="J1032" s="60">
        <f>PRODUCT('All-Servers'!F1042,'All-Servers'!$H1042)</f>
        <v>0</v>
      </c>
      <c r="K1032" s="60">
        <f>PRODUCT('All-Servers'!G1042,'All-Servers'!$H1042)</f>
        <v>20</v>
      </c>
    </row>
    <row r="1033" spans="8:11">
      <c r="H1033" s="60">
        <f>PRODUCT('All-Servers'!D1043,'All-Servers'!$H1043)</f>
        <v>1</v>
      </c>
      <c r="I1033" s="60">
        <f>PRODUCT('All-Servers'!E1043,'All-Servers'!$H1043)</f>
        <v>2000</v>
      </c>
      <c r="J1033" s="60">
        <f>PRODUCT('All-Servers'!F1043,'All-Servers'!$H1043)</f>
        <v>0</v>
      </c>
      <c r="K1033" s="60">
        <f>PRODUCT('All-Servers'!G1043,'All-Servers'!$H1043)</f>
        <v>20</v>
      </c>
    </row>
    <row r="1034" spans="8:11">
      <c r="H1034" s="60">
        <f>PRODUCT('All-Servers'!D1044,'All-Servers'!$H1044)</f>
        <v>2</v>
      </c>
      <c r="I1034" s="60">
        <f>PRODUCT('All-Servers'!E1044,'All-Servers'!$H1044)</f>
        <v>7500</v>
      </c>
      <c r="J1034" s="60">
        <f>PRODUCT('All-Servers'!F1044,'All-Servers'!$H1044)</f>
        <v>32</v>
      </c>
      <c r="K1034" s="60">
        <f>PRODUCT('All-Servers'!G1044,'All-Servers'!$H1044)</f>
        <v>420</v>
      </c>
    </row>
    <row r="1035" spans="8:11">
      <c r="H1035" s="60">
        <f>PRODUCT('All-Servers'!D1045,'All-Servers'!$H1045)</f>
        <v>1</v>
      </c>
      <c r="I1035" s="60">
        <f>PRODUCT('All-Servers'!E1045,'All-Servers'!$H1045)</f>
        <v>2000</v>
      </c>
      <c r="J1035" s="60">
        <f>PRODUCT('All-Servers'!F1045,'All-Servers'!$H1045)</f>
        <v>0</v>
      </c>
      <c r="K1035" s="60">
        <f>PRODUCT('All-Servers'!G1045,'All-Servers'!$H1045)</f>
        <v>20</v>
      </c>
    </row>
    <row r="1036" spans="8:11">
      <c r="H1036" s="60">
        <f>PRODUCT('All-Servers'!D1046,'All-Servers'!$H1046)</f>
        <v>8</v>
      </c>
      <c r="I1036" s="60">
        <f>PRODUCT('All-Servers'!E1046,'All-Servers'!$H1046)</f>
        <v>15000</v>
      </c>
      <c r="J1036" s="60">
        <f>PRODUCT('All-Servers'!F1046,'All-Servers'!$H1046)</f>
        <v>160</v>
      </c>
      <c r="K1036" s="60">
        <f>PRODUCT('All-Servers'!G1046,'All-Servers'!$H1046)</f>
        <v>20</v>
      </c>
    </row>
    <row r="1037" spans="8:11">
      <c r="H1037" s="60">
        <f>PRODUCT('All-Servers'!D1047,'All-Servers'!$H1047)</f>
        <v>8</v>
      </c>
      <c r="I1037" s="60">
        <f>PRODUCT('All-Servers'!E1047,'All-Servers'!$H1047)</f>
        <v>15000</v>
      </c>
      <c r="J1037" s="60">
        <f>PRODUCT('All-Servers'!F1047,'All-Servers'!$H1047)</f>
        <v>160</v>
      </c>
      <c r="K1037" s="60">
        <f>PRODUCT('All-Servers'!G1047,'All-Servers'!$H1047)</f>
        <v>20</v>
      </c>
    </row>
    <row r="1038" spans="8:11">
      <c r="H1038" s="60">
        <f>PRODUCT('All-Servers'!D1048,'All-Servers'!$H1048)</f>
        <v>8</v>
      </c>
      <c r="I1038" s="60">
        <f>PRODUCT('All-Servers'!E1048,'All-Servers'!$H1048)</f>
        <v>15000</v>
      </c>
      <c r="J1038" s="60">
        <f>PRODUCT('All-Servers'!F1048,'All-Servers'!$H1048)</f>
        <v>160</v>
      </c>
      <c r="K1038" s="60">
        <f>PRODUCT('All-Servers'!G1048,'All-Servers'!$H1048)</f>
        <v>20</v>
      </c>
    </row>
    <row r="1039" spans="8:11">
      <c r="H1039" s="60">
        <f>PRODUCT('All-Servers'!D1049,'All-Servers'!$H1049)</f>
        <v>2</v>
      </c>
      <c r="I1039" s="60">
        <f>PRODUCT('All-Servers'!E1049,'All-Servers'!$H1049)</f>
        <v>7500</v>
      </c>
      <c r="J1039" s="60">
        <f>PRODUCT('All-Servers'!F1049,'All-Servers'!$H1049)</f>
        <v>32</v>
      </c>
      <c r="K1039" s="60">
        <f>PRODUCT('All-Servers'!G1049,'All-Servers'!$H1049)</f>
        <v>420</v>
      </c>
    </row>
    <row r="1040" spans="8:11">
      <c r="H1040" s="60">
        <f>PRODUCT('All-Servers'!D1050,'All-Servers'!$H1050)</f>
        <v>2</v>
      </c>
      <c r="I1040" s="60">
        <f>PRODUCT('All-Servers'!E1050,'All-Servers'!$H1050)</f>
        <v>7500</v>
      </c>
      <c r="J1040" s="60">
        <f>PRODUCT('All-Servers'!F1050,'All-Servers'!$H1050)</f>
        <v>32</v>
      </c>
      <c r="K1040" s="60">
        <f>PRODUCT('All-Servers'!G1050,'All-Servers'!$H1050)</f>
        <v>420</v>
      </c>
    </row>
    <row r="1041" spans="8:11">
      <c r="H1041" s="60">
        <f>PRODUCT('All-Servers'!D1051,'All-Servers'!$H1051)</f>
        <v>2</v>
      </c>
      <c r="I1041" s="60">
        <f>PRODUCT('All-Servers'!E1051,'All-Servers'!$H1051)</f>
        <v>7500</v>
      </c>
      <c r="J1041" s="60">
        <f>PRODUCT('All-Servers'!F1051,'All-Servers'!$H1051)</f>
        <v>32</v>
      </c>
      <c r="K1041" s="60">
        <f>PRODUCT('All-Servers'!G1051,'All-Servers'!$H1051)</f>
        <v>820</v>
      </c>
    </row>
    <row r="1042" spans="8:11">
      <c r="H1042" s="60">
        <f>PRODUCT('All-Servers'!D1052,'All-Servers'!$H1052)</f>
        <v>8</v>
      </c>
      <c r="I1042" s="60">
        <f>PRODUCT('All-Servers'!E1052,'All-Servers'!$H1052)</f>
        <v>15000</v>
      </c>
      <c r="J1042" s="60">
        <f>PRODUCT('All-Servers'!F1052,'All-Servers'!$H1052)</f>
        <v>160</v>
      </c>
      <c r="K1042" s="60">
        <f>PRODUCT('All-Servers'!G1052,'All-Servers'!$H1052)</f>
        <v>20</v>
      </c>
    </row>
    <row r="1043" spans="8:11">
      <c r="H1043" s="60">
        <f>PRODUCT('All-Servers'!D1053,'All-Servers'!$H1053)</f>
        <v>2</v>
      </c>
      <c r="I1043" s="60">
        <f>PRODUCT('All-Servers'!E1053,'All-Servers'!$H1053)</f>
        <v>3750</v>
      </c>
      <c r="J1043" s="60">
        <f>PRODUCT('All-Servers'!F1053,'All-Servers'!$H1053)</f>
        <v>32</v>
      </c>
      <c r="K1043" s="60">
        <f>PRODUCT('All-Servers'!G1053,'All-Servers'!$H1053)</f>
        <v>20</v>
      </c>
    </row>
    <row r="1044" spans="8:11">
      <c r="H1044" s="60">
        <f>PRODUCT('All-Servers'!D1054,'All-Servers'!$H1054)</f>
        <v>2</v>
      </c>
      <c r="I1044" s="60">
        <f>PRODUCT('All-Servers'!E1054,'All-Servers'!$H1054)</f>
        <v>4000</v>
      </c>
      <c r="J1044" s="60">
        <f>PRODUCT('All-Servers'!F1054,'All-Servers'!$H1054)</f>
        <v>0</v>
      </c>
      <c r="K1044" s="60">
        <f>PRODUCT('All-Servers'!G1054,'All-Servers'!$H1054)</f>
        <v>20</v>
      </c>
    </row>
    <row r="1045" spans="8:11">
      <c r="H1045" s="60">
        <f>PRODUCT('All-Servers'!D1055,'All-Servers'!$H1055)</f>
        <v>1</v>
      </c>
      <c r="I1045" s="60">
        <f>PRODUCT('All-Servers'!E1055,'All-Servers'!$H1055)</f>
        <v>1700</v>
      </c>
      <c r="J1045" s="60">
        <f>PRODUCT('All-Servers'!F1055,'All-Servers'!$H1055)</f>
        <v>160</v>
      </c>
      <c r="K1045" s="60">
        <f>PRODUCT('All-Servers'!G1055,'All-Servers'!$H1055)</f>
        <v>20</v>
      </c>
    </row>
    <row r="1046" spans="8:11">
      <c r="H1046" s="60">
        <f>PRODUCT('All-Servers'!D1056,'All-Servers'!$H1056)</f>
        <v>1</v>
      </c>
      <c r="I1046" s="60">
        <f>PRODUCT('All-Servers'!E1056,'All-Servers'!$H1056)</f>
        <v>2000</v>
      </c>
      <c r="J1046" s="60">
        <f>PRODUCT('All-Servers'!F1056,'All-Servers'!$H1056)</f>
        <v>0</v>
      </c>
      <c r="K1046" s="60">
        <f>PRODUCT('All-Servers'!G1056,'All-Servers'!$H1056)</f>
        <v>20</v>
      </c>
    </row>
    <row r="1047" spans="8:11">
      <c r="H1047" s="60">
        <f>PRODUCT('All-Servers'!D1057,'All-Servers'!$H1057)</f>
        <v>1</v>
      </c>
      <c r="I1047" s="60">
        <f>PRODUCT('All-Servers'!E1057,'All-Servers'!$H1057)</f>
        <v>2000</v>
      </c>
      <c r="J1047" s="60">
        <f>PRODUCT('All-Servers'!F1057,'All-Servers'!$H1057)</f>
        <v>0</v>
      </c>
      <c r="K1047" s="60">
        <f>PRODUCT('All-Servers'!G1057,'All-Servers'!$H1057)</f>
        <v>20</v>
      </c>
    </row>
    <row r="1048" spans="8:11">
      <c r="H1048" s="60">
        <f>PRODUCT('All-Servers'!D1058,'All-Servers'!$H1058)</f>
        <v>2</v>
      </c>
      <c r="I1048" s="60">
        <f>PRODUCT('All-Servers'!E1058,'All-Servers'!$H1058)</f>
        <v>4000</v>
      </c>
      <c r="J1048" s="60">
        <f>PRODUCT('All-Servers'!F1058,'All-Servers'!$H1058)</f>
        <v>0</v>
      </c>
      <c r="K1048" s="60">
        <f>PRODUCT('All-Servers'!G1058,'All-Servers'!$H1058)</f>
        <v>20</v>
      </c>
    </row>
    <row r="1049" spans="8:11">
      <c r="H1049" s="60">
        <f>PRODUCT('All-Servers'!D1059,'All-Servers'!$H1059)</f>
        <v>2</v>
      </c>
      <c r="I1049" s="60">
        <f>PRODUCT('All-Servers'!E1059,'All-Servers'!$H1059)</f>
        <v>7500</v>
      </c>
      <c r="J1049" s="60">
        <f>PRODUCT('All-Servers'!F1059,'All-Servers'!$H1059)</f>
        <v>32</v>
      </c>
      <c r="K1049" s="60">
        <f>PRODUCT('All-Servers'!G1059,'All-Servers'!$H1059)</f>
        <v>420</v>
      </c>
    </row>
    <row r="1050" spans="8:11">
      <c r="H1050" s="60">
        <f>PRODUCT('All-Servers'!D1060,'All-Servers'!$H1060)</f>
        <v>2</v>
      </c>
      <c r="I1050" s="60">
        <f>PRODUCT('All-Servers'!E1060,'All-Servers'!$H1060)</f>
        <v>7500</v>
      </c>
      <c r="J1050" s="60">
        <f>PRODUCT('All-Servers'!F1060,'All-Servers'!$H1060)</f>
        <v>32</v>
      </c>
      <c r="K1050" s="60">
        <f>PRODUCT('All-Servers'!G1060,'All-Servers'!$H1060)</f>
        <v>420</v>
      </c>
    </row>
    <row r="1051" spans="8:11">
      <c r="H1051" s="60">
        <f>PRODUCT('All-Servers'!D1061,'All-Servers'!$H1061)</f>
        <v>2</v>
      </c>
      <c r="I1051" s="60">
        <f>PRODUCT('All-Servers'!E1061,'All-Servers'!$H1061)</f>
        <v>7500</v>
      </c>
      <c r="J1051" s="60">
        <f>PRODUCT('All-Servers'!F1061,'All-Servers'!$H1061)</f>
        <v>32</v>
      </c>
      <c r="K1051" s="60">
        <f>PRODUCT('All-Servers'!G1061,'All-Servers'!$H1061)</f>
        <v>420</v>
      </c>
    </row>
    <row r="1052" spans="8:11">
      <c r="H1052" s="60">
        <f>PRODUCT('All-Servers'!D1062,'All-Servers'!$H1062)</f>
        <v>2</v>
      </c>
      <c r="I1052" s="60">
        <f>PRODUCT('All-Servers'!E1062,'All-Servers'!$H1062)</f>
        <v>7500</v>
      </c>
      <c r="J1052" s="60">
        <f>PRODUCT('All-Servers'!F1062,'All-Servers'!$H1062)</f>
        <v>32</v>
      </c>
      <c r="K1052" s="60">
        <f>PRODUCT('All-Servers'!G1062,'All-Servers'!$H1062)</f>
        <v>1420</v>
      </c>
    </row>
    <row r="1053" spans="8:11">
      <c r="H1053" s="60">
        <f>PRODUCT('All-Servers'!D1063,'All-Servers'!$H1063)</f>
        <v>2</v>
      </c>
      <c r="I1053" s="60">
        <f>PRODUCT('All-Servers'!E1063,'All-Servers'!$H1063)</f>
        <v>7500</v>
      </c>
      <c r="J1053" s="60">
        <f>PRODUCT('All-Servers'!F1063,'All-Servers'!$H1063)</f>
        <v>32</v>
      </c>
      <c r="K1053" s="60">
        <f>PRODUCT('All-Servers'!G1063,'All-Servers'!$H1063)</f>
        <v>20</v>
      </c>
    </row>
    <row r="1054" spans="8:11">
      <c r="H1054" s="60">
        <f>PRODUCT('All-Servers'!D1064,'All-Servers'!$H1064)</f>
        <v>2</v>
      </c>
      <c r="I1054" s="60">
        <f>PRODUCT('All-Servers'!E1064,'All-Servers'!$H1064)</f>
        <v>7500</v>
      </c>
      <c r="J1054" s="60">
        <f>PRODUCT('All-Servers'!F1064,'All-Servers'!$H1064)</f>
        <v>32</v>
      </c>
      <c r="K1054" s="60">
        <f>PRODUCT('All-Servers'!G1064,'All-Servers'!$H1064)</f>
        <v>20</v>
      </c>
    </row>
    <row r="1055" spans="8:11">
      <c r="H1055" s="60">
        <f>PRODUCT('All-Servers'!D1065,'All-Servers'!$H1065)</f>
        <v>2</v>
      </c>
      <c r="I1055" s="60">
        <f>PRODUCT('All-Servers'!E1065,'All-Servers'!$H1065)</f>
        <v>7500</v>
      </c>
      <c r="J1055" s="60">
        <f>PRODUCT('All-Servers'!F1065,'All-Servers'!$H1065)</f>
        <v>32</v>
      </c>
      <c r="K1055" s="60">
        <f>PRODUCT('All-Servers'!G1065,'All-Servers'!$H1065)</f>
        <v>20</v>
      </c>
    </row>
    <row r="1056" spans="8:11">
      <c r="H1056" s="60">
        <f>PRODUCT('All-Servers'!D1066,'All-Servers'!$H1066)</f>
        <v>2</v>
      </c>
      <c r="I1056" s="60">
        <f>PRODUCT('All-Servers'!E1066,'All-Servers'!$H1066)</f>
        <v>7500</v>
      </c>
      <c r="J1056" s="60">
        <f>PRODUCT('All-Servers'!F1066,'All-Servers'!$H1066)</f>
        <v>32</v>
      </c>
      <c r="K1056" s="60">
        <f>PRODUCT('All-Servers'!G1066,'All-Servers'!$H1066)</f>
        <v>20</v>
      </c>
    </row>
    <row r="1057" spans="8:11">
      <c r="H1057" s="60">
        <f>PRODUCT('All-Servers'!D1067,'All-Servers'!$H1067)</f>
        <v>2</v>
      </c>
      <c r="I1057" s="60">
        <f>PRODUCT('All-Servers'!E1067,'All-Servers'!$H1067)</f>
        <v>7500</v>
      </c>
      <c r="J1057" s="60">
        <f>PRODUCT('All-Servers'!F1067,'All-Servers'!$H1067)</f>
        <v>32</v>
      </c>
      <c r="K1057" s="60">
        <f>PRODUCT('All-Servers'!G1067,'All-Servers'!$H1067)</f>
        <v>20</v>
      </c>
    </row>
    <row r="1058" spans="8:11">
      <c r="H1058" s="60">
        <f>PRODUCT('All-Servers'!D1068,'All-Servers'!$H1068)</f>
        <v>1</v>
      </c>
      <c r="I1058" s="60">
        <f>PRODUCT('All-Servers'!E1068,'All-Servers'!$H1068)</f>
        <v>2000</v>
      </c>
      <c r="J1058" s="60">
        <f>PRODUCT('All-Servers'!F1068,'All-Servers'!$H1068)</f>
        <v>0</v>
      </c>
      <c r="K1058" s="60">
        <f>PRODUCT('All-Servers'!G1068,'All-Servers'!$H1068)</f>
        <v>20</v>
      </c>
    </row>
    <row r="1059" spans="8:11">
      <c r="H1059" s="60">
        <f>PRODUCT('All-Servers'!D1069,'All-Servers'!$H1069)</f>
        <v>1</v>
      </c>
      <c r="I1059" s="60">
        <f>PRODUCT('All-Servers'!E1069,'All-Servers'!$H1069)</f>
        <v>2000</v>
      </c>
      <c r="J1059" s="60">
        <f>PRODUCT('All-Servers'!F1069,'All-Servers'!$H1069)</f>
        <v>0</v>
      </c>
      <c r="K1059" s="60">
        <f>PRODUCT('All-Servers'!G1069,'All-Servers'!$H1069)</f>
        <v>20</v>
      </c>
    </row>
    <row r="1060" spans="8:11">
      <c r="H1060" s="60">
        <f>PRODUCT('All-Servers'!D1070,'All-Servers'!$H1070)</f>
        <v>1</v>
      </c>
      <c r="I1060" s="60">
        <f>PRODUCT('All-Servers'!E1070,'All-Servers'!$H1070)</f>
        <v>2000</v>
      </c>
      <c r="J1060" s="60">
        <f>PRODUCT('All-Servers'!F1070,'All-Servers'!$H1070)</f>
        <v>0</v>
      </c>
      <c r="K1060" s="60">
        <f>PRODUCT('All-Servers'!G1070,'All-Servers'!$H1070)</f>
        <v>20</v>
      </c>
    </row>
    <row r="1061" spans="8:11">
      <c r="H1061" s="60">
        <f>PRODUCT('All-Servers'!D1071,'All-Servers'!$H1071)</f>
        <v>1</v>
      </c>
      <c r="I1061" s="60">
        <f>PRODUCT('All-Servers'!E1071,'All-Servers'!$H1071)</f>
        <v>2000</v>
      </c>
      <c r="J1061" s="60">
        <f>PRODUCT('All-Servers'!F1071,'All-Servers'!$H1071)</f>
        <v>0</v>
      </c>
      <c r="K1061" s="60">
        <f>PRODUCT('All-Servers'!G1071,'All-Servers'!$H1071)</f>
        <v>20</v>
      </c>
    </row>
    <row r="1062" spans="8:11">
      <c r="H1062" s="60">
        <f>PRODUCT('All-Servers'!D1072,'All-Servers'!$H1072)</f>
        <v>1</v>
      </c>
      <c r="I1062" s="60">
        <f>PRODUCT('All-Servers'!E1072,'All-Servers'!$H1072)</f>
        <v>1700</v>
      </c>
      <c r="J1062" s="60">
        <f>PRODUCT('All-Servers'!F1072,'All-Servers'!$H1072)</f>
        <v>160</v>
      </c>
      <c r="K1062" s="60">
        <f>PRODUCT('All-Servers'!G1072,'All-Servers'!$H1072)</f>
        <v>20</v>
      </c>
    </row>
    <row r="1063" spans="8:11">
      <c r="H1063" s="60">
        <f>PRODUCT('All-Servers'!D1073,'All-Servers'!$H1073)</f>
        <v>2</v>
      </c>
      <c r="I1063" s="60">
        <f>PRODUCT('All-Servers'!E1073,'All-Servers'!$H1073)</f>
        <v>3750</v>
      </c>
      <c r="J1063" s="60">
        <f>PRODUCT('All-Servers'!F1073,'All-Servers'!$H1073)</f>
        <v>32</v>
      </c>
      <c r="K1063" s="60">
        <f>PRODUCT('All-Servers'!G1073,'All-Servers'!$H1073)</f>
        <v>20</v>
      </c>
    </row>
    <row r="1064" spans="8:11">
      <c r="H1064" s="60">
        <f>PRODUCT('All-Servers'!D1074,'All-Servers'!$H1074)</f>
        <v>2</v>
      </c>
      <c r="I1064" s="60">
        <f>PRODUCT('All-Servers'!E1074,'All-Servers'!$H1074)</f>
        <v>7500</v>
      </c>
      <c r="J1064" s="60">
        <f>PRODUCT('All-Servers'!F1074,'All-Servers'!$H1074)</f>
        <v>32</v>
      </c>
      <c r="K1064" s="60">
        <f>PRODUCT('All-Servers'!G1074,'All-Servers'!$H1074)</f>
        <v>420</v>
      </c>
    </row>
    <row r="1065" spans="8:11">
      <c r="H1065" s="60">
        <f>PRODUCT('All-Servers'!D1075,'All-Servers'!$H1075)</f>
        <v>2</v>
      </c>
      <c r="I1065" s="60">
        <f>PRODUCT('All-Servers'!E1075,'All-Servers'!$H1075)</f>
        <v>3750</v>
      </c>
      <c r="J1065" s="60">
        <f>PRODUCT('All-Servers'!F1075,'All-Servers'!$H1075)</f>
        <v>32</v>
      </c>
      <c r="K1065" s="60">
        <f>PRODUCT('All-Servers'!G1075,'All-Servers'!$H1075)</f>
        <v>20</v>
      </c>
    </row>
    <row r="1066" spans="8:11">
      <c r="H1066" s="60">
        <f>PRODUCT('All-Servers'!D1076,'All-Servers'!$H1076)</f>
        <v>2</v>
      </c>
      <c r="I1066" s="60">
        <f>PRODUCT('All-Servers'!E1076,'All-Servers'!$H1076)</f>
        <v>3750</v>
      </c>
      <c r="J1066" s="60">
        <f>PRODUCT('All-Servers'!F1076,'All-Servers'!$H1076)</f>
        <v>32</v>
      </c>
      <c r="K1066" s="60">
        <f>PRODUCT('All-Servers'!G1076,'All-Servers'!$H1076)</f>
        <v>20</v>
      </c>
    </row>
    <row r="1067" spans="8:11">
      <c r="H1067" s="60">
        <f>PRODUCT('All-Servers'!D1077,'All-Servers'!$H1077)</f>
        <v>2</v>
      </c>
      <c r="I1067" s="60">
        <f>PRODUCT('All-Servers'!E1077,'All-Servers'!$H1077)</f>
        <v>7500</v>
      </c>
      <c r="J1067" s="60">
        <f>PRODUCT('All-Servers'!F1077,'All-Servers'!$H1077)</f>
        <v>32</v>
      </c>
      <c r="K1067" s="60">
        <f>PRODUCT('All-Servers'!G1077,'All-Servers'!$H1077)</f>
        <v>820</v>
      </c>
    </row>
    <row r="1068" spans="8:11">
      <c r="H1068" s="60">
        <f>PRODUCT('All-Servers'!D1078,'All-Servers'!$H1078)</f>
        <v>2</v>
      </c>
      <c r="I1068" s="60">
        <f>PRODUCT('All-Servers'!E1078,'All-Servers'!$H1078)</f>
        <v>7500</v>
      </c>
      <c r="J1068" s="60">
        <f>PRODUCT('All-Servers'!F1078,'All-Servers'!$H1078)</f>
        <v>32</v>
      </c>
      <c r="K1068" s="60">
        <f>PRODUCT('All-Servers'!G1078,'All-Servers'!$H1078)</f>
        <v>420</v>
      </c>
    </row>
    <row r="1069" spans="8:11">
      <c r="H1069" s="60">
        <f>PRODUCT('All-Servers'!D1079,'All-Servers'!$H1079)</f>
        <v>2</v>
      </c>
      <c r="I1069" s="60">
        <f>PRODUCT('All-Servers'!E1079,'All-Servers'!$H1079)</f>
        <v>4000</v>
      </c>
      <c r="J1069" s="60">
        <f>PRODUCT('All-Servers'!F1079,'All-Servers'!$H1079)</f>
        <v>0</v>
      </c>
      <c r="K1069" s="60">
        <f>PRODUCT('All-Servers'!G1079,'All-Servers'!$H1079)</f>
        <v>20</v>
      </c>
    </row>
    <row r="1070" spans="8:11">
      <c r="H1070" s="60">
        <f>PRODUCT('All-Servers'!D1080,'All-Servers'!$H1080)</f>
        <v>2</v>
      </c>
      <c r="I1070" s="60">
        <f>PRODUCT('All-Servers'!E1080,'All-Servers'!$H1080)</f>
        <v>7500</v>
      </c>
      <c r="J1070" s="60">
        <f>PRODUCT('All-Servers'!F1080,'All-Servers'!$H1080)</f>
        <v>32</v>
      </c>
      <c r="K1070" s="60">
        <f>PRODUCT('All-Servers'!G1080,'All-Servers'!$H1080)</f>
        <v>420</v>
      </c>
    </row>
    <row r="1071" spans="8:11">
      <c r="H1071" s="60">
        <f>PRODUCT('All-Servers'!D1081,'All-Servers'!$H1081)</f>
        <v>2</v>
      </c>
      <c r="I1071" s="60">
        <f>PRODUCT('All-Servers'!E1081,'All-Servers'!$H1081)</f>
        <v>3750</v>
      </c>
      <c r="J1071" s="60">
        <f>PRODUCT('All-Servers'!F1081,'All-Servers'!$H1081)</f>
        <v>32</v>
      </c>
      <c r="K1071" s="60">
        <f>PRODUCT('All-Servers'!G1081,'All-Servers'!$H1081)</f>
        <v>20</v>
      </c>
    </row>
    <row r="1072" spans="8:11">
      <c r="H1072" s="60">
        <f>PRODUCT('All-Servers'!D1082,'All-Servers'!$H1082)</f>
        <v>2</v>
      </c>
      <c r="I1072" s="60">
        <f>PRODUCT('All-Servers'!E1082,'All-Servers'!$H1082)</f>
        <v>3750</v>
      </c>
      <c r="J1072" s="60">
        <f>PRODUCT('All-Servers'!F1082,'All-Servers'!$H1082)</f>
        <v>32</v>
      </c>
      <c r="K1072" s="60">
        <f>PRODUCT('All-Servers'!G1082,'All-Servers'!$H1082)</f>
        <v>20</v>
      </c>
    </row>
    <row r="1073" spans="8:11">
      <c r="H1073" s="60">
        <f>PRODUCT('All-Servers'!D1083,'All-Servers'!$H1083)</f>
        <v>2</v>
      </c>
      <c r="I1073" s="60">
        <f>PRODUCT('All-Servers'!E1083,'All-Servers'!$H1083)</f>
        <v>3750</v>
      </c>
      <c r="J1073" s="60">
        <f>PRODUCT('All-Servers'!F1083,'All-Servers'!$H1083)</f>
        <v>32</v>
      </c>
      <c r="K1073" s="60">
        <f>PRODUCT('All-Servers'!G1083,'All-Servers'!$H1083)</f>
        <v>20</v>
      </c>
    </row>
    <row r="1074" spans="8:11">
      <c r="H1074" s="60">
        <f>PRODUCT('All-Servers'!D1084,'All-Servers'!$H1084)</f>
        <v>1</v>
      </c>
      <c r="I1074" s="60">
        <f>PRODUCT('All-Servers'!E1084,'All-Servers'!$H1084)</f>
        <v>2000</v>
      </c>
      <c r="J1074" s="60">
        <f>PRODUCT('All-Servers'!F1084,'All-Servers'!$H1084)</f>
        <v>0</v>
      </c>
      <c r="K1074" s="60">
        <f>PRODUCT('All-Servers'!G1084,'All-Servers'!$H1084)</f>
        <v>20</v>
      </c>
    </row>
    <row r="1075" spans="8:11">
      <c r="H1075" s="60">
        <f>PRODUCT('All-Servers'!D1085,'All-Servers'!$H1085)</f>
        <v>1</v>
      </c>
      <c r="I1075" s="60">
        <f>PRODUCT('All-Servers'!E1085,'All-Servers'!$H1085)</f>
        <v>2000</v>
      </c>
      <c r="J1075" s="60">
        <f>PRODUCT('All-Servers'!F1085,'All-Servers'!$H1085)</f>
        <v>0</v>
      </c>
      <c r="K1075" s="60">
        <f>PRODUCT('All-Servers'!G1085,'All-Servers'!$H1085)</f>
        <v>20</v>
      </c>
    </row>
    <row r="1076" spans="8:11">
      <c r="H1076" s="60">
        <f>PRODUCT('All-Servers'!D1086,'All-Servers'!$H1086)</f>
        <v>1</v>
      </c>
      <c r="I1076" s="60">
        <f>PRODUCT('All-Servers'!E1086,'All-Servers'!$H1086)</f>
        <v>2000</v>
      </c>
      <c r="J1076" s="60">
        <f>PRODUCT('All-Servers'!F1086,'All-Servers'!$H1086)</f>
        <v>0</v>
      </c>
      <c r="K1076" s="60">
        <f>PRODUCT('All-Servers'!G1086,'All-Servers'!$H1086)</f>
        <v>20</v>
      </c>
    </row>
    <row r="1077" spans="8:11">
      <c r="H1077" s="60">
        <f>PRODUCT('All-Servers'!D1087,'All-Servers'!$H1087)</f>
        <v>1</v>
      </c>
      <c r="I1077" s="60">
        <f>PRODUCT('All-Servers'!E1087,'All-Servers'!$H1087)</f>
        <v>3750</v>
      </c>
      <c r="J1077" s="60">
        <f>PRODUCT('All-Servers'!F1087,'All-Servers'!$H1087)</f>
        <v>410</v>
      </c>
      <c r="K1077" s="60">
        <f>PRODUCT('All-Servers'!G1087,'All-Servers'!$H1087)</f>
        <v>20</v>
      </c>
    </row>
    <row r="1078" spans="8:11">
      <c r="H1078" s="60">
        <f>PRODUCT('All-Servers'!D1088,'All-Servers'!$H1088)</f>
        <v>2</v>
      </c>
      <c r="I1078" s="60">
        <f>PRODUCT('All-Servers'!E1088,'All-Servers'!$H1088)</f>
        <v>3750</v>
      </c>
      <c r="J1078" s="60">
        <f>PRODUCT('All-Servers'!F1088,'All-Servers'!$H1088)</f>
        <v>32</v>
      </c>
      <c r="K1078" s="60">
        <f>PRODUCT('All-Servers'!G1088,'All-Servers'!$H1088)</f>
        <v>20</v>
      </c>
    </row>
    <row r="1079" spans="8:11">
      <c r="H1079" s="60">
        <f>PRODUCT('All-Servers'!D1089,'All-Servers'!$H1089)</f>
        <v>2</v>
      </c>
      <c r="I1079" s="60">
        <f>PRODUCT('All-Servers'!E1089,'All-Servers'!$H1089)</f>
        <v>3750</v>
      </c>
      <c r="J1079" s="60">
        <f>PRODUCT('All-Servers'!F1089,'All-Servers'!$H1089)</f>
        <v>32</v>
      </c>
      <c r="K1079" s="60">
        <f>PRODUCT('All-Servers'!G1089,'All-Servers'!$H1089)</f>
        <v>20</v>
      </c>
    </row>
    <row r="1080" spans="8:11">
      <c r="H1080" s="60">
        <f>PRODUCT('All-Servers'!D1090,'All-Servers'!$H1090)</f>
        <v>2</v>
      </c>
      <c r="I1080" s="60">
        <f>PRODUCT('All-Servers'!E1090,'All-Servers'!$H1090)</f>
        <v>3750</v>
      </c>
      <c r="J1080" s="60">
        <f>PRODUCT('All-Servers'!F1090,'All-Servers'!$H1090)</f>
        <v>32</v>
      </c>
      <c r="K1080" s="60">
        <f>PRODUCT('All-Servers'!G1090,'All-Servers'!$H1090)</f>
        <v>20</v>
      </c>
    </row>
    <row r="1081" spans="8:11">
      <c r="H1081" s="60">
        <f>PRODUCT('All-Servers'!D1091,'All-Servers'!$H1091)</f>
        <v>2</v>
      </c>
      <c r="I1081" s="60">
        <f>PRODUCT('All-Servers'!E1091,'All-Servers'!$H1091)</f>
        <v>3750</v>
      </c>
      <c r="J1081" s="60">
        <f>PRODUCT('All-Servers'!F1091,'All-Servers'!$H1091)</f>
        <v>32</v>
      </c>
      <c r="K1081" s="60">
        <f>PRODUCT('All-Servers'!G1091,'All-Servers'!$H1091)</f>
        <v>20</v>
      </c>
    </row>
    <row r="1082" spans="8:11">
      <c r="H1082" s="60">
        <f>PRODUCT('All-Servers'!D1092,'All-Servers'!$H1092)</f>
        <v>8</v>
      </c>
      <c r="I1082" s="60">
        <f>PRODUCT('All-Servers'!E1092,'All-Servers'!$H1092)</f>
        <v>61000</v>
      </c>
      <c r="J1082" s="60">
        <f>PRODUCT('All-Servers'!F1092,'All-Servers'!$H1092)</f>
        <v>1440</v>
      </c>
      <c r="K1082" s="60">
        <f>PRODUCT('All-Servers'!G1092,'All-Servers'!$H1092)</f>
        <v>20</v>
      </c>
    </row>
    <row r="1083" spans="8:11">
      <c r="H1083" s="60">
        <f>PRODUCT('All-Servers'!D1093,'All-Servers'!$H1093)</f>
        <v>8</v>
      </c>
      <c r="I1083" s="60">
        <f>PRODUCT('All-Servers'!E1093,'All-Servers'!$H1093)</f>
        <v>61000</v>
      </c>
      <c r="J1083" s="60">
        <f>PRODUCT('All-Servers'!F1093,'All-Servers'!$H1093)</f>
        <v>1440</v>
      </c>
      <c r="K1083" s="60">
        <f>PRODUCT('All-Servers'!G1093,'All-Servers'!$H1093)</f>
        <v>20</v>
      </c>
    </row>
    <row r="1084" spans="8:11">
      <c r="H1084" s="60">
        <f>PRODUCT('All-Servers'!D1094,'All-Servers'!$H1094)</f>
        <v>2</v>
      </c>
      <c r="I1084" s="60">
        <f>PRODUCT('All-Servers'!E1094,'All-Servers'!$H1094)</f>
        <v>3750</v>
      </c>
      <c r="J1084" s="60">
        <f>PRODUCT('All-Servers'!F1094,'All-Servers'!$H1094)</f>
        <v>32</v>
      </c>
      <c r="K1084" s="60">
        <f>PRODUCT('All-Servers'!G1094,'All-Servers'!$H1094)</f>
        <v>20</v>
      </c>
    </row>
    <row r="1085" spans="8:11">
      <c r="H1085" s="60">
        <f>PRODUCT('All-Servers'!D1095,'All-Servers'!$H1095)</f>
        <v>2</v>
      </c>
      <c r="I1085" s="60">
        <f>PRODUCT('All-Servers'!E1095,'All-Servers'!$H1095)</f>
        <v>3750</v>
      </c>
      <c r="J1085" s="60">
        <f>PRODUCT('All-Servers'!F1095,'All-Servers'!$H1095)</f>
        <v>32</v>
      </c>
      <c r="K1085" s="60">
        <f>PRODUCT('All-Servers'!G1095,'All-Servers'!$H1095)</f>
        <v>20</v>
      </c>
    </row>
    <row r="1086" spans="8:11">
      <c r="H1086" s="60">
        <f>PRODUCT('All-Servers'!D1096,'All-Servers'!$H1096)</f>
        <v>2</v>
      </c>
      <c r="I1086" s="60">
        <f>PRODUCT('All-Servers'!E1096,'All-Servers'!$H1096)</f>
        <v>3750</v>
      </c>
      <c r="J1086" s="60">
        <f>PRODUCT('All-Servers'!F1096,'All-Servers'!$H1096)</f>
        <v>32</v>
      </c>
      <c r="K1086" s="60">
        <f>PRODUCT('All-Servers'!G1096,'All-Servers'!$H1096)</f>
        <v>20</v>
      </c>
    </row>
    <row r="1087" spans="8:11">
      <c r="H1087" s="60">
        <f>PRODUCT('All-Servers'!D1097,'All-Servers'!$H1097)</f>
        <v>2</v>
      </c>
      <c r="I1087" s="60">
        <f>PRODUCT('All-Servers'!E1097,'All-Servers'!$H1097)</f>
        <v>3750</v>
      </c>
      <c r="J1087" s="60">
        <f>PRODUCT('All-Servers'!F1097,'All-Servers'!$H1097)</f>
        <v>32</v>
      </c>
      <c r="K1087" s="60">
        <f>PRODUCT('All-Servers'!G1097,'All-Servers'!$H1097)</f>
        <v>20</v>
      </c>
    </row>
    <row r="1088" spans="8:11">
      <c r="H1088" s="60">
        <f>PRODUCT('All-Servers'!D1098,'All-Servers'!$H1098)</f>
        <v>2</v>
      </c>
      <c r="I1088" s="60">
        <f>PRODUCT('All-Servers'!E1098,'All-Servers'!$H1098)</f>
        <v>3750</v>
      </c>
      <c r="J1088" s="60">
        <f>PRODUCT('All-Servers'!F1098,'All-Servers'!$H1098)</f>
        <v>32</v>
      </c>
      <c r="K1088" s="60">
        <f>PRODUCT('All-Servers'!G1098,'All-Servers'!$H1098)</f>
        <v>20</v>
      </c>
    </row>
    <row r="1089" spans="8:11">
      <c r="H1089" s="60">
        <f>PRODUCT('All-Servers'!D1099,'All-Servers'!$H1099)</f>
        <v>2</v>
      </c>
      <c r="I1089" s="60">
        <f>PRODUCT('All-Servers'!E1099,'All-Servers'!$H1099)</f>
        <v>3750</v>
      </c>
      <c r="J1089" s="60">
        <f>PRODUCT('All-Servers'!F1099,'All-Servers'!$H1099)</f>
        <v>32</v>
      </c>
      <c r="K1089" s="60">
        <f>PRODUCT('All-Servers'!G1099,'All-Servers'!$H1099)</f>
        <v>20</v>
      </c>
    </row>
    <row r="1090" spans="8:11">
      <c r="H1090" s="60">
        <f>PRODUCT('All-Servers'!D1100,'All-Servers'!$H1100)</f>
        <v>2</v>
      </c>
      <c r="I1090" s="60">
        <f>PRODUCT('All-Servers'!E1100,'All-Servers'!$H1100)</f>
        <v>3750</v>
      </c>
      <c r="J1090" s="60">
        <f>PRODUCT('All-Servers'!F1100,'All-Servers'!$H1100)</f>
        <v>32</v>
      </c>
      <c r="K1090" s="60">
        <f>PRODUCT('All-Servers'!G1100,'All-Servers'!$H1100)</f>
        <v>20</v>
      </c>
    </row>
    <row r="1091" spans="8:11">
      <c r="H1091" s="60">
        <f>PRODUCT('All-Servers'!D1101,'All-Servers'!$H1101)</f>
        <v>2</v>
      </c>
      <c r="I1091" s="60">
        <f>PRODUCT('All-Servers'!E1101,'All-Servers'!$H1101)</f>
        <v>3750</v>
      </c>
      <c r="J1091" s="60">
        <f>PRODUCT('All-Servers'!F1101,'All-Servers'!$H1101)</f>
        <v>32</v>
      </c>
      <c r="K1091" s="60">
        <f>PRODUCT('All-Servers'!G1101,'All-Servers'!$H1101)</f>
        <v>20</v>
      </c>
    </row>
    <row r="1092" spans="8:11">
      <c r="H1092" s="60">
        <f>PRODUCT('All-Servers'!D1102,'All-Servers'!$H1102)</f>
        <v>2</v>
      </c>
      <c r="I1092" s="60">
        <f>PRODUCT('All-Servers'!E1102,'All-Servers'!$H1102)</f>
        <v>3750</v>
      </c>
      <c r="J1092" s="60">
        <f>PRODUCT('All-Servers'!F1102,'All-Servers'!$H1102)</f>
        <v>32</v>
      </c>
      <c r="K1092" s="60">
        <f>PRODUCT('All-Servers'!G1102,'All-Servers'!$H1102)</f>
        <v>20</v>
      </c>
    </row>
    <row r="1093" spans="8:11">
      <c r="H1093" s="60">
        <f>PRODUCT('All-Servers'!D1103,'All-Servers'!$H1103)</f>
        <v>1</v>
      </c>
      <c r="I1093" s="60">
        <f>PRODUCT('All-Servers'!E1103,'All-Servers'!$H1103)</f>
        <v>1700</v>
      </c>
      <c r="J1093" s="60">
        <f>PRODUCT('All-Servers'!F1103,'All-Servers'!$H1103)</f>
        <v>160</v>
      </c>
      <c r="K1093" s="60">
        <f>PRODUCT('All-Servers'!G1103,'All-Servers'!$H1103)</f>
        <v>20</v>
      </c>
    </row>
    <row r="1094" spans="8:11">
      <c r="H1094" s="60">
        <f>PRODUCT('All-Servers'!D1104,'All-Servers'!$H1104)</f>
        <v>16</v>
      </c>
      <c r="I1094" s="60">
        <f>PRODUCT('All-Servers'!E1104,'All-Servers'!$H1104)</f>
        <v>30000</v>
      </c>
      <c r="J1094" s="60">
        <f>PRODUCT('All-Servers'!F1104,'All-Servers'!$H1104)</f>
        <v>320</v>
      </c>
      <c r="K1094" s="60">
        <f>PRODUCT('All-Servers'!G1104,'All-Servers'!$H1104)</f>
        <v>20</v>
      </c>
    </row>
    <row r="1095" spans="8:11">
      <c r="H1095" s="60">
        <f>PRODUCT('All-Servers'!D1105,'All-Servers'!$H1105)</f>
        <v>16</v>
      </c>
      <c r="I1095" s="60">
        <f>PRODUCT('All-Servers'!E1105,'All-Servers'!$H1105)</f>
        <v>30000</v>
      </c>
      <c r="J1095" s="60">
        <f>PRODUCT('All-Servers'!F1105,'All-Servers'!$H1105)</f>
        <v>320</v>
      </c>
      <c r="K1095" s="60">
        <f>PRODUCT('All-Servers'!G1105,'All-Servers'!$H1105)</f>
        <v>20</v>
      </c>
    </row>
    <row r="1096" spans="8:11">
      <c r="H1096" s="60">
        <f>PRODUCT('All-Servers'!D1106,'All-Servers'!$H1106)</f>
        <v>1</v>
      </c>
      <c r="I1096" s="60">
        <f>PRODUCT('All-Servers'!E1106,'All-Servers'!$H1106)</f>
        <v>1700</v>
      </c>
      <c r="J1096" s="60">
        <f>PRODUCT('All-Servers'!F1106,'All-Servers'!$H1106)</f>
        <v>160</v>
      </c>
      <c r="K1096" s="60">
        <f>PRODUCT('All-Servers'!G1106,'All-Servers'!$H1106)</f>
        <v>20</v>
      </c>
    </row>
    <row r="1097" spans="8:11">
      <c r="H1097" s="60">
        <f>PRODUCT('All-Servers'!D1107,'All-Servers'!$H1107)</f>
        <v>2</v>
      </c>
      <c r="I1097" s="60">
        <f>PRODUCT('All-Servers'!E1107,'All-Servers'!$H1107)</f>
        <v>4000</v>
      </c>
      <c r="J1097" s="60">
        <f>PRODUCT('All-Servers'!F1107,'All-Servers'!$H1107)</f>
        <v>0</v>
      </c>
      <c r="K1097" s="60">
        <f>PRODUCT('All-Servers'!G1107,'All-Servers'!$H1107)</f>
        <v>20</v>
      </c>
    </row>
    <row r="1098" spans="8:11">
      <c r="H1098" s="60">
        <f>PRODUCT('All-Servers'!D1108,'All-Servers'!$H1108)</f>
        <v>2</v>
      </c>
      <c r="I1098" s="60">
        <f>PRODUCT('All-Servers'!E1108,'All-Servers'!$H1108)</f>
        <v>4000</v>
      </c>
      <c r="J1098" s="60">
        <f>PRODUCT('All-Servers'!F1108,'All-Servers'!$H1108)</f>
        <v>0</v>
      </c>
      <c r="K1098" s="60">
        <f>PRODUCT('All-Servers'!G1108,'All-Servers'!$H1108)</f>
        <v>20</v>
      </c>
    </row>
    <row r="1099" spans="8:11">
      <c r="H1099" s="60">
        <f>PRODUCT('All-Servers'!D1109,'All-Servers'!$H1109)</f>
        <v>1</v>
      </c>
      <c r="I1099" s="60">
        <f>PRODUCT('All-Servers'!E1109,'All-Servers'!$H1109)</f>
        <v>1700</v>
      </c>
      <c r="J1099" s="60">
        <f>PRODUCT('All-Servers'!F1109,'All-Servers'!$H1109)</f>
        <v>160</v>
      </c>
      <c r="K1099" s="60">
        <f>PRODUCT('All-Servers'!G1109,'All-Servers'!$H1109)</f>
        <v>20</v>
      </c>
    </row>
    <row r="1100" spans="8:11">
      <c r="H1100" s="60">
        <f>PRODUCT('All-Servers'!D1110,'All-Servers'!$H1110)</f>
        <v>1</v>
      </c>
      <c r="I1100" s="60">
        <f>PRODUCT('All-Servers'!E1110,'All-Servers'!$H1110)</f>
        <v>2000</v>
      </c>
      <c r="J1100" s="60">
        <f>PRODUCT('All-Servers'!F1110,'All-Servers'!$H1110)</f>
        <v>0</v>
      </c>
      <c r="K1100" s="60">
        <f>PRODUCT('All-Servers'!G1110,'All-Servers'!$H1110)</f>
        <v>20</v>
      </c>
    </row>
    <row r="1101" spans="8:11">
      <c r="H1101" s="60">
        <f>PRODUCT('All-Servers'!D1111,'All-Servers'!$H1111)</f>
        <v>1</v>
      </c>
      <c r="I1101" s="60">
        <f>PRODUCT('All-Servers'!E1111,'All-Servers'!$H1111)</f>
        <v>2000</v>
      </c>
      <c r="J1101" s="60">
        <f>PRODUCT('All-Servers'!F1111,'All-Servers'!$H1111)</f>
        <v>0</v>
      </c>
      <c r="K1101" s="60">
        <f>PRODUCT('All-Servers'!G1111,'All-Servers'!$H1111)</f>
        <v>20</v>
      </c>
    </row>
    <row r="1102" spans="8:11">
      <c r="H1102" s="60">
        <f>PRODUCT('All-Servers'!D1112,'All-Servers'!$H1112)</f>
        <v>1</v>
      </c>
      <c r="I1102" s="60">
        <f>PRODUCT('All-Servers'!E1112,'All-Servers'!$H1112)</f>
        <v>2000</v>
      </c>
      <c r="J1102" s="60">
        <f>PRODUCT('All-Servers'!F1112,'All-Servers'!$H1112)</f>
        <v>0</v>
      </c>
      <c r="K1102" s="60">
        <f>PRODUCT('All-Servers'!G1112,'All-Servers'!$H1112)</f>
        <v>20</v>
      </c>
    </row>
    <row r="1103" spans="8:11">
      <c r="H1103" s="60">
        <f>PRODUCT('All-Servers'!D1113,'All-Servers'!$H1113)</f>
        <v>16</v>
      </c>
      <c r="I1103" s="60">
        <f>PRODUCT('All-Servers'!E1113,'All-Servers'!$H1113)</f>
        <v>30000</v>
      </c>
      <c r="J1103" s="60">
        <f>PRODUCT('All-Servers'!F1113,'All-Servers'!$H1113)</f>
        <v>320</v>
      </c>
      <c r="K1103" s="60">
        <f>PRODUCT('All-Servers'!G1113,'All-Servers'!$H1113)</f>
        <v>20</v>
      </c>
    </row>
    <row r="1104" spans="8:11">
      <c r="H1104" s="60">
        <f>PRODUCT('All-Servers'!D1114,'All-Servers'!$H1114)</f>
        <v>2</v>
      </c>
      <c r="I1104" s="60">
        <f>PRODUCT('All-Servers'!E1114,'All-Servers'!$H1114)</f>
        <v>4000</v>
      </c>
      <c r="J1104" s="60">
        <f>PRODUCT('All-Servers'!F1114,'All-Servers'!$H1114)</f>
        <v>0</v>
      </c>
      <c r="K1104" s="60">
        <f>PRODUCT('All-Servers'!G1114,'All-Servers'!$H1114)</f>
        <v>20</v>
      </c>
    </row>
    <row r="1105" spans="8:11">
      <c r="H1105" s="60">
        <f>PRODUCT('All-Servers'!D1115,'All-Servers'!$H1115)</f>
        <v>1</v>
      </c>
      <c r="I1105" s="60">
        <f>PRODUCT('All-Servers'!E1115,'All-Servers'!$H1115)</f>
        <v>2000</v>
      </c>
      <c r="J1105" s="60">
        <f>PRODUCT('All-Servers'!F1115,'All-Servers'!$H1115)</f>
        <v>0</v>
      </c>
      <c r="K1105" s="60">
        <f>PRODUCT('All-Servers'!G1115,'All-Servers'!$H1115)</f>
        <v>20</v>
      </c>
    </row>
    <row r="1106" spans="8:11">
      <c r="H1106" s="60">
        <f>PRODUCT('All-Servers'!D1116,'All-Servers'!$H1116)</f>
        <v>1</v>
      </c>
      <c r="I1106" s="60">
        <f>PRODUCT('All-Servers'!E1116,'All-Servers'!$H1116)</f>
        <v>1700</v>
      </c>
      <c r="J1106" s="60">
        <f>PRODUCT('All-Servers'!F1116,'All-Servers'!$H1116)</f>
        <v>160</v>
      </c>
      <c r="K1106" s="60">
        <f>PRODUCT('All-Servers'!G1116,'All-Servers'!$H1116)</f>
        <v>20</v>
      </c>
    </row>
    <row r="1107" spans="8:11">
      <c r="H1107" s="60">
        <f>PRODUCT('All-Servers'!D1117,'All-Servers'!$H1117)</f>
        <v>1</v>
      </c>
      <c r="I1107" s="60">
        <f>PRODUCT('All-Servers'!E1117,'All-Servers'!$H1117)</f>
        <v>2000</v>
      </c>
      <c r="J1107" s="60">
        <f>PRODUCT('All-Servers'!F1117,'All-Servers'!$H1117)</f>
        <v>0</v>
      </c>
      <c r="K1107" s="60">
        <f>PRODUCT('All-Servers'!G1117,'All-Servers'!$H1117)</f>
        <v>20</v>
      </c>
    </row>
    <row r="1108" spans="8:11">
      <c r="H1108" s="60">
        <f>PRODUCT('All-Servers'!D1118,'All-Servers'!$H1118)</f>
        <v>2</v>
      </c>
      <c r="I1108" s="60">
        <f>PRODUCT('All-Servers'!E1118,'All-Servers'!$H1118)</f>
        <v>3750</v>
      </c>
      <c r="J1108" s="60">
        <f>PRODUCT('All-Servers'!F1118,'All-Servers'!$H1118)</f>
        <v>32</v>
      </c>
      <c r="K1108" s="60">
        <f>PRODUCT('All-Servers'!G1118,'All-Servers'!$H1118)</f>
        <v>8</v>
      </c>
    </row>
    <row r="1109" spans="8:11">
      <c r="H1109" s="60">
        <f>PRODUCT('All-Servers'!D1119,'All-Servers'!$H1119)</f>
        <v>1</v>
      </c>
      <c r="I1109" s="60">
        <f>PRODUCT('All-Servers'!E1119,'All-Servers'!$H1119)</f>
        <v>2000</v>
      </c>
      <c r="J1109" s="60">
        <f>PRODUCT('All-Servers'!F1119,'All-Servers'!$H1119)</f>
        <v>0</v>
      </c>
      <c r="K1109" s="60">
        <f>PRODUCT('All-Servers'!G1119,'All-Servers'!$H1119)</f>
        <v>20</v>
      </c>
    </row>
    <row r="1110" spans="8:11">
      <c r="H1110" s="60">
        <f>PRODUCT('All-Servers'!D1120,'All-Servers'!$H1120)</f>
        <v>1</v>
      </c>
      <c r="I1110" s="60">
        <f>PRODUCT('All-Servers'!E1120,'All-Servers'!$H1120)</f>
        <v>2000</v>
      </c>
      <c r="J1110" s="60">
        <f>PRODUCT('All-Servers'!F1120,'All-Servers'!$H1120)</f>
        <v>0</v>
      </c>
      <c r="K1110" s="60">
        <f>PRODUCT('All-Servers'!G1120,'All-Servers'!$H1120)</f>
        <v>20</v>
      </c>
    </row>
    <row r="1111" spans="8:11">
      <c r="H1111" s="60">
        <f>PRODUCT('All-Servers'!D1121,'All-Servers'!$H1121)</f>
        <v>1</v>
      </c>
      <c r="I1111" s="60">
        <f>PRODUCT('All-Servers'!E1121,'All-Servers'!$H1121)</f>
        <v>2000</v>
      </c>
      <c r="J1111" s="60">
        <f>PRODUCT('All-Servers'!F1121,'All-Servers'!$H1121)</f>
        <v>0</v>
      </c>
      <c r="K1111" s="60">
        <f>PRODUCT('All-Servers'!G1121,'All-Servers'!$H1121)</f>
        <v>20</v>
      </c>
    </row>
    <row r="1112" spans="8:11">
      <c r="H1112" s="60">
        <f>PRODUCT('All-Servers'!D1122,'All-Servers'!$H1122)</f>
        <v>1</v>
      </c>
      <c r="I1112" s="60">
        <f>PRODUCT('All-Servers'!E1122,'All-Servers'!$H1122)</f>
        <v>2000</v>
      </c>
      <c r="J1112" s="60">
        <f>PRODUCT('All-Servers'!F1122,'All-Servers'!$H1122)</f>
        <v>0</v>
      </c>
      <c r="K1112" s="60">
        <f>PRODUCT('All-Servers'!G1122,'All-Servers'!$H1122)</f>
        <v>20</v>
      </c>
    </row>
    <row r="1113" spans="8:11">
      <c r="H1113" s="60">
        <f>PRODUCT('All-Servers'!D1123,'All-Servers'!$H1123)</f>
        <v>1</v>
      </c>
      <c r="I1113" s="60">
        <f>PRODUCT('All-Servers'!E1123,'All-Servers'!$H1123)</f>
        <v>2000</v>
      </c>
      <c r="J1113" s="60">
        <f>PRODUCT('All-Servers'!F1123,'All-Servers'!$H1123)</f>
        <v>0</v>
      </c>
      <c r="K1113" s="60">
        <f>PRODUCT('All-Servers'!G1123,'All-Servers'!$H1123)</f>
        <v>20</v>
      </c>
    </row>
    <row r="1114" spans="8:11">
      <c r="H1114" s="60">
        <f>PRODUCT('All-Servers'!D1124,'All-Servers'!$H1124)</f>
        <v>1</v>
      </c>
      <c r="I1114" s="60">
        <f>PRODUCT('All-Servers'!E1124,'All-Servers'!$H1124)</f>
        <v>2000</v>
      </c>
      <c r="J1114" s="60">
        <f>PRODUCT('All-Servers'!F1124,'All-Servers'!$H1124)</f>
        <v>0</v>
      </c>
      <c r="K1114" s="60">
        <f>PRODUCT('All-Servers'!G1124,'All-Servers'!$H1124)</f>
        <v>20</v>
      </c>
    </row>
    <row r="1115" spans="8:11">
      <c r="H1115" s="60">
        <f>PRODUCT('All-Servers'!D1125,'All-Servers'!$H1125)</f>
        <v>1</v>
      </c>
      <c r="I1115" s="60">
        <f>PRODUCT('All-Servers'!E1125,'All-Servers'!$H1125)</f>
        <v>2000</v>
      </c>
      <c r="J1115" s="60">
        <f>PRODUCT('All-Servers'!F1125,'All-Servers'!$H1125)</f>
        <v>0</v>
      </c>
      <c r="K1115" s="60">
        <f>PRODUCT('All-Servers'!G1125,'All-Servers'!$H1125)</f>
        <v>20</v>
      </c>
    </row>
    <row r="1116" spans="8:11">
      <c r="H1116" s="60">
        <f>PRODUCT('All-Servers'!D1126,'All-Servers'!$H1126)</f>
        <v>2</v>
      </c>
      <c r="I1116" s="60">
        <f>PRODUCT('All-Servers'!E1126,'All-Servers'!$H1126)</f>
        <v>3750</v>
      </c>
      <c r="J1116" s="60">
        <f>PRODUCT('All-Servers'!F1126,'All-Servers'!$H1126)</f>
        <v>32</v>
      </c>
      <c r="K1116" s="60">
        <f>PRODUCT('All-Servers'!G1126,'All-Servers'!$H1126)</f>
        <v>8</v>
      </c>
    </row>
    <row r="1117" spans="8:11">
      <c r="H1117" s="60">
        <f>PRODUCT('All-Servers'!D1127,'All-Servers'!$H1127)</f>
        <v>2</v>
      </c>
      <c r="I1117" s="60">
        <f>PRODUCT('All-Servers'!E1127,'All-Servers'!$H1127)</f>
        <v>3750</v>
      </c>
      <c r="J1117" s="60">
        <f>PRODUCT('All-Servers'!F1127,'All-Servers'!$H1127)</f>
        <v>32</v>
      </c>
      <c r="K1117" s="60">
        <f>PRODUCT('All-Servers'!G1127,'All-Servers'!$H1127)</f>
        <v>8</v>
      </c>
    </row>
    <row r="1118" spans="8:11">
      <c r="H1118" s="60">
        <f>PRODUCT('All-Servers'!D1128,'All-Servers'!$H1128)</f>
        <v>2</v>
      </c>
      <c r="I1118" s="60">
        <f>PRODUCT('All-Servers'!E1128,'All-Servers'!$H1128)</f>
        <v>3750</v>
      </c>
      <c r="J1118" s="60">
        <f>PRODUCT('All-Servers'!F1128,'All-Servers'!$H1128)</f>
        <v>32</v>
      </c>
      <c r="K1118" s="60">
        <f>PRODUCT('All-Servers'!G1128,'All-Servers'!$H1128)</f>
        <v>8</v>
      </c>
    </row>
    <row r="1119" spans="8:11">
      <c r="H1119" s="60">
        <f>PRODUCT('All-Servers'!D1129,'All-Servers'!$H1129)</f>
        <v>2</v>
      </c>
      <c r="I1119" s="60">
        <f>PRODUCT('All-Servers'!E1129,'All-Servers'!$H1129)</f>
        <v>7500</v>
      </c>
      <c r="J1119" s="60">
        <f>PRODUCT('All-Servers'!F1129,'All-Servers'!$H1129)</f>
        <v>32</v>
      </c>
      <c r="K1119" s="60">
        <f>PRODUCT('All-Servers'!G1129,'All-Servers'!$H1129)</f>
        <v>420</v>
      </c>
    </row>
    <row r="1120" spans="8:11">
      <c r="H1120" s="60">
        <f>PRODUCT('All-Servers'!D1130,'All-Servers'!$H1130)</f>
        <v>2</v>
      </c>
      <c r="I1120" s="60">
        <f>PRODUCT('All-Servers'!E1130,'All-Servers'!$H1130)</f>
        <v>7500</v>
      </c>
      <c r="J1120" s="60">
        <f>PRODUCT('All-Servers'!F1130,'All-Servers'!$H1130)</f>
        <v>32</v>
      </c>
      <c r="K1120" s="60">
        <f>PRODUCT('All-Servers'!G1130,'All-Servers'!$H1130)</f>
        <v>420</v>
      </c>
    </row>
    <row r="1121" spans="8:11">
      <c r="H1121" s="60">
        <f>PRODUCT('All-Servers'!D1131,'All-Servers'!$H1131)</f>
        <v>2</v>
      </c>
      <c r="I1121" s="60">
        <f>PRODUCT('All-Servers'!E1131,'All-Servers'!$H1131)</f>
        <v>4000</v>
      </c>
      <c r="J1121" s="60">
        <f>PRODUCT('All-Servers'!F1131,'All-Servers'!$H1131)</f>
        <v>0</v>
      </c>
      <c r="K1121" s="60">
        <f>PRODUCT('All-Servers'!G1131,'All-Servers'!$H1131)</f>
        <v>20</v>
      </c>
    </row>
    <row r="1122" spans="8:11">
      <c r="H1122" s="60">
        <f>PRODUCT('All-Servers'!D1132,'All-Servers'!$H1132)</f>
        <v>2</v>
      </c>
      <c r="I1122" s="60">
        <f>PRODUCT('All-Servers'!E1132,'All-Servers'!$H1132)</f>
        <v>7500</v>
      </c>
      <c r="J1122" s="60">
        <f>PRODUCT('All-Servers'!F1132,'All-Servers'!$H1132)</f>
        <v>32</v>
      </c>
      <c r="K1122" s="60">
        <f>PRODUCT('All-Servers'!G1132,'All-Servers'!$H1132)</f>
        <v>420</v>
      </c>
    </row>
    <row r="1123" spans="8:11">
      <c r="H1123" s="60">
        <f>PRODUCT('All-Servers'!D1133,'All-Servers'!$H1133)</f>
        <v>2</v>
      </c>
      <c r="I1123" s="60">
        <f>PRODUCT('All-Servers'!E1133,'All-Servers'!$H1133)</f>
        <v>7500</v>
      </c>
      <c r="J1123" s="60">
        <f>PRODUCT('All-Servers'!F1133,'All-Servers'!$H1133)</f>
        <v>32</v>
      </c>
      <c r="K1123" s="60">
        <f>PRODUCT('All-Servers'!G1133,'All-Servers'!$H1133)</f>
        <v>820</v>
      </c>
    </row>
    <row r="1124" spans="8:11">
      <c r="H1124" s="60">
        <f>PRODUCT('All-Servers'!D1134,'All-Servers'!$H1134)</f>
        <v>2</v>
      </c>
      <c r="I1124" s="60">
        <f>PRODUCT('All-Servers'!E1134,'All-Servers'!$H1134)</f>
        <v>3750</v>
      </c>
      <c r="J1124" s="60">
        <f>PRODUCT('All-Servers'!F1134,'All-Servers'!$H1134)</f>
        <v>32</v>
      </c>
      <c r="K1124" s="60">
        <f>PRODUCT('All-Servers'!G1134,'All-Servers'!$H1134)</f>
        <v>20</v>
      </c>
    </row>
    <row r="1125" spans="8:11">
      <c r="H1125" s="60">
        <f>PRODUCT('All-Servers'!D1135,'All-Servers'!$H1135)</f>
        <v>2</v>
      </c>
      <c r="I1125" s="60">
        <f>PRODUCT('All-Servers'!E1135,'All-Servers'!$H1135)</f>
        <v>3750</v>
      </c>
      <c r="J1125" s="60">
        <f>PRODUCT('All-Servers'!F1135,'All-Servers'!$H1135)</f>
        <v>32</v>
      </c>
      <c r="K1125" s="60">
        <f>PRODUCT('All-Servers'!G1135,'All-Servers'!$H1135)</f>
        <v>20</v>
      </c>
    </row>
    <row r="1126" spans="8:11">
      <c r="H1126" s="60">
        <f>PRODUCT('All-Servers'!D1136,'All-Servers'!$H1136)</f>
        <v>2</v>
      </c>
      <c r="I1126" s="60">
        <f>PRODUCT('All-Servers'!E1136,'All-Servers'!$H1136)</f>
        <v>3750</v>
      </c>
      <c r="J1126" s="60">
        <f>PRODUCT('All-Servers'!F1136,'All-Servers'!$H1136)</f>
        <v>32</v>
      </c>
      <c r="K1126" s="60">
        <f>PRODUCT('All-Servers'!G1136,'All-Servers'!$H1136)</f>
        <v>20</v>
      </c>
    </row>
    <row r="1127" spans="8:11">
      <c r="H1127" s="60">
        <f>PRODUCT('All-Servers'!D1137,'All-Servers'!$H1137)</f>
        <v>2</v>
      </c>
      <c r="I1127" s="60">
        <f>PRODUCT('All-Servers'!E1137,'All-Servers'!$H1137)</f>
        <v>3750</v>
      </c>
      <c r="J1127" s="60">
        <f>PRODUCT('All-Servers'!F1137,'All-Servers'!$H1137)</f>
        <v>32</v>
      </c>
      <c r="K1127" s="60">
        <f>PRODUCT('All-Servers'!G1137,'All-Servers'!$H1137)</f>
        <v>20</v>
      </c>
    </row>
    <row r="1128" spans="8:11">
      <c r="H1128" s="60">
        <f>PRODUCT('All-Servers'!D1138,'All-Servers'!$H1138)</f>
        <v>2</v>
      </c>
      <c r="I1128" s="60">
        <f>PRODUCT('All-Servers'!E1138,'All-Servers'!$H1138)</f>
        <v>3750</v>
      </c>
      <c r="J1128" s="60">
        <f>PRODUCT('All-Servers'!F1138,'All-Servers'!$H1138)</f>
        <v>32</v>
      </c>
      <c r="K1128" s="60">
        <f>PRODUCT('All-Servers'!G1138,'All-Servers'!$H1138)</f>
        <v>20</v>
      </c>
    </row>
    <row r="1129" spans="8:11">
      <c r="H1129" s="60">
        <f>PRODUCT('All-Servers'!D1139,'All-Servers'!$H1139)</f>
        <v>2</v>
      </c>
      <c r="I1129" s="60">
        <f>PRODUCT('All-Servers'!E1139,'All-Servers'!$H1139)</f>
        <v>3750</v>
      </c>
      <c r="J1129" s="60">
        <f>PRODUCT('All-Servers'!F1139,'All-Servers'!$H1139)</f>
        <v>32</v>
      </c>
      <c r="K1129" s="60">
        <f>PRODUCT('All-Servers'!G1139,'All-Servers'!$H1139)</f>
        <v>20</v>
      </c>
    </row>
    <row r="1130" spans="8:11">
      <c r="H1130" s="60">
        <f>PRODUCT('All-Servers'!D1140,'All-Servers'!$H1140)</f>
        <v>2</v>
      </c>
      <c r="I1130" s="60">
        <f>PRODUCT('All-Servers'!E1140,'All-Servers'!$H1140)</f>
        <v>3750</v>
      </c>
      <c r="J1130" s="60">
        <f>PRODUCT('All-Servers'!F1140,'All-Servers'!$H1140)</f>
        <v>32</v>
      </c>
      <c r="K1130" s="60">
        <f>PRODUCT('All-Servers'!G1140,'All-Servers'!$H1140)</f>
        <v>20</v>
      </c>
    </row>
    <row r="1131" spans="8:11">
      <c r="H1131" s="60">
        <f>PRODUCT('All-Servers'!D1141,'All-Servers'!$H1141)</f>
        <v>2</v>
      </c>
      <c r="I1131" s="60">
        <f>PRODUCT('All-Servers'!E1141,'All-Servers'!$H1141)</f>
        <v>3750</v>
      </c>
      <c r="J1131" s="60">
        <f>PRODUCT('All-Servers'!F1141,'All-Servers'!$H1141)</f>
        <v>32</v>
      </c>
      <c r="K1131" s="60">
        <f>PRODUCT('All-Servers'!G1141,'All-Servers'!$H1141)</f>
        <v>20</v>
      </c>
    </row>
    <row r="1132" spans="8:11">
      <c r="H1132" s="60">
        <f>PRODUCT('All-Servers'!D1142,'All-Servers'!$H1142)</f>
        <v>2</v>
      </c>
      <c r="I1132" s="60">
        <f>PRODUCT('All-Servers'!E1142,'All-Servers'!$H1142)</f>
        <v>3750</v>
      </c>
      <c r="J1132" s="60">
        <f>PRODUCT('All-Servers'!F1142,'All-Servers'!$H1142)</f>
        <v>32</v>
      </c>
      <c r="K1132" s="60">
        <f>PRODUCT('All-Servers'!G1142,'All-Servers'!$H1142)</f>
        <v>20</v>
      </c>
    </row>
    <row r="1133" spans="8:11">
      <c r="H1133" s="60">
        <f>PRODUCT('All-Servers'!D1143,'All-Servers'!$H1143)</f>
        <v>2</v>
      </c>
      <c r="I1133" s="60">
        <f>PRODUCT('All-Servers'!E1143,'All-Servers'!$H1143)</f>
        <v>3750</v>
      </c>
      <c r="J1133" s="60">
        <f>PRODUCT('All-Servers'!F1143,'All-Servers'!$H1143)</f>
        <v>32</v>
      </c>
      <c r="K1133" s="60">
        <f>PRODUCT('All-Servers'!G1143,'All-Servers'!$H1143)</f>
        <v>20</v>
      </c>
    </row>
    <row r="1134" spans="8:11">
      <c r="H1134" s="60">
        <f>PRODUCT('All-Servers'!D1144,'All-Servers'!$H1144)</f>
        <v>2</v>
      </c>
      <c r="I1134" s="60">
        <f>PRODUCT('All-Servers'!E1144,'All-Servers'!$H1144)</f>
        <v>3750</v>
      </c>
      <c r="J1134" s="60">
        <f>PRODUCT('All-Servers'!F1144,'All-Servers'!$H1144)</f>
        <v>32</v>
      </c>
      <c r="K1134" s="60">
        <f>PRODUCT('All-Servers'!G1144,'All-Servers'!$H1144)</f>
        <v>20</v>
      </c>
    </row>
    <row r="1135" spans="8:11">
      <c r="H1135" s="60">
        <f>PRODUCT('All-Servers'!D1145,'All-Servers'!$H1145)</f>
        <v>2</v>
      </c>
      <c r="I1135" s="60">
        <f>PRODUCT('All-Servers'!E1145,'All-Servers'!$H1145)</f>
        <v>3750</v>
      </c>
      <c r="J1135" s="60">
        <f>PRODUCT('All-Servers'!F1145,'All-Servers'!$H1145)</f>
        <v>32</v>
      </c>
      <c r="K1135" s="60">
        <f>PRODUCT('All-Servers'!G1145,'All-Servers'!$H1145)</f>
        <v>20</v>
      </c>
    </row>
    <row r="1136" spans="8:11">
      <c r="H1136" s="60">
        <f>PRODUCT('All-Servers'!D1146,'All-Servers'!$H1146)</f>
        <v>2</v>
      </c>
      <c r="I1136" s="60">
        <f>PRODUCT('All-Servers'!E1146,'All-Servers'!$H1146)</f>
        <v>3750</v>
      </c>
      <c r="J1136" s="60">
        <f>PRODUCT('All-Servers'!F1146,'All-Servers'!$H1146)</f>
        <v>32</v>
      </c>
      <c r="K1136" s="60">
        <f>PRODUCT('All-Servers'!G1146,'All-Servers'!$H1146)</f>
        <v>20</v>
      </c>
    </row>
    <row r="1137" spans="8:11">
      <c r="H1137" s="60">
        <f>PRODUCT('All-Servers'!D1147,'All-Servers'!$H1147)</f>
        <v>2</v>
      </c>
      <c r="I1137" s="60">
        <f>PRODUCT('All-Servers'!E1147,'All-Servers'!$H1147)</f>
        <v>3750</v>
      </c>
      <c r="J1137" s="60">
        <f>PRODUCT('All-Servers'!F1147,'All-Servers'!$H1147)</f>
        <v>32</v>
      </c>
      <c r="K1137" s="60">
        <f>PRODUCT('All-Servers'!G1147,'All-Servers'!$H1147)</f>
        <v>20</v>
      </c>
    </row>
    <row r="1138" spans="8:11">
      <c r="H1138" s="60">
        <f>PRODUCT('All-Servers'!D1148,'All-Servers'!$H1148)</f>
        <v>2</v>
      </c>
      <c r="I1138" s="60">
        <f>PRODUCT('All-Servers'!E1148,'All-Servers'!$H1148)</f>
        <v>3750</v>
      </c>
      <c r="J1138" s="60">
        <f>PRODUCT('All-Servers'!F1148,'All-Servers'!$H1148)</f>
        <v>32</v>
      </c>
      <c r="K1138" s="60">
        <f>PRODUCT('All-Servers'!G1148,'All-Servers'!$H1148)</f>
        <v>20</v>
      </c>
    </row>
    <row r="1139" spans="8:11">
      <c r="H1139" s="60">
        <f>PRODUCT('All-Servers'!D1149,'All-Servers'!$H1149)</f>
        <v>2</v>
      </c>
      <c r="I1139" s="60">
        <f>PRODUCT('All-Servers'!E1149,'All-Servers'!$H1149)</f>
        <v>4000</v>
      </c>
      <c r="J1139" s="60">
        <f>PRODUCT('All-Servers'!F1149,'All-Servers'!$H1149)</f>
        <v>0</v>
      </c>
      <c r="K1139" s="60">
        <f>PRODUCT('All-Servers'!G1149,'All-Servers'!$H1149)</f>
        <v>20</v>
      </c>
    </row>
    <row r="1140" spans="8:11">
      <c r="H1140" s="60">
        <f>PRODUCT('All-Servers'!D1150,'All-Servers'!$H1150)</f>
        <v>4</v>
      </c>
      <c r="I1140" s="60">
        <f>PRODUCT('All-Servers'!E1150,'All-Servers'!$H1150)</f>
        <v>15000</v>
      </c>
      <c r="J1140" s="60">
        <f>PRODUCT('All-Servers'!F1150,'All-Servers'!$H1150)</f>
        <v>80</v>
      </c>
      <c r="K1140" s="60">
        <f>PRODUCT('All-Servers'!G1150,'All-Servers'!$H1150)</f>
        <v>1420</v>
      </c>
    </row>
    <row r="1141" spans="8:11">
      <c r="H1141" s="60">
        <f>PRODUCT('All-Servers'!D1151,'All-Servers'!$H1151)</f>
        <v>4</v>
      </c>
      <c r="I1141" s="60">
        <f>PRODUCT('All-Servers'!E1151,'All-Servers'!$H1151)</f>
        <v>15000</v>
      </c>
      <c r="J1141" s="60">
        <f>PRODUCT('All-Servers'!F1151,'All-Servers'!$H1151)</f>
        <v>80</v>
      </c>
      <c r="K1141" s="60">
        <f>PRODUCT('All-Servers'!G1151,'All-Servers'!$H1151)</f>
        <v>420</v>
      </c>
    </row>
    <row r="1142" spans="8:11">
      <c r="H1142" s="60">
        <f>PRODUCT('All-Servers'!D1152,'All-Servers'!$H1152)</f>
        <v>4</v>
      </c>
      <c r="I1142" s="60">
        <f>PRODUCT('All-Servers'!E1152,'All-Servers'!$H1152)</f>
        <v>15000</v>
      </c>
      <c r="J1142" s="60">
        <f>PRODUCT('All-Servers'!F1152,'All-Servers'!$H1152)</f>
        <v>80</v>
      </c>
      <c r="K1142" s="60">
        <f>PRODUCT('All-Servers'!G1152,'All-Servers'!$H1152)</f>
        <v>420</v>
      </c>
    </row>
    <row r="1143" spans="8:11">
      <c r="H1143" s="60">
        <f>PRODUCT('All-Servers'!D1153,'All-Servers'!$H1153)</f>
        <v>4</v>
      </c>
      <c r="I1143" s="60">
        <f>PRODUCT('All-Servers'!E1153,'All-Servers'!$H1153)</f>
        <v>15000</v>
      </c>
      <c r="J1143" s="60">
        <f>PRODUCT('All-Servers'!F1153,'All-Servers'!$H1153)</f>
        <v>80</v>
      </c>
      <c r="K1143" s="60">
        <f>PRODUCT('All-Servers'!G1153,'All-Servers'!$H1153)</f>
        <v>420</v>
      </c>
    </row>
    <row r="1144" spans="8:11">
      <c r="H1144" s="60">
        <f>PRODUCT('All-Servers'!D1154,'All-Servers'!$H1154)</f>
        <v>2</v>
      </c>
      <c r="I1144" s="60">
        <f>PRODUCT('All-Servers'!E1154,'All-Servers'!$H1154)</f>
        <v>3750</v>
      </c>
      <c r="J1144" s="60">
        <f>PRODUCT('All-Servers'!F1154,'All-Servers'!$H1154)</f>
        <v>32</v>
      </c>
      <c r="K1144" s="60">
        <f>PRODUCT('All-Servers'!G1154,'All-Servers'!$H1154)</f>
        <v>20</v>
      </c>
    </row>
    <row r="1145" spans="8:11">
      <c r="H1145" s="60">
        <f>PRODUCT('All-Servers'!D1155,'All-Servers'!$H1155)</f>
        <v>2</v>
      </c>
      <c r="I1145" s="60">
        <f>PRODUCT('All-Servers'!E1155,'All-Servers'!$H1155)</f>
        <v>3750</v>
      </c>
      <c r="J1145" s="60">
        <f>PRODUCT('All-Servers'!F1155,'All-Servers'!$H1155)</f>
        <v>32</v>
      </c>
      <c r="K1145" s="60">
        <f>PRODUCT('All-Servers'!G1155,'All-Servers'!$H1155)</f>
        <v>20</v>
      </c>
    </row>
    <row r="1146" spans="8:11">
      <c r="H1146" s="60">
        <f>PRODUCT('All-Servers'!D1156,'All-Servers'!$H1156)</f>
        <v>2</v>
      </c>
      <c r="I1146" s="60">
        <f>PRODUCT('All-Servers'!E1156,'All-Servers'!$H1156)</f>
        <v>3750</v>
      </c>
      <c r="J1146" s="60">
        <f>PRODUCT('All-Servers'!F1156,'All-Servers'!$H1156)</f>
        <v>32</v>
      </c>
      <c r="K1146" s="60">
        <f>PRODUCT('All-Servers'!G1156,'All-Servers'!$H1156)</f>
        <v>20</v>
      </c>
    </row>
    <row r="1147" spans="8:11">
      <c r="H1147" s="60">
        <f>PRODUCT('All-Servers'!D1157,'All-Servers'!$H1157)</f>
        <v>2</v>
      </c>
      <c r="I1147" s="60">
        <f>PRODUCT('All-Servers'!E1157,'All-Servers'!$H1157)</f>
        <v>7500</v>
      </c>
      <c r="J1147" s="60">
        <f>PRODUCT('All-Servers'!F1157,'All-Servers'!$H1157)</f>
        <v>32</v>
      </c>
      <c r="K1147" s="60">
        <f>PRODUCT('All-Servers'!G1157,'All-Servers'!$H1157)</f>
        <v>420</v>
      </c>
    </row>
    <row r="1148" spans="8:11">
      <c r="H1148" s="60">
        <f>PRODUCT('All-Servers'!D1158,'All-Servers'!$H1158)</f>
        <v>2</v>
      </c>
      <c r="I1148" s="60">
        <f>PRODUCT('All-Servers'!E1158,'All-Servers'!$H1158)</f>
        <v>7500</v>
      </c>
      <c r="J1148" s="60">
        <f>PRODUCT('All-Servers'!F1158,'All-Servers'!$H1158)</f>
        <v>32</v>
      </c>
      <c r="K1148" s="60">
        <f>PRODUCT('All-Servers'!G1158,'All-Servers'!$H1158)</f>
        <v>820</v>
      </c>
    </row>
    <row r="1149" spans="8:11">
      <c r="H1149" s="60">
        <f>PRODUCT('All-Servers'!D1159,'All-Servers'!$H1159)</f>
        <v>2</v>
      </c>
      <c r="I1149" s="60">
        <f>PRODUCT('All-Servers'!E1159,'All-Servers'!$H1159)</f>
        <v>3750</v>
      </c>
      <c r="J1149" s="60">
        <f>PRODUCT('All-Servers'!F1159,'All-Servers'!$H1159)</f>
        <v>32</v>
      </c>
      <c r="K1149" s="60">
        <f>PRODUCT('All-Servers'!G1159,'All-Servers'!$H1159)</f>
        <v>20</v>
      </c>
    </row>
    <row r="1150" spans="8:11">
      <c r="H1150" s="60">
        <f>PRODUCT('All-Servers'!D1160,'All-Servers'!$H1160)</f>
        <v>4</v>
      </c>
      <c r="I1150" s="60">
        <f>PRODUCT('All-Servers'!E1160,'All-Servers'!$H1160)</f>
        <v>15000</v>
      </c>
      <c r="J1150" s="60">
        <f>PRODUCT('All-Servers'!F1160,'All-Servers'!$H1160)</f>
        <v>80</v>
      </c>
      <c r="K1150" s="60">
        <f>PRODUCT('All-Servers'!G1160,'All-Servers'!$H1160)</f>
        <v>420</v>
      </c>
    </row>
    <row r="1151" spans="8:11">
      <c r="H1151" s="60">
        <f>PRODUCT('All-Servers'!D1161,'All-Servers'!$H1161)</f>
        <v>2</v>
      </c>
      <c r="I1151" s="60">
        <f>PRODUCT('All-Servers'!E1161,'All-Servers'!$H1161)</f>
        <v>4000</v>
      </c>
      <c r="J1151" s="60">
        <f>PRODUCT('All-Servers'!F1161,'All-Servers'!$H1161)</f>
        <v>0</v>
      </c>
      <c r="K1151" s="60">
        <f>PRODUCT('All-Servers'!G1161,'All-Servers'!$H1161)</f>
        <v>20</v>
      </c>
    </row>
    <row r="1152" spans="8:11">
      <c r="H1152" s="60">
        <f>PRODUCT('All-Servers'!D1162,'All-Servers'!$H1162)</f>
        <v>4</v>
      </c>
      <c r="I1152" s="60">
        <f>PRODUCT('All-Servers'!E1162,'All-Servers'!$H1162)</f>
        <v>15000</v>
      </c>
      <c r="J1152" s="60">
        <f>PRODUCT('All-Servers'!F1162,'All-Servers'!$H1162)</f>
        <v>80</v>
      </c>
      <c r="K1152" s="60">
        <f>PRODUCT('All-Servers'!G1162,'All-Servers'!$H1162)</f>
        <v>420</v>
      </c>
    </row>
    <row r="1153" spans="8:11">
      <c r="H1153" s="60">
        <f>PRODUCT('All-Servers'!D1163,'All-Servers'!$H1163)</f>
        <v>4</v>
      </c>
      <c r="I1153" s="60">
        <f>PRODUCT('All-Servers'!E1163,'All-Servers'!$H1163)</f>
        <v>15000</v>
      </c>
      <c r="J1153" s="60">
        <f>PRODUCT('All-Servers'!F1163,'All-Servers'!$H1163)</f>
        <v>80</v>
      </c>
      <c r="K1153" s="60">
        <f>PRODUCT('All-Servers'!G1163,'All-Servers'!$H1163)</f>
        <v>820</v>
      </c>
    </row>
    <row r="1154" spans="8:11">
      <c r="H1154" s="60">
        <f>PRODUCT('All-Servers'!D1164,'All-Servers'!$H1164)</f>
        <v>2</v>
      </c>
      <c r="I1154" s="60">
        <f>PRODUCT('All-Servers'!E1164,'All-Servers'!$H1164)</f>
        <v>4000</v>
      </c>
      <c r="J1154" s="60">
        <f>PRODUCT('All-Servers'!F1164,'All-Servers'!$H1164)</f>
        <v>0</v>
      </c>
      <c r="K1154" s="60">
        <f>PRODUCT('All-Servers'!G1164,'All-Servers'!$H1164)</f>
        <v>20</v>
      </c>
    </row>
    <row r="1155" spans="8:11">
      <c r="H1155" s="60">
        <f>PRODUCT('All-Servers'!D1165,'All-Servers'!$H1165)</f>
        <v>2</v>
      </c>
      <c r="I1155" s="60">
        <f>PRODUCT('All-Servers'!E1165,'All-Servers'!$H1165)</f>
        <v>7500</v>
      </c>
      <c r="J1155" s="60">
        <f>PRODUCT('All-Servers'!F1165,'All-Servers'!$H1165)</f>
        <v>32</v>
      </c>
      <c r="K1155" s="60">
        <f>PRODUCT('All-Servers'!G1165,'All-Servers'!$H1165)</f>
        <v>420</v>
      </c>
    </row>
    <row r="1156" spans="8:11">
      <c r="H1156" s="60">
        <f>PRODUCT('All-Servers'!D1166,'All-Servers'!$H1166)</f>
        <v>4</v>
      </c>
      <c r="I1156" s="60">
        <f>PRODUCT('All-Servers'!E1166,'All-Servers'!$H1166)</f>
        <v>15000</v>
      </c>
      <c r="J1156" s="60">
        <f>PRODUCT('All-Servers'!F1166,'All-Servers'!$H1166)</f>
        <v>80</v>
      </c>
      <c r="K1156" s="60">
        <f>PRODUCT('All-Servers'!G1166,'All-Servers'!$H1166)</f>
        <v>420</v>
      </c>
    </row>
    <row r="1157" spans="8:11">
      <c r="H1157" s="60">
        <f>PRODUCT('All-Servers'!D1167,'All-Servers'!$H1167)</f>
        <v>2</v>
      </c>
      <c r="I1157" s="60">
        <f>PRODUCT('All-Servers'!E1167,'All-Servers'!$H1167)</f>
        <v>7500</v>
      </c>
      <c r="J1157" s="60">
        <f>PRODUCT('All-Servers'!F1167,'All-Servers'!$H1167)</f>
        <v>32</v>
      </c>
      <c r="K1157" s="60">
        <f>PRODUCT('All-Servers'!G1167,'All-Servers'!$H1167)</f>
        <v>420</v>
      </c>
    </row>
    <row r="1158" spans="8:11">
      <c r="H1158" s="60">
        <f>PRODUCT('All-Servers'!D1168,'All-Servers'!$H1168)</f>
        <v>2</v>
      </c>
      <c r="I1158" s="60">
        <f>PRODUCT('All-Servers'!E1168,'All-Servers'!$H1168)</f>
        <v>3750</v>
      </c>
      <c r="J1158" s="60">
        <f>PRODUCT('All-Servers'!F1168,'All-Servers'!$H1168)</f>
        <v>32</v>
      </c>
      <c r="K1158" s="60">
        <f>PRODUCT('All-Servers'!G1168,'All-Servers'!$H1168)</f>
        <v>20</v>
      </c>
    </row>
    <row r="1159" spans="8:11">
      <c r="H1159" s="60">
        <f>PRODUCT('All-Servers'!D1169,'All-Servers'!$H1169)</f>
        <v>2</v>
      </c>
      <c r="I1159" s="60">
        <f>PRODUCT('All-Servers'!E1169,'All-Servers'!$H1169)</f>
        <v>7500</v>
      </c>
      <c r="J1159" s="60">
        <f>PRODUCT('All-Servers'!F1169,'All-Servers'!$H1169)</f>
        <v>32</v>
      </c>
      <c r="K1159" s="60">
        <f>PRODUCT('All-Servers'!G1169,'All-Servers'!$H1169)</f>
        <v>20</v>
      </c>
    </row>
    <row r="1160" spans="8:11">
      <c r="H1160" s="60">
        <f>PRODUCT('All-Servers'!D1170,'All-Servers'!$H1170)</f>
        <v>2</v>
      </c>
      <c r="I1160" s="60">
        <f>PRODUCT('All-Servers'!E1170,'All-Servers'!$H1170)</f>
        <v>3750</v>
      </c>
      <c r="J1160" s="60">
        <f>PRODUCT('All-Servers'!F1170,'All-Servers'!$H1170)</f>
        <v>32</v>
      </c>
      <c r="K1160" s="60">
        <f>PRODUCT('All-Servers'!G1170,'All-Servers'!$H1170)</f>
        <v>20</v>
      </c>
    </row>
    <row r="1161" spans="8:11">
      <c r="H1161" s="60">
        <f>PRODUCT('All-Servers'!D1171,'All-Servers'!$H1171)</f>
        <v>2</v>
      </c>
      <c r="I1161" s="60">
        <f>PRODUCT('All-Servers'!E1171,'All-Servers'!$H1171)</f>
        <v>3750</v>
      </c>
      <c r="J1161" s="60">
        <f>PRODUCT('All-Servers'!F1171,'All-Servers'!$H1171)</f>
        <v>32</v>
      </c>
      <c r="K1161" s="60">
        <f>PRODUCT('All-Servers'!G1171,'All-Servers'!$H1171)</f>
        <v>20</v>
      </c>
    </row>
    <row r="1162" spans="8:11">
      <c r="H1162" s="60">
        <f>PRODUCT('All-Servers'!D1172,'All-Servers'!$H1172)</f>
        <v>2</v>
      </c>
      <c r="I1162" s="60">
        <f>PRODUCT('All-Servers'!E1172,'All-Servers'!$H1172)</f>
        <v>3750</v>
      </c>
      <c r="J1162" s="60">
        <f>PRODUCT('All-Servers'!F1172,'All-Servers'!$H1172)</f>
        <v>32</v>
      </c>
      <c r="K1162" s="60">
        <f>PRODUCT('All-Servers'!G1172,'All-Servers'!$H1172)</f>
        <v>20</v>
      </c>
    </row>
    <row r="1163" spans="8:11">
      <c r="H1163" s="60">
        <f>PRODUCT('All-Servers'!D1173,'All-Servers'!$H1173)</f>
        <v>2</v>
      </c>
      <c r="I1163" s="60">
        <f>PRODUCT('All-Servers'!E1173,'All-Servers'!$H1173)</f>
        <v>3750</v>
      </c>
      <c r="J1163" s="60">
        <f>PRODUCT('All-Servers'!F1173,'All-Servers'!$H1173)</f>
        <v>32</v>
      </c>
      <c r="K1163" s="60">
        <f>PRODUCT('All-Servers'!G1173,'All-Servers'!$H1173)</f>
        <v>20</v>
      </c>
    </row>
    <row r="1164" spans="8:11">
      <c r="H1164" s="60">
        <f>PRODUCT('All-Servers'!D1174,'All-Servers'!$H1174)</f>
        <v>2</v>
      </c>
      <c r="I1164" s="60">
        <f>PRODUCT('All-Servers'!E1174,'All-Servers'!$H1174)</f>
        <v>7500</v>
      </c>
      <c r="J1164" s="60">
        <f>PRODUCT('All-Servers'!F1174,'All-Servers'!$H1174)</f>
        <v>32</v>
      </c>
      <c r="K1164" s="60">
        <f>PRODUCT('All-Servers'!G1174,'All-Servers'!$H1174)</f>
        <v>20</v>
      </c>
    </row>
    <row r="1165" spans="8:11">
      <c r="H1165" s="60">
        <f>PRODUCT('All-Servers'!D1175,'All-Servers'!$H1175)</f>
        <v>2</v>
      </c>
      <c r="I1165" s="60">
        <f>PRODUCT('All-Servers'!E1175,'All-Servers'!$H1175)</f>
        <v>7500</v>
      </c>
      <c r="J1165" s="60">
        <f>PRODUCT('All-Servers'!F1175,'All-Servers'!$H1175)</f>
        <v>32</v>
      </c>
      <c r="K1165" s="60">
        <f>PRODUCT('All-Servers'!G1175,'All-Servers'!$H1175)</f>
        <v>420</v>
      </c>
    </row>
    <row r="1166" spans="8:11">
      <c r="H1166" s="60">
        <f>PRODUCT('All-Servers'!D1176,'All-Servers'!$H1176)</f>
        <v>2</v>
      </c>
      <c r="I1166" s="60">
        <f>PRODUCT('All-Servers'!E1176,'All-Servers'!$H1176)</f>
        <v>4000</v>
      </c>
      <c r="J1166" s="60">
        <f>PRODUCT('All-Servers'!F1176,'All-Servers'!$H1176)</f>
        <v>0</v>
      </c>
      <c r="K1166" s="60">
        <f>PRODUCT('All-Servers'!G1176,'All-Servers'!$H1176)</f>
        <v>20</v>
      </c>
    </row>
    <row r="1167" spans="8:11">
      <c r="H1167" s="60">
        <f>PRODUCT('All-Servers'!D1177,'All-Servers'!$H1177)</f>
        <v>2</v>
      </c>
      <c r="I1167" s="60">
        <f>PRODUCT('All-Servers'!E1177,'All-Servers'!$H1177)</f>
        <v>7500</v>
      </c>
      <c r="J1167" s="60">
        <f>PRODUCT('All-Servers'!F1177,'All-Servers'!$H1177)</f>
        <v>32</v>
      </c>
      <c r="K1167" s="60">
        <f>PRODUCT('All-Servers'!G1177,'All-Servers'!$H1177)</f>
        <v>820</v>
      </c>
    </row>
    <row r="1168" spans="8:11">
      <c r="H1168" s="60">
        <f>PRODUCT('All-Servers'!D1178,'All-Servers'!$H1178)</f>
        <v>16</v>
      </c>
      <c r="I1168" s="60">
        <f>PRODUCT('All-Servers'!E1178,'All-Servers'!$H1178)</f>
        <v>30000</v>
      </c>
      <c r="J1168" s="60">
        <f>PRODUCT('All-Servers'!F1178,'All-Servers'!$H1178)</f>
        <v>320</v>
      </c>
      <c r="K1168" s="60">
        <f>PRODUCT('All-Servers'!G1178,'All-Servers'!$H1178)</f>
        <v>20</v>
      </c>
    </row>
    <row r="1169" spans="8:11">
      <c r="H1169" s="60">
        <f>PRODUCT('All-Servers'!D1179,'All-Servers'!$H1179)</f>
        <v>16</v>
      </c>
      <c r="I1169" s="60">
        <f>PRODUCT('All-Servers'!E1179,'All-Servers'!$H1179)</f>
        <v>30000</v>
      </c>
      <c r="J1169" s="60">
        <f>PRODUCT('All-Servers'!F1179,'All-Servers'!$H1179)</f>
        <v>320</v>
      </c>
      <c r="K1169" s="60">
        <f>PRODUCT('All-Servers'!G1179,'All-Servers'!$H1179)</f>
        <v>20</v>
      </c>
    </row>
    <row r="1170" spans="8:11">
      <c r="H1170" s="60">
        <f>PRODUCT('All-Servers'!D1180,'All-Servers'!$H1180)</f>
        <v>16</v>
      </c>
      <c r="I1170" s="60">
        <f>PRODUCT('All-Servers'!E1180,'All-Servers'!$H1180)</f>
        <v>30000</v>
      </c>
      <c r="J1170" s="60">
        <f>PRODUCT('All-Servers'!F1180,'All-Servers'!$H1180)</f>
        <v>320</v>
      </c>
      <c r="K1170" s="60">
        <f>PRODUCT('All-Servers'!G1180,'All-Servers'!$H1180)</f>
        <v>20</v>
      </c>
    </row>
    <row r="1171" spans="8:11">
      <c r="H1171" s="60">
        <f>PRODUCT('All-Servers'!D1181,'All-Servers'!$H1181)</f>
        <v>16</v>
      </c>
      <c r="I1171" s="60">
        <f>PRODUCT('All-Servers'!E1181,'All-Servers'!$H1181)</f>
        <v>30000</v>
      </c>
      <c r="J1171" s="60">
        <f>PRODUCT('All-Servers'!F1181,'All-Servers'!$H1181)</f>
        <v>320</v>
      </c>
      <c r="K1171" s="60">
        <f>PRODUCT('All-Servers'!G1181,'All-Servers'!$H1181)</f>
        <v>20</v>
      </c>
    </row>
    <row r="1172" spans="8:11">
      <c r="H1172" s="60">
        <f>PRODUCT('All-Servers'!D1182,'All-Servers'!$H1182)</f>
        <v>2</v>
      </c>
      <c r="I1172" s="60">
        <f>PRODUCT('All-Servers'!E1182,'All-Servers'!$H1182)</f>
        <v>7500</v>
      </c>
      <c r="J1172" s="60">
        <f>PRODUCT('All-Servers'!F1182,'All-Servers'!$H1182)</f>
        <v>32</v>
      </c>
      <c r="K1172" s="60">
        <f>PRODUCT('All-Servers'!G1182,'All-Servers'!$H1182)</f>
        <v>420</v>
      </c>
    </row>
    <row r="1173" spans="8:11">
      <c r="H1173" s="60">
        <f>PRODUCT('All-Servers'!D1183,'All-Servers'!$H1183)</f>
        <v>2</v>
      </c>
      <c r="I1173" s="60">
        <f>PRODUCT('All-Servers'!E1183,'All-Servers'!$H1183)</f>
        <v>7500</v>
      </c>
      <c r="J1173" s="60">
        <f>PRODUCT('All-Servers'!F1183,'All-Servers'!$H1183)</f>
        <v>32</v>
      </c>
      <c r="K1173" s="60">
        <f>PRODUCT('All-Servers'!G1183,'All-Servers'!$H1183)</f>
        <v>420</v>
      </c>
    </row>
    <row r="1174" spans="8:11">
      <c r="H1174" s="60">
        <f>PRODUCT('All-Servers'!D1184,'All-Servers'!$H1184)</f>
        <v>2</v>
      </c>
      <c r="I1174" s="60">
        <f>PRODUCT('All-Servers'!E1184,'All-Servers'!$H1184)</f>
        <v>3750</v>
      </c>
      <c r="J1174" s="60">
        <f>PRODUCT('All-Servers'!F1184,'All-Servers'!$H1184)</f>
        <v>32</v>
      </c>
      <c r="K1174" s="60">
        <f>PRODUCT('All-Servers'!G1184,'All-Servers'!$H1184)</f>
        <v>20</v>
      </c>
    </row>
    <row r="1175" spans="8:11">
      <c r="H1175" s="60">
        <f>PRODUCT('All-Servers'!D1185,'All-Servers'!$H1185)</f>
        <v>2</v>
      </c>
      <c r="I1175" s="60">
        <f>PRODUCT('All-Servers'!E1185,'All-Servers'!$H1185)</f>
        <v>3750</v>
      </c>
      <c r="J1175" s="60">
        <f>PRODUCT('All-Servers'!F1185,'All-Servers'!$H1185)</f>
        <v>32</v>
      </c>
      <c r="K1175" s="60">
        <f>PRODUCT('All-Servers'!G1185,'All-Servers'!$H1185)</f>
        <v>20</v>
      </c>
    </row>
    <row r="1176" spans="8:11">
      <c r="H1176" s="60">
        <f>PRODUCT('All-Servers'!D1186,'All-Servers'!$H1186)</f>
        <v>2</v>
      </c>
      <c r="I1176" s="60">
        <f>PRODUCT('All-Servers'!E1186,'All-Servers'!$H1186)</f>
        <v>3750</v>
      </c>
      <c r="J1176" s="60">
        <f>PRODUCT('All-Servers'!F1186,'All-Servers'!$H1186)</f>
        <v>32</v>
      </c>
      <c r="K1176" s="60">
        <f>PRODUCT('All-Servers'!G1186,'All-Servers'!$H1186)</f>
        <v>20</v>
      </c>
    </row>
    <row r="1177" spans="8:11">
      <c r="H1177" s="60">
        <f>PRODUCT('All-Servers'!D1187,'All-Servers'!$H1187)</f>
        <v>2</v>
      </c>
      <c r="I1177" s="60">
        <f>PRODUCT('All-Servers'!E1187,'All-Servers'!$H1187)</f>
        <v>3750</v>
      </c>
      <c r="J1177" s="60">
        <f>PRODUCT('All-Servers'!F1187,'All-Servers'!$H1187)</f>
        <v>32</v>
      </c>
      <c r="K1177" s="60">
        <f>PRODUCT('All-Servers'!G1187,'All-Servers'!$H1187)</f>
        <v>20</v>
      </c>
    </row>
    <row r="1178" spans="8:11">
      <c r="H1178" s="60">
        <f>PRODUCT('All-Servers'!D1188,'All-Servers'!$H1188)</f>
        <v>2</v>
      </c>
      <c r="I1178" s="60">
        <f>PRODUCT('All-Servers'!E1188,'All-Servers'!$H1188)</f>
        <v>3750</v>
      </c>
      <c r="J1178" s="60">
        <f>PRODUCT('All-Servers'!F1188,'All-Servers'!$H1188)</f>
        <v>32</v>
      </c>
      <c r="K1178" s="60">
        <f>PRODUCT('All-Servers'!G1188,'All-Servers'!$H1188)</f>
        <v>20</v>
      </c>
    </row>
    <row r="1179" spans="8:11">
      <c r="H1179" s="60">
        <f>PRODUCT('All-Servers'!D1189,'All-Servers'!$H1189)</f>
        <v>2</v>
      </c>
      <c r="I1179" s="60">
        <f>PRODUCT('All-Servers'!E1189,'All-Servers'!$H1189)</f>
        <v>3750</v>
      </c>
      <c r="J1179" s="60">
        <f>PRODUCT('All-Servers'!F1189,'All-Servers'!$H1189)</f>
        <v>32</v>
      </c>
      <c r="K1179" s="60">
        <f>PRODUCT('All-Servers'!G1189,'All-Servers'!$H1189)</f>
        <v>20</v>
      </c>
    </row>
    <row r="1180" spans="8:11">
      <c r="H1180" s="60">
        <f>PRODUCT('All-Servers'!D1190,'All-Servers'!$H1190)</f>
        <v>2</v>
      </c>
      <c r="I1180" s="60">
        <f>PRODUCT('All-Servers'!E1190,'All-Servers'!$H1190)</f>
        <v>7500</v>
      </c>
      <c r="J1180" s="60">
        <f>PRODUCT('All-Servers'!F1190,'All-Servers'!$H1190)</f>
        <v>32</v>
      </c>
      <c r="K1180" s="60">
        <f>PRODUCT('All-Servers'!G1190,'All-Servers'!$H1190)</f>
        <v>420</v>
      </c>
    </row>
    <row r="1181" spans="8:11">
      <c r="H1181" s="60">
        <f>PRODUCT('All-Servers'!D1191,'All-Servers'!$H1191)</f>
        <v>2</v>
      </c>
      <c r="I1181" s="60">
        <f>PRODUCT('All-Servers'!E1191,'All-Servers'!$H1191)</f>
        <v>7500</v>
      </c>
      <c r="J1181" s="60">
        <f>PRODUCT('All-Servers'!F1191,'All-Servers'!$H1191)</f>
        <v>32</v>
      </c>
      <c r="K1181" s="60">
        <f>PRODUCT('All-Servers'!G1191,'All-Servers'!$H1191)</f>
        <v>820</v>
      </c>
    </row>
    <row r="1182" spans="8:11">
      <c r="H1182" s="60">
        <f>PRODUCT('All-Servers'!D1192,'All-Servers'!$H1192)</f>
        <v>2</v>
      </c>
      <c r="I1182" s="60">
        <f>PRODUCT('All-Servers'!E1192,'All-Servers'!$H1192)</f>
        <v>3750</v>
      </c>
      <c r="J1182" s="60">
        <f>PRODUCT('All-Servers'!F1192,'All-Servers'!$H1192)</f>
        <v>32</v>
      </c>
      <c r="K1182" s="60">
        <f>PRODUCT('All-Servers'!G1192,'All-Servers'!$H1192)</f>
        <v>20</v>
      </c>
    </row>
    <row r="1183" spans="8:11">
      <c r="H1183" s="60">
        <f>PRODUCT('All-Servers'!D1193,'All-Servers'!$H1193)</f>
        <v>2</v>
      </c>
      <c r="I1183" s="60">
        <f>PRODUCT('All-Servers'!E1193,'All-Servers'!$H1193)</f>
        <v>3750</v>
      </c>
      <c r="J1183" s="60">
        <f>PRODUCT('All-Servers'!F1193,'All-Servers'!$H1193)</f>
        <v>32</v>
      </c>
      <c r="K1183" s="60">
        <f>PRODUCT('All-Servers'!G1193,'All-Servers'!$H1193)</f>
        <v>20</v>
      </c>
    </row>
    <row r="1184" spans="8:11">
      <c r="H1184" s="60">
        <f>PRODUCT('All-Servers'!D1194,'All-Servers'!$H1194)</f>
        <v>2</v>
      </c>
      <c r="I1184" s="60">
        <f>PRODUCT('All-Servers'!E1194,'All-Servers'!$H1194)</f>
        <v>7500</v>
      </c>
      <c r="J1184" s="60">
        <f>PRODUCT('All-Servers'!F1194,'All-Servers'!$H1194)</f>
        <v>32</v>
      </c>
      <c r="K1184" s="60">
        <f>PRODUCT('All-Servers'!G1194,'All-Servers'!$H1194)</f>
        <v>420</v>
      </c>
    </row>
    <row r="1185" spans="8:11">
      <c r="H1185" s="60">
        <f>PRODUCT('All-Servers'!D1195,'All-Servers'!$H1195)</f>
        <v>1</v>
      </c>
      <c r="I1185" s="60">
        <f>PRODUCT('All-Servers'!E1195,'All-Servers'!$H1195)</f>
        <v>2000</v>
      </c>
      <c r="J1185" s="60">
        <f>PRODUCT('All-Servers'!F1195,'All-Servers'!$H1195)</f>
        <v>0</v>
      </c>
      <c r="K1185" s="60">
        <f>PRODUCT('All-Servers'!G1195,'All-Servers'!$H1195)</f>
        <v>20</v>
      </c>
    </row>
    <row r="1186" spans="8:11">
      <c r="H1186" s="60">
        <f>PRODUCT('All-Servers'!D1196,'All-Servers'!$H1196)</f>
        <v>2</v>
      </c>
      <c r="I1186" s="60">
        <f>PRODUCT('All-Servers'!E1196,'All-Servers'!$H1196)</f>
        <v>7500</v>
      </c>
      <c r="J1186" s="60">
        <f>PRODUCT('All-Servers'!F1196,'All-Servers'!$H1196)</f>
        <v>32</v>
      </c>
      <c r="K1186" s="60">
        <f>PRODUCT('All-Servers'!G1196,'All-Servers'!$H1196)</f>
        <v>420</v>
      </c>
    </row>
    <row r="1187" spans="8:11">
      <c r="H1187" s="60">
        <f>PRODUCT('All-Servers'!D1197,'All-Servers'!$H1197)</f>
        <v>2</v>
      </c>
      <c r="I1187" s="60">
        <f>PRODUCT('All-Servers'!E1197,'All-Servers'!$H1197)</f>
        <v>3750</v>
      </c>
      <c r="J1187" s="60">
        <f>PRODUCT('All-Servers'!F1197,'All-Servers'!$H1197)</f>
        <v>32</v>
      </c>
      <c r="K1187" s="60">
        <f>PRODUCT('All-Servers'!G1197,'All-Servers'!$H1197)</f>
        <v>20</v>
      </c>
    </row>
    <row r="1188" spans="8:11">
      <c r="H1188" s="60">
        <f>PRODUCT('All-Servers'!D1198,'All-Servers'!$H1198)</f>
        <v>2</v>
      </c>
      <c r="I1188" s="60">
        <f>PRODUCT('All-Servers'!E1198,'All-Servers'!$H1198)</f>
        <v>3750</v>
      </c>
      <c r="J1188" s="60">
        <f>PRODUCT('All-Servers'!F1198,'All-Servers'!$H1198)</f>
        <v>32</v>
      </c>
      <c r="K1188" s="60">
        <f>PRODUCT('All-Servers'!G1198,'All-Servers'!$H1198)</f>
        <v>20</v>
      </c>
    </row>
    <row r="1189" spans="8:11">
      <c r="H1189" s="60">
        <f>PRODUCT('All-Servers'!D1199,'All-Servers'!$H1199)</f>
        <v>2</v>
      </c>
      <c r="I1189" s="60">
        <f>PRODUCT('All-Servers'!E1199,'All-Servers'!$H1199)</f>
        <v>4000</v>
      </c>
      <c r="J1189" s="60">
        <f>PRODUCT('All-Servers'!F1199,'All-Servers'!$H1199)</f>
        <v>0</v>
      </c>
      <c r="K1189" s="60">
        <f>PRODUCT('All-Servers'!G1199,'All-Servers'!$H1199)</f>
        <v>20</v>
      </c>
    </row>
    <row r="1190" spans="8:11">
      <c r="H1190" s="60">
        <f>PRODUCT('All-Servers'!D1200,'All-Servers'!$H1200)</f>
        <v>2</v>
      </c>
      <c r="I1190" s="60">
        <f>PRODUCT('All-Servers'!E1200,'All-Servers'!$H1200)</f>
        <v>4000</v>
      </c>
      <c r="J1190" s="60">
        <f>PRODUCT('All-Servers'!F1200,'All-Servers'!$H1200)</f>
        <v>0</v>
      </c>
      <c r="K1190" s="60">
        <f>PRODUCT('All-Servers'!G1200,'All-Servers'!$H1200)</f>
        <v>20</v>
      </c>
    </row>
    <row r="1191" spans="8:11">
      <c r="H1191" s="60">
        <f>PRODUCT('All-Servers'!D1201,'All-Servers'!$H1201)</f>
        <v>8</v>
      </c>
      <c r="I1191" s="60">
        <f>PRODUCT('All-Servers'!E1201,'All-Servers'!$H1201)</f>
        <v>15000</v>
      </c>
      <c r="J1191" s="60">
        <f>PRODUCT('All-Servers'!F1201,'All-Servers'!$H1201)</f>
        <v>160</v>
      </c>
      <c r="K1191" s="60">
        <f>PRODUCT('All-Servers'!G1201,'All-Servers'!$H1201)</f>
        <v>20</v>
      </c>
    </row>
    <row r="1192" spans="8:11">
      <c r="H1192" s="60">
        <f>PRODUCT('All-Servers'!D1202,'All-Servers'!$H1202)</f>
        <v>8</v>
      </c>
      <c r="I1192" s="60">
        <f>PRODUCT('All-Servers'!E1202,'All-Servers'!$H1202)</f>
        <v>15000</v>
      </c>
      <c r="J1192" s="60">
        <f>PRODUCT('All-Servers'!F1202,'All-Servers'!$H1202)</f>
        <v>160</v>
      </c>
      <c r="K1192" s="60">
        <f>PRODUCT('All-Servers'!G1202,'All-Servers'!$H1202)</f>
        <v>20</v>
      </c>
    </row>
    <row r="1193" spans="8:11">
      <c r="H1193" s="60">
        <f>PRODUCT('All-Servers'!D1203,'All-Servers'!$H1203)</f>
        <v>4</v>
      </c>
      <c r="I1193" s="60">
        <f>PRODUCT('All-Servers'!E1203,'All-Servers'!$H1203)</f>
        <v>7500</v>
      </c>
      <c r="J1193" s="60">
        <f>PRODUCT('All-Servers'!F1203,'All-Servers'!$H1203)</f>
        <v>80</v>
      </c>
      <c r="K1193" s="60">
        <f>PRODUCT('All-Servers'!G1203,'All-Servers'!$H1203)</f>
        <v>0</v>
      </c>
    </row>
    <row r="1194" spans="8:11">
      <c r="H1194" s="60">
        <f>PRODUCT('All-Servers'!D1204,'All-Servers'!$H1204)</f>
        <v>4</v>
      </c>
      <c r="I1194" s="60">
        <f>PRODUCT('All-Servers'!E1204,'All-Servers'!$H1204)</f>
        <v>7500</v>
      </c>
      <c r="J1194" s="60">
        <f>PRODUCT('All-Servers'!F1204,'All-Servers'!$H1204)</f>
        <v>80</v>
      </c>
      <c r="K1194" s="60">
        <f>PRODUCT('All-Servers'!G1204,'All-Servers'!$H1204)</f>
        <v>0</v>
      </c>
    </row>
    <row r="1195" spans="8:11">
      <c r="H1195" s="60">
        <f>PRODUCT('All-Servers'!D1205,'All-Servers'!$H1205)</f>
        <v>4</v>
      </c>
      <c r="I1195" s="60">
        <f>PRODUCT('All-Servers'!E1205,'All-Servers'!$H1205)</f>
        <v>7500</v>
      </c>
      <c r="J1195" s="60">
        <f>PRODUCT('All-Servers'!F1205,'All-Servers'!$H1205)</f>
        <v>80</v>
      </c>
      <c r="K1195" s="60">
        <f>PRODUCT('All-Servers'!G1205,'All-Servers'!$H1205)</f>
        <v>0</v>
      </c>
    </row>
    <row r="1196" spans="8:11">
      <c r="H1196" s="60">
        <f>PRODUCT('All-Servers'!D1206,'All-Servers'!$H1206)</f>
        <v>0</v>
      </c>
      <c r="I1196" s="60">
        <f>PRODUCT('All-Servers'!E1206,'All-Servers'!$H1206)</f>
        <v>0</v>
      </c>
      <c r="J1196" s="60">
        <f>PRODUCT('All-Servers'!F1206,'All-Servers'!$H1206)</f>
        <v>0</v>
      </c>
      <c r="K1196" s="60">
        <f>PRODUCT('All-Servers'!G1206,'All-Servers'!$H1206)</f>
        <v>0</v>
      </c>
    </row>
    <row r="1197" spans="8:11">
      <c r="H1197" s="60">
        <f>PRODUCT('All-Servers'!D1207,'All-Servers'!$H1207)</f>
        <v>0</v>
      </c>
      <c r="I1197" s="60">
        <f>PRODUCT('All-Servers'!E1207,'All-Servers'!$H1207)</f>
        <v>0</v>
      </c>
      <c r="J1197" s="60">
        <f>PRODUCT('All-Servers'!F1207,'All-Servers'!$H1207)</f>
        <v>0</v>
      </c>
      <c r="K1197" s="60">
        <f>PRODUCT('All-Servers'!G1207,'All-Servers'!$H1207)</f>
        <v>0</v>
      </c>
    </row>
    <row r="1198" spans="8:11">
      <c r="H1198" s="60">
        <f>PRODUCT('All-Servers'!D1208,'All-Servers'!$H1208)</f>
        <v>0</v>
      </c>
      <c r="I1198" s="60">
        <f>PRODUCT('All-Servers'!E1208,'All-Servers'!$H1208)</f>
        <v>0</v>
      </c>
      <c r="J1198" s="60">
        <f>PRODUCT('All-Servers'!F1208,'All-Servers'!$H1208)</f>
        <v>0</v>
      </c>
      <c r="K1198" s="60">
        <f>PRODUCT('All-Servers'!G1208,'All-Servers'!$H1208)</f>
        <v>0</v>
      </c>
    </row>
    <row r="1199" spans="8:11">
      <c r="H1199" s="60">
        <f>PRODUCT('All-Servers'!D1209,'All-Servers'!$H1209)</f>
        <v>0</v>
      </c>
      <c r="I1199" s="60">
        <f>PRODUCT('All-Servers'!E1209,'All-Servers'!$H1209)</f>
        <v>0</v>
      </c>
      <c r="J1199" s="60">
        <f>PRODUCT('All-Servers'!F1209,'All-Servers'!$H1209)</f>
        <v>0</v>
      </c>
      <c r="K1199" s="60">
        <f>PRODUCT('All-Servers'!G1209,'All-Servers'!$H1209)</f>
        <v>0</v>
      </c>
    </row>
    <row r="1200" spans="8:11">
      <c r="H1200" s="60">
        <f>PRODUCT('All-Servers'!D1210,'All-Servers'!$H1210)</f>
        <v>0</v>
      </c>
      <c r="I1200" s="60">
        <f>PRODUCT('All-Servers'!E1210,'All-Servers'!$H1210)</f>
        <v>0</v>
      </c>
      <c r="J1200" s="60">
        <f>PRODUCT('All-Servers'!F1210,'All-Servers'!$H1210)</f>
        <v>0</v>
      </c>
      <c r="K1200" s="60">
        <f>PRODUCT('All-Servers'!G1210,'All-Servers'!$H1210)</f>
        <v>0</v>
      </c>
    </row>
    <row r="1201" spans="8:11">
      <c r="H1201" s="60">
        <f>PRODUCT('All-Servers'!D1211,'All-Servers'!$H1211)</f>
        <v>0</v>
      </c>
      <c r="I1201" s="60">
        <f>PRODUCT('All-Servers'!E1211,'All-Servers'!$H1211)</f>
        <v>0</v>
      </c>
      <c r="J1201" s="60">
        <f>PRODUCT('All-Servers'!F1211,'All-Servers'!$H1211)</f>
        <v>0</v>
      </c>
      <c r="K1201" s="60">
        <f>PRODUCT('All-Servers'!G1211,'All-Servers'!$H1211)</f>
        <v>0</v>
      </c>
    </row>
    <row r="1202" spans="8:11">
      <c r="H1202" s="60">
        <f>PRODUCT('All-Servers'!D1212,'All-Servers'!$H1212)</f>
        <v>0</v>
      </c>
      <c r="I1202" s="60">
        <f>PRODUCT('All-Servers'!E1212,'All-Servers'!$H1212)</f>
        <v>0</v>
      </c>
      <c r="J1202" s="60">
        <f>PRODUCT('All-Servers'!F1212,'All-Servers'!$H1212)</f>
        <v>0</v>
      </c>
      <c r="K1202" s="60">
        <f>PRODUCT('All-Servers'!G1212,'All-Servers'!$H1212)</f>
        <v>0</v>
      </c>
    </row>
    <row r="1203" spans="8:11">
      <c r="H1203" s="60">
        <f>PRODUCT('All-Servers'!D1213,'All-Servers'!$H1213)</f>
        <v>0</v>
      </c>
      <c r="I1203" s="60">
        <f>PRODUCT('All-Servers'!E1213,'All-Servers'!$H1213)</f>
        <v>0</v>
      </c>
      <c r="J1203" s="60">
        <f>PRODUCT('All-Servers'!F1213,'All-Servers'!$H1213)</f>
        <v>0</v>
      </c>
      <c r="K1203" s="60">
        <f>PRODUCT('All-Servers'!G1213,'All-Servers'!$H1213)</f>
        <v>0</v>
      </c>
    </row>
    <row r="1204" spans="8:11">
      <c r="H1204" s="60">
        <f>PRODUCT('All-Servers'!D1214,'All-Servers'!$H1214)</f>
        <v>0</v>
      </c>
      <c r="I1204" s="60">
        <f>PRODUCT('All-Servers'!E1214,'All-Servers'!$H1214)</f>
        <v>0</v>
      </c>
      <c r="J1204" s="60">
        <f>PRODUCT('All-Servers'!F1214,'All-Servers'!$H1214)</f>
        <v>0</v>
      </c>
      <c r="K1204" s="60">
        <f>PRODUCT('All-Servers'!G1214,'All-Servers'!$H1214)</f>
        <v>0</v>
      </c>
    </row>
    <row r="1205" spans="8:11">
      <c r="H1205" s="60">
        <f>PRODUCT('All-Servers'!D1215,'All-Servers'!$H1215)</f>
        <v>0</v>
      </c>
      <c r="I1205" s="60">
        <f>PRODUCT('All-Servers'!E1215,'All-Servers'!$H1215)</f>
        <v>0</v>
      </c>
      <c r="J1205" s="60">
        <f>PRODUCT('All-Servers'!F1215,'All-Servers'!$H1215)</f>
        <v>0</v>
      </c>
      <c r="K1205" s="60">
        <f>PRODUCT('All-Servers'!G1215,'All-Servers'!$H1215)</f>
        <v>0</v>
      </c>
    </row>
    <row r="1206" spans="8:11">
      <c r="H1206" s="60">
        <f>PRODUCT('All-Servers'!D1216,'All-Servers'!$H1216)</f>
        <v>0</v>
      </c>
      <c r="I1206" s="60">
        <f>PRODUCT('All-Servers'!E1216,'All-Servers'!$H1216)</f>
        <v>0</v>
      </c>
      <c r="J1206" s="60">
        <f>PRODUCT('All-Servers'!F1216,'All-Servers'!$H1216)</f>
        <v>0</v>
      </c>
      <c r="K1206" s="60">
        <f>PRODUCT('All-Servers'!G1216,'All-Servers'!$H1216)</f>
        <v>0</v>
      </c>
    </row>
    <row r="1207" spans="8:11">
      <c r="H1207" s="60">
        <f>PRODUCT('All-Servers'!D1217,'All-Servers'!$H1217)</f>
        <v>0</v>
      </c>
      <c r="I1207" s="60">
        <f>PRODUCT('All-Servers'!E1217,'All-Servers'!$H1217)</f>
        <v>0</v>
      </c>
      <c r="J1207" s="60">
        <f>PRODUCT('All-Servers'!F1217,'All-Servers'!$H1217)</f>
        <v>0</v>
      </c>
      <c r="K1207" s="60">
        <f>PRODUCT('All-Servers'!G1217,'All-Servers'!$H1217)</f>
        <v>0</v>
      </c>
    </row>
    <row r="1208" spans="8:11">
      <c r="H1208" s="60">
        <f>PRODUCT('All-Servers'!D1218,'All-Servers'!$H1218)</f>
        <v>0</v>
      </c>
      <c r="I1208" s="60">
        <f>PRODUCT('All-Servers'!E1218,'All-Servers'!$H1218)</f>
        <v>0</v>
      </c>
      <c r="J1208" s="60">
        <f>PRODUCT('All-Servers'!F1218,'All-Servers'!$H1218)</f>
        <v>0</v>
      </c>
      <c r="K1208" s="60">
        <f>PRODUCT('All-Servers'!G1218,'All-Servers'!$H1218)</f>
        <v>0</v>
      </c>
    </row>
    <row r="1209" spans="8:11">
      <c r="H1209" s="60">
        <f>PRODUCT('All-Servers'!D1219,'All-Servers'!$H1219)</f>
        <v>0</v>
      </c>
      <c r="I1209" s="60">
        <f>PRODUCT('All-Servers'!E1219,'All-Servers'!$H1219)</f>
        <v>0</v>
      </c>
      <c r="J1209" s="60">
        <f>PRODUCT('All-Servers'!F1219,'All-Servers'!$H1219)</f>
        <v>0</v>
      </c>
      <c r="K1209" s="60">
        <f>PRODUCT('All-Servers'!G1219,'All-Servers'!$H1219)</f>
        <v>0</v>
      </c>
    </row>
    <row r="1210" spans="8:11">
      <c r="H1210" s="60">
        <f>PRODUCT('All-Servers'!D1220,'All-Servers'!$H1220)</f>
        <v>0</v>
      </c>
      <c r="I1210" s="60">
        <f>PRODUCT('All-Servers'!E1220,'All-Servers'!$H1220)</f>
        <v>0</v>
      </c>
      <c r="J1210" s="60">
        <f>PRODUCT('All-Servers'!F1220,'All-Servers'!$H1220)</f>
        <v>0</v>
      </c>
      <c r="K1210" s="60">
        <f>PRODUCT('All-Servers'!G1220,'All-Servers'!$H1220)</f>
        <v>0</v>
      </c>
    </row>
    <row r="1211" spans="8:11">
      <c r="H1211" s="60">
        <f>PRODUCT('All-Servers'!D1221,'All-Servers'!$H1221)</f>
        <v>0</v>
      </c>
      <c r="I1211" s="60">
        <f>PRODUCT('All-Servers'!E1221,'All-Servers'!$H1221)</f>
        <v>0</v>
      </c>
      <c r="J1211" s="60">
        <f>PRODUCT('All-Servers'!F1221,'All-Servers'!$H1221)</f>
        <v>0</v>
      </c>
      <c r="K1211" s="60">
        <f>PRODUCT('All-Servers'!G1221,'All-Servers'!$H1221)</f>
        <v>0</v>
      </c>
    </row>
    <row r="1212" spans="8:11">
      <c r="H1212" s="60">
        <f>PRODUCT('All-Servers'!D1222,'All-Servers'!$H1222)</f>
        <v>0</v>
      </c>
      <c r="I1212" s="60">
        <f>PRODUCT('All-Servers'!E1222,'All-Servers'!$H1222)</f>
        <v>0</v>
      </c>
      <c r="J1212" s="60">
        <f>PRODUCT('All-Servers'!F1222,'All-Servers'!$H1222)</f>
        <v>0</v>
      </c>
      <c r="K1212" s="60">
        <f>PRODUCT('All-Servers'!G1222,'All-Servers'!$H1222)</f>
        <v>0</v>
      </c>
    </row>
    <row r="1213" spans="8:11">
      <c r="H1213" s="60">
        <f>PRODUCT('All-Servers'!D1223,'All-Servers'!$H1223)</f>
        <v>0</v>
      </c>
      <c r="I1213" s="60">
        <f>PRODUCT('All-Servers'!E1223,'All-Servers'!$H1223)</f>
        <v>0</v>
      </c>
      <c r="J1213" s="60">
        <f>PRODUCT('All-Servers'!F1223,'All-Servers'!$H1223)</f>
        <v>0</v>
      </c>
      <c r="K1213" s="60">
        <f>PRODUCT('All-Servers'!G1223,'All-Servers'!$H1223)</f>
        <v>0</v>
      </c>
    </row>
    <row r="1214" spans="8:11">
      <c r="H1214" s="60">
        <f>PRODUCT('All-Servers'!D1224,'All-Servers'!$H1224)</f>
        <v>0</v>
      </c>
      <c r="I1214" s="60">
        <f>PRODUCT('All-Servers'!E1224,'All-Servers'!$H1224)</f>
        <v>0</v>
      </c>
      <c r="J1214" s="60">
        <f>PRODUCT('All-Servers'!F1224,'All-Servers'!$H1224)</f>
        <v>0</v>
      </c>
      <c r="K1214" s="60">
        <f>PRODUCT('All-Servers'!G1224,'All-Servers'!$H1224)</f>
        <v>0</v>
      </c>
    </row>
    <row r="1215" spans="8:11">
      <c r="H1215" s="60">
        <f>PRODUCT('All-Servers'!D1225,'All-Servers'!$H1225)</f>
        <v>0</v>
      </c>
      <c r="I1215" s="60">
        <f>PRODUCT('All-Servers'!E1225,'All-Servers'!$H1225)</f>
        <v>0</v>
      </c>
      <c r="J1215" s="60">
        <f>PRODUCT('All-Servers'!F1225,'All-Servers'!$H1225)</f>
        <v>0</v>
      </c>
      <c r="K1215" s="60">
        <f>PRODUCT('All-Servers'!G1225,'All-Servers'!$H1225)</f>
        <v>0</v>
      </c>
    </row>
    <row r="1216" spans="8:11">
      <c r="H1216" s="60">
        <f>PRODUCT('All-Servers'!D1226,'All-Servers'!$H1226)</f>
        <v>0</v>
      </c>
      <c r="I1216" s="60">
        <f>PRODUCT('All-Servers'!E1226,'All-Servers'!$H1226)</f>
        <v>0</v>
      </c>
      <c r="J1216" s="60">
        <f>PRODUCT('All-Servers'!F1226,'All-Servers'!$H1226)</f>
        <v>0</v>
      </c>
      <c r="K1216" s="60">
        <f>PRODUCT('All-Servers'!G1226,'All-Servers'!$H1226)</f>
        <v>0</v>
      </c>
    </row>
    <row r="1217" spans="8:11">
      <c r="H1217" s="60">
        <f>PRODUCT('All-Servers'!D1227,'All-Servers'!$H1227)</f>
        <v>0</v>
      </c>
      <c r="I1217" s="60">
        <f>PRODUCT('All-Servers'!E1227,'All-Servers'!$H1227)</f>
        <v>0</v>
      </c>
      <c r="J1217" s="60">
        <f>PRODUCT('All-Servers'!F1227,'All-Servers'!$H1227)</f>
        <v>0</v>
      </c>
      <c r="K1217" s="60">
        <f>PRODUCT('All-Servers'!G1227,'All-Servers'!$H1227)</f>
        <v>0</v>
      </c>
    </row>
    <row r="1218" spans="8:11">
      <c r="H1218" s="60">
        <f>PRODUCT('All-Servers'!D1228,'All-Servers'!$H1228)</f>
        <v>0</v>
      </c>
      <c r="I1218" s="60">
        <f>PRODUCT('All-Servers'!E1228,'All-Servers'!$H1228)</f>
        <v>0</v>
      </c>
      <c r="J1218" s="60">
        <f>PRODUCT('All-Servers'!F1228,'All-Servers'!$H1228)</f>
        <v>0</v>
      </c>
      <c r="K1218" s="60">
        <f>PRODUCT('All-Servers'!G1228,'All-Servers'!$H1228)</f>
        <v>0</v>
      </c>
    </row>
    <row r="1219" spans="8:11">
      <c r="H1219" s="60">
        <f>PRODUCT('All-Servers'!D1229,'All-Servers'!$H1229)</f>
        <v>0</v>
      </c>
      <c r="I1219" s="60">
        <f>PRODUCT('All-Servers'!E1229,'All-Servers'!$H1229)</f>
        <v>0</v>
      </c>
      <c r="J1219" s="60">
        <f>PRODUCT('All-Servers'!F1229,'All-Servers'!$H1229)</f>
        <v>0</v>
      </c>
      <c r="K1219" s="60">
        <f>PRODUCT('All-Servers'!G1229,'All-Servers'!$H1229)</f>
        <v>0</v>
      </c>
    </row>
    <row r="1220" spans="8:11">
      <c r="H1220" s="60">
        <f>PRODUCT('All-Servers'!D1230,'All-Servers'!$H1230)</f>
        <v>0</v>
      </c>
      <c r="I1220" s="60">
        <f>PRODUCT('All-Servers'!E1230,'All-Servers'!$H1230)</f>
        <v>0</v>
      </c>
      <c r="J1220" s="60">
        <f>PRODUCT('All-Servers'!F1230,'All-Servers'!$H1230)</f>
        <v>0</v>
      </c>
      <c r="K1220" s="60">
        <f>PRODUCT('All-Servers'!G1230,'All-Servers'!$H1230)</f>
        <v>0</v>
      </c>
    </row>
    <row r="1221" spans="8:11">
      <c r="H1221" s="60">
        <f>PRODUCT('All-Servers'!D1231,'All-Servers'!$H1231)</f>
        <v>0</v>
      </c>
      <c r="I1221" s="60">
        <f>PRODUCT('All-Servers'!E1231,'All-Servers'!$H1231)</f>
        <v>0</v>
      </c>
      <c r="J1221" s="60">
        <f>PRODUCT('All-Servers'!F1231,'All-Servers'!$H1231)</f>
        <v>0</v>
      </c>
      <c r="K1221" s="60">
        <f>PRODUCT('All-Servers'!G1231,'All-Servers'!$H1231)</f>
        <v>0</v>
      </c>
    </row>
    <row r="1222" spans="8:11">
      <c r="H1222" s="60">
        <f>PRODUCT('All-Servers'!D1232,'All-Servers'!$H1232)</f>
        <v>0</v>
      </c>
      <c r="I1222" s="60">
        <f>PRODUCT('All-Servers'!E1232,'All-Servers'!$H1232)</f>
        <v>0</v>
      </c>
      <c r="J1222" s="60">
        <f>PRODUCT('All-Servers'!F1232,'All-Servers'!$H1232)</f>
        <v>0</v>
      </c>
      <c r="K1222" s="60">
        <f>PRODUCT('All-Servers'!G1232,'All-Servers'!$H1232)</f>
        <v>0</v>
      </c>
    </row>
    <row r="1223" spans="8:11">
      <c r="H1223" s="60">
        <f>PRODUCT('All-Servers'!D1233,'All-Servers'!$H1233)</f>
        <v>0</v>
      </c>
      <c r="I1223" s="60">
        <f>PRODUCT('All-Servers'!E1233,'All-Servers'!$H1233)</f>
        <v>0</v>
      </c>
      <c r="J1223" s="60">
        <f>PRODUCT('All-Servers'!F1233,'All-Servers'!$H1233)</f>
        <v>0</v>
      </c>
      <c r="K1223" s="60">
        <f>PRODUCT('All-Servers'!G1233,'All-Servers'!$H1233)</f>
        <v>0</v>
      </c>
    </row>
    <row r="1224" spans="8:11">
      <c r="H1224" s="60">
        <f>PRODUCT('All-Servers'!D1234,'All-Servers'!$H1234)</f>
        <v>0</v>
      </c>
      <c r="I1224" s="60">
        <f>PRODUCT('All-Servers'!E1234,'All-Servers'!$H1234)</f>
        <v>0</v>
      </c>
      <c r="J1224" s="60">
        <f>PRODUCT('All-Servers'!F1234,'All-Servers'!$H1234)</f>
        <v>0</v>
      </c>
      <c r="K1224" s="60">
        <f>PRODUCT('All-Servers'!G1234,'All-Servers'!$H1234)</f>
        <v>0</v>
      </c>
    </row>
    <row r="1225" spans="8:11">
      <c r="H1225" s="60">
        <f>PRODUCT('All-Servers'!D1235,'All-Servers'!$H1235)</f>
        <v>0</v>
      </c>
      <c r="I1225" s="60">
        <f>PRODUCT('All-Servers'!E1235,'All-Servers'!$H1235)</f>
        <v>0</v>
      </c>
      <c r="J1225" s="60">
        <f>PRODUCT('All-Servers'!F1235,'All-Servers'!$H1235)</f>
        <v>0</v>
      </c>
      <c r="K1225" s="60">
        <f>PRODUCT('All-Servers'!G1235,'All-Servers'!$H1235)</f>
        <v>0</v>
      </c>
    </row>
    <row r="1226" spans="8:11">
      <c r="H1226" s="60">
        <f>PRODUCT('All-Servers'!D1236,'All-Servers'!$H1236)</f>
        <v>0</v>
      </c>
      <c r="I1226" s="60">
        <f>PRODUCT('All-Servers'!E1236,'All-Servers'!$H1236)</f>
        <v>0</v>
      </c>
      <c r="J1226" s="60">
        <f>PRODUCT('All-Servers'!F1236,'All-Servers'!$H1236)</f>
        <v>0</v>
      </c>
      <c r="K1226" s="60">
        <f>PRODUCT('All-Servers'!G1236,'All-Servers'!$H1236)</f>
        <v>0</v>
      </c>
    </row>
    <row r="1227" spans="8:11">
      <c r="H1227" s="60">
        <f>PRODUCT('All-Servers'!D1237,'All-Servers'!$H1237)</f>
        <v>0</v>
      </c>
      <c r="I1227" s="60">
        <f>PRODUCT('All-Servers'!E1237,'All-Servers'!$H1237)</f>
        <v>0</v>
      </c>
      <c r="J1227" s="60">
        <f>PRODUCT('All-Servers'!F1237,'All-Servers'!$H1237)</f>
        <v>0</v>
      </c>
      <c r="K1227" s="60">
        <f>PRODUCT('All-Servers'!G1237,'All-Servers'!$H1237)</f>
        <v>0</v>
      </c>
    </row>
    <row r="1228" spans="8:11">
      <c r="H1228" s="60">
        <f>PRODUCT('All-Servers'!D1238,'All-Servers'!$H1238)</f>
        <v>0</v>
      </c>
      <c r="I1228" s="60">
        <f>PRODUCT('All-Servers'!E1238,'All-Servers'!$H1238)</f>
        <v>0</v>
      </c>
      <c r="J1228" s="60">
        <f>PRODUCT('All-Servers'!F1238,'All-Servers'!$H1238)</f>
        <v>0</v>
      </c>
      <c r="K1228" s="60">
        <f>PRODUCT('All-Servers'!G1238,'All-Servers'!$H1238)</f>
        <v>0</v>
      </c>
    </row>
    <row r="1229" spans="8:11">
      <c r="H1229" s="60">
        <f>PRODUCT('All-Servers'!D1239,'All-Servers'!$H1239)</f>
        <v>0</v>
      </c>
      <c r="I1229" s="60">
        <f>PRODUCT('All-Servers'!E1239,'All-Servers'!$H1239)</f>
        <v>0</v>
      </c>
      <c r="J1229" s="60">
        <f>PRODUCT('All-Servers'!F1239,'All-Servers'!$H1239)</f>
        <v>0</v>
      </c>
      <c r="K1229" s="60">
        <f>PRODUCT('All-Servers'!G1239,'All-Servers'!$H1239)</f>
        <v>0</v>
      </c>
    </row>
    <row r="1230" spans="8:11">
      <c r="H1230" s="60">
        <f>PRODUCT('All-Servers'!D1240,'All-Servers'!$H1240)</f>
        <v>0</v>
      </c>
      <c r="I1230" s="60">
        <f>PRODUCT('All-Servers'!E1240,'All-Servers'!$H1240)</f>
        <v>0</v>
      </c>
      <c r="J1230" s="60">
        <f>PRODUCT('All-Servers'!F1240,'All-Servers'!$H1240)</f>
        <v>0</v>
      </c>
      <c r="K1230" s="60">
        <f>PRODUCT('All-Servers'!G1240,'All-Servers'!$H1240)</f>
        <v>0</v>
      </c>
    </row>
    <row r="1231" spans="8:11">
      <c r="H1231" s="60">
        <f>PRODUCT('All-Servers'!D1241,'All-Servers'!$H1241)</f>
        <v>0</v>
      </c>
      <c r="I1231" s="60">
        <f>PRODUCT('All-Servers'!E1241,'All-Servers'!$H1241)</f>
        <v>0</v>
      </c>
      <c r="J1231" s="60">
        <f>PRODUCT('All-Servers'!F1241,'All-Servers'!$H1241)</f>
        <v>0</v>
      </c>
      <c r="K1231" s="60">
        <f>PRODUCT('All-Servers'!G1241,'All-Servers'!$H1241)</f>
        <v>0</v>
      </c>
    </row>
    <row r="1232" spans="8:11">
      <c r="H1232" s="60">
        <f>PRODUCT('All-Servers'!D1242,'All-Servers'!$H1242)</f>
        <v>0</v>
      </c>
      <c r="I1232" s="60">
        <f>PRODUCT('All-Servers'!E1242,'All-Servers'!$H1242)</f>
        <v>0</v>
      </c>
      <c r="J1232" s="60">
        <f>PRODUCT('All-Servers'!F1242,'All-Servers'!$H1242)</f>
        <v>0</v>
      </c>
      <c r="K1232" s="60">
        <f>PRODUCT('All-Servers'!G1242,'All-Servers'!$H1242)</f>
        <v>0</v>
      </c>
    </row>
    <row r="1233" spans="8:11">
      <c r="H1233" s="60">
        <f>PRODUCT('All-Servers'!D1243,'All-Servers'!$H1243)</f>
        <v>0</v>
      </c>
      <c r="I1233" s="60">
        <f>PRODUCT('All-Servers'!E1243,'All-Servers'!$H1243)</f>
        <v>0</v>
      </c>
      <c r="J1233" s="60">
        <f>PRODUCT('All-Servers'!F1243,'All-Servers'!$H1243)</f>
        <v>0</v>
      </c>
      <c r="K1233" s="60">
        <f>PRODUCT('All-Servers'!G1243,'All-Servers'!$H1243)</f>
        <v>0</v>
      </c>
    </row>
    <row r="1234" spans="8:11">
      <c r="H1234" s="60">
        <f>PRODUCT('All-Servers'!D1244,'All-Servers'!$H1244)</f>
        <v>0</v>
      </c>
      <c r="I1234" s="60">
        <f>PRODUCT('All-Servers'!E1244,'All-Servers'!$H1244)</f>
        <v>0</v>
      </c>
      <c r="J1234" s="60">
        <f>PRODUCT('All-Servers'!F1244,'All-Servers'!$H1244)</f>
        <v>0</v>
      </c>
      <c r="K1234" s="60">
        <f>PRODUCT('All-Servers'!G1244,'All-Servers'!$H1244)</f>
        <v>0</v>
      </c>
    </row>
    <row r="1235" spans="8:11">
      <c r="H1235" s="60">
        <f>PRODUCT('All-Servers'!D1245,'All-Servers'!$H1245)</f>
        <v>0</v>
      </c>
      <c r="I1235" s="60">
        <f>PRODUCT('All-Servers'!E1245,'All-Servers'!$H1245)</f>
        <v>0</v>
      </c>
      <c r="J1235" s="60">
        <f>PRODUCT('All-Servers'!F1245,'All-Servers'!$H1245)</f>
        <v>0</v>
      </c>
      <c r="K1235" s="60">
        <f>PRODUCT('All-Servers'!G1245,'All-Servers'!$H1245)</f>
        <v>0</v>
      </c>
    </row>
    <row r="1236" spans="8:11">
      <c r="H1236" s="60">
        <f>PRODUCT('All-Servers'!D1246,'All-Servers'!$H1246)</f>
        <v>0</v>
      </c>
      <c r="I1236" s="60">
        <f>PRODUCT('All-Servers'!E1246,'All-Servers'!$H1246)</f>
        <v>0</v>
      </c>
      <c r="J1236" s="60">
        <f>PRODUCT('All-Servers'!F1246,'All-Servers'!$H1246)</f>
        <v>0</v>
      </c>
      <c r="K1236" s="60">
        <f>PRODUCT('All-Servers'!G1246,'All-Servers'!$H1246)</f>
        <v>0</v>
      </c>
    </row>
    <row r="1237" spans="8:11">
      <c r="H1237" s="60">
        <f>PRODUCT('All-Servers'!D1247,'All-Servers'!$H1247)</f>
        <v>0</v>
      </c>
      <c r="I1237" s="60">
        <f>PRODUCT('All-Servers'!E1247,'All-Servers'!$H1247)</f>
        <v>0</v>
      </c>
      <c r="J1237" s="60">
        <f>PRODUCT('All-Servers'!F1247,'All-Servers'!$H1247)</f>
        <v>0</v>
      </c>
      <c r="K1237" s="60">
        <f>PRODUCT('All-Servers'!G1247,'All-Servers'!$H1247)</f>
        <v>0</v>
      </c>
    </row>
    <row r="1238" spans="8:11">
      <c r="H1238" s="60">
        <f>PRODUCT('All-Servers'!D1248,'All-Servers'!$H1248)</f>
        <v>0</v>
      </c>
      <c r="I1238" s="60">
        <f>PRODUCT('All-Servers'!E1248,'All-Servers'!$H1248)</f>
        <v>0</v>
      </c>
      <c r="J1238" s="60">
        <f>PRODUCT('All-Servers'!F1248,'All-Servers'!$H1248)</f>
        <v>0</v>
      </c>
      <c r="K1238" s="60">
        <f>PRODUCT('All-Servers'!G1248,'All-Servers'!$H1248)</f>
        <v>0</v>
      </c>
    </row>
    <row r="1239" spans="8:11">
      <c r="H1239" s="60">
        <f>PRODUCT('All-Servers'!D1249,'All-Servers'!$H1249)</f>
        <v>0</v>
      </c>
      <c r="I1239" s="60">
        <f>PRODUCT('All-Servers'!E1249,'All-Servers'!$H1249)</f>
        <v>0</v>
      </c>
      <c r="J1239" s="60">
        <f>PRODUCT('All-Servers'!F1249,'All-Servers'!$H1249)</f>
        <v>0</v>
      </c>
      <c r="K1239" s="60">
        <f>PRODUCT('All-Servers'!G1249,'All-Servers'!$H1249)</f>
        <v>0</v>
      </c>
    </row>
    <row r="1240" spans="8:11">
      <c r="H1240" s="60">
        <f>PRODUCT('All-Servers'!D1250,'All-Servers'!$H1250)</f>
        <v>0</v>
      </c>
      <c r="I1240" s="60">
        <f>PRODUCT('All-Servers'!E1250,'All-Servers'!$H1250)</f>
        <v>0</v>
      </c>
      <c r="J1240" s="60">
        <f>PRODUCT('All-Servers'!F1250,'All-Servers'!$H1250)</f>
        <v>0</v>
      </c>
      <c r="K1240" s="60">
        <f>PRODUCT('All-Servers'!G1250,'All-Servers'!$H1250)</f>
        <v>0</v>
      </c>
    </row>
    <row r="1241" spans="8:11">
      <c r="H1241" s="60">
        <f>PRODUCT('All-Servers'!D1251,'All-Servers'!$H1251)</f>
        <v>0</v>
      </c>
      <c r="I1241" s="60">
        <f>PRODUCT('All-Servers'!E1251,'All-Servers'!$H1251)</f>
        <v>0</v>
      </c>
      <c r="J1241" s="60">
        <f>PRODUCT('All-Servers'!F1251,'All-Servers'!$H1251)</f>
        <v>0</v>
      </c>
      <c r="K1241" s="60">
        <f>PRODUCT('All-Servers'!G1251,'All-Servers'!$H1251)</f>
        <v>0</v>
      </c>
    </row>
    <row r="1242" spans="8:11">
      <c r="H1242" s="60">
        <f>PRODUCT('All-Servers'!D1252,'All-Servers'!$H1252)</f>
        <v>0</v>
      </c>
      <c r="I1242" s="60">
        <f>PRODUCT('All-Servers'!E1252,'All-Servers'!$H1252)</f>
        <v>0</v>
      </c>
      <c r="J1242" s="60">
        <f>PRODUCT('All-Servers'!F1252,'All-Servers'!$H1252)</f>
        <v>0</v>
      </c>
      <c r="K1242" s="60">
        <f>PRODUCT('All-Servers'!G1252,'All-Servers'!$H1252)</f>
        <v>0</v>
      </c>
    </row>
    <row r="1243" spans="8:11">
      <c r="H1243" s="60">
        <f>PRODUCT('All-Servers'!D1253,'All-Servers'!$H1253)</f>
        <v>0</v>
      </c>
      <c r="I1243" s="60">
        <f>PRODUCT('All-Servers'!E1253,'All-Servers'!$H1253)</f>
        <v>0</v>
      </c>
      <c r="J1243" s="60">
        <f>PRODUCT('All-Servers'!F1253,'All-Servers'!$H1253)</f>
        <v>0</v>
      </c>
      <c r="K1243" s="60">
        <f>PRODUCT('All-Servers'!G1253,'All-Servers'!$H1253)</f>
        <v>0</v>
      </c>
    </row>
    <row r="1244" spans="8:11">
      <c r="H1244" s="60">
        <f>PRODUCT('All-Servers'!D1254,'All-Servers'!$H1254)</f>
        <v>0</v>
      </c>
      <c r="I1244" s="60">
        <f>PRODUCT('All-Servers'!E1254,'All-Servers'!$H1254)</f>
        <v>0</v>
      </c>
      <c r="J1244" s="60">
        <f>PRODUCT('All-Servers'!F1254,'All-Servers'!$H1254)</f>
        <v>0</v>
      </c>
      <c r="K1244" s="60">
        <f>PRODUCT('All-Servers'!G1254,'All-Servers'!$H1254)</f>
        <v>0</v>
      </c>
    </row>
    <row r="1245" spans="8:11">
      <c r="H1245" s="60">
        <f>PRODUCT('All-Servers'!D1255,'All-Servers'!$H1255)</f>
        <v>0</v>
      </c>
      <c r="I1245" s="60">
        <f>PRODUCT('All-Servers'!E1255,'All-Servers'!$H1255)</f>
        <v>0</v>
      </c>
      <c r="J1245" s="60">
        <f>PRODUCT('All-Servers'!F1255,'All-Servers'!$H1255)</f>
        <v>0</v>
      </c>
      <c r="K1245" s="60">
        <f>PRODUCT('All-Servers'!G1255,'All-Servers'!$H1255)</f>
        <v>0</v>
      </c>
    </row>
    <row r="1246" spans="8:11">
      <c r="H1246" s="60">
        <f>PRODUCT('All-Servers'!D1256,'All-Servers'!$H1256)</f>
        <v>0</v>
      </c>
      <c r="I1246" s="60">
        <f>PRODUCT('All-Servers'!E1256,'All-Servers'!$H1256)</f>
        <v>0</v>
      </c>
      <c r="J1246" s="60">
        <f>PRODUCT('All-Servers'!F1256,'All-Servers'!$H1256)</f>
        <v>0</v>
      </c>
      <c r="K1246" s="60">
        <f>PRODUCT('All-Servers'!G1256,'All-Servers'!$H1256)</f>
        <v>0</v>
      </c>
    </row>
    <row r="1247" spans="8:11">
      <c r="H1247" s="60">
        <f>PRODUCT('All-Servers'!D1257,'All-Servers'!$H1257)</f>
        <v>0</v>
      </c>
      <c r="I1247" s="60">
        <f>PRODUCT('All-Servers'!E1257,'All-Servers'!$H1257)</f>
        <v>0</v>
      </c>
      <c r="J1247" s="60">
        <f>PRODUCT('All-Servers'!F1257,'All-Servers'!$H1257)</f>
        <v>0</v>
      </c>
      <c r="K1247" s="60">
        <f>PRODUCT('All-Servers'!G1257,'All-Servers'!$H1257)</f>
        <v>0</v>
      </c>
    </row>
    <row r="1248" spans="8:11">
      <c r="H1248" s="60">
        <f>PRODUCT('All-Servers'!D1258,'All-Servers'!$H1258)</f>
        <v>0</v>
      </c>
      <c r="I1248" s="60">
        <f>PRODUCT('All-Servers'!E1258,'All-Servers'!$H1258)</f>
        <v>0</v>
      </c>
      <c r="J1248" s="60">
        <f>PRODUCT('All-Servers'!F1258,'All-Servers'!$H1258)</f>
        <v>0</v>
      </c>
      <c r="K1248" s="60">
        <f>PRODUCT('All-Servers'!G1258,'All-Servers'!$H1258)</f>
        <v>0</v>
      </c>
    </row>
    <row r="1249" spans="8:11">
      <c r="H1249" s="60">
        <f>PRODUCT('All-Servers'!D1259,'All-Servers'!$H1259)</f>
        <v>0</v>
      </c>
      <c r="I1249" s="60">
        <f>PRODUCT('All-Servers'!E1259,'All-Servers'!$H1259)</f>
        <v>0</v>
      </c>
      <c r="J1249" s="60">
        <f>PRODUCT('All-Servers'!F1259,'All-Servers'!$H1259)</f>
        <v>0</v>
      </c>
      <c r="K1249" s="60">
        <f>PRODUCT('All-Servers'!G1259,'All-Servers'!$H1259)</f>
        <v>0</v>
      </c>
    </row>
    <row r="1250" spans="8:11">
      <c r="H1250" s="60">
        <f>PRODUCT('All-Servers'!D1260,'All-Servers'!$H1260)</f>
        <v>0</v>
      </c>
      <c r="I1250" s="60">
        <f>PRODUCT('All-Servers'!E1260,'All-Servers'!$H1260)</f>
        <v>0</v>
      </c>
      <c r="J1250" s="60">
        <f>PRODUCT('All-Servers'!F1260,'All-Servers'!$H1260)</f>
        <v>0</v>
      </c>
      <c r="K1250" s="60">
        <f>PRODUCT('All-Servers'!G1260,'All-Servers'!$H1260)</f>
        <v>0</v>
      </c>
    </row>
    <row r="1251" spans="8:11">
      <c r="H1251" s="60">
        <f>PRODUCT('All-Servers'!D1261,'All-Servers'!$H1261)</f>
        <v>0</v>
      </c>
      <c r="I1251" s="60">
        <f>PRODUCT('All-Servers'!E1261,'All-Servers'!$H1261)</f>
        <v>0</v>
      </c>
      <c r="J1251" s="60">
        <f>PRODUCT('All-Servers'!F1261,'All-Servers'!$H1261)</f>
        <v>0</v>
      </c>
      <c r="K1251" s="60">
        <f>PRODUCT('All-Servers'!G1261,'All-Servers'!$H1261)</f>
        <v>0</v>
      </c>
    </row>
    <row r="1252" spans="8:11">
      <c r="H1252" s="60">
        <f>PRODUCT('All-Servers'!D1262,'All-Servers'!$H1262)</f>
        <v>0</v>
      </c>
      <c r="I1252" s="60">
        <f>PRODUCT('All-Servers'!E1262,'All-Servers'!$H1262)</f>
        <v>0</v>
      </c>
      <c r="J1252" s="60">
        <f>PRODUCT('All-Servers'!F1262,'All-Servers'!$H1262)</f>
        <v>0</v>
      </c>
      <c r="K1252" s="60">
        <f>PRODUCT('All-Servers'!G1262,'All-Servers'!$H1262)</f>
        <v>0</v>
      </c>
    </row>
    <row r="1253" spans="8:11">
      <c r="H1253" s="60">
        <f>PRODUCT('All-Servers'!D1263,'All-Servers'!$H1263)</f>
        <v>0</v>
      </c>
      <c r="I1253" s="60">
        <f>PRODUCT('All-Servers'!E1263,'All-Servers'!$H1263)</f>
        <v>0</v>
      </c>
      <c r="J1253" s="60">
        <f>PRODUCT('All-Servers'!F1263,'All-Servers'!$H1263)</f>
        <v>0</v>
      </c>
      <c r="K1253" s="60">
        <f>PRODUCT('All-Servers'!G1263,'All-Servers'!$H1263)</f>
        <v>0</v>
      </c>
    </row>
    <row r="1254" spans="8:11">
      <c r="H1254" s="60">
        <f>PRODUCT('All-Servers'!D1264,'All-Servers'!$H1264)</f>
        <v>0</v>
      </c>
      <c r="I1254" s="60">
        <f>PRODUCT('All-Servers'!E1264,'All-Servers'!$H1264)</f>
        <v>0</v>
      </c>
      <c r="J1254" s="60">
        <f>PRODUCT('All-Servers'!F1264,'All-Servers'!$H1264)</f>
        <v>0</v>
      </c>
      <c r="K1254" s="60">
        <f>PRODUCT('All-Servers'!G1264,'All-Servers'!$H1264)</f>
        <v>0</v>
      </c>
    </row>
    <row r="1255" spans="8:11">
      <c r="H1255" s="60">
        <f>PRODUCT('All-Servers'!D1265,'All-Servers'!$H1265)</f>
        <v>0</v>
      </c>
      <c r="I1255" s="60">
        <f>PRODUCT('All-Servers'!E1265,'All-Servers'!$H1265)</f>
        <v>0</v>
      </c>
      <c r="J1255" s="60">
        <f>PRODUCT('All-Servers'!F1265,'All-Servers'!$H1265)</f>
        <v>0</v>
      </c>
      <c r="K1255" s="60">
        <f>PRODUCT('All-Servers'!G1265,'All-Servers'!$H1265)</f>
        <v>0</v>
      </c>
    </row>
    <row r="1256" spans="8:11">
      <c r="H1256" s="60">
        <f>PRODUCT('All-Servers'!D1266,'All-Servers'!$H1266)</f>
        <v>0</v>
      </c>
      <c r="I1256" s="60">
        <f>PRODUCT('All-Servers'!E1266,'All-Servers'!$H1266)</f>
        <v>0</v>
      </c>
      <c r="J1256" s="60">
        <f>PRODUCT('All-Servers'!F1266,'All-Servers'!$H1266)</f>
        <v>0</v>
      </c>
      <c r="K1256" s="60">
        <f>PRODUCT('All-Servers'!G1266,'All-Servers'!$H1266)</f>
        <v>0</v>
      </c>
    </row>
    <row r="1257" spans="8:11">
      <c r="H1257" s="60">
        <f>PRODUCT('All-Servers'!D1267,'All-Servers'!$H1267)</f>
        <v>0</v>
      </c>
      <c r="I1257" s="60">
        <f>PRODUCT('All-Servers'!E1267,'All-Servers'!$H1267)</f>
        <v>0</v>
      </c>
      <c r="J1257" s="60">
        <f>PRODUCT('All-Servers'!F1267,'All-Servers'!$H1267)</f>
        <v>0</v>
      </c>
      <c r="K1257" s="60">
        <f>PRODUCT('All-Servers'!G1267,'All-Servers'!$H1267)</f>
        <v>0</v>
      </c>
    </row>
    <row r="1258" spans="8:11">
      <c r="H1258" s="60">
        <f>PRODUCT('All-Servers'!D1268,'All-Servers'!$H1268)</f>
        <v>0</v>
      </c>
      <c r="I1258" s="60">
        <f>PRODUCT('All-Servers'!E1268,'All-Servers'!$H1268)</f>
        <v>0</v>
      </c>
      <c r="J1258" s="60">
        <f>PRODUCT('All-Servers'!F1268,'All-Servers'!$H1268)</f>
        <v>0</v>
      </c>
      <c r="K1258" s="60">
        <f>PRODUCT('All-Servers'!G1268,'All-Servers'!$H1268)</f>
        <v>0</v>
      </c>
    </row>
    <row r="1259" spans="8:11">
      <c r="H1259" s="60">
        <f>PRODUCT('All-Servers'!D1269,'All-Servers'!$H1269)</f>
        <v>0</v>
      </c>
      <c r="I1259" s="60">
        <f>PRODUCT('All-Servers'!E1269,'All-Servers'!$H1269)</f>
        <v>0</v>
      </c>
      <c r="J1259" s="60">
        <f>PRODUCT('All-Servers'!F1269,'All-Servers'!$H1269)</f>
        <v>0</v>
      </c>
      <c r="K1259" s="60">
        <f>PRODUCT('All-Servers'!G1269,'All-Servers'!$H1269)</f>
        <v>0</v>
      </c>
    </row>
    <row r="1260" spans="8:11">
      <c r="H1260" s="60">
        <f>PRODUCT('All-Servers'!D1270,'All-Servers'!$H1270)</f>
        <v>0</v>
      </c>
      <c r="I1260" s="60">
        <f>PRODUCT('All-Servers'!E1270,'All-Servers'!$H1270)</f>
        <v>0</v>
      </c>
      <c r="J1260" s="60">
        <f>PRODUCT('All-Servers'!F1270,'All-Servers'!$H1270)</f>
        <v>0</v>
      </c>
      <c r="K1260" s="60">
        <f>PRODUCT('All-Servers'!G1270,'All-Servers'!$H1270)</f>
        <v>0</v>
      </c>
    </row>
    <row r="1261" spans="8:11">
      <c r="H1261" s="60">
        <f>PRODUCT('All-Servers'!D1271,'All-Servers'!$H1271)</f>
        <v>0</v>
      </c>
      <c r="I1261" s="60">
        <f>PRODUCT('All-Servers'!E1271,'All-Servers'!$H1271)</f>
        <v>0</v>
      </c>
      <c r="J1261" s="60">
        <f>PRODUCT('All-Servers'!F1271,'All-Servers'!$H1271)</f>
        <v>0</v>
      </c>
      <c r="K1261" s="60">
        <f>PRODUCT('All-Servers'!G1271,'All-Servers'!$H1271)</f>
        <v>0</v>
      </c>
    </row>
    <row r="1262" spans="8:11">
      <c r="H1262" s="60">
        <f>PRODUCT('All-Servers'!D1272,'All-Servers'!$H1272)</f>
        <v>0</v>
      </c>
      <c r="I1262" s="60">
        <f>PRODUCT('All-Servers'!E1272,'All-Servers'!$H1272)</f>
        <v>0</v>
      </c>
      <c r="J1262" s="60">
        <f>PRODUCT('All-Servers'!F1272,'All-Servers'!$H1272)</f>
        <v>0</v>
      </c>
      <c r="K1262" s="60">
        <f>PRODUCT('All-Servers'!G1272,'All-Servers'!$H1272)</f>
        <v>0</v>
      </c>
    </row>
    <row r="1263" spans="8:11">
      <c r="H1263" s="60">
        <f>PRODUCT('All-Servers'!D1273,'All-Servers'!$H1273)</f>
        <v>0</v>
      </c>
      <c r="I1263" s="60">
        <f>PRODUCT('All-Servers'!E1273,'All-Servers'!$H1273)</f>
        <v>0</v>
      </c>
      <c r="J1263" s="60">
        <f>PRODUCT('All-Servers'!F1273,'All-Servers'!$H1273)</f>
        <v>0</v>
      </c>
      <c r="K1263" s="60">
        <f>PRODUCT('All-Servers'!G1273,'All-Servers'!$H1273)</f>
        <v>0</v>
      </c>
    </row>
    <row r="1264" spans="8:11">
      <c r="H1264" s="60">
        <f>PRODUCT('All-Servers'!D1274,'All-Servers'!$H1274)</f>
        <v>0</v>
      </c>
      <c r="I1264" s="60">
        <f>PRODUCT('All-Servers'!E1274,'All-Servers'!$H1274)</f>
        <v>0</v>
      </c>
      <c r="J1264" s="60">
        <f>PRODUCT('All-Servers'!F1274,'All-Servers'!$H1274)</f>
        <v>0</v>
      </c>
      <c r="K1264" s="60">
        <f>PRODUCT('All-Servers'!G1274,'All-Servers'!$H1274)</f>
        <v>0</v>
      </c>
    </row>
    <row r="1265" spans="8:11">
      <c r="H1265" s="60">
        <f>PRODUCT('All-Servers'!D1275,'All-Servers'!$H1275)</f>
        <v>0</v>
      </c>
      <c r="I1265" s="60">
        <f>PRODUCT('All-Servers'!E1275,'All-Servers'!$H1275)</f>
        <v>0</v>
      </c>
      <c r="J1265" s="60">
        <f>PRODUCT('All-Servers'!F1275,'All-Servers'!$H1275)</f>
        <v>0</v>
      </c>
      <c r="K1265" s="60">
        <f>PRODUCT('All-Servers'!G1275,'All-Servers'!$H1275)</f>
        <v>0</v>
      </c>
    </row>
    <row r="1266" spans="8:11">
      <c r="H1266" s="60">
        <f>PRODUCT('All-Servers'!D1276,'All-Servers'!$H1276)</f>
        <v>0</v>
      </c>
      <c r="I1266" s="60">
        <f>PRODUCT('All-Servers'!E1276,'All-Servers'!$H1276)</f>
        <v>0</v>
      </c>
      <c r="J1266" s="60">
        <f>PRODUCT('All-Servers'!F1276,'All-Servers'!$H1276)</f>
        <v>0</v>
      </c>
      <c r="K1266" s="60">
        <f>PRODUCT('All-Servers'!G1276,'All-Servers'!$H1276)</f>
        <v>0</v>
      </c>
    </row>
    <row r="1267" spans="8:11">
      <c r="H1267" s="60">
        <f>PRODUCT('All-Servers'!D1277,'All-Servers'!$H1277)</f>
        <v>0</v>
      </c>
      <c r="I1267" s="60">
        <f>PRODUCT('All-Servers'!E1277,'All-Servers'!$H1277)</f>
        <v>0</v>
      </c>
      <c r="J1267" s="60">
        <f>PRODUCT('All-Servers'!F1277,'All-Servers'!$H1277)</f>
        <v>0</v>
      </c>
      <c r="K1267" s="60">
        <f>PRODUCT('All-Servers'!G1277,'All-Servers'!$H1277)</f>
        <v>0</v>
      </c>
    </row>
    <row r="1268" spans="8:11">
      <c r="H1268" s="60">
        <f>PRODUCT('All-Servers'!D1278,'All-Servers'!$H1278)</f>
        <v>0</v>
      </c>
      <c r="I1268" s="60">
        <f>PRODUCT('All-Servers'!E1278,'All-Servers'!$H1278)</f>
        <v>0</v>
      </c>
      <c r="J1268" s="60">
        <f>PRODUCT('All-Servers'!F1278,'All-Servers'!$H1278)</f>
        <v>0</v>
      </c>
      <c r="K1268" s="60">
        <f>PRODUCT('All-Servers'!G1278,'All-Servers'!$H1278)</f>
        <v>0</v>
      </c>
    </row>
    <row r="1269" spans="8:11">
      <c r="H1269" s="60">
        <f>PRODUCT('All-Servers'!D1279,'All-Servers'!$H1279)</f>
        <v>0</v>
      </c>
      <c r="I1269" s="60">
        <f>PRODUCT('All-Servers'!E1279,'All-Servers'!$H1279)</f>
        <v>0</v>
      </c>
      <c r="J1269" s="60">
        <f>PRODUCT('All-Servers'!F1279,'All-Servers'!$H1279)</f>
        <v>0</v>
      </c>
      <c r="K1269" s="60">
        <f>PRODUCT('All-Servers'!G1279,'All-Servers'!$H1279)</f>
        <v>0</v>
      </c>
    </row>
    <row r="1270" spans="8:11">
      <c r="H1270" s="60">
        <f>PRODUCT('All-Servers'!D1280,'All-Servers'!$H1280)</f>
        <v>0</v>
      </c>
      <c r="I1270" s="60">
        <f>PRODUCT('All-Servers'!E1280,'All-Servers'!$H1280)</f>
        <v>0</v>
      </c>
      <c r="J1270" s="60">
        <f>PRODUCT('All-Servers'!F1280,'All-Servers'!$H1280)</f>
        <v>0</v>
      </c>
      <c r="K1270" s="60">
        <f>PRODUCT('All-Servers'!G1280,'All-Servers'!$H1280)</f>
        <v>0</v>
      </c>
    </row>
    <row r="1271" spans="8:11">
      <c r="H1271" s="60">
        <f>PRODUCT('All-Servers'!D1281,'All-Servers'!$H1281)</f>
        <v>0</v>
      </c>
      <c r="I1271" s="60">
        <f>PRODUCT('All-Servers'!E1281,'All-Servers'!$H1281)</f>
        <v>0</v>
      </c>
      <c r="J1271" s="60">
        <f>PRODUCT('All-Servers'!F1281,'All-Servers'!$H1281)</f>
        <v>0</v>
      </c>
      <c r="K1271" s="60">
        <f>PRODUCT('All-Servers'!G1281,'All-Servers'!$H1281)</f>
        <v>0</v>
      </c>
    </row>
    <row r="1272" spans="8:11">
      <c r="H1272" s="60">
        <f>PRODUCT('All-Servers'!D1282,'All-Servers'!$H1282)</f>
        <v>0</v>
      </c>
      <c r="I1272" s="60">
        <f>PRODUCT('All-Servers'!E1282,'All-Servers'!$H1282)</f>
        <v>0</v>
      </c>
      <c r="J1272" s="60">
        <f>PRODUCT('All-Servers'!F1282,'All-Servers'!$H1282)</f>
        <v>0</v>
      </c>
      <c r="K1272" s="60">
        <f>PRODUCT('All-Servers'!G1282,'All-Servers'!$H1282)</f>
        <v>0</v>
      </c>
    </row>
    <row r="1273" spans="8:11">
      <c r="H1273" s="60">
        <f>PRODUCT('All-Servers'!D1283,'All-Servers'!$H1283)</f>
        <v>0</v>
      </c>
      <c r="I1273" s="60">
        <f>PRODUCT('All-Servers'!E1283,'All-Servers'!$H1283)</f>
        <v>0</v>
      </c>
      <c r="J1273" s="60">
        <f>PRODUCT('All-Servers'!F1283,'All-Servers'!$H1283)</f>
        <v>0</v>
      </c>
      <c r="K1273" s="60">
        <f>PRODUCT('All-Servers'!G1283,'All-Servers'!$H1283)</f>
        <v>0</v>
      </c>
    </row>
    <row r="1274" spans="8:11">
      <c r="H1274" s="60">
        <f>PRODUCT('All-Servers'!D1284,'All-Servers'!$H1284)</f>
        <v>0</v>
      </c>
      <c r="I1274" s="60">
        <f>PRODUCT('All-Servers'!E1284,'All-Servers'!$H1284)</f>
        <v>0</v>
      </c>
      <c r="J1274" s="60">
        <f>PRODUCT('All-Servers'!F1284,'All-Servers'!$H1284)</f>
        <v>0</v>
      </c>
      <c r="K1274" s="60">
        <f>PRODUCT('All-Servers'!G1284,'All-Servers'!$H1284)</f>
        <v>0</v>
      </c>
    </row>
    <row r="1275" spans="8:11">
      <c r="H1275" s="60">
        <f>PRODUCT('All-Servers'!D1285,'All-Servers'!$H1285)</f>
        <v>0</v>
      </c>
      <c r="I1275" s="60">
        <f>PRODUCT('All-Servers'!E1285,'All-Servers'!$H1285)</f>
        <v>0</v>
      </c>
      <c r="J1275" s="60">
        <f>PRODUCT('All-Servers'!F1285,'All-Servers'!$H1285)</f>
        <v>0</v>
      </c>
      <c r="K1275" s="60">
        <f>PRODUCT('All-Servers'!G1285,'All-Servers'!$H1285)</f>
        <v>0</v>
      </c>
    </row>
    <row r="1276" spans="8:11">
      <c r="H1276" s="60">
        <f>PRODUCT('All-Servers'!D1286,'All-Servers'!$H1286)</f>
        <v>0</v>
      </c>
      <c r="I1276" s="60">
        <f>PRODUCT('All-Servers'!E1286,'All-Servers'!$H1286)</f>
        <v>0</v>
      </c>
      <c r="J1276" s="60">
        <f>PRODUCT('All-Servers'!F1286,'All-Servers'!$H1286)</f>
        <v>0</v>
      </c>
      <c r="K1276" s="60">
        <f>PRODUCT('All-Servers'!G1286,'All-Servers'!$H1286)</f>
        <v>0</v>
      </c>
    </row>
    <row r="1277" spans="8:11">
      <c r="H1277" s="60">
        <f>PRODUCT('All-Servers'!D1287,'All-Servers'!$H1287)</f>
        <v>0</v>
      </c>
      <c r="I1277" s="60">
        <f>PRODUCT('All-Servers'!E1287,'All-Servers'!$H1287)</f>
        <v>0</v>
      </c>
      <c r="J1277" s="60">
        <f>PRODUCT('All-Servers'!F1287,'All-Servers'!$H1287)</f>
        <v>0</v>
      </c>
      <c r="K1277" s="60">
        <f>PRODUCT('All-Servers'!G1287,'All-Servers'!$H1287)</f>
        <v>0</v>
      </c>
    </row>
    <row r="1278" spans="8:11">
      <c r="H1278" s="60">
        <f>PRODUCT('All-Servers'!D1288,'All-Servers'!$H1288)</f>
        <v>0</v>
      </c>
      <c r="I1278" s="60">
        <f>PRODUCT('All-Servers'!E1288,'All-Servers'!$H1288)</f>
        <v>0</v>
      </c>
      <c r="J1278" s="60">
        <f>PRODUCT('All-Servers'!F1288,'All-Servers'!$H1288)</f>
        <v>0</v>
      </c>
      <c r="K1278" s="60">
        <f>PRODUCT('All-Servers'!G1288,'All-Servers'!$H1288)</f>
        <v>0</v>
      </c>
    </row>
    <row r="1279" spans="8:11">
      <c r="H1279" s="60">
        <f>PRODUCT('All-Servers'!D1289,'All-Servers'!$H1289)</f>
        <v>0</v>
      </c>
      <c r="I1279" s="60">
        <f>PRODUCT('All-Servers'!E1289,'All-Servers'!$H1289)</f>
        <v>0</v>
      </c>
      <c r="J1279" s="60">
        <f>PRODUCT('All-Servers'!F1289,'All-Servers'!$H1289)</f>
        <v>0</v>
      </c>
      <c r="K1279" s="60">
        <f>PRODUCT('All-Servers'!G1289,'All-Servers'!$H1289)</f>
        <v>0</v>
      </c>
    </row>
    <row r="1280" spans="8:11">
      <c r="H1280" s="60">
        <f>PRODUCT('All-Servers'!D1290,'All-Servers'!$H1290)</f>
        <v>0</v>
      </c>
      <c r="I1280" s="60">
        <f>PRODUCT('All-Servers'!E1290,'All-Servers'!$H1290)</f>
        <v>0</v>
      </c>
      <c r="J1280" s="60">
        <f>PRODUCT('All-Servers'!F1290,'All-Servers'!$H1290)</f>
        <v>0</v>
      </c>
      <c r="K1280" s="60">
        <f>PRODUCT('All-Servers'!G1290,'All-Servers'!$H1290)</f>
        <v>0</v>
      </c>
    </row>
    <row r="1281" spans="8:11">
      <c r="H1281" s="60">
        <f>PRODUCT('All-Servers'!D1291,'All-Servers'!$H1291)</f>
        <v>0</v>
      </c>
      <c r="I1281" s="60">
        <f>PRODUCT('All-Servers'!E1291,'All-Servers'!$H1291)</f>
        <v>0</v>
      </c>
      <c r="J1281" s="60">
        <f>PRODUCT('All-Servers'!F1291,'All-Servers'!$H1291)</f>
        <v>0</v>
      </c>
      <c r="K1281" s="60">
        <f>PRODUCT('All-Servers'!G1291,'All-Servers'!$H1291)</f>
        <v>0</v>
      </c>
    </row>
    <row r="1282" spans="8:11">
      <c r="H1282" s="60">
        <f>PRODUCT('All-Servers'!D1292,'All-Servers'!$H1292)</f>
        <v>0</v>
      </c>
      <c r="I1282" s="60">
        <f>PRODUCT('All-Servers'!E1292,'All-Servers'!$H1292)</f>
        <v>0</v>
      </c>
      <c r="J1282" s="60">
        <f>PRODUCT('All-Servers'!F1292,'All-Servers'!$H1292)</f>
        <v>0</v>
      </c>
      <c r="K1282" s="60">
        <f>PRODUCT('All-Servers'!G1292,'All-Servers'!$H1292)</f>
        <v>0</v>
      </c>
    </row>
    <row r="1283" spans="8:11">
      <c r="H1283" s="60">
        <f>PRODUCT('All-Servers'!D1293,'All-Servers'!$H1293)</f>
        <v>0</v>
      </c>
      <c r="I1283" s="60">
        <f>PRODUCT('All-Servers'!E1293,'All-Servers'!$H1293)</f>
        <v>0</v>
      </c>
      <c r="J1283" s="60">
        <f>PRODUCT('All-Servers'!F1293,'All-Servers'!$H1293)</f>
        <v>0</v>
      </c>
      <c r="K1283" s="60">
        <f>PRODUCT('All-Servers'!G1293,'All-Servers'!$H1293)</f>
        <v>0</v>
      </c>
    </row>
    <row r="1284" spans="8:11">
      <c r="H1284" s="60">
        <f>PRODUCT('All-Servers'!D1294,'All-Servers'!$H1294)</f>
        <v>0</v>
      </c>
      <c r="I1284" s="60">
        <f>PRODUCT('All-Servers'!E1294,'All-Servers'!$H1294)</f>
        <v>0</v>
      </c>
      <c r="J1284" s="60">
        <f>PRODUCT('All-Servers'!F1294,'All-Servers'!$H1294)</f>
        <v>0</v>
      </c>
      <c r="K1284" s="60">
        <f>PRODUCT('All-Servers'!G1294,'All-Servers'!$H1294)</f>
        <v>0</v>
      </c>
    </row>
    <row r="1285" spans="8:11">
      <c r="H1285" s="60">
        <f>PRODUCT('All-Servers'!D1295,'All-Servers'!$H1295)</f>
        <v>0</v>
      </c>
      <c r="I1285" s="60">
        <f>PRODUCT('All-Servers'!E1295,'All-Servers'!$H1295)</f>
        <v>0</v>
      </c>
      <c r="J1285" s="60">
        <f>PRODUCT('All-Servers'!F1295,'All-Servers'!$H1295)</f>
        <v>0</v>
      </c>
      <c r="K1285" s="60">
        <f>PRODUCT('All-Servers'!G1295,'All-Servers'!$H1295)</f>
        <v>0</v>
      </c>
    </row>
    <row r="1286" spans="8:11">
      <c r="H1286" s="60">
        <f>PRODUCT('All-Servers'!D1296,'All-Servers'!$H1296)</f>
        <v>0</v>
      </c>
      <c r="I1286" s="60">
        <f>PRODUCT('All-Servers'!E1296,'All-Servers'!$H1296)</f>
        <v>0</v>
      </c>
      <c r="J1286" s="60">
        <f>PRODUCT('All-Servers'!F1296,'All-Servers'!$H1296)</f>
        <v>0</v>
      </c>
      <c r="K1286" s="60">
        <f>PRODUCT('All-Servers'!G1296,'All-Servers'!$H1296)</f>
        <v>0</v>
      </c>
    </row>
    <row r="1287" spans="8:11">
      <c r="H1287" s="60">
        <f>PRODUCT('All-Servers'!D1297,'All-Servers'!$H1297)</f>
        <v>0</v>
      </c>
      <c r="I1287" s="60">
        <f>PRODUCT('All-Servers'!E1297,'All-Servers'!$H1297)</f>
        <v>0</v>
      </c>
      <c r="J1287" s="60">
        <f>PRODUCT('All-Servers'!F1297,'All-Servers'!$H1297)</f>
        <v>0</v>
      </c>
      <c r="K1287" s="60">
        <f>PRODUCT('All-Servers'!G1297,'All-Servers'!$H1297)</f>
        <v>0</v>
      </c>
    </row>
    <row r="1288" spans="8:11">
      <c r="H1288" s="60">
        <f>PRODUCT('All-Servers'!D1298,'All-Servers'!$H1298)</f>
        <v>0</v>
      </c>
      <c r="I1288" s="60">
        <f>PRODUCT('All-Servers'!E1298,'All-Servers'!$H1298)</f>
        <v>0</v>
      </c>
      <c r="J1288" s="60">
        <f>PRODUCT('All-Servers'!F1298,'All-Servers'!$H1298)</f>
        <v>0</v>
      </c>
      <c r="K1288" s="60">
        <f>PRODUCT('All-Servers'!G1298,'All-Servers'!$H1298)</f>
        <v>0</v>
      </c>
    </row>
    <row r="1289" spans="8:11">
      <c r="H1289" s="60">
        <f>PRODUCT('All-Servers'!D1299,'All-Servers'!$H1299)</f>
        <v>0</v>
      </c>
      <c r="I1289" s="60">
        <f>PRODUCT('All-Servers'!E1299,'All-Servers'!$H1299)</f>
        <v>0</v>
      </c>
      <c r="J1289" s="60">
        <f>PRODUCT('All-Servers'!F1299,'All-Servers'!$H1299)</f>
        <v>0</v>
      </c>
      <c r="K1289" s="60">
        <f>PRODUCT('All-Servers'!G1299,'All-Servers'!$H1299)</f>
        <v>0</v>
      </c>
    </row>
    <row r="1290" spans="8:11">
      <c r="H1290" s="60">
        <f>PRODUCT('All-Servers'!D1300,'All-Servers'!$H1300)</f>
        <v>0</v>
      </c>
      <c r="I1290" s="60">
        <f>PRODUCT('All-Servers'!E1300,'All-Servers'!$H1300)</f>
        <v>0</v>
      </c>
      <c r="J1290" s="60">
        <f>PRODUCT('All-Servers'!F1300,'All-Servers'!$H1300)</f>
        <v>0</v>
      </c>
      <c r="K1290" s="60">
        <f>PRODUCT('All-Servers'!G1300,'All-Servers'!$H1300)</f>
        <v>0</v>
      </c>
    </row>
    <row r="1291" spans="8:11">
      <c r="H1291" s="60">
        <f>PRODUCT('All-Servers'!D1301,'All-Servers'!$H1301)</f>
        <v>0</v>
      </c>
      <c r="I1291" s="60">
        <f>PRODUCT('All-Servers'!E1301,'All-Servers'!$H1301)</f>
        <v>0</v>
      </c>
      <c r="J1291" s="60">
        <f>PRODUCT('All-Servers'!F1301,'All-Servers'!$H1301)</f>
        <v>0</v>
      </c>
      <c r="K1291" s="60">
        <f>PRODUCT('All-Servers'!G1301,'All-Servers'!$H1301)</f>
        <v>0</v>
      </c>
    </row>
    <row r="1292" spans="8:11">
      <c r="H1292" s="60">
        <f>PRODUCT('All-Servers'!D1302,'All-Servers'!$H1302)</f>
        <v>0</v>
      </c>
      <c r="I1292" s="60">
        <f>PRODUCT('All-Servers'!E1302,'All-Servers'!$H1302)</f>
        <v>0</v>
      </c>
      <c r="J1292" s="60">
        <f>PRODUCT('All-Servers'!F1302,'All-Servers'!$H1302)</f>
        <v>0</v>
      </c>
      <c r="K1292" s="60">
        <f>PRODUCT('All-Servers'!G1302,'All-Servers'!$H1302)</f>
        <v>0</v>
      </c>
    </row>
    <row r="1293" spans="8:11">
      <c r="H1293" s="60">
        <f>PRODUCT('All-Servers'!D1303,'All-Servers'!$H1303)</f>
        <v>0</v>
      </c>
      <c r="I1293" s="60">
        <f>PRODUCT('All-Servers'!E1303,'All-Servers'!$H1303)</f>
        <v>0</v>
      </c>
      <c r="J1293" s="60">
        <f>PRODUCT('All-Servers'!F1303,'All-Servers'!$H1303)</f>
        <v>0</v>
      </c>
      <c r="K1293" s="60">
        <f>PRODUCT('All-Servers'!G1303,'All-Servers'!$H1303)</f>
        <v>0</v>
      </c>
    </row>
    <row r="1294" spans="8:11">
      <c r="H1294" s="60">
        <f>PRODUCT('All-Servers'!D1304,'All-Servers'!$H1304)</f>
        <v>0</v>
      </c>
      <c r="I1294" s="60">
        <f>PRODUCT('All-Servers'!E1304,'All-Servers'!$H1304)</f>
        <v>0</v>
      </c>
      <c r="J1294" s="60">
        <f>PRODUCT('All-Servers'!F1304,'All-Servers'!$H1304)</f>
        <v>0</v>
      </c>
      <c r="K1294" s="60">
        <f>PRODUCT('All-Servers'!G1304,'All-Servers'!$H1304)</f>
        <v>0</v>
      </c>
    </row>
    <row r="1295" spans="8:11">
      <c r="H1295" s="60">
        <f>PRODUCT('All-Servers'!D1305,'All-Servers'!$H1305)</f>
        <v>0</v>
      </c>
      <c r="I1295" s="60">
        <f>PRODUCT('All-Servers'!E1305,'All-Servers'!$H1305)</f>
        <v>0</v>
      </c>
      <c r="J1295" s="60">
        <f>PRODUCT('All-Servers'!F1305,'All-Servers'!$H1305)</f>
        <v>0</v>
      </c>
      <c r="K1295" s="60">
        <f>PRODUCT('All-Servers'!G1305,'All-Servers'!$H1305)</f>
        <v>0</v>
      </c>
    </row>
    <row r="1296" spans="8:11">
      <c r="H1296" s="60">
        <f>PRODUCT('All-Servers'!D1306,'All-Servers'!$H1306)</f>
        <v>0</v>
      </c>
      <c r="I1296" s="60">
        <f>PRODUCT('All-Servers'!E1306,'All-Servers'!$H1306)</f>
        <v>0</v>
      </c>
      <c r="J1296" s="60">
        <f>PRODUCT('All-Servers'!F1306,'All-Servers'!$H1306)</f>
        <v>0</v>
      </c>
      <c r="K1296" s="60">
        <f>PRODUCT('All-Servers'!G1306,'All-Servers'!$H1306)</f>
        <v>0</v>
      </c>
    </row>
    <row r="1297" spans="8:11">
      <c r="H1297" s="60">
        <f>PRODUCT('All-Servers'!D1307,'All-Servers'!$H1307)</f>
        <v>0</v>
      </c>
      <c r="I1297" s="60">
        <f>PRODUCT('All-Servers'!E1307,'All-Servers'!$H1307)</f>
        <v>0</v>
      </c>
      <c r="J1297" s="60">
        <f>PRODUCT('All-Servers'!F1307,'All-Servers'!$H1307)</f>
        <v>0</v>
      </c>
      <c r="K1297" s="60">
        <f>PRODUCT('All-Servers'!G1307,'All-Servers'!$H1307)</f>
        <v>0</v>
      </c>
    </row>
    <row r="1298" spans="8:11">
      <c r="H1298" s="60">
        <f>PRODUCT('All-Servers'!D1308,'All-Servers'!$H1308)</f>
        <v>0</v>
      </c>
      <c r="I1298" s="60">
        <f>PRODUCT('All-Servers'!E1308,'All-Servers'!$H1308)</f>
        <v>0</v>
      </c>
      <c r="J1298" s="60">
        <f>PRODUCT('All-Servers'!F1308,'All-Servers'!$H1308)</f>
        <v>0</v>
      </c>
      <c r="K1298" s="60">
        <f>PRODUCT('All-Servers'!G1308,'All-Servers'!$H1308)</f>
        <v>0</v>
      </c>
    </row>
    <row r="1299" spans="8:11">
      <c r="H1299" s="60">
        <f>PRODUCT('All-Servers'!D1309,'All-Servers'!$H1309)</f>
        <v>0</v>
      </c>
      <c r="I1299" s="60">
        <f>PRODUCT('All-Servers'!E1309,'All-Servers'!$H1309)</f>
        <v>0</v>
      </c>
      <c r="J1299" s="60">
        <f>PRODUCT('All-Servers'!F1309,'All-Servers'!$H1309)</f>
        <v>0</v>
      </c>
      <c r="K1299" s="60">
        <f>PRODUCT('All-Servers'!G1309,'All-Servers'!$H1309)</f>
        <v>0</v>
      </c>
    </row>
    <row r="1300" spans="8:11">
      <c r="H1300" s="60">
        <f>PRODUCT('All-Servers'!D1310,'All-Servers'!$H1310)</f>
        <v>0</v>
      </c>
      <c r="I1300" s="60">
        <f>PRODUCT('All-Servers'!E1310,'All-Servers'!$H1310)</f>
        <v>0</v>
      </c>
      <c r="J1300" s="60">
        <f>PRODUCT('All-Servers'!F1310,'All-Servers'!$H1310)</f>
        <v>0</v>
      </c>
      <c r="K1300" s="60">
        <f>PRODUCT('All-Servers'!G1310,'All-Servers'!$H1310)</f>
        <v>0</v>
      </c>
    </row>
    <row r="1301" spans="8:11">
      <c r="H1301" s="60">
        <f>PRODUCT('All-Servers'!D1311,'All-Servers'!$H1311)</f>
        <v>0</v>
      </c>
      <c r="I1301" s="60">
        <f>PRODUCT('All-Servers'!E1311,'All-Servers'!$H1311)</f>
        <v>0</v>
      </c>
      <c r="J1301" s="60">
        <f>PRODUCT('All-Servers'!F1311,'All-Servers'!$H1311)</f>
        <v>0</v>
      </c>
      <c r="K1301" s="60">
        <f>PRODUCT('All-Servers'!G1311,'All-Servers'!$H1311)</f>
        <v>0</v>
      </c>
    </row>
    <row r="1302" spans="8:11">
      <c r="H1302" s="60">
        <f>PRODUCT('All-Servers'!D1312,'All-Servers'!$H1312)</f>
        <v>0</v>
      </c>
      <c r="I1302" s="60">
        <f>PRODUCT('All-Servers'!E1312,'All-Servers'!$H1312)</f>
        <v>0</v>
      </c>
      <c r="J1302" s="60">
        <f>PRODUCT('All-Servers'!F1312,'All-Servers'!$H1312)</f>
        <v>0</v>
      </c>
      <c r="K1302" s="60">
        <f>PRODUCT('All-Servers'!G1312,'All-Servers'!$H1312)</f>
        <v>0</v>
      </c>
    </row>
    <row r="1303" spans="8:11">
      <c r="H1303" s="60">
        <f>PRODUCT('All-Servers'!D1313,'All-Servers'!$H1313)</f>
        <v>0</v>
      </c>
      <c r="I1303" s="60">
        <f>PRODUCT('All-Servers'!E1313,'All-Servers'!$H1313)</f>
        <v>0</v>
      </c>
      <c r="J1303" s="60">
        <f>PRODUCT('All-Servers'!F1313,'All-Servers'!$H1313)</f>
        <v>0</v>
      </c>
      <c r="K1303" s="60">
        <f>PRODUCT('All-Servers'!G1313,'All-Servers'!$H1313)</f>
        <v>0</v>
      </c>
    </row>
    <row r="1304" spans="8:11">
      <c r="H1304" s="60">
        <f>PRODUCT('All-Servers'!D1314,'All-Servers'!$H1314)</f>
        <v>0</v>
      </c>
      <c r="I1304" s="60">
        <f>PRODUCT('All-Servers'!E1314,'All-Servers'!$H1314)</f>
        <v>0</v>
      </c>
      <c r="J1304" s="60">
        <f>PRODUCT('All-Servers'!F1314,'All-Servers'!$H1314)</f>
        <v>0</v>
      </c>
      <c r="K1304" s="60">
        <f>PRODUCT('All-Servers'!G1314,'All-Servers'!$H1314)</f>
        <v>0</v>
      </c>
    </row>
    <row r="1305" spans="8:11">
      <c r="H1305" s="60">
        <f>PRODUCT('All-Servers'!D1315,'All-Servers'!$H1315)</f>
        <v>0</v>
      </c>
      <c r="I1305" s="60">
        <f>PRODUCT('All-Servers'!E1315,'All-Servers'!$H1315)</f>
        <v>0</v>
      </c>
      <c r="J1305" s="60">
        <f>PRODUCT('All-Servers'!F1315,'All-Servers'!$H1315)</f>
        <v>0</v>
      </c>
      <c r="K1305" s="60">
        <f>PRODUCT('All-Servers'!G1315,'All-Servers'!$H1315)</f>
        <v>0</v>
      </c>
    </row>
    <row r="1306" spans="8:11">
      <c r="H1306" s="60">
        <f>PRODUCT('All-Servers'!D1316,'All-Servers'!$H1316)</f>
        <v>0</v>
      </c>
      <c r="I1306" s="60">
        <f>PRODUCT('All-Servers'!E1316,'All-Servers'!$H1316)</f>
        <v>0</v>
      </c>
      <c r="J1306" s="60">
        <f>PRODUCT('All-Servers'!F1316,'All-Servers'!$H1316)</f>
        <v>0</v>
      </c>
      <c r="K1306" s="60">
        <f>PRODUCT('All-Servers'!G1316,'All-Servers'!$H1316)</f>
        <v>0</v>
      </c>
    </row>
    <row r="1307" spans="8:11">
      <c r="H1307" s="60">
        <f>PRODUCT('All-Servers'!D1317,'All-Servers'!$H1317)</f>
        <v>0</v>
      </c>
      <c r="I1307" s="60">
        <f>PRODUCT('All-Servers'!E1317,'All-Servers'!$H1317)</f>
        <v>0</v>
      </c>
      <c r="J1307" s="60">
        <f>PRODUCT('All-Servers'!F1317,'All-Servers'!$H1317)</f>
        <v>0</v>
      </c>
      <c r="K1307" s="60">
        <f>PRODUCT('All-Servers'!G1317,'All-Servers'!$H1317)</f>
        <v>0</v>
      </c>
    </row>
    <row r="1308" spans="8:11">
      <c r="H1308" s="60">
        <f>PRODUCT('All-Servers'!D1318,'All-Servers'!$H1318)</f>
        <v>0</v>
      </c>
      <c r="I1308" s="60">
        <f>PRODUCT('All-Servers'!E1318,'All-Servers'!$H1318)</f>
        <v>0</v>
      </c>
      <c r="J1308" s="60">
        <f>PRODUCT('All-Servers'!F1318,'All-Servers'!$H1318)</f>
        <v>0</v>
      </c>
      <c r="K1308" s="60">
        <f>PRODUCT('All-Servers'!G1318,'All-Servers'!$H1318)</f>
        <v>0</v>
      </c>
    </row>
    <row r="1309" spans="8:11">
      <c r="H1309" s="60">
        <f>PRODUCT('All-Servers'!D1319,'All-Servers'!$H1319)</f>
        <v>0</v>
      </c>
      <c r="I1309" s="60">
        <f>PRODUCT('All-Servers'!E1319,'All-Servers'!$H1319)</f>
        <v>0</v>
      </c>
      <c r="J1309" s="60">
        <f>PRODUCT('All-Servers'!F1319,'All-Servers'!$H1319)</f>
        <v>0</v>
      </c>
      <c r="K1309" s="60">
        <f>PRODUCT('All-Servers'!G1319,'All-Servers'!$H1319)</f>
        <v>0</v>
      </c>
    </row>
    <row r="1310" spans="8:11">
      <c r="H1310" s="60">
        <f>PRODUCT('All-Servers'!D1320,'All-Servers'!$H1320)</f>
        <v>0</v>
      </c>
      <c r="I1310" s="60">
        <f>PRODUCT('All-Servers'!E1320,'All-Servers'!$H1320)</f>
        <v>0</v>
      </c>
      <c r="J1310" s="60">
        <f>PRODUCT('All-Servers'!F1320,'All-Servers'!$H1320)</f>
        <v>0</v>
      </c>
      <c r="K1310" s="60">
        <f>PRODUCT('All-Servers'!G1320,'All-Servers'!$H1320)</f>
        <v>0</v>
      </c>
    </row>
    <row r="1311" spans="8:11">
      <c r="H1311" s="60">
        <f>PRODUCT('All-Servers'!D1321,'All-Servers'!$H1321)</f>
        <v>0</v>
      </c>
      <c r="I1311" s="60">
        <f>PRODUCT('All-Servers'!E1321,'All-Servers'!$H1321)</f>
        <v>0</v>
      </c>
      <c r="J1311" s="60">
        <f>PRODUCT('All-Servers'!F1321,'All-Servers'!$H1321)</f>
        <v>0</v>
      </c>
      <c r="K1311" s="60">
        <f>PRODUCT('All-Servers'!G1321,'All-Servers'!$H1321)</f>
        <v>0</v>
      </c>
    </row>
    <row r="1312" spans="8:11">
      <c r="H1312" s="60">
        <f>PRODUCT('All-Servers'!D1322,'All-Servers'!$H1322)</f>
        <v>0</v>
      </c>
      <c r="I1312" s="60">
        <f>PRODUCT('All-Servers'!E1322,'All-Servers'!$H1322)</f>
        <v>0</v>
      </c>
      <c r="J1312" s="60">
        <f>PRODUCT('All-Servers'!F1322,'All-Servers'!$H1322)</f>
        <v>0</v>
      </c>
      <c r="K1312" s="60">
        <f>PRODUCT('All-Servers'!G1322,'All-Servers'!$H1322)</f>
        <v>0</v>
      </c>
    </row>
    <row r="1313" spans="8:11">
      <c r="H1313" s="60">
        <f>PRODUCT('All-Servers'!D1323,'All-Servers'!$H1323)</f>
        <v>0</v>
      </c>
      <c r="I1313" s="60">
        <f>PRODUCT('All-Servers'!E1323,'All-Servers'!$H1323)</f>
        <v>0</v>
      </c>
      <c r="J1313" s="60">
        <f>PRODUCT('All-Servers'!F1323,'All-Servers'!$H1323)</f>
        <v>0</v>
      </c>
      <c r="K1313" s="60">
        <f>PRODUCT('All-Servers'!G1323,'All-Servers'!$H1323)</f>
        <v>0</v>
      </c>
    </row>
    <row r="1314" spans="8:11">
      <c r="H1314" s="60">
        <f>PRODUCT('All-Servers'!D1324,'All-Servers'!$H1324)</f>
        <v>0</v>
      </c>
      <c r="I1314" s="60">
        <f>PRODUCT('All-Servers'!E1324,'All-Servers'!$H1324)</f>
        <v>0</v>
      </c>
      <c r="J1314" s="60">
        <f>PRODUCT('All-Servers'!F1324,'All-Servers'!$H1324)</f>
        <v>0</v>
      </c>
      <c r="K1314" s="60">
        <f>PRODUCT('All-Servers'!G1324,'All-Servers'!$H1324)</f>
        <v>0</v>
      </c>
    </row>
    <row r="1315" spans="8:11">
      <c r="H1315" s="60">
        <f>PRODUCT('All-Servers'!D1325,'All-Servers'!$H1325)</f>
        <v>0</v>
      </c>
      <c r="I1315" s="60">
        <f>PRODUCT('All-Servers'!E1325,'All-Servers'!$H1325)</f>
        <v>0</v>
      </c>
      <c r="J1315" s="60">
        <f>PRODUCT('All-Servers'!F1325,'All-Servers'!$H1325)</f>
        <v>0</v>
      </c>
      <c r="K1315" s="60">
        <f>PRODUCT('All-Servers'!G1325,'All-Servers'!$H1325)</f>
        <v>0</v>
      </c>
    </row>
    <row r="1316" spans="8:11">
      <c r="H1316" s="60">
        <f>PRODUCT('All-Servers'!D1326,'All-Servers'!$H1326)</f>
        <v>0</v>
      </c>
      <c r="I1316" s="60">
        <f>PRODUCT('All-Servers'!E1326,'All-Servers'!$H1326)</f>
        <v>0</v>
      </c>
      <c r="J1316" s="60">
        <f>PRODUCT('All-Servers'!F1326,'All-Servers'!$H1326)</f>
        <v>0</v>
      </c>
      <c r="K1316" s="60">
        <f>PRODUCT('All-Servers'!G1326,'All-Servers'!$H1326)</f>
        <v>0</v>
      </c>
    </row>
    <row r="1317" spans="8:11">
      <c r="H1317" s="60">
        <f>PRODUCT('All-Servers'!D1327,'All-Servers'!$H1327)</f>
        <v>0</v>
      </c>
      <c r="I1317" s="60">
        <f>PRODUCT('All-Servers'!E1327,'All-Servers'!$H1327)</f>
        <v>0</v>
      </c>
      <c r="J1317" s="60">
        <f>PRODUCT('All-Servers'!F1327,'All-Servers'!$H1327)</f>
        <v>0</v>
      </c>
      <c r="K1317" s="60">
        <f>PRODUCT('All-Servers'!G1327,'All-Servers'!$H1327)</f>
        <v>0</v>
      </c>
    </row>
    <row r="1318" spans="8:11">
      <c r="H1318" s="60">
        <f>PRODUCT('All-Servers'!D1328,'All-Servers'!$H1328)</f>
        <v>0</v>
      </c>
      <c r="I1318" s="60">
        <f>PRODUCT('All-Servers'!E1328,'All-Servers'!$H1328)</f>
        <v>0</v>
      </c>
      <c r="J1318" s="60">
        <f>PRODUCT('All-Servers'!F1328,'All-Servers'!$H1328)</f>
        <v>0</v>
      </c>
      <c r="K1318" s="60">
        <f>PRODUCT('All-Servers'!G1328,'All-Servers'!$H1328)</f>
        <v>0</v>
      </c>
    </row>
    <row r="1319" spans="8:11">
      <c r="H1319" s="60">
        <f>PRODUCT('All-Servers'!D1329,'All-Servers'!$H1329)</f>
        <v>0</v>
      </c>
      <c r="I1319" s="60">
        <f>PRODUCT('All-Servers'!E1329,'All-Servers'!$H1329)</f>
        <v>0</v>
      </c>
      <c r="J1319" s="60">
        <f>PRODUCT('All-Servers'!F1329,'All-Servers'!$H1329)</f>
        <v>0</v>
      </c>
      <c r="K1319" s="60">
        <f>PRODUCT('All-Servers'!G1329,'All-Servers'!$H1329)</f>
        <v>0</v>
      </c>
    </row>
    <row r="1320" spans="8:11">
      <c r="H1320" s="60">
        <f>PRODUCT('All-Servers'!D1330,'All-Servers'!$H1330)</f>
        <v>0</v>
      </c>
      <c r="I1320" s="60">
        <f>PRODUCT('All-Servers'!E1330,'All-Servers'!$H1330)</f>
        <v>0</v>
      </c>
      <c r="J1320" s="60">
        <f>PRODUCT('All-Servers'!F1330,'All-Servers'!$H1330)</f>
        <v>0</v>
      </c>
      <c r="K1320" s="60">
        <f>PRODUCT('All-Servers'!G1330,'All-Servers'!$H1330)</f>
        <v>0</v>
      </c>
    </row>
    <row r="1321" spans="8:11">
      <c r="H1321" s="60">
        <f>PRODUCT('All-Servers'!D1331,'All-Servers'!$H1331)</f>
        <v>0</v>
      </c>
      <c r="I1321" s="60">
        <f>PRODUCT('All-Servers'!E1331,'All-Servers'!$H1331)</f>
        <v>0</v>
      </c>
      <c r="J1321" s="60">
        <f>PRODUCT('All-Servers'!F1331,'All-Servers'!$H1331)</f>
        <v>0</v>
      </c>
      <c r="K1321" s="60">
        <f>PRODUCT('All-Servers'!G1331,'All-Servers'!$H1331)</f>
        <v>0</v>
      </c>
    </row>
    <row r="1322" spans="8:11">
      <c r="H1322" s="60">
        <f>PRODUCT('All-Servers'!D1332,'All-Servers'!$H1332)</f>
        <v>0</v>
      </c>
      <c r="I1322" s="60">
        <f>PRODUCT('All-Servers'!E1332,'All-Servers'!$H1332)</f>
        <v>0</v>
      </c>
      <c r="J1322" s="60">
        <f>PRODUCT('All-Servers'!F1332,'All-Servers'!$H1332)</f>
        <v>0</v>
      </c>
      <c r="K1322" s="60">
        <f>PRODUCT('All-Servers'!G1332,'All-Servers'!$H1332)</f>
        <v>0</v>
      </c>
    </row>
    <row r="1323" spans="8:11">
      <c r="H1323" s="60">
        <f>PRODUCT('All-Servers'!D1333,'All-Servers'!$H1333)</f>
        <v>0</v>
      </c>
      <c r="I1323" s="60">
        <f>PRODUCT('All-Servers'!E1333,'All-Servers'!$H1333)</f>
        <v>0</v>
      </c>
      <c r="J1323" s="60">
        <f>PRODUCT('All-Servers'!F1333,'All-Servers'!$H1333)</f>
        <v>0</v>
      </c>
      <c r="K1323" s="60">
        <f>PRODUCT('All-Servers'!G1333,'All-Servers'!$H1333)</f>
        <v>0</v>
      </c>
    </row>
    <row r="1324" spans="8:11">
      <c r="H1324" s="60">
        <f>PRODUCT('All-Servers'!D1334,'All-Servers'!$H1334)</f>
        <v>0</v>
      </c>
      <c r="I1324" s="60">
        <f>PRODUCT('All-Servers'!E1334,'All-Servers'!$H1334)</f>
        <v>0</v>
      </c>
      <c r="J1324" s="60">
        <f>PRODUCT('All-Servers'!F1334,'All-Servers'!$H1334)</f>
        <v>0</v>
      </c>
      <c r="K1324" s="60">
        <f>PRODUCT('All-Servers'!G1334,'All-Servers'!$H1334)</f>
        <v>0</v>
      </c>
    </row>
    <row r="1325" spans="8:11">
      <c r="H1325" s="60">
        <f>PRODUCT('All-Servers'!D1335,'All-Servers'!$H1335)</f>
        <v>0</v>
      </c>
      <c r="I1325" s="60">
        <f>PRODUCT('All-Servers'!E1335,'All-Servers'!$H1335)</f>
        <v>0</v>
      </c>
      <c r="J1325" s="60">
        <f>PRODUCT('All-Servers'!F1335,'All-Servers'!$H1335)</f>
        <v>0</v>
      </c>
      <c r="K1325" s="60">
        <f>PRODUCT('All-Servers'!G1335,'All-Servers'!$H1335)</f>
        <v>0</v>
      </c>
    </row>
    <row r="1326" spans="8:11">
      <c r="H1326" s="60">
        <f>PRODUCT('All-Servers'!D1336,'All-Servers'!$H1336)</f>
        <v>0</v>
      </c>
      <c r="I1326" s="60">
        <f>PRODUCT('All-Servers'!E1336,'All-Servers'!$H1336)</f>
        <v>0</v>
      </c>
      <c r="J1326" s="60">
        <f>PRODUCT('All-Servers'!F1336,'All-Servers'!$H1336)</f>
        <v>0</v>
      </c>
      <c r="K1326" s="60">
        <f>PRODUCT('All-Servers'!G1336,'All-Servers'!$H1336)</f>
        <v>0</v>
      </c>
    </row>
    <row r="1327" spans="8:11">
      <c r="H1327" s="60">
        <f>PRODUCT('All-Servers'!D1337,'All-Servers'!$H1337)</f>
        <v>0</v>
      </c>
      <c r="I1327" s="60">
        <f>PRODUCT('All-Servers'!E1337,'All-Servers'!$H1337)</f>
        <v>0</v>
      </c>
      <c r="J1327" s="60">
        <f>PRODUCT('All-Servers'!F1337,'All-Servers'!$H1337)</f>
        <v>0</v>
      </c>
      <c r="K1327" s="60">
        <f>PRODUCT('All-Servers'!G1337,'All-Servers'!$H1337)</f>
        <v>0</v>
      </c>
    </row>
    <row r="1328" spans="8:11">
      <c r="H1328" s="60">
        <f>PRODUCT('All-Servers'!D1338,'All-Servers'!$H1338)</f>
        <v>0</v>
      </c>
      <c r="I1328" s="60">
        <f>PRODUCT('All-Servers'!E1338,'All-Servers'!$H1338)</f>
        <v>0</v>
      </c>
      <c r="J1328" s="60">
        <f>PRODUCT('All-Servers'!F1338,'All-Servers'!$H1338)</f>
        <v>0</v>
      </c>
      <c r="K1328" s="60">
        <f>PRODUCT('All-Servers'!G1338,'All-Servers'!$H1338)</f>
        <v>0</v>
      </c>
    </row>
    <row r="1329" spans="8:11">
      <c r="H1329" s="60">
        <f>PRODUCT('All-Servers'!D1339,'All-Servers'!$H1339)</f>
        <v>0</v>
      </c>
      <c r="I1329" s="60">
        <f>PRODUCT('All-Servers'!E1339,'All-Servers'!$H1339)</f>
        <v>0</v>
      </c>
      <c r="J1329" s="60">
        <f>PRODUCT('All-Servers'!F1339,'All-Servers'!$H1339)</f>
        <v>0</v>
      </c>
      <c r="K1329" s="60">
        <f>PRODUCT('All-Servers'!G1339,'All-Servers'!$H1339)</f>
        <v>0</v>
      </c>
    </row>
    <row r="1330" spans="8:11">
      <c r="H1330" s="60">
        <f>PRODUCT('All-Servers'!D1340,'All-Servers'!$H1340)</f>
        <v>0</v>
      </c>
      <c r="I1330" s="60">
        <f>PRODUCT('All-Servers'!E1340,'All-Servers'!$H1340)</f>
        <v>0</v>
      </c>
      <c r="J1330" s="60">
        <f>PRODUCT('All-Servers'!F1340,'All-Servers'!$H1340)</f>
        <v>0</v>
      </c>
      <c r="K1330" s="60">
        <f>PRODUCT('All-Servers'!G1340,'All-Servers'!$H1340)</f>
        <v>0</v>
      </c>
    </row>
    <row r="1331" spans="8:11">
      <c r="H1331" s="60">
        <f>PRODUCT('All-Servers'!D1341,'All-Servers'!$H1341)</f>
        <v>0</v>
      </c>
      <c r="I1331" s="60">
        <f>PRODUCT('All-Servers'!E1341,'All-Servers'!$H1341)</f>
        <v>0</v>
      </c>
      <c r="J1331" s="60">
        <f>PRODUCT('All-Servers'!F1341,'All-Servers'!$H1341)</f>
        <v>0</v>
      </c>
      <c r="K1331" s="60">
        <f>PRODUCT('All-Servers'!G1341,'All-Servers'!$H1341)</f>
        <v>0</v>
      </c>
    </row>
    <row r="1332" spans="8:11">
      <c r="H1332" s="60">
        <f>PRODUCT('All-Servers'!D1342,'All-Servers'!$H1342)</f>
        <v>0</v>
      </c>
      <c r="I1332" s="60">
        <f>PRODUCT('All-Servers'!E1342,'All-Servers'!$H1342)</f>
        <v>0</v>
      </c>
      <c r="J1332" s="60">
        <f>PRODUCT('All-Servers'!F1342,'All-Servers'!$H1342)</f>
        <v>0</v>
      </c>
      <c r="K1332" s="60">
        <f>PRODUCT('All-Servers'!G1342,'All-Servers'!$H1342)</f>
        <v>0</v>
      </c>
    </row>
    <row r="1333" spans="8:11">
      <c r="H1333" s="60">
        <f>PRODUCT('All-Servers'!D1343,'All-Servers'!$H1343)</f>
        <v>0</v>
      </c>
      <c r="I1333" s="60">
        <f>PRODUCT('All-Servers'!E1343,'All-Servers'!$H1343)</f>
        <v>0</v>
      </c>
      <c r="J1333" s="60">
        <f>PRODUCT('All-Servers'!F1343,'All-Servers'!$H1343)</f>
        <v>0</v>
      </c>
      <c r="K1333" s="60">
        <f>PRODUCT('All-Servers'!G1343,'All-Servers'!$H1343)</f>
        <v>0</v>
      </c>
    </row>
    <row r="1334" spans="8:11">
      <c r="H1334" s="60">
        <f>PRODUCT('All-Servers'!D1344,'All-Servers'!$H1344)</f>
        <v>0</v>
      </c>
      <c r="I1334" s="60">
        <f>PRODUCT('All-Servers'!E1344,'All-Servers'!$H1344)</f>
        <v>0</v>
      </c>
      <c r="J1334" s="60">
        <f>PRODUCT('All-Servers'!F1344,'All-Servers'!$H1344)</f>
        <v>0</v>
      </c>
      <c r="K1334" s="60">
        <f>PRODUCT('All-Servers'!G1344,'All-Servers'!$H1344)</f>
        <v>0</v>
      </c>
    </row>
    <row r="1335" spans="8:11">
      <c r="H1335" s="60">
        <f>PRODUCT('All-Servers'!D1345,'All-Servers'!$H1345)</f>
        <v>0</v>
      </c>
      <c r="I1335" s="60">
        <f>PRODUCT('All-Servers'!E1345,'All-Servers'!$H1345)</f>
        <v>0</v>
      </c>
      <c r="J1335" s="60">
        <f>PRODUCT('All-Servers'!F1345,'All-Servers'!$H1345)</f>
        <v>0</v>
      </c>
      <c r="K1335" s="60">
        <f>PRODUCT('All-Servers'!G1345,'All-Servers'!$H1345)</f>
        <v>0</v>
      </c>
    </row>
    <row r="1336" spans="8:11">
      <c r="H1336" s="60">
        <f>PRODUCT('All-Servers'!D1346,'All-Servers'!$H1346)</f>
        <v>0</v>
      </c>
      <c r="I1336" s="60">
        <f>PRODUCT('All-Servers'!E1346,'All-Servers'!$H1346)</f>
        <v>0</v>
      </c>
      <c r="J1336" s="60">
        <f>PRODUCT('All-Servers'!F1346,'All-Servers'!$H1346)</f>
        <v>0</v>
      </c>
      <c r="K1336" s="60">
        <f>PRODUCT('All-Servers'!G1346,'All-Servers'!$H1346)</f>
        <v>0</v>
      </c>
    </row>
    <row r="1337" spans="8:11">
      <c r="H1337" s="60">
        <f>PRODUCT('All-Servers'!D1347,'All-Servers'!$H1347)</f>
        <v>0</v>
      </c>
      <c r="I1337" s="60">
        <f>PRODUCT('All-Servers'!E1347,'All-Servers'!$H1347)</f>
        <v>0</v>
      </c>
      <c r="J1337" s="60">
        <f>PRODUCT('All-Servers'!F1347,'All-Servers'!$H1347)</f>
        <v>0</v>
      </c>
      <c r="K1337" s="60">
        <f>PRODUCT('All-Servers'!G1347,'All-Servers'!$H1347)</f>
        <v>0</v>
      </c>
    </row>
    <row r="1338" spans="8:11">
      <c r="H1338" s="60">
        <f>PRODUCT('All-Servers'!D1348,'All-Servers'!$H1348)</f>
        <v>0</v>
      </c>
      <c r="I1338" s="60">
        <f>PRODUCT('All-Servers'!E1348,'All-Servers'!$H1348)</f>
        <v>0</v>
      </c>
      <c r="J1338" s="60">
        <f>PRODUCT('All-Servers'!F1348,'All-Servers'!$H1348)</f>
        <v>0</v>
      </c>
      <c r="K1338" s="60">
        <f>PRODUCT('All-Servers'!G1348,'All-Servers'!$H1348)</f>
        <v>0</v>
      </c>
    </row>
    <row r="1339" spans="8:11">
      <c r="H1339" s="60">
        <f>PRODUCT('All-Servers'!D1349,'All-Servers'!$H1349)</f>
        <v>0</v>
      </c>
      <c r="I1339" s="60">
        <f>PRODUCT('All-Servers'!E1349,'All-Servers'!$H1349)</f>
        <v>0</v>
      </c>
      <c r="J1339" s="60">
        <f>PRODUCT('All-Servers'!F1349,'All-Servers'!$H1349)</f>
        <v>0</v>
      </c>
      <c r="K1339" s="60">
        <f>PRODUCT('All-Servers'!G1349,'All-Servers'!$H1349)</f>
        <v>0</v>
      </c>
    </row>
    <row r="1340" spans="8:11">
      <c r="H1340" s="60">
        <f>PRODUCT('All-Servers'!D1350,'All-Servers'!$H1350)</f>
        <v>0</v>
      </c>
      <c r="I1340" s="60">
        <f>PRODUCT('All-Servers'!E1350,'All-Servers'!$H1350)</f>
        <v>0</v>
      </c>
      <c r="J1340" s="60">
        <f>PRODUCT('All-Servers'!F1350,'All-Servers'!$H1350)</f>
        <v>0</v>
      </c>
      <c r="K1340" s="60">
        <f>PRODUCT('All-Servers'!G1350,'All-Servers'!$H1350)</f>
        <v>0</v>
      </c>
    </row>
    <row r="1341" spans="8:11">
      <c r="H1341" s="60">
        <f>PRODUCT('All-Servers'!D1351,'All-Servers'!$H1351)</f>
        <v>0</v>
      </c>
      <c r="I1341" s="60">
        <f>PRODUCT('All-Servers'!E1351,'All-Servers'!$H1351)</f>
        <v>0</v>
      </c>
      <c r="J1341" s="60">
        <f>PRODUCT('All-Servers'!F1351,'All-Servers'!$H1351)</f>
        <v>0</v>
      </c>
      <c r="K1341" s="60">
        <f>PRODUCT('All-Servers'!G1351,'All-Servers'!$H1351)</f>
        <v>0</v>
      </c>
    </row>
    <row r="1342" spans="8:11">
      <c r="H1342" s="60">
        <f>PRODUCT('All-Servers'!D1352,'All-Servers'!$H1352)</f>
        <v>0</v>
      </c>
      <c r="I1342" s="60">
        <f>PRODUCT('All-Servers'!E1352,'All-Servers'!$H1352)</f>
        <v>0</v>
      </c>
      <c r="J1342" s="60">
        <f>PRODUCT('All-Servers'!F1352,'All-Servers'!$H1352)</f>
        <v>0</v>
      </c>
      <c r="K1342" s="60">
        <f>PRODUCT('All-Servers'!G1352,'All-Servers'!$H1352)</f>
        <v>0</v>
      </c>
    </row>
    <row r="1343" spans="8:11">
      <c r="H1343" s="60">
        <f>PRODUCT('All-Servers'!D1353,'All-Servers'!$H1353)</f>
        <v>0</v>
      </c>
      <c r="I1343" s="60">
        <f>PRODUCT('All-Servers'!E1353,'All-Servers'!$H1353)</f>
        <v>0</v>
      </c>
      <c r="J1343" s="60">
        <f>PRODUCT('All-Servers'!F1353,'All-Servers'!$H1353)</f>
        <v>0</v>
      </c>
      <c r="K1343" s="60">
        <f>PRODUCT('All-Servers'!G1353,'All-Servers'!$H1353)</f>
        <v>0</v>
      </c>
    </row>
    <row r="1344" spans="8:11">
      <c r="H1344" s="60">
        <f>PRODUCT('All-Servers'!D1354,'All-Servers'!$H1354)</f>
        <v>0</v>
      </c>
      <c r="I1344" s="60">
        <f>PRODUCT('All-Servers'!E1354,'All-Servers'!$H1354)</f>
        <v>0</v>
      </c>
      <c r="J1344" s="60">
        <f>PRODUCT('All-Servers'!F1354,'All-Servers'!$H1354)</f>
        <v>0</v>
      </c>
      <c r="K1344" s="60">
        <f>PRODUCT('All-Servers'!G1354,'All-Servers'!$H1354)</f>
        <v>0</v>
      </c>
    </row>
    <row r="1345" spans="8:11">
      <c r="H1345" s="60">
        <f>PRODUCT('All-Servers'!D1355,'All-Servers'!$H1355)</f>
        <v>0</v>
      </c>
      <c r="I1345" s="60">
        <f>PRODUCT('All-Servers'!E1355,'All-Servers'!$H1355)</f>
        <v>0</v>
      </c>
      <c r="J1345" s="60">
        <f>PRODUCT('All-Servers'!F1355,'All-Servers'!$H1355)</f>
        <v>0</v>
      </c>
      <c r="K1345" s="60">
        <f>PRODUCT('All-Servers'!G1355,'All-Servers'!$H1355)</f>
        <v>0</v>
      </c>
    </row>
    <row r="1346" spans="8:11">
      <c r="H1346" s="60">
        <f>PRODUCT('All-Servers'!D1356,'All-Servers'!$H1356)</f>
        <v>0</v>
      </c>
      <c r="I1346" s="60">
        <f>PRODUCT('All-Servers'!E1356,'All-Servers'!$H1356)</f>
        <v>0</v>
      </c>
      <c r="J1346" s="60">
        <f>PRODUCT('All-Servers'!F1356,'All-Servers'!$H1356)</f>
        <v>0</v>
      </c>
      <c r="K1346" s="60">
        <f>PRODUCT('All-Servers'!G1356,'All-Servers'!$H1356)</f>
        <v>0</v>
      </c>
    </row>
    <row r="1347" spans="8:11">
      <c r="H1347" s="60">
        <f>PRODUCT('All-Servers'!D1357,'All-Servers'!$H1357)</f>
        <v>0</v>
      </c>
      <c r="I1347" s="60">
        <f>PRODUCT('All-Servers'!E1357,'All-Servers'!$H1357)</f>
        <v>0</v>
      </c>
      <c r="J1347" s="60">
        <f>PRODUCT('All-Servers'!F1357,'All-Servers'!$H1357)</f>
        <v>0</v>
      </c>
      <c r="K1347" s="60">
        <f>PRODUCT('All-Servers'!G1357,'All-Servers'!$H1357)</f>
        <v>0</v>
      </c>
    </row>
    <row r="1348" spans="8:11">
      <c r="H1348" s="60">
        <f>PRODUCT('All-Servers'!D1358,'All-Servers'!$H1358)</f>
        <v>0</v>
      </c>
      <c r="I1348" s="60">
        <f>PRODUCT('All-Servers'!E1358,'All-Servers'!$H1358)</f>
        <v>0</v>
      </c>
      <c r="J1348" s="60">
        <f>PRODUCT('All-Servers'!F1358,'All-Servers'!$H1358)</f>
        <v>0</v>
      </c>
      <c r="K1348" s="60">
        <f>PRODUCT('All-Servers'!G1358,'All-Servers'!$H1358)</f>
        <v>0</v>
      </c>
    </row>
    <row r="1349" spans="8:11">
      <c r="H1349" s="60">
        <f>PRODUCT('All-Servers'!D1359,'All-Servers'!$H1359)</f>
        <v>0</v>
      </c>
      <c r="I1349" s="60">
        <f>PRODUCT('All-Servers'!E1359,'All-Servers'!$H1359)</f>
        <v>0</v>
      </c>
      <c r="J1349" s="60">
        <f>PRODUCT('All-Servers'!F1359,'All-Servers'!$H1359)</f>
        <v>0</v>
      </c>
      <c r="K1349" s="60">
        <f>PRODUCT('All-Servers'!G1359,'All-Servers'!$H1359)</f>
        <v>0</v>
      </c>
    </row>
    <row r="1350" spans="8:11">
      <c r="H1350" s="60">
        <f>PRODUCT('All-Servers'!D1360,'All-Servers'!$H1360)</f>
        <v>0</v>
      </c>
      <c r="I1350" s="60">
        <f>PRODUCT('All-Servers'!E1360,'All-Servers'!$H1360)</f>
        <v>0</v>
      </c>
      <c r="J1350" s="60">
        <f>PRODUCT('All-Servers'!F1360,'All-Servers'!$H1360)</f>
        <v>0</v>
      </c>
      <c r="K1350" s="60">
        <f>PRODUCT('All-Servers'!G1360,'All-Servers'!$H1360)</f>
        <v>0</v>
      </c>
    </row>
    <row r="1351" spans="8:11">
      <c r="H1351" s="60">
        <f>PRODUCT('All-Servers'!D1361,'All-Servers'!$H1361)</f>
        <v>0</v>
      </c>
      <c r="I1351" s="60">
        <f>PRODUCT('All-Servers'!E1361,'All-Servers'!$H1361)</f>
        <v>0</v>
      </c>
      <c r="J1351" s="60">
        <f>PRODUCT('All-Servers'!F1361,'All-Servers'!$H1361)</f>
        <v>0</v>
      </c>
      <c r="K1351" s="60">
        <f>PRODUCT('All-Servers'!G1361,'All-Servers'!$H1361)</f>
        <v>0</v>
      </c>
    </row>
    <row r="1352" spans="8:11">
      <c r="H1352" s="60">
        <f>PRODUCT('All-Servers'!D1362,'All-Servers'!$H1362)</f>
        <v>0</v>
      </c>
      <c r="I1352" s="60">
        <f>PRODUCT('All-Servers'!E1362,'All-Servers'!$H1362)</f>
        <v>0</v>
      </c>
      <c r="J1352" s="60">
        <f>PRODUCT('All-Servers'!F1362,'All-Servers'!$H1362)</f>
        <v>0</v>
      </c>
      <c r="K1352" s="60">
        <f>PRODUCT('All-Servers'!G1362,'All-Servers'!$H1362)</f>
        <v>0</v>
      </c>
    </row>
    <row r="1353" spans="8:11">
      <c r="H1353" s="60">
        <f>PRODUCT('All-Servers'!D1363,'All-Servers'!$H1363)</f>
        <v>0</v>
      </c>
      <c r="I1353" s="60">
        <f>PRODUCT('All-Servers'!E1363,'All-Servers'!$H1363)</f>
        <v>0</v>
      </c>
      <c r="J1353" s="60">
        <f>PRODUCT('All-Servers'!F1363,'All-Servers'!$H1363)</f>
        <v>0</v>
      </c>
      <c r="K1353" s="60">
        <f>PRODUCT('All-Servers'!G1363,'All-Servers'!$H1363)</f>
        <v>0</v>
      </c>
    </row>
    <row r="1354" spans="8:11">
      <c r="H1354" s="60">
        <f>PRODUCT('All-Servers'!D1364,'All-Servers'!$H1364)</f>
        <v>0</v>
      </c>
      <c r="I1354" s="60">
        <f>PRODUCT('All-Servers'!E1364,'All-Servers'!$H1364)</f>
        <v>0</v>
      </c>
      <c r="J1354" s="60">
        <f>PRODUCT('All-Servers'!F1364,'All-Servers'!$H1364)</f>
        <v>0</v>
      </c>
      <c r="K1354" s="60">
        <f>PRODUCT('All-Servers'!G1364,'All-Servers'!$H1364)</f>
        <v>0</v>
      </c>
    </row>
    <row r="1355" spans="8:11">
      <c r="H1355" s="60">
        <f>PRODUCT('All-Servers'!D1365,'All-Servers'!$H1365)</f>
        <v>0</v>
      </c>
      <c r="I1355" s="60">
        <f>PRODUCT('All-Servers'!E1365,'All-Servers'!$H1365)</f>
        <v>0</v>
      </c>
      <c r="J1355" s="60">
        <f>PRODUCT('All-Servers'!F1365,'All-Servers'!$H1365)</f>
        <v>0</v>
      </c>
      <c r="K1355" s="60">
        <f>PRODUCT('All-Servers'!G1365,'All-Servers'!$H1365)</f>
        <v>0</v>
      </c>
    </row>
    <row r="1356" spans="8:11">
      <c r="H1356" s="60">
        <f>PRODUCT('All-Servers'!D1366,'All-Servers'!$H1366)</f>
        <v>0</v>
      </c>
      <c r="I1356" s="60">
        <f>PRODUCT('All-Servers'!E1366,'All-Servers'!$H1366)</f>
        <v>0</v>
      </c>
      <c r="J1356" s="60">
        <f>PRODUCT('All-Servers'!F1366,'All-Servers'!$H1366)</f>
        <v>0</v>
      </c>
      <c r="K1356" s="60">
        <f>PRODUCT('All-Servers'!G1366,'All-Servers'!$H1366)</f>
        <v>0</v>
      </c>
    </row>
    <row r="1357" spans="8:11">
      <c r="H1357" s="60">
        <f>PRODUCT('All-Servers'!D1367,'All-Servers'!$H1367)</f>
        <v>0</v>
      </c>
      <c r="I1357" s="60">
        <f>PRODUCT('All-Servers'!E1367,'All-Servers'!$H1367)</f>
        <v>0</v>
      </c>
      <c r="J1357" s="60">
        <f>PRODUCT('All-Servers'!F1367,'All-Servers'!$H1367)</f>
        <v>0</v>
      </c>
      <c r="K1357" s="60">
        <f>PRODUCT('All-Servers'!G1367,'All-Servers'!$H1367)</f>
        <v>0</v>
      </c>
    </row>
    <row r="1358" spans="8:11">
      <c r="H1358" s="60">
        <f>PRODUCT('All-Servers'!D1368,'All-Servers'!$H1368)</f>
        <v>0</v>
      </c>
      <c r="I1358" s="60">
        <f>PRODUCT('All-Servers'!E1368,'All-Servers'!$H1368)</f>
        <v>0</v>
      </c>
      <c r="J1358" s="60">
        <f>PRODUCT('All-Servers'!F1368,'All-Servers'!$H1368)</f>
        <v>0</v>
      </c>
      <c r="K1358" s="60">
        <f>PRODUCT('All-Servers'!G1368,'All-Servers'!$H1368)</f>
        <v>0</v>
      </c>
    </row>
    <row r="1359" spans="8:11">
      <c r="H1359" s="60">
        <f>PRODUCT('All-Servers'!D1369,'All-Servers'!$H1369)</f>
        <v>0</v>
      </c>
      <c r="I1359" s="60">
        <f>PRODUCT('All-Servers'!E1369,'All-Servers'!$H1369)</f>
        <v>0</v>
      </c>
      <c r="J1359" s="60">
        <f>PRODUCT('All-Servers'!F1369,'All-Servers'!$H1369)</f>
        <v>0</v>
      </c>
      <c r="K1359" s="60">
        <f>PRODUCT('All-Servers'!G1369,'All-Servers'!$H1369)</f>
        <v>0</v>
      </c>
    </row>
    <row r="1360" spans="8:11">
      <c r="H1360" s="60">
        <f>PRODUCT('All-Servers'!D1370,'All-Servers'!$H1370)</f>
        <v>0</v>
      </c>
      <c r="I1360" s="60">
        <f>PRODUCT('All-Servers'!E1370,'All-Servers'!$H1370)</f>
        <v>0</v>
      </c>
      <c r="J1360" s="60">
        <f>PRODUCT('All-Servers'!F1370,'All-Servers'!$H1370)</f>
        <v>0</v>
      </c>
      <c r="K1360" s="60">
        <f>PRODUCT('All-Servers'!G1370,'All-Servers'!$H1370)</f>
        <v>0</v>
      </c>
    </row>
    <row r="1361" spans="8:11">
      <c r="H1361" s="60">
        <f>PRODUCT('All-Servers'!D1371,'All-Servers'!$H1371)</f>
        <v>0</v>
      </c>
      <c r="I1361" s="60">
        <f>PRODUCT('All-Servers'!E1371,'All-Servers'!$H1371)</f>
        <v>0</v>
      </c>
      <c r="J1361" s="60">
        <f>PRODUCT('All-Servers'!F1371,'All-Servers'!$H1371)</f>
        <v>0</v>
      </c>
      <c r="K1361" s="60">
        <f>PRODUCT('All-Servers'!G1371,'All-Servers'!$H1371)</f>
        <v>0</v>
      </c>
    </row>
    <row r="1362" spans="8:11">
      <c r="H1362" s="60">
        <f>PRODUCT('All-Servers'!D1372,'All-Servers'!$H1372)</f>
        <v>0</v>
      </c>
      <c r="I1362" s="60">
        <f>PRODUCT('All-Servers'!E1372,'All-Servers'!$H1372)</f>
        <v>0</v>
      </c>
      <c r="J1362" s="60">
        <f>PRODUCT('All-Servers'!F1372,'All-Servers'!$H1372)</f>
        <v>0</v>
      </c>
      <c r="K1362" s="60">
        <f>PRODUCT('All-Servers'!G1372,'All-Servers'!$H1372)</f>
        <v>0</v>
      </c>
    </row>
    <row r="1363" spans="8:11">
      <c r="H1363" s="60">
        <f>PRODUCT('All-Servers'!D1373,'All-Servers'!$H1373)</f>
        <v>0</v>
      </c>
      <c r="I1363" s="60">
        <f>PRODUCT('All-Servers'!E1373,'All-Servers'!$H1373)</f>
        <v>0</v>
      </c>
      <c r="J1363" s="60">
        <f>PRODUCT('All-Servers'!F1373,'All-Servers'!$H1373)</f>
        <v>0</v>
      </c>
      <c r="K1363" s="60">
        <f>PRODUCT('All-Servers'!G1373,'All-Servers'!$H1373)</f>
        <v>0</v>
      </c>
    </row>
    <row r="1364" spans="8:11">
      <c r="H1364" s="60">
        <f>PRODUCT('All-Servers'!D1374,'All-Servers'!$H1374)</f>
        <v>0</v>
      </c>
      <c r="I1364" s="60">
        <f>PRODUCT('All-Servers'!E1374,'All-Servers'!$H1374)</f>
        <v>0</v>
      </c>
      <c r="J1364" s="60">
        <f>PRODUCT('All-Servers'!F1374,'All-Servers'!$H1374)</f>
        <v>0</v>
      </c>
      <c r="K1364" s="60">
        <f>PRODUCT('All-Servers'!G1374,'All-Servers'!$H1374)</f>
        <v>0</v>
      </c>
    </row>
    <row r="1365" spans="8:11">
      <c r="H1365" s="60">
        <f>PRODUCT('All-Servers'!D1375,'All-Servers'!$H1375)</f>
        <v>0</v>
      </c>
      <c r="I1365" s="60">
        <f>PRODUCT('All-Servers'!E1375,'All-Servers'!$H1375)</f>
        <v>0</v>
      </c>
      <c r="J1365" s="60">
        <f>PRODUCT('All-Servers'!F1375,'All-Servers'!$H1375)</f>
        <v>0</v>
      </c>
      <c r="K1365" s="60">
        <f>PRODUCT('All-Servers'!G1375,'All-Servers'!$H1375)</f>
        <v>0</v>
      </c>
    </row>
    <row r="1366" spans="8:11">
      <c r="H1366" s="60">
        <f>PRODUCT('All-Servers'!D1376,'All-Servers'!$H1376)</f>
        <v>0</v>
      </c>
      <c r="I1366" s="60">
        <f>PRODUCT('All-Servers'!E1376,'All-Servers'!$H1376)</f>
        <v>0</v>
      </c>
      <c r="J1366" s="60">
        <f>PRODUCT('All-Servers'!F1376,'All-Servers'!$H1376)</f>
        <v>0</v>
      </c>
      <c r="K1366" s="60">
        <f>PRODUCT('All-Servers'!G1376,'All-Servers'!$H1376)</f>
        <v>0</v>
      </c>
    </row>
    <row r="1367" spans="8:11">
      <c r="H1367" s="60">
        <f>PRODUCT('All-Servers'!D1377,'All-Servers'!$H1377)</f>
        <v>0</v>
      </c>
      <c r="I1367" s="60">
        <f>PRODUCT('All-Servers'!E1377,'All-Servers'!$H1377)</f>
        <v>0</v>
      </c>
      <c r="J1367" s="60">
        <f>PRODUCT('All-Servers'!F1377,'All-Servers'!$H1377)</f>
        <v>0</v>
      </c>
      <c r="K1367" s="60">
        <f>PRODUCT('All-Servers'!G1377,'All-Servers'!$H1377)</f>
        <v>0</v>
      </c>
    </row>
    <row r="1368" spans="8:11">
      <c r="H1368" s="60">
        <f>PRODUCT('All-Servers'!D1378,'All-Servers'!$H1378)</f>
        <v>0</v>
      </c>
      <c r="I1368" s="60">
        <f>PRODUCT('All-Servers'!E1378,'All-Servers'!$H1378)</f>
        <v>0</v>
      </c>
      <c r="J1368" s="60">
        <f>PRODUCT('All-Servers'!F1378,'All-Servers'!$H1378)</f>
        <v>0</v>
      </c>
      <c r="K1368" s="60">
        <f>PRODUCT('All-Servers'!G1378,'All-Servers'!$H1378)</f>
        <v>0</v>
      </c>
    </row>
    <row r="1369" spans="8:11">
      <c r="H1369" s="60">
        <f>PRODUCT('All-Servers'!D1379,'All-Servers'!$H1379)</f>
        <v>0</v>
      </c>
      <c r="I1369" s="60">
        <f>PRODUCT('All-Servers'!E1379,'All-Servers'!$H1379)</f>
        <v>0</v>
      </c>
      <c r="J1369" s="60">
        <f>PRODUCT('All-Servers'!F1379,'All-Servers'!$H1379)</f>
        <v>0</v>
      </c>
      <c r="K1369" s="60">
        <f>PRODUCT('All-Servers'!G1379,'All-Servers'!$H1379)</f>
        <v>0</v>
      </c>
    </row>
    <row r="1370" spans="8:11">
      <c r="H1370" s="60">
        <f>PRODUCT('All-Servers'!D1380,'All-Servers'!$H1380)</f>
        <v>0</v>
      </c>
      <c r="I1370" s="60">
        <f>PRODUCT('All-Servers'!E1380,'All-Servers'!$H1380)</f>
        <v>0</v>
      </c>
      <c r="J1370" s="60">
        <f>PRODUCT('All-Servers'!F1380,'All-Servers'!$H1380)</f>
        <v>0</v>
      </c>
      <c r="K1370" s="60">
        <f>PRODUCT('All-Servers'!G1380,'All-Servers'!$H1380)</f>
        <v>0</v>
      </c>
    </row>
    <row r="1371" spans="8:11">
      <c r="H1371" s="60">
        <f>PRODUCT('All-Servers'!D1381,'All-Servers'!$H1381)</f>
        <v>0</v>
      </c>
      <c r="I1371" s="60">
        <f>PRODUCT('All-Servers'!E1381,'All-Servers'!$H1381)</f>
        <v>0</v>
      </c>
      <c r="J1371" s="60">
        <f>PRODUCT('All-Servers'!F1381,'All-Servers'!$H1381)</f>
        <v>0</v>
      </c>
      <c r="K1371" s="60">
        <f>PRODUCT('All-Servers'!G1381,'All-Servers'!$H1381)</f>
        <v>0</v>
      </c>
    </row>
    <row r="1372" spans="8:11">
      <c r="H1372" s="60">
        <f>PRODUCT('All-Servers'!D1382,'All-Servers'!$H1382)</f>
        <v>0</v>
      </c>
      <c r="I1372" s="60">
        <f>PRODUCT('All-Servers'!E1382,'All-Servers'!$H1382)</f>
        <v>0</v>
      </c>
      <c r="J1372" s="60">
        <f>PRODUCT('All-Servers'!F1382,'All-Servers'!$H1382)</f>
        <v>0</v>
      </c>
      <c r="K1372" s="60">
        <f>PRODUCT('All-Servers'!G1382,'All-Servers'!$H1382)</f>
        <v>0</v>
      </c>
    </row>
    <row r="1373" spans="8:11">
      <c r="H1373" s="60">
        <f>PRODUCT('All-Servers'!D1383,'All-Servers'!$H1383)</f>
        <v>0</v>
      </c>
      <c r="I1373" s="60">
        <f>PRODUCT('All-Servers'!E1383,'All-Servers'!$H1383)</f>
        <v>0</v>
      </c>
      <c r="J1373" s="60">
        <f>PRODUCT('All-Servers'!F1383,'All-Servers'!$H1383)</f>
        <v>0</v>
      </c>
      <c r="K1373" s="60">
        <f>PRODUCT('All-Servers'!G1383,'All-Servers'!$H1383)</f>
        <v>0</v>
      </c>
    </row>
    <row r="1374" spans="8:11">
      <c r="H1374" s="60">
        <f>PRODUCT('All-Servers'!D1384,'All-Servers'!$H1384)</f>
        <v>0</v>
      </c>
      <c r="I1374" s="60">
        <f>PRODUCT('All-Servers'!E1384,'All-Servers'!$H1384)</f>
        <v>0</v>
      </c>
      <c r="J1374" s="60">
        <f>PRODUCT('All-Servers'!F1384,'All-Servers'!$H1384)</f>
        <v>0</v>
      </c>
      <c r="K1374" s="60">
        <f>PRODUCT('All-Servers'!G1384,'All-Servers'!$H1384)</f>
        <v>0</v>
      </c>
    </row>
    <row r="1375" spans="8:11">
      <c r="H1375" s="60">
        <f>PRODUCT('All-Servers'!D1385,'All-Servers'!$H1385)</f>
        <v>0</v>
      </c>
      <c r="I1375" s="60">
        <f>PRODUCT('All-Servers'!E1385,'All-Servers'!$H1385)</f>
        <v>0</v>
      </c>
      <c r="J1375" s="60">
        <f>PRODUCT('All-Servers'!F1385,'All-Servers'!$H1385)</f>
        <v>0</v>
      </c>
      <c r="K1375" s="60">
        <f>PRODUCT('All-Servers'!G1385,'All-Servers'!$H1385)</f>
        <v>0</v>
      </c>
    </row>
    <row r="1376" spans="8:11">
      <c r="H1376" s="60">
        <f>PRODUCT('All-Servers'!D1386,'All-Servers'!$H1386)</f>
        <v>0</v>
      </c>
      <c r="I1376" s="60">
        <f>PRODUCT('All-Servers'!E1386,'All-Servers'!$H1386)</f>
        <v>0</v>
      </c>
      <c r="J1376" s="60">
        <f>PRODUCT('All-Servers'!F1386,'All-Servers'!$H1386)</f>
        <v>0</v>
      </c>
      <c r="K1376" s="60">
        <f>PRODUCT('All-Servers'!G1386,'All-Servers'!$H1386)</f>
        <v>0</v>
      </c>
    </row>
    <row r="1377" spans="8:11">
      <c r="H1377" s="60">
        <f>PRODUCT('All-Servers'!D1387,'All-Servers'!$H1387)</f>
        <v>0</v>
      </c>
      <c r="I1377" s="60">
        <f>PRODUCT('All-Servers'!E1387,'All-Servers'!$H1387)</f>
        <v>0</v>
      </c>
      <c r="J1377" s="60">
        <f>PRODUCT('All-Servers'!F1387,'All-Servers'!$H1387)</f>
        <v>0</v>
      </c>
      <c r="K1377" s="60">
        <f>PRODUCT('All-Servers'!G1387,'All-Servers'!$H1387)</f>
        <v>0</v>
      </c>
    </row>
    <row r="1378" spans="8:11">
      <c r="H1378" s="60">
        <f>PRODUCT('All-Servers'!D1388,'All-Servers'!$H1388)</f>
        <v>0</v>
      </c>
      <c r="I1378" s="60">
        <f>PRODUCT('All-Servers'!E1388,'All-Servers'!$H1388)</f>
        <v>0</v>
      </c>
      <c r="J1378" s="60">
        <f>PRODUCT('All-Servers'!F1388,'All-Servers'!$H1388)</f>
        <v>0</v>
      </c>
      <c r="K1378" s="60">
        <f>PRODUCT('All-Servers'!G1388,'All-Servers'!$H1388)</f>
        <v>0</v>
      </c>
    </row>
    <row r="1379" spans="8:11">
      <c r="H1379" s="60">
        <f>PRODUCT('All-Servers'!D1389,'All-Servers'!$H1389)</f>
        <v>0</v>
      </c>
      <c r="I1379" s="60">
        <f>PRODUCT('All-Servers'!E1389,'All-Servers'!$H1389)</f>
        <v>0</v>
      </c>
      <c r="J1379" s="60">
        <f>PRODUCT('All-Servers'!F1389,'All-Servers'!$H1389)</f>
        <v>0</v>
      </c>
      <c r="K1379" s="60">
        <f>PRODUCT('All-Servers'!G1389,'All-Servers'!$H1389)</f>
        <v>0</v>
      </c>
    </row>
    <row r="1380" spans="8:11">
      <c r="H1380" s="60">
        <f>PRODUCT('All-Servers'!D1390,'All-Servers'!$H1390)</f>
        <v>0</v>
      </c>
      <c r="I1380" s="60">
        <f>PRODUCT('All-Servers'!E1390,'All-Servers'!$H1390)</f>
        <v>0</v>
      </c>
      <c r="J1380" s="60">
        <f>PRODUCT('All-Servers'!F1390,'All-Servers'!$H1390)</f>
        <v>0</v>
      </c>
      <c r="K1380" s="60">
        <f>PRODUCT('All-Servers'!G1390,'All-Servers'!$H1390)</f>
        <v>0</v>
      </c>
    </row>
    <row r="1381" spans="8:11">
      <c r="H1381" s="60">
        <f>PRODUCT('All-Servers'!D1391,'All-Servers'!$H1391)</f>
        <v>0</v>
      </c>
      <c r="I1381" s="60">
        <f>PRODUCT('All-Servers'!E1391,'All-Servers'!$H1391)</f>
        <v>0</v>
      </c>
      <c r="J1381" s="60">
        <f>PRODUCT('All-Servers'!F1391,'All-Servers'!$H1391)</f>
        <v>0</v>
      </c>
      <c r="K1381" s="60">
        <f>PRODUCT('All-Servers'!G1391,'All-Servers'!$H1391)</f>
        <v>0</v>
      </c>
    </row>
    <row r="1382" spans="8:11">
      <c r="H1382" s="60">
        <f>PRODUCT('All-Servers'!D1392,'All-Servers'!$H1392)</f>
        <v>0</v>
      </c>
      <c r="I1382" s="60">
        <f>PRODUCT('All-Servers'!E1392,'All-Servers'!$H1392)</f>
        <v>0</v>
      </c>
      <c r="J1382" s="60">
        <f>PRODUCT('All-Servers'!F1392,'All-Servers'!$H1392)</f>
        <v>0</v>
      </c>
      <c r="K1382" s="60">
        <f>PRODUCT('All-Servers'!G1392,'All-Servers'!$H1392)</f>
        <v>0</v>
      </c>
    </row>
    <row r="1383" spans="8:11">
      <c r="H1383" s="60">
        <f>PRODUCT('All-Servers'!D1393,'All-Servers'!$H1393)</f>
        <v>0</v>
      </c>
      <c r="I1383" s="60">
        <f>PRODUCT('All-Servers'!E1393,'All-Servers'!$H1393)</f>
        <v>0</v>
      </c>
      <c r="J1383" s="60">
        <f>PRODUCT('All-Servers'!F1393,'All-Servers'!$H1393)</f>
        <v>0</v>
      </c>
      <c r="K1383" s="60">
        <f>PRODUCT('All-Servers'!G1393,'All-Servers'!$H1393)</f>
        <v>0</v>
      </c>
    </row>
    <row r="1384" spans="8:11">
      <c r="H1384" s="60">
        <f>PRODUCT('All-Servers'!D1394,'All-Servers'!$H1394)</f>
        <v>0</v>
      </c>
      <c r="I1384" s="60">
        <f>PRODUCT('All-Servers'!E1394,'All-Servers'!$H1394)</f>
        <v>0</v>
      </c>
      <c r="J1384" s="60">
        <f>PRODUCT('All-Servers'!F1394,'All-Servers'!$H1394)</f>
        <v>0</v>
      </c>
      <c r="K1384" s="60">
        <f>PRODUCT('All-Servers'!G1394,'All-Servers'!$H1394)</f>
        <v>0</v>
      </c>
    </row>
    <row r="1385" spans="8:11">
      <c r="H1385" s="60">
        <f>PRODUCT('All-Servers'!D1395,'All-Servers'!$H1395)</f>
        <v>0</v>
      </c>
      <c r="I1385" s="60">
        <f>PRODUCT('All-Servers'!E1395,'All-Servers'!$H1395)</f>
        <v>0</v>
      </c>
      <c r="J1385" s="60">
        <f>PRODUCT('All-Servers'!F1395,'All-Servers'!$H1395)</f>
        <v>0</v>
      </c>
      <c r="K1385" s="60">
        <f>PRODUCT('All-Servers'!G1395,'All-Servers'!$H1395)</f>
        <v>0</v>
      </c>
    </row>
    <row r="1386" spans="8:11">
      <c r="H1386" s="60">
        <f>PRODUCT('All-Servers'!D1396,'All-Servers'!$H1396)</f>
        <v>0</v>
      </c>
      <c r="I1386" s="60">
        <f>PRODUCT('All-Servers'!E1396,'All-Servers'!$H1396)</f>
        <v>0</v>
      </c>
      <c r="J1386" s="60">
        <f>PRODUCT('All-Servers'!F1396,'All-Servers'!$H1396)</f>
        <v>0</v>
      </c>
      <c r="K1386" s="60">
        <f>PRODUCT('All-Servers'!G1396,'All-Servers'!$H1396)</f>
        <v>0</v>
      </c>
    </row>
    <row r="1387" spans="8:11">
      <c r="H1387" s="60">
        <f>PRODUCT('All-Servers'!D1397,'All-Servers'!$H1397)</f>
        <v>0</v>
      </c>
      <c r="I1387" s="60">
        <f>PRODUCT('All-Servers'!E1397,'All-Servers'!$H1397)</f>
        <v>0</v>
      </c>
      <c r="J1387" s="60">
        <f>PRODUCT('All-Servers'!F1397,'All-Servers'!$H1397)</f>
        <v>0</v>
      </c>
      <c r="K1387" s="60">
        <f>PRODUCT('All-Servers'!G1397,'All-Servers'!$H1397)</f>
        <v>0</v>
      </c>
    </row>
    <row r="1388" spans="8:11">
      <c r="H1388" s="60">
        <f>PRODUCT('All-Servers'!D1398,'All-Servers'!$H1398)</f>
        <v>0</v>
      </c>
      <c r="I1388" s="60">
        <f>PRODUCT('All-Servers'!E1398,'All-Servers'!$H1398)</f>
        <v>0</v>
      </c>
      <c r="J1388" s="60">
        <f>PRODUCT('All-Servers'!F1398,'All-Servers'!$H1398)</f>
        <v>0</v>
      </c>
      <c r="K1388" s="60">
        <f>PRODUCT('All-Servers'!G1398,'All-Servers'!$H1398)</f>
        <v>0</v>
      </c>
    </row>
    <row r="1389" spans="8:11">
      <c r="H1389" s="60">
        <f>PRODUCT('All-Servers'!D1399,'All-Servers'!$H1399)</f>
        <v>0</v>
      </c>
      <c r="I1389" s="60">
        <f>PRODUCT('All-Servers'!E1399,'All-Servers'!$H1399)</f>
        <v>0</v>
      </c>
      <c r="J1389" s="60">
        <f>PRODUCT('All-Servers'!F1399,'All-Servers'!$H1399)</f>
        <v>0</v>
      </c>
      <c r="K1389" s="60">
        <f>PRODUCT('All-Servers'!G1399,'All-Servers'!$H1399)</f>
        <v>0</v>
      </c>
    </row>
    <row r="1390" spans="8:11">
      <c r="H1390" s="60">
        <f>PRODUCT('All-Servers'!D1400,'All-Servers'!$H1400)</f>
        <v>0</v>
      </c>
      <c r="I1390" s="60">
        <f>PRODUCT('All-Servers'!E1400,'All-Servers'!$H1400)</f>
        <v>0</v>
      </c>
      <c r="J1390" s="60">
        <f>PRODUCT('All-Servers'!F1400,'All-Servers'!$H1400)</f>
        <v>0</v>
      </c>
      <c r="K1390" s="60">
        <f>PRODUCT('All-Servers'!G1400,'All-Servers'!$H1400)</f>
        <v>0</v>
      </c>
    </row>
    <row r="1391" spans="8:11">
      <c r="H1391" s="60">
        <f>PRODUCT('All-Servers'!D1401,'All-Servers'!$H1401)</f>
        <v>0</v>
      </c>
      <c r="I1391" s="60">
        <f>PRODUCT('All-Servers'!E1401,'All-Servers'!$H1401)</f>
        <v>0</v>
      </c>
      <c r="J1391" s="60">
        <f>PRODUCT('All-Servers'!F1401,'All-Servers'!$H1401)</f>
        <v>0</v>
      </c>
      <c r="K1391" s="60">
        <f>PRODUCT('All-Servers'!G1401,'All-Servers'!$H1401)</f>
        <v>0</v>
      </c>
    </row>
    <row r="1392" spans="8:11">
      <c r="H1392" s="60">
        <f>PRODUCT('All-Servers'!D1402,'All-Servers'!$H1402)</f>
        <v>0</v>
      </c>
      <c r="I1392" s="60">
        <f>PRODUCT('All-Servers'!E1402,'All-Servers'!$H1402)</f>
        <v>0</v>
      </c>
      <c r="J1392" s="60">
        <f>PRODUCT('All-Servers'!F1402,'All-Servers'!$H1402)</f>
        <v>0</v>
      </c>
      <c r="K1392" s="60">
        <f>PRODUCT('All-Servers'!G1402,'All-Servers'!$H1402)</f>
        <v>0</v>
      </c>
    </row>
    <row r="1393" spans="8:11">
      <c r="H1393" s="60">
        <f>PRODUCT('All-Servers'!D1403,'All-Servers'!$H1403)</f>
        <v>0</v>
      </c>
      <c r="I1393" s="60">
        <f>PRODUCT('All-Servers'!E1403,'All-Servers'!$H1403)</f>
        <v>0</v>
      </c>
      <c r="J1393" s="60">
        <f>PRODUCT('All-Servers'!F1403,'All-Servers'!$H1403)</f>
        <v>0</v>
      </c>
      <c r="K1393" s="60">
        <f>PRODUCT('All-Servers'!G1403,'All-Servers'!$H1403)</f>
        <v>0</v>
      </c>
    </row>
    <row r="1394" spans="8:11">
      <c r="H1394" s="60">
        <f>PRODUCT('All-Servers'!D1404,'All-Servers'!$H1404)</f>
        <v>0</v>
      </c>
      <c r="I1394" s="60">
        <f>PRODUCT('All-Servers'!E1404,'All-Servers'!$H1404)</f>
        <v>0</v>
      </c>
      <c r="J1394" s="60">
        <f>PRODUCT('All-Servers'!F1404,'All-Servers'!$H1404)</f>
        <v>0</v>
      </c>
      <c r="K1394" s="60">
        <f>PRODUCT('All-Servers'!G1404,'All-Servers'!$H1404)</f>
        <v>0</v>
      </c>
    </row>
    <row r="1395" spans="8:11">
      <c r="H1395" s="60">
        <f>PRODUCT('All-Servers'!D1405,'All-Servers'!$H1405)</f>
        <v>0</v>
      </c>
      <c r="I1395" s="60">
        <f>PRODUCT('All-Servers'!E1405,'All-Servers'!$H1405)</f>
        <v>0</v>
      </c>
      <c r="J1395" s="60">
        <f>PRODUCT('All-Servers'!F1405,'All-Servers'!$H1405)</f>
        <v>0</v>
      </c>
      <c r="K1395" s="60">
        <f>PRODUCT('All-Servers'!G1405,'All-Servers'!$H1405)</f>
        <v>0</v>
      </c>
    </row>
    <row r="1396" spans="8:11">
      <c r="H1396" s="60">
        <f>PRODUCT('All-Servers'!D1406,'All-Servers'!$H1406)</f>
        <v>0</v>
      </c>
      <c r="I1396" s="60">
        <f>PRODUCT('All-Servers'!E1406,'All-Servers'!$H1406)</f>
        <v>0</v>
      </c>
      <c r="J1396" s="60">
        <f>PRODUCT('All-Servers'!F1406,'All-Servers'!$H1406)</f>
        <v>0</v>
      </c>
      <c r="K1396" s="60">
        <f>PRODUCT('All-Servers'!G1406,'All-Servers'!$H1406)</f>
        <v>0</v>
      </c>
    </row>
    <row r="1397" spans="8:11">
      <c r="H1397" s="60">
        <f>PRODUCT('All-Servers'!D1407,'All-Servers'!$H1407)</f>
        <v>0</v>
      </c>
      <c r="I1397" s="60">
        <f>PRODUCT('All-Servers'!E1407,'All-Servers'!$H1407)</f>
        <v>0</v>
      </c>
      <c r="J1397" s="60">
        <f>PRODUCT('All-Servers'!F1407,'All-Servers'!$H1407)</f>
        <v>0</v>
      </c>
      <c r="K1397" s="60">
        <f>PRODUCT('All-Servers'!G1407,'All-Servers'!$H1407)</f>
        <v>0</v>
      </c>
    </row>
    <row r="1398" spans="8:11">
      <c r="H1398" s="60">
        <f>PRODUCT('All-Servers'!D1408,'All-Servers'!$H1408)</f>
        <v>0</v>
      </c>
      <c r="I1398" s="60">
        <f>PRODUCT('All-Servers'!E1408,'All-Servers'!$H1408)</f>
        <v>0</v>
      </c>
      <c r="J1398" s="60">
        <f>PRODUCT('All-Servers'!F1408,'All-Servers'!$H1408)</f>
        <v>0</v>
      </c>
      <c r="K1398" s="60">
        <f>PRODUCT('All-Servers'!G1408,'All-Servers'!$H1408)</f>
        <v>0</v>
      </c>
    </row>
    <row r="1399" spans="8:11">
      <c r="H1399" s="60">
        <f>PRODUCT('All-Servers'!D1409,'All-Servers'!$H1409)</f>
        <v>0</v>
      </c>
      <c r="I1399" s="60">
        <f>PRODUCT('All-Servers'!E1409,'All-Servers'!$H1409)</f>
        <v>0</v>
      </c>
      <c r="J1399" s="60">
        <f>PRODUCT('All-Servers'!F1409,'All-Servers'!$H1409)</f>
        <v>0</v>
      </c>
      <c r="K1399" s="60">
        <f>PRODUCT('All-Servers'!G1409,'All-Servers'!$H1409)</f>
        <v>0</v>
      </c>
    </row>
    <row r="1400" spans="8:11">
      <c r="H1400" s="60">
        <f>PRODUCT('All-Servers'!D1410,'All-Servers'!$H1410)</f>
        <v>0</v>
      </c>
      <c r="I1400" s="60">
        <f>PRODUCT('All-Servers'!E1410,'All-Servers'!$H1410)</f>
        <v>0</v>
      </c>
      <c r="J1400" s="60">
        <f>PRODUCT('All-Servers'!F1410,'All-Servers'!$H1410)</f>
        <v>0</v>
      </c>
      <c r="K1400" s="60">
        <f>PRODUCT('All-Servers'!G1410,'All-Servers'!$H1410)</f>
        <v>0</v>
      </c>
    </row>
    <row r="1401" spans="8:11">
      <c r="H1401" s="60">
        <f>PRODUCT('All-Servers'!D1411,'All-Servers'!$H1411)</f>
        <v>0</v>
      </c>
      <c r="I1401" s="60">
        <f>PRODUCT('All-Servers'!E1411,'All-Servers'!$H1411)</f>
        <v>0</v>
      </c>
      <c r="J1401" s="60">
        <f>PRODUCT('All-Servers'!F1411,'All-Servers'!$H1411)</f>
        <v>0</v>
      </c>
      <c r="K1401" s="60">
        <f>PRODUCT('All-Servers'!G1411,'All-Servers'!$H1411)</f>
        <v>0</v>
      </c>
    </row>
    <row r="1402" spans="8:11">
      <c r="H1402" s="60">
        <f>PRODUCT('All-Servers'!D1412,'All-Servers'!$H1412)</f>
        <v>0</v>
      </c>
      <c r="I1402" s="60">
        <f>PRODUCT('All-Servers'!E1412,'All-Servers'!$H1412)</f>
        <v>0</v>
      </c>
      <c r="J1402" s="60">
        <f>PRODUCT('All-Servers'!F1412,'All-Servers'!$H1412)</f>
        <v>0</v>
      </c>
      <c r="K1402" s="60">
        <f>PRODUCT('All-Servers'!G1412,'All-Servers'!$H1412)</f>
        <v>0</v>
      </c>
    </row>
    <row r="1403" spans="8:11">
      <c r="H1403" s="60">
        <f>PRODUCT('All-Servers'!D1413,'All-Servers'!$H1413)</f>
        <v>0</v>
      </c>
      <c r="I1403" s="60">
        <f>PRODUCT('All-Servers'!E1413,'All-Servers'!$H1413)</f>
        <v>0</v>
      </c>
      <c r="J1403" s="60">
        <f>PRODUCT('All-Servers'!F1413,'All-Servers'!$H1413)</f>
        <v>0</v>
      </c>
      <c r="K1403" s="60">
        <f>PRODUCT('All-Servers'!G1413,'All-Servers'!$H1413)</f>
        <v>0</v>
      </c>
    </row>
    <row r="1404" spans="8:11">
      <c r="H1404" s="60">
        <f>PRODUCT('All-Servers'!D1414,'All-Servers'!$H1414)</f>
        <v>0</v>
      </c>
      <c r="I1404" s="60">
        <f>PRODUCT('All-Servers'!E1414,'All-Servers'!$H1414)</f>
        <v>0</v>
      </c>
      <c r="J1404" s="60">
        <f>PRODUCT('All-Servers'!F1414,'All-Servers'!$H1414)</f>
        <v>0</v>
      </c>
      <c r="K1404" s="60">
        <f>PRODUCT('All-Servers'!G1414,'All-Servers'!$H1414)</f>
        <v>0</v>
      </c>
    </row>
    <row r="1405" spans="8:11">
      <c r="H1405" s="60">
        <f>PRODUCT('All-Servers'!D1415,'All-Servers'!$H1415)</f>
        <v>0</v>
      </c>
      <c r="I1405" s="60">
        <f>PRODUCT('All-Servers'!E1415,'All-Servers'!$H1415)</f>
        <v>0</v>
      </c>
      <c r="J1405" s="60">
        <f>PRODUCT('All-Servers'!F1415,'All-Servers'!$H1415)</f>
        <v>0</v>
      </c>
      <c r="K1405" s="60">
        <f>PRODUCT('All-Servers'!G1415,'All-Servers'!$H1415)</f>
        <v>0</v>
      </c>
    </row>
    <row r="1406" spans="8:11">
      <c r="H1406" s="60">
        <f>PRODUCT('All-Servers'!D1416,'All-Servers'!$H1416)</f>
        <v>0</v>
      </c>
      <c r="I1406" s="60">
        <f>PRODUCT('All-Servers'!E1416,'All-Servers'!$H1416)</f>
        <v>0</v>
      </c>
      <c r="J1406" s="60">
        <f>PRODUCT('All-Servers'!F1416,'All-Servers'!$H1416)</f>
        <v>0</v>
      </c>
      <c r="K1406" s="60">
        <f>PRODUCT('All-Servers'!G1416,'All-Servers'!$H1416)</f>
        <v>0</v>
      </c>
    </row>
    <row r="1407" spans="8:11">
      <c r="H1407" s="60">
        <f>PRODUCT('All-Servers'!D1417,'All-Servers'!$H1417)</f>
        <v>0</v>
      </c>
      <c r="I1407" s="60">
        <f>PRODUCT('All-Servers'!E1417,'All-Servers'!$H1417)</f>
        <v>0</v>
      </c>
      <c r="J1407" s="60">
        <f>PRODUCT('All-Servers'!F1417,'All-Servers'!$H1417)</f>
        <v>0</v>
      </c>
      <c r="K1407" s="60">
        <f>PRODUCT('All-Servers'!G1417,'All-Servers'!$H1417)</f>
        <v>0</v>
      </c>
    </row>
    <row r="1408" spans="8:11">
      <c r="H1408" s="60">
        <f>PRODUCT('All-Servers'!D1418,'All-Servers'!$H1418)</f>
        <v>0</v>
      </c>
      <c r="I1408" s="60">
        <f>PRODUCT('All-Servers'!E1418,'All-Servers'!$H1418)</f>
        <v>0</v>
      </c>
      <c r="J1408" s="60">
        <f>PRODUCT('All-Servers'!F1418,'All-Servers'!$H1418)</f>
        <v>0</v>
      </c>
      <c r="K1408" s="60">
        <f>PRODUCT('All-Servers'!G1418,'All-Servers'!$H1418)</f>
        <v>0</v>
      </c>
    </row>
    <row r="1409" spans="8:11">
      <c r="H1409" s="60">
        <f>PRODUCT('All-Servers'!D1419,'All-Servers'!$H1419)</f>
        <v>0</v>
      </c>
      <c r="I1409" s="60">
        <f>PRODUCT('All-Servers'!E1419,'All-Servers'!$H1419)</f>
        <v>0</v>
      </c>
      <c r="J1409" s="60">
        <f>PRODUCT('All-Servers'!F1419,'All-Servers'!$H1419)</f>
        <v>0</v>
      </c>
      <c r="K1409" s="60">
        <f>PRODUCT('All-Servers'!G1419,'All-Servers'!$H1419)</f>
        <v>0</v>
      </c>
    </row>
    <row r="1410" spans="8:11">
      <c r="H1410" s="60">
        <f>PRODUCT('All-Servers'!D1420,'All-Servers'!$H1420)</f>
        <v>0</v>
      </c>
      <c r="I1410" s="60">
        <f>PRODUCT('All-Servers'!E1420,'All-Servers'!$H1420)</f>
        <v>0</v>
      </c>
      <c r="J1410" s="60">
        <f>PRODUCT('All-Servers'!F1420,'All-Servers'!$H1420)</f>
        <v>0</v>
      </c>
      <c r="K1410" s="60">
        <f>PRODUCT('All-Servers'!G1420,'All-Servers'!$H1420)</f>
        <v>0</v>
      </c>
    </row>
    <row r="1411" spans="8:11">
      <c r="H1411" s="60">
        <f>PRODUCT('All-Servers'!D1421,'All-Servers'!$H1421)</f>
        <v>0</v>
      </c>
      <c r="I1411" s="60">
        <f>PRODUCT('All-Servers'!E1421,'All-Servers'!$H1421)</f>
        <v>0</v>
      </c>
      <c r="J1411" s="60">
        <f>PRODUCT('All-Servers'!F1421,'All-Servers'!$H1421)</f>
        <v>0</v>
      </c>
      <c r="K1411" s="60">
        <f>PRODUCT('All-Servers'!G1421,'All-Servers'!$H1421)</f>
        <v>0</v>
      </c>
    </row>
    <row r="1412" spans="8:11">
      <c r="H1412" s="60">
        <f>PRODUCT('All-Servers'!D1422,'All-Servers'!$H1422)</f>
        <v>0</v>
      </c>
      <c r="I1412" s="60">
        <f>PRODUCT('All-Servers'!E1422,'All-Servers'!$H1422)</f>
        <v>0</v>
      </c>
      <c r="J1412" s="60">
        <f>PRODUCT('All-Servers'!F1422,'All-Servers'!$H1422)</f>
        <v>0</v>
      </c>
      <c r="K1412" s="60">
        <f>PRODUCT('All-Servers'!G1422,'All-Servers'!$H1422)</f>
        <v>0</v>
      </c>
    </row>
    <row r="1413" spans="8:11">
      <c r="H1413" s="60">
        <f>PRODUCT('All-Servers'!D1423,'All-Servers'!$H1423)</f>
        <v>0</v>
      </c>
      <c r="I1413" s="60">
        <f>PRODUCT('All-Servers'!E1423,'All-Servers'!$H1423)</f>
        <v>0</v>
      </c>
      <c r="J1413" s="60">
        <f>PRODUCT('All-Servers'!F1423,'All-Servers'!$H1423)</f>
        <v>0</v>
      </c>
      <c r="K1413" s="60">
        <f>PRODUCT('All-Servers'!G1423,'All-Servers'!$H1423)</f>
        <v>0</v>
      </c>
    </row>
    <row r="1414" spans="8:11">
      <c r="H1414" s="60">
        <f>PRODUCT('All-Servers'!D1424,'All-Servers'!$H1424)</f>
        <v>0</v>
      </c>
      <c r="I1414" s="60">
        <f>PRODUCT('All-Servers'!E1424,'All-Servers'!$H1424)</f>
        <v>0</v>
      </c>
      <c r="J1414" s="60">
        <f>PRODUCT('All-Servers'!F1424,'All-Servers'!$H1424)</f>
        <v>0</v>
      </c>
      <c r="K1414" s="60">
        <f>PRODUCT('All-Servers'!G1424,'All-Servers'!$H1424)</f>
        <v>0</v>
      </c>
    </row>
    <row r="1415" spans="8:11">
      <c r="H1415" s="60">
        <f>PRODUCT('All-Servers'!D1425,'All-Servers'!$H1425)</f>
        <v>0</v>
      </c>
      <c r="I1415" s="60">
        <f>PRODUCT('All-Servers'!E1425,'All-Servers'!$H1425)</f>
        <v>0</v>
      </c>
      <c r="J1415" s="60">
        <f>PRODUCT('All-Servers'!F1425,'All-Servers'!$H1425)</f>
        <v>0</v>
      </c>
      <c r="K1415" s="60">
        <f>PRODUCT('All-Servers'!G1425,'All-Servers'!$H1425)</f>
        <v>0</v>
      </c>
    </row>
    <row r="1416" spans="8:11">
      <c r="H1416" s="60">
        <f>PRODUCT('All-Servers'!D1426,'All-Servers'!$H1426)</f>
        <v>0</v>
      </c>
      <c r="I1416" s="60">
        <f>PRODUCT('All-Servers'!E1426,'All-Servers'!$H1426)</f>
        <v>0</v>
      </c>
      <c r="J1416" s="60">
        <f>PRODUCT('All-Servers'!F1426,'All-Servers'!$H1426)</f>
        <v>0</v>
      </c>
      <c r="K1416" s="60">
        <f>PRODUCT('All-Servers'!G1426,'All-Servers'!$H1426)</f>
        <v>0</v>
      </c>
    </row>
    <row r="1417" spans="8:11">
      <c r="H1417" s="60">
        <f>PRODUCT('All-Servers'!D1427,'All-Servers'!$H1427)</f>
        <v>0</v>
      </c>
      <c r="I1417" s="60">
        <f>PRODUCT('All-Servers'!E1427,'All-Servers'!$H1427)</f>
        <v>0</v>
      </c>
      <c r="J1417" s="60">
        <f>PRODUCT('All-Servers'!F1427,'All-Servers'!$H1427)</f>
        <v>0</v>
      </c>
      <c r="K1417" s="60">
        <f>PRODUCT('All-Servers'!G1427,'All-Servers'!$H1427)</f>
        <v>0</v>
      </c>
    </row>
    <row r="1418" spans="8:11">
      <c r="H1418" s="60">
        <f>PRODUCT('All-Servers'!D1428,'All-Servers'!$H1428)</f>
        <v>0</v>
      </c>
      <c r="I1418" s="60">
        <f>PRODUCT('All-Servers'!E1428,'All-Servers'!$H1428)</f>
        <v>0</v>
      </c>
      <c r="J1418" s="60">
        <f>PRODUCT('All-Servers'!F1428,'All-Servers'!$H1428)</f>
        <v>0</v>
      </c>
      <c r="K1418" s="60">
        <f>PRODUCT('All-Servers'!G1428,'All-Servers'!$H1428)</f>
        <v>0</v>
      </c>
    </row>
    <row r="1419" spans="8:11">
      <c r="H1419" s="60">
        <f>PRODUCT('All-Servers'!D1429,'All-Servers'!$H1429)</f>
        <v>0</v>
      </c>
      <c r="I1419" s="60">
        <f>PRODUCT('All-Servers'!E1429,'All-Servers'!$H1429)</f>
        <v>0</v>
      </c>
      <c r="J1419" s="60">
        <f>PRODUCT('All-Servers'!F1429,'All-Servers'!$H1429)</f>
        <v>0</v>
      </c>
      <c r="K1419" s="60">
        <f>PRODUCT('All-Servers'!G1429,'All-Servers'!$H1429)</f>
        <v>0</v>
      </c>
    </row>
    <row r="1420" spans="8:11">
      <c r="H1420" s="60">
        <f>PRODUCT('All-Servers'!D1430,'All-Servers'!$H1430)</f>
        <v>0</v>
      </c>
      <c r="I1420" s="60">
        <f>PRODUCT('All-Servers'!E1430,'All-Servers'!$H1430)</f>
        <v>0</v>
      </c>
      <c r="J1420" s="60">
        <f>PRODUCT('All-Servers'!F1430,'All-Servers'!$H1430)</f>
        <v>0</v>
      </c>
      <c r="K1420" s="60">
        <f>PRODUCT('All-Servers'!G1430,'All-Servers'!$H1430)</f>
        <v>0</v>
      </c>
    </row>
    <row r="1421" spans="8:11">
      <c r="H1421" s="60">
        <f>PRODUCT('All-Servers'!D1431,'All-Servers'!$H1431)</f>
        <v>0</v>
      </c>
      <c r="I1421" s="60">
        <f>PRODUCT('All-Servers'!E1431,'All-Servers'!$H1431)</f>
        <v>0</v>
      </c>
      <c r="J1421" s="60">
        <f>PRODUCT('All-Servers'!F1431,'All-Servers'!$H1431)</f>
        <v>0</v>
      </c>
      <c r="K1421" s="60">
        <f>PRODUCT('All-Servers'!G1431,'All-Servers'!$H1431)</f>
        <v>0</v>
      </c>
    </row>
    <row r="1422" spans="8:11">
      <c r="H1422" s="60">
        <f>PRODUCT('All-Servers'!D1432,'All-Servers'!$H1432)</f>
        <v>0</v>
      </c>
      <c r="I1422" s="60">
        <f>PRODUCT('All-Servers'!E1432,'All-Servers'!$H1432)</f>
        <v>0</v>
      </c>
      <c r="J1422" s="60">
        <f>PRODUCT('All-Servers'!F1432,'All-Servers'!$H1432)</f>
        <v>0</v>
      </c>
      <c r="K1422" s="60">
        <f>PRODUCT('All-Servers'!G1432,'All-Servers'!$H1432)</f>
        <v>0</v>
      </c>
    </row>
    <row r="1423" spans="8:11">
      <c r="H1423" s="60">
        <f>PRODUCT('All-Servers'!D1433,'All-Servers'!$H1433)</f>
        <v>0</v>
      </c>
      <c r="I1423" s="60">
        <f>PRODUCT('All-Servers'!E1433,'All-Servers'!$H1433)</f>
        <v>0</v>
      </c>
      <c r="J1423" s="60">
        <f>PRODUCT('All-Servers'!F1433,'All-Servers'!$H1433)</f>
        <v>0</v>
      </c>
      <c r="K1423" s="60">
        <f>PRODUCT('All-Servers'!G1433,'All-Servers'!$H1433)</f>
        <v>0</v>
      </c>
    </row>
    <row r="1424" spans="8:11">
      <c r="H1424" s="60">
        <f>PRODUCT('All-Servers'!D1434,'All-Servers'!$H1434)</f>
        <v>0</v>
      </c>
      <c r="I1424" s="60">
        <f>PRODUCT('All-Servers'!E1434,'All-Servers'!$H1434)</f>
        <v>0</v>
      </c>
      <c r="J1424" s="60">
        <f>PRODUCT('All-Servers'!F1434,'All-Servers'!$H1434)</f>
        <v>0</v>
      </c>
      <c r="K1424" s="60">
        <f>PRODUCT('All-Servers'!G1434,'All-Servers'!$H1434)</f>
        <v>0</v>
      </c>
    </row>
    <row r="1425" spans="8:11">
      <c r="H1425" s="60">
        <f>PRODUCT('All-Servers'!D1435,'All-Servers'!$H1435)</f>
        <v>0</v>
      </c>
      <c r="I1425" s="60">
        <f>PRODUCT('All-Servers'!E1435,'All-Servers'!$H1435)</f>
        <v>0</v>
      </c>
      <c r="J1425" s="60">
        <f>PRODUCT('All-Servers'!F1435,'All-Servers'!$H1435)</f>
        <v>0</v>
      </c>
      <c r="K1425" s="60">
        <f>PRODUCT('All-Servers'!G1435,'All-Servers'!$H1435)</f>
        <v>0</v>
      </c>
    </row>
    <row r="1426" spans="8:11">
      <c r="H1426" s="60">
        <f>PRODUCT('All-Servers'!D1436,'All-Servers'!$H1436)</f>
        <v>0</v>
      </c>
      <c r="I1426" s="60">
        <f>PRODUCT('All-Servers'!E1436,'All-Servers'!$H1436)</f>
        <v>0</v>
      </c>
      <c r="J1426" s="60">
        <f>PRODUCT('All-Servers'!F1436,'All-Servers'!$H1436)</f>
        <v>0</v>
      </c>
      <c r="K1426" s="60">
        <f>PRODUCT('All-Servers'!G1436,'All-Servers'!$H1436)</f>
        <v>0</v>
      </c>
    </row>
    <row r="1427" spans="8:11">
      <c r="H1427" s="60">
        <f>PRODUCT('All-Servers'!D1437,'All-Servers'!$H1437)</f>
        <v>0</v>
      </c>
      <c r="I1427" s="60">
        <f>PRODUCT('All-Servers'!E1437,'All-Servers'!$H1437)</f>
        <v>0</v>
      </c>
      <c r="J1427" s="60">
        <f>PRODUCT('All-Servers'!F1437,'All-Servers'!$H1437)</f>
        <v>0</v>
      </c>
      <c r="K1427" s="60">
        <f>PRODUCT('All-Servers'!G1437,'All-Servers'!$H1437)</f>
        <v>0</v>
      </c>
    </row>
    <row r="1428" spans="8:11">
      <c r="H1428" s="60">
        <f>PRODUCT('All-Servers'!D1438,'All-Servers'!$H1438)</f>
        <v>0</v>
      </c>
      <c r="I1428" s="60">
        <f>PRODUCT('All-Servers'!E1438,'All-Servers'!$H1438)</f>
        <v>0</v>
      </c>
      <c r="J1428" s="60">
        <f>PRODUCT('All-Servers'!F1438,'All-Servers'!$H1438)</f>
        <v>0</v>
      </c>
      <c r="K1428" s="60">
        <f>PRODUCT('All-Servers'!G1438,'All-Servers'!$H1438)</f>
        <v>0</v>
      </c>
    </row>
    <row r="1429" spans="8:11">
      <c r="H1429" s="60">
        <f>PRODUCT('All-Servers'!D1439,'All-Servers'!$H1439)</f>
        <v>0</v>
      </c>
      <c r="I1429" s="60">
        <f>PRODUCT('All-Servers'!E1439,'All-Servers'!$H1439)</f>
        <v>0</v>
      </c>
      <c r="J1429" s="60">
        <f>PRODUCT('All-Servers'!F1439,'All-Servers'!$H1439)</f>
        <v>0</v>
      </c>
      <c r="K1429" s="60">
        <f>PRODUCT('All-Servers'!G1439,'All-Servers'!$H1439)</f>
        <v>0</v>
      </c>
    </row>
    <row r="1430" spans="8:11">
      <c r="H1430" s="60">
        <f>PRODUCT('All-Servers'!D1440,'All-Servers'!$H1440)</f>
        <v>0</v>
      </c>
      <c r="I1430" s="60">
        <f>PRODUCT('All-Servers'!E1440,'All-Servers'!$H1440)</f>
        <v>0</v>
      </c>
      <c r="J1430" s="60">
        <f>PRODUCT('All-Servers'!F1440,'All-Servers'!$H1440)</f>
        <v>0</v>
      </c>
      <c r="K1430" s="60">
        <f>PRODUCT('All-Servers'!G1440,'All-Servers'!$H1440)</f>
        <v>0</v>
      </c>
    </row>
    <row r="1431" spans="8:11">
      <c r="H1431" s="60">
        <f>PRODUCT('All-Servers'!D1441,'All-Servers'!$H1441)</f>
        <v>0</v>
      </c>
      <c r="I1431" s="60">
        <f>PRODUCT('All-Servers'!E1441,'All-Servers'!$H1441)</f>
        <v>0</v>
      </c>
      <c r="J1431" s="60">
        <f>PRODUCT('All-Servers'!F1441,'All-Servers'!$H1441)</f>
        <v>0</v>
      </c>
      <c r="K1431" s="60">
        <f>PRODUCT('All-Servers'!G1441,'All-Servers'!$H1441)</f>
        <v>0</v>
      </c>
    </row>
    <row r="1432" spans="8:11">
      <c r="H1432" s="60">
        <f>PRODUCT('All-Servers'!D1442,'All-Servers'!$H1442)</f>
        <v>0</v>
      </c>
      <c r="I1432" s="60">
        <f>PRODUCT('All-Servers'!E1442,'All-Servers'!$H1442)</f>
        <v>0</v>
      </c>
      <c r="J1432" s="60">
        <f>PRODUCT('All-Servers'!F1442,'All-Servers'!$H1442)</f>
        <v>0</v>
      </c>
      <c r="K1432" s="60">
        <f>PRODUCT('All-Servers'!G1442,'All-Servers'!$H1442)</f>
        <v>0</v>
      </c>
    </row>
    <row r="1433" spans="8:11">
      <c r="H1433" s="60">
        <f>PRODUCT('All-Servers'!D1443,'All-Servers'!$H1443)</f>
        <v>0</v>
      </c>
      <c r="I1433" s="60">
        <f>PRODUCT('All-Servers'!E1443,'All-Servers'!$H1443)</f>
        <v>0</v>
      </c>
      <c r="J1433" s="60">
        <f>PRODUCT('All-Servers'!F1443,'All-Servers'!$H1443)</f>
        <v>0</v>
      </c>
      <c r="K1433" s="60">
        <f>PRODUCT('All-Servers'!G1443,'All-Servers'!$H1443)</f>
        <v>0</v>
      </c>
    </row>
    <row r="1434" spans="8:11">
      <c r="H1434" s="60">
        <f>PRODUCT('All-Servers'!D1444,'All-Servers'!$H1444)</f>
        <v>0</v>
      </c>
      <c r="I1434" s="60">
        <f>PRODUCT('All-Servers'!E1444,'All-Servers'!$H1444)</f>
        <v>0</v>
      </c>
      <c r="J1434" s="60">
        <f>PRODUCT('All-Servers'!F1444,'All-Servers'!$H1444)</f>
        <v>0</v>
      </c>
      <c r="K1434" s="60">
        <f>PRODUCT('All-Servers'!G1444,'All-Servers'!$H1444)</f>
        <v>0</v>
      </c>
    </row>
    <row r="1435" spans="8:11">
      <c r="H1435" s="60">
        <f>PRODUCT('All-Servers'!D1445,'All-Servers'!$H1445)</f>
        <v>0</v>
      </c>
      <c r="I1435" s="60">
        <f>PRODUCT('All-Servers'!E1445,'All-Servers'!$H1445)</f>
        <v>0</v>
      </c>
      <c r="J1435" s="60">
        <f>PRODUCT('All-Servers'!F1445,'All-Servers'!$H1445)</f>
        <v>0</v>
      </c>
      <c r="K1435" s="60">
        <f>PRODUCT('All-Servers'!G1445,'All-Servers'!$H1445)</f>
        <v>0</v>
      </c>
    </row>
    <row r="1436" spans="8:11">
      <c r="H1436" s="60">
        <f>PRODUCT('All-Servers'!D1446,'All-Servers'!$H1446)</f>
        <v>0</v>
      </c>
      <c r="I1436" s="60">
        <f>PRODUCT('All-Servers'!E1446,'All-Servers'!$H1446)</f>
        <v>0</v>
      </c>
      <c r="J1436" s="60">
        <f>PRODUCT('All-Servers'!F1446,'All-Servers'!$H1446)</f>
        <v>0</v>
      </c>
      <c r="K1436" s="60">
        <f>PRODUCT('All-Servers'!G1446,'All-Servers'!$H1446)</f>
        <v>0</v>
      </c>
    </row>
    <row r="1437" spans="8:11">
      <c r="H1437" s="60">
        <f>PRODUCT('All-Servers'!D1447,'All-Servers'!$H1447)</f>
        <v>0</v>
      </c>
      <c r="I1437" s="60">
        <f>PRODUCT('All-Servers'!E1447,'All-Servers'!$H1447)</f>
        <v>0</v>
      </c>
      <c r="J1437" s="60">
        <f>PRODUCT('All-Servers'!F1447,'All-Servers'!$H1447)</f>
        <v>0</v>
      </c>
      <c r="K1437" s="60">
        <f>PRODUCT('All-Servers'!G1447,'All-Servers'!$H1447)</f>
        <v>0</v>
      </c>
    </row>
    <row r="1438" spans="8:11">
      <c r="H1438" s="60">
        <f>PRODUCT('All-Servers'!D1448,'All-Servers'!$H1448)</f>
        <v>0</v>
      </c>
      <c r="I1438" s="60">
        <f>PRODUCT('All-Servers'!E1448,'All-Servers'!$H1448)</f>
        <v>0</v>
      </c>
      <c r="J1438" s="60">
        <f>PRODUCT('All-Servers'!F1448,'All-Servers'!$H1448)</f>
        <v>0</v>
      </c>
      <c r="K1438" s="60">
        <f>PRODUCT('All-Servers'!G1448,'All-Servers'!$H1448)</f>
        <v>0</v>
      </c>
    </row>
    <row r="1439" spans="8:11">
      <c r="H1439" s="60">
        <f>PRODUCT('All-Servers'!D1449,'All-Servers'!$H1449)</f>
        <v>0</v>
      </c>
      <c r="I1439" s="60">
        <f>PRODUCT('All-Servers'!E1449,'All-Servers'!$H1449)</f>
        <v>0</v>
      </c>
      <c r="J1439" s="60">
        <f>PRODUCT('All-Servers'!F1449,'All-Servers'!$H1449)</f>
        <v>0</v>
      </c>
      <c r="K1439" s="60">
        <f>PRODUCT('All-Servers'!G1449,'All-Servers'!$H1449)</f>
        <v>0</v>
      </c>
    </row>
    <row r="1440" spans="8:11">
      <c r="H1440" s="60">
        <f>PRODUCT('All-Servers'!D1450,'All-Servers'!$H1450)</f>
        <v>0</v>
      </c>
      <c r="I1440" s="60">
        <f>PRODUCT('All-Servers'!E1450,'All-Servers'!$H1450)</f>
        <v>0</v>
      </c>
      <c r="J1440" s="60">
        <f>PRODUCT('All-Servers'!F1450,'All-Servers'!$H1450)</f>
        <v>0</v>
      </c>
      <c r="K1440" s="60">
        <f>PRODUCT('All-Servers'!G1450,'All-Servers'!$H1450)</f>
        <v>0</v>
      </c>
    </row>
    <row r="1441" spans="8:11">
      <c r="H1441" s="60">
        <f>PRODUCT('All-Servers'!D1451,'All-Servers'!$H1451)</f>
        <v>0</v>
      </c>
      <c r="I1441" s="60">
        <f>PRODUCT('All-Servers'!E1451,'All-Servers'!$H1451)</f>
        <v>0</v>
      </c>
      <c r="J1441" s="60">
        <f>PRODUCT('All-Servers'!F1451,'All-Servers'!$H1451)</f>
        <v>0</v>
      </c>
      <c r="K1441" s="60">
        <f>PRODUCT('All-Servers'!G1451,'All-Servers'!$H1451)</f>
        <v>0</v>
      </c>
    </row>
    <row r="1442" spans="8:11">
      <c r="H1442" s="60">
        <f>PRODUCT('All-Servers'!D1452,'All-Servers'!$H1452)</f>
        <v>0</v>
      </c>
      <c r="I1442" s="60">
        <f>PRODUCT('All-Servers'!E1452,'All-Servers'!$H1452)</f>
        <v>0</v>
      </c>
      <c r="J1442" s="60">
        <f>PRODUCT('All-Servers'!F1452,'All-Servers'!$H1452)</f>
        <v>0</v>
      </c>
      <c r="K1442" s="60">
        <f>PRODUCT('All-Servers'!G1452,'All-Servers'!$H1452)</f>
        <v>0</v>
      </c>
    </row>
    <row r="1443" spans="8:11">
      <c r="H1443" s="60">
        <f>PRODUCT('All-Servers'!D1453,'All-Servers'!$H1453)</f>
        <v>0</v>
      </c>
      <c r="I1443" s="60">
        <f>PRODUCT('All-Servers'!E1453,'All-Servers'!$H1453)</f>
        <v>0</v>
      </c>
      <c r="J1443" s="60">
        <f>PRODUCT('All-Servers'!F1453,'All-Servers'!$H1453)</f>
        <v>0</v>
      </c>
      <c r="K1443" s="60">
        <f>PRODUCT('All-Servers'!G1453,'All-Servers'!$H1453)</f>
        <v>0</v>
      </c>
    </row>
    <row r="1444" spans="8:11">
      <c r="H1444" s="60">
        <f>PRODUCT('All-Servers'!D1454,'All-Servers'!$H1454)</f>
        <v>0</v>
      </c>
      <c r="I1444" s="60">
        <f>PRODUCT('All-Servers'!E1454,'All-Servers'!$H1454)</f>
        <v>0</v>
      </c>
      <c r="J1444" s="60">
        <f>PRODUCT('All-Servers'!F1454,'All-Servers'!$H1454)</f>
        <v>0</v>
      </c>
      <c r="K1444" s="60">
        <f>PRODUCT('All-Servers'!G1454,'All-Servers'!$H1454)</f>
        <v>0</v>
      </c>
    </row>
    <row r="1445" spans="8:11">
      <c r="H1445" s="60">
        <f>PRODUCT('All-Servers'!D1455,'All-Servers'!$H1455)</f>
        <v>0</v>
      </c>
      <c r="I1445" s="60">
        <f>PRODUCT('All-Servers'!E1455,'All-Servers'!$H1455)</f>
        <v>0</v>
      </c>
      <c r="J1445" s="60">
        <f>PRODUCT('All-Servers'!F1455,'All-Servers'!$H1455)</f>
        <v>0</v>
      </c>
      <c r="K1445" s="60">
        <f>PRODUCT('All-Servers'!G1455,'All-Servers'!$H1455)</f>
        <v>0</v>
      </c>
    </row>
    <row r="1446" spans="8:11">
      <c r="H1446" s="60">
        <f>PRODUCT('All-Servers'!D1456,'All-Servers'!$H1456)</f>
        <v>0</v>
      </c>
      <c r="I1446" s="60">
        <f>PRODUCT('All-Servers'!E1456,'All-Servers'!$H1456)</f>
        <v>0</v>
      </c>
      <c r="J1446" s="60">
        <f>PRODUCT('All-Servers'!F1456,'All-Servers'!$H1456)</f>
        <v>0</v>
      </c>
      <c r="K1446" s="60">
        <f>PRODUCT('All-Servers'!G1456,'All-Servers'!$H1456)</f>
        <v>0</v>
      </c>
    </row>
    <row r="1447" spans="8:11">
      <c r="H1447" s="60">
        <f>PRODUCT('All-Servers'!D1457,'All-Servers'!$H1457)</f>
        <v>0</v>
      </c>
      <c r="I1447" s="60">
        <f>PRODUCT('All-Servers'!E1457,'All-Servers'!$H1457)</f>
        <v>0</v>
      </c>
      <c r="J1447" s="60">
        <f>PRODUCT('All-Servers'!F1457,'All-Servers'!$H1457)</f>
        <v>0</v>
      </c>
      <c r="K1447" s="60">
        <f>PRODUCT('All-Servers'!G1457,'All-Servers'!$H1457)</f>
        <v>0</v>
      </c>
    </row>
    <row r="1448" spans="8:11">
      <c r="H1448" s="60">
        <f>PRODUCT('All-Servers'!D1458,'All-Servers'!$H1458)</f>
        <v>0</v>
      </c>
      <c r="I1448" s="60">
        <f>PRODUCT('All-Servers'!E1458,'All-Servers'!$H1458)</f>
        <v>0</v>
      </c>
      <c r="J1448" s="60">
        <f>PRODUCT('All-Servers'!F1458,'All-Servers'!$H1458)</f>
        <v>0</v>
      </c>
      <c r="K1448" s="60">
        <f>PRODUCT('All-Servers'!G1458,'All-Servers'!$H1458)</f>
        <v>0</v>
      </c>
    </row>
    <row r="1449" spans="8:11">
      <c r="H1449" s="60">
        <f>PRODUCT('All-Servers'!D1459,'All-Servers'!$H1459)</f>
        <v>0</v>
      </c>
      <c r="I1449" s="60">
        <f>PRODUCT('All-Servers'!E1459,'All-Servers'!$H1459)</f>
        <v>0</v>
      </c>
      <c r="J1449" s="60">
        <f>PRODUCT('All-Servers'!F1459,'All-Servers'!$H1459)</f>
        <v>0</v>
      </c>
      <c r="K1449" s="60">
        <f>PRODUCT('All-Servers'!G1459,'All-Servers'!$H1459)</f>
        <v>0</v>
      </c>
    </row>
    <row r="1450" spans="8:11">
      <c r="H1450" s="60">
        <f>PRODUCT('All-Servers'!D1460,'All-Servers'!$H1460)</f>
        <v>0</v>
      </c>
      <c r="I1450" s="60">
        <f>PRODUCT('All-Servers'!E1460,'All-Servers'!$H1460)</f>
        <v>0</v>
      </c>
      <c r="J1450" s="60">
        <f>PRODUCT('All-Servers'!F1460,'All-Servers'!$H1460)</f>
        <v>0</v>
      </c>
      <c r="K1450" s="60">
        <f>PRODUCT('All-Servers'!G1460,'All-Servers'!$H1460)</f>
        <v>0</v>
      </c>
    </row>
    <row r="1451" spans="8:11">
      <c r="H1451" s="60">
        <f>PRODUCT('All-Servers'!D1461,'All-Servers'!$H1461)</f>
        <v>0</v>
      </c>
      <c r="I1451" s="60">
        <f>PRODUCT('All-Servers'!E1461,'All-Servers'!$H1461)</f>
        <v>0</v>
      </c>
      <c r="J1451" s="60">
        <f>PRODUCT('All-Servers'!F1461,'All-Servers'!$H1461)</f>
        <v>0</v>
      </c>
      <c r="K1451" s="60">
        <f>PRODUCT('All-Servers'!G1461,'All-Servers'!$H1461)</f>
        <v>0</v>
      </c>
    </row>
    <row r="1452" spans="8:11">
      <c r="H1452" s="60">
        <f>PRODUCT('All-Servers'!D1462,'All-Servers'!$H1462)</f>
        <v>0</v>
      </c>
      <c r="I1452" s="60">
        <f>PRODUCT('All-Servers'!E1462,'All-Servers'!$H1462)</f>
        <v>0</v>
      </c>
      <c r="J1452" s="60">
        <f>PRODUCT('All-Servers'!F1462,'All-Servers'!$H1462)</f>
        <v>0</v>
      </c>
      <c r="K1452" s="60">
        <f>PRODUCT('All-Servers'!G1462,'All-Servers'!$H1462)</f>
        <v>0</v>
      </c>
    </row>
    <row r="1453" spans="8:11">
      <c r="H1453" s="60">
        <f>PRODUCT('All-Servers'!D1463,'All-Servers'!$H1463)</f>
        <v>0</v>
      </c>
      <c r="I1453" s="60">
        <f>PRODUCT('All-Servers'!E1463,'All-Servers'!$H1463)</f>
        <v>0</v>
      </c>
      <c r="J1453" s="60">
        <f>PRODUCT('All-Servers'!F1463,'All-Servers'!$H1463)</f>
        <v>0</v>
      </c>
      <c r="K1453" s="60">
        <f>PRODUCT('All-Servers'!G1463,'All-Servers'!$H1463)</f>
        <v>0</v>
      </c>
    </row>
    <row r="1454" spans="8:11">
      <c r="H1454" s="60">
        <f>PRODUCT('All-Servers'!D1464,'All-Servers'!$H1464)</f>
        <v>0</v>
      </c>
      <c r="I1454" s="60">
        <f>PRODUCT('All-Servers'!E1464,'All-Servers'!$H1464)</f>
        <v>0</v>
      </c>
      <c r="J1454" s="60">
        <f>PRODUCT('All-Servers'!F1464,'All-Servers'!$H1464)</f>
        <v>0</v>
      </c>
      <c r="K1454" s="60">
        <f>PRODUCT('All-Servers'!G1464,'All-Servers'!$H1464)</f>
        <v>0</v>
      </c>
    </row>
    <row r="1455" spans="8:11">
      <c r="H1455" s="60">
        <f>PRODUCT('All-Servers'!D1465,'All-Servers'!$H1465)</f>
        <v>0</v>
      </c>
      <c r="I1455" s="60">
        <f>PRODUCT('All-Servers'!E1465,'All-Servers'!$H1465)</f>
        <v>0</v>
      </c>
      <c r="J1455" s="60">
        <f>PRODUCT('All-Servers'!F1465,'All-Servers'!$H1465)</f>
        <v>0</v>
      </c>
      <c r="K1455" s="60">
        <f>PRODUCT('All-Servers'!G1465,'All-Servers'!$H1465)</f>
        <v>0</v>
      </c>
    </row>
    <row r="1456" spans="8:11">
      <c r="H1456" s="60">
        <f>PRODUCT('All-Servers'!D1466,'All-Servers'!$H1466)</f>
        <v>0</v>
      </c>
      <c r="I1456" s="60">
        <f>PRODUCT('All-Servers'!E1466,'All-Servers'!$H1466)</f>
        <v>0</v>
      </c>
      <c r="J1456" s="60">
        <f>PRODUCT('All-Servers'!F1466,'All-Servers'!$H1466)</f>
        <v>0</v>
      </c>
      <c r="K1456" s="60">
        <f>PRODUCT('All-Servers'!G1466,'All-Servers'!$H1466)</f>
        <v>0</v>
      </c>
    </row>
    <row r="1457" spans="8:11">
      <c r="H1457" s="60">
        <f>PRODUCT('All-Servers'!D1467,'All-Servers'!$H1467)</f>
        <v>0</v>
      </c>
      <c r="I1457" s="60">
        <f>PRODUCT('All-Servers'!E1467,'All-Servers'!$H1467)</f>
        <v>0</v>
      </c>
      <c r="J1457" s="60">
        <f>PRODUCT('All-Servers'!F1467,'All-Servers'!$H1467)</f>
        <v>0</v>
      </c>
      <c r="K1457" s="60">
        <f>PRODUCT('All-Servers'!G1467,'All-Servers'!$H1467)</f>
        <v>0</v>
      </c>
    </row>
    <row r="1458" spans="8:11">
      <c r="H1458" s="60">
        <f>PRODUCT('All-Servers'!D1468,'All-Servers'!$H1468)</f>
        <v>0</v>
      </c>
      <c r="I1458" s="60">
        <f>PRODUCT('All-Servers'!E1468,'All-Servers'!$H1468)</f>
        <v>0</v>
      </c>
      <c r="J1458" s="60">
        <f>PRODUCT('All-Servers'!F1468,'All-Servers'!$H1468)</f>
        <v>0</v>
      </c>
      <c r="K1458" s="60">
        <f>PRODUCT('All-Servers'!G1468,'All-Servers'!$H1468)</f>
        <v>0</v>
      </c>
    </row>
    <row r="1459" spans="8:11">
      <c r="H1459" s="60">
        <f>PRODUCT('All-Servers'!D1469,'All-Servers'!$H1469)</f>
        <v>0</v>
      </c>
      <c r="I1459" s="60">
        <f>PRODUCT('All-Servers'!E1469,'All-Servers'!$H1469)</f>
        <v>0</v>
      </c>
      <c r="J1459" s="60">
        <f>PRODUCT('All-Servers'!F1469,'All-Servers'!$H1469)</f>
        <v>0</v>
      </c>
      <c r="K1459" s="60">
        <f>PRODUCT('All-Servers'!G1469,'All-Servers'!$H1469)</f>
        <v>0</v>
      </c>
    </row>
    <row r="1460" spans="8:11">
      <c r="H1460" s="60">
        <f>PRODUCT('All-Servers'!D1470,'All-Servers'!$H1470)</f>
        <v>0</v>
      </c>
      <c r="I1460" s="60">
        <f>PRODUCT('All-Servers'!E1470,'All-Servers'!$H1470)</f>
        <v>0</v>
      </c>
      <c r="J1460" s="60">
        <f>PRODUCT('All-Servers'!F1470,'All-Servers'!$H1470)</f>
        <v>0</v>
      </c>
      <c r="K1460" s="60">
        <f>PRODUCT('All-Servers'!G1470,'All-Servers'!$H1470)</f>
        <v>0</v>
      </c>
    </row>
    <row r="1461" spans="8:11">
      <c r="H1461" s="60">
        <f>PRODUCT('All-Servers'!D1471,'All-Servers'!$H1471)</f>
        <v>0</v>
      </c>
      <c r="I1461" s="60">
        <f>PRODUCT('All-Servers'!E1471,'All-Servers'!$H1471)</f>
        <v>0</v>
      </c>
      <c r="J1461" s="60">
        <f>PRODUCT('All-Servers'!F1471,'All-Servers'!$H1471)</f>
        <v>0</v>
      </c>
      <c r="K1461" s="60">
        <f>PRODUCT('All-Servers'!G1471,'All-Servers'!$H1471)</f>
        <v>0</v>
      </c>
    </row>
    <row r="1462" spans="8:11">
      <c r="H1462" s="60">
        <f>PRODUCT('All-Servers'!D1472,'All-Servers'!$H1472)</f>
        <v>0</v>
      </c>
      <c r="I1462" s="60">
        <f>PRODUCT('All-Servers'!E1472,'All-Servers'!$H1472)</f>
        <v>0</v>
      </c>
      <c r="J1462" s="60">
        <f>PRODUCT('All-Servers'!F1472,'All-Servers'!$H1472)</f>
        <v>0</v>
      </c>
      <c r="K1462" s="60">
        <f>PRODUCT('All-Servers'!G1472,'All-Servers'!$H1472)</f>
        <v>0</v>
      </c>
    </row>
    <row r="1463" spans="8:11">
      <c r="H1463" s="60">
        <f>PRODUCT('All-Servers'!D1473,'All-Servers'!$H1473)</f>
        <v>0</v>
      </c>
      <c r="I1463" s="60">
        <f>PRODUCT('All-Servers'!E1473,'All-Servers'!$H1473)</f>
        <v>0</v>
      </c>
      <c r="J1463" s="60">
        <f>PRODUCT('All-Servers'!F1473,'All-Servers'!$H1473)</f>
        <v>0</v>
      </c>
      <c r="K1463" s="60">
        <f>PRODUCT('All-Servers'!G1473,'All-Servers'!$H1473)</f>
        <v>0</v>
      </c>
    </row>
    <row r="1464" spans="8:11">
      <c r="H1464" s="60">
        <f>PRODUCT('All-Servers'!D1474,'All-Servers'!$H1474)</f>
        <v>0</v>
      </c>
      <c r="I1464" s="60">
        <f>PRODUCT('All-Servers'!E1474,'All-Servers'!$H1474)</f>
        <v>0</v>
      </c>
      <c r="J1464" s="60">
        <f>PRODUCT('All-Servers'!F1474,'All-Servers'!$H1474)</f>
        <v>0</v>
      </c>
      <c r="K1464" s="60">
        <f>PRODUCT('All-Servers'!G1474,'All-Servers'!$H1474)</f>
        <v>0</v>
      </c>
    </row>
    <row r="1465" spans="8:11">
      <c r="H1465" s="60">
        <f>PRODUCT('All-Servers'!D1475,'All-Servers'!$H1475)</f>
        <v>0</v>
      </c>
      <c r="I1465" s="60">
        <f>PRODUCT('All-Servers'!E1475,'All-Servers'!$H1475)</f>
        <v>0</v>
      </c>
      <c r="J1465" s="60">
        <f>PRODUCT('All-Servers'!F1475,'All-Servers'!$H1475)</f>
        <v>0</v>
      </c>
      <c r="K1465" s="60">
        <f>PRODUCT('All-Servers'!G1475,'All-Servers'!$H1475)</f>
        <v>0</v>
      </c>
    </row>
    <row r="1466" spans="8:11">
      <c r="H1466" s="60">
        <f>PRODUCT('All-Servers'!D1476,'All-Servers'!$H1476)</f>
        <v>0</v>
      </c>
      <c r="I1466" s="60">
        <f>PRODUCT('All-Servers'!E1476,'All-Servers'!$H1476)</f>
        <v>0</v>
      </c>
      <c r="J1466" s="60">
        <f>PRODUCT('All-Servers'!F1476,'All-Servers'!$H1476)</f>
        <v>0</v>
      </c>
      <c r="K1466" s="60">
        <f>PRODUCT('All-Servers'!G1476,'All-Servers'!$H1476)</f>
        <v>0</v>
      </c>
    </row>
    <row r="1467" spans="8:11">
      <c r="H1467" s="60">
        <f>PRODUCT('All-Servers'!D1477,'All-Servers'!$H1477)</f>
        <v>0</v>
      </c>
      <c r="I1467" s="60">
        <f>PRODUCT('All-Servers'!E1477,'All-Servers'!$H1477)</f>
        <v>0</v>
      </c>
      <c r="J1467" s="60">
        <f>PRODUCT('All-Servers'!F1477,'All-Servers'!$H1477)</f>
        <v>0</v>
      </c>
      <c r="K1467" s="60">
        <f>PRODUCT('All-Servers'!G1477,'All-Servers'!$H1477)</f>
        <v>0</v>
      </c>
    </row>
    <row r="1468" spans="8:11">
      <c r="H1468" s="60">
        <f>PRODUCT('All-Servers'!D1478,'All-Servers'!$H1478)</f>
        <v>0</v>
      </c>
      <c r="I1468" s="60">
        <f>PRODUCT('All-Servers'!E1478,'All-Servers'!$H1478)</f>
        <v>0</v>
      </c>
      <c r="J1468" s="60">
        <f>PRODUCT('All-Servers'!F1478,'All-Servers'!$H1478)</f>
        <v>0</v>
      </c>
      <c r="K1468" s="60">
        <f>PRODUCT('All-Servers'!G1478,'All-Servers'!$H1478)</f>
        <v>0</v>
      </c>
    </row>
    <row r="1469" spans="8:11">
      <c r="H1469" s="60">
        <f>PRODUCT('All-Servers'!D1479,'All-Servers'!$H1479)</f>
        <v>0</v>
      </c>
      <c r="I1469" s="60">
        <f>PRODUCT('All-Servers'!E1479,'All-Servers'!$H1479)</f>
        <v>0</v>
      </c>
      <c r="J1469" s="60">
        <f>PRODUCT('All-Servers'!F1479,'All-Servers'!$H1479)</f>
        <v>0</v>
      </c>
      <c r="K1469" s="60">
        <f>PRODUCT('All-Servers'!G1479,'All-Servers'!$H1479)</f>
        <v>0</v>
      </c>
    </row>
    <row r="1470" spans="8:11">
      <c r="H1470" s="60">
        <f>PRODUCT('All-Servers'!D1480,'All-Servers'!$H1480)</f>
        <v>0</v>
      </c>
      <c r="I1470" s="60">
        <f>PRODUCT('All-Servers'!E1480,'All-Servers'!$H1480)</f>
        <v>0</v>
      </c>
      <c r="J1470" s="60">
        <f>PRODUCT('All-Servers'!F1480,'All-Servers'!$H1480)</f>
        <v>0</v>
      </c>
      <c r="K1470" s="60">
        <f>PRODUCT('All-Servers'!G1480,'All-Servers'!$H1480)</f>
        <v>0</v>
      </c>
    </row>
    <row r="1471" spans="8:11">
      <c r="H1471" s="60">
        <f>PRODUCT('All-Servers'!D1481,'All-Servers'!$H1481)</f>
        <v>0</v>
      </c>
      <c r="I1471" s="60">
        <f>PRODUCT('All-Servers'!E1481,'All-Servers'!$H1481)</f>
        <v>0</v>
      </c>
      <c r="J1471" s="60">
        <f>PRODUCT('All-Servers'!F1481,'All-Servers'!$H1481)</f>
        <v>0</v>
      </c>
      <c r="K1471" s="60">
        <f>PRODUCT('All-Servers'!G1481,'All-Servers'!$H1481)</f>
        <v>0</v>
      </c>
    </row>
    <row r="1472" spans="8:11">
      <c r="H1472" s="60">
        <f>PRODUCT('All-Servers'!D1482,'All-Servers'!$H1482)</f>
        <v>0</v>
      </c>
      <c r="I1472" s="60">
        <f>PRODUCT('All-Servers'!E1482,'All-Servers'!$H1482)</f>
        <v>0</v>
      </c>
      <c r="J1472" s="60">
        <f>PRODUCT('All-Servers'!F1482,'All-Servers'!$H1482)</f>
        <v>0</v>
      </c>
      <c r="K1472" s="60">
        <f>PRODUCT('All-Servers'!G1482,'All-Servers'!$H1482)</f>
        <v>0</v>
      </c>
    </row>
    <row r="1473" spans="8:11">
      <c r="H1473" s="60">
        <f>PRODUCT('All-Servers'!D1483,'All-Servers'!$H1483)</f>
        <v>0</v>
      </c>
      <c r="I1473" s="60">
        <f>PRODUCT('All-Servers'!E1483,'All-Servers'!$H1483)</f>
        <v>0</v>
      </c>
      <c r="J1473" s="60">
        <f>PRODUCT('All-Servers'!F1483,'All-Servers'!$H1483)</f>
        <v>0</v>
      </c>
      <c r="K1473" s="60">
        <f>PRODUCT('All-Servers'!G1483,'All-Servers'!$H1483)</f>
        <v>0</v>
      </c>
    </row>
    <row r="1474" spans="8:11">
      <c r="H1474" s="60">
        <f>PRODUCT('All-Servers'!D1484,'All-Servers'!$H1484)</f>
        <v>0</v>
      </c>
      <c r="I1474" s="60">
        <f>PRODUCT('All-Servers'!E1484,'All-Servers'!$H1484)</f>
        <v>0</v>
      </c>
      <c r="J1474" s="60">
        <f>PRODUCT('All-Servers'!F1484,'All-Servers'!$H1484)</f>
        <v>0</v>
      </c>
      <c r="K1474" s="60">
        <f>PRODUCT('All-Servers'!G1484,'All-Servers'!$H1484)</f>
        <v>0</v>
      </c>
    </row>
    <row r="1475" spans="8:11">
      <c r="H1475" s="60">
        <f>PRODUCT('All-Servers'!D1485,'All-Servers'!$H1485)</f>
        <v>0</v>
      </c>
      <c r="I1475" s="60">
        <f>PRODUCT('All-Servers'!E1485,'All-Servers'!$H1485)</f>
        <v>0</v>
      </c>
      <c r="J1475" s="60">
        <f>PRODUCT('All-Servers'!F1485,'All-Servers'!$H1485)</f>
        <v>0</v>
      </c>
      <c r="K1475" s="60">
        <f>PRODUCT('All-Servers'!G1485,'All-Servers'!$H1485)</f>
        <v>0</v>
      </c>
    </row>
    <row r="1476" spans="8:11">
      <c r="H1476" s="60">
        <f>PRODUCT('All-Servers'!D1486,'All-Servers'!$H1486)</f>
        <v>0</v>
      </c>
      <c r="I1476" s="60">
        <f>PRODUCT('All-Servers'!E1486,'All-Servers'!$H1486)</f>
        <v>0</v>
      </c>
      <c r="J1476" s="60">
        <f>PRODUCT('All-Servers'!F1486,'All-Servers'!$H1486)</f>
        <v>0</v>
      </c>
      <c r="K1476" s="60">
        <f>PRODUCT('All-Servers'!G1486,'All-Servers'!$H1486)</f>
        <v>0</v>
      </c>
    </row>
    <row r="1477" spans="8:11">
      <c r="H1477" s="60">
        <f>PRODUCT('All-Servers'!D1487,'All-Servers'!$H1487)</f>
        <v>0</v>
      </c>
      <c r="I1477" s="60">
        <f>PRODUCT('All-Servers'!E1487,'All-Servers'!$H1487)</f>
        <v>0</v>
      </c>
      <c r="J1477" s="60">
        <f>PRODUCT('All-Servers'!F1487,'All-Servers'!$H1487)</f>
        <v>0</v>
      </c>
      <c r="K1477" s="60">
        <f>PRODUCT('All-Servers'!G1487,'All-Servers'!$H1487)</f>
        <v>0</v>
      </c>
    </row>
    <row r="1478" spans="8:11">
      <c r="H1478" s="60">
        <f>PRODUCT('All-Servers'!D1488,'All-Servers'!$H1488)</f>
        <v>0</v>
      </c>
      <c r="I1478" s="60">
        <f>PRODUCT('All-Servers'!E1488,'All-Servers'!$H1488)</f>
        <v>0</v>
      </c>
      <c r="J1478" s="60">
        <f>PRODUCT('All-Servers'!F1488,'All-Servers'!$H1488)</f>
        <v>0</v>
      </c>
      <c r="K1478" s="60">
        <f>PRODUCT('All-Servers'!G1488,'All-Servers'!$H1488)</f>
        <v>0</v>
      </c>
    </row>
    <row r="1479" spans="8:11">
      <c r="H1479" s="60">
        <f>PRODUCT('All-Servers'!D1489,'All-Servers'!$H1489)</f>
        <v>0</v>
      </c>
      <c r="I1479" s="60">
        <f>PRODUCT('All-Servers'!E1489,'All-Servers'!$H1489)</f>
        <v>0</v>
      </c>
      <c r="J1479" s="60">
        <f>PRODUCT('All-Servers'!F1489,'All-Servers'!$H1489)</f>
        <v>0</v>
      </c>
      <c r="K1479" s="60">
        <f>PRODUCT('All-Servers'!G1489,'All-Servers'!$H1489)</f>
        <v>0</v>
      </c>
    </row>
    <row r="1480" spans="8:11">
      <c r="H1480" s="60">
        <f>PRODUCT('All-Servers'!D1490,'All-Servers'!$H1490)</f>
        <v>0</v>
      </c>
      <c r="I1480" s="60">
        <f>PRODUCT('All-Servers'!E1490,'All-Servers'!$H1490)</f>
        <v>0</v>
      </c>
      <c r="J1480" s="60">
        <f>PRODUCT('All-Servers'!F1490,'All-Servers'!$H1490)</f>
        <v>0</v>
      </c>
      <c r="K1480" s="60">
        <f>PRODUCT('All-Servers'!G1490,'All-Servers'!$H1490)</f>
        <v>0</v>
      </c>
    </row>
    <row r="1481" spans="8:11">
      <c r="H1481" s="60">
        <f>PRODUCT('All-Servers'!D1491,'All-Servers'!$H1491)</f>
        <v>0</v>
      </c>
      <c r="I1481" s="60">
        <f>PRODUCT('All-Servers'!E1491,'All-Servers'!$H1491)</f>
        <v>0</v>
      </c>
      <c r="J1481" s="60">
        <f>PRODUCT('All-Servers'!F1491,'All-Servers'!$H1491)</f>
        <v>0</v>
      </c>
      <c r="K1481" s="60">
        <f>PRODUCT('All-Servers'!G1491,'All-Servers'!$H1491)</f>
        <v>0</v>
      </c>
    </row>
    <row r="1482" spans="8:11">
      <c r="H1482" s="60">
        <f>PRODUCT('All-Servers'!D1492,'All-Servers'!$H1492)</f>
        <v>0</v>
      </c>
      <c r="I1482" s="60">
        <f>PRODUCT('All-Servers'!E1492,'All-Servers'!$H1492)</f>
        <v>0</v>
      </c>
      <c r="J1482" s="60">
        <f>PRODUCT('All-Servers'!F1492,'All-Servers'!$H1492)</f>
        <v>0</v>
      </c>
      <c r="K1482" s="60">
        <f>PRODUCT('All-Servers'!G1492,'All-Servers'!$H1492)</f>
        <v>0</v>
      </c>
    </row>
    <row r="1483" spans="8:11">
      <c r="H1483" s="60">
        <f>PRODUCT('All-Servers'!D1493,'All-Servers'!$H1493)</f>
        <v>0</v>
      </c>
      <c r="I1483" s="60">
        <f>PRODUCT('All-Servers'!E1493,'All-Servers'!$H1493)</f>
        <v>0</v>
      </c>
      <c r="J1483" s="60">
        <f>PRODUCT('All-Servers'!F1493,'All-Servers'!$H1493)</f>
        <v>0</v>
      </c>
      <c r="K1483" s="60">
        <f>PRODUCT('All-Servers'!G1493,'All-Servers'!$H1493)</f>
        <v>0</v>
      </c>
    </row>
    <row r="1484" spans="8:11">
      <c r="H1484" s="60">
        <f>PRODUCT('All-Servers'!D1494,'All-Servers'!$H1494)</f>
        <v>0</v>
      </c>
      <c r="I1484" s="60">
        <f>PRODUCT('All-Servers'!E1494,'All-Servers'!$H1494)</f>
        <v>0</v>
      </c>
      <c r="J1484" s="60">
        <f>PRODUCT('All-Servers'!F1494,'All-Servers'!$H1494)</f>
        <v>0</v>
      </c>
      <c r="K1484" s="60">
        <f>PRODUCT('All-Servers'!G1494,'All-Servers'!$H1494)</f>
        <v>0</v>
      </c>
    </row>
    <row r="1485" spans="8:11">
      <c r="H1485" s="60">
        <f>PRODUCT('All-Servers'!D1495,'All-Servers'!$H1495)</f>
        <v>0</v>
      </c>
      <c r="I1485" s="60">
        <f>PRODUCT('All-Servers'!E1495,'All-Servers'!$H1495)</f>
        <v>0</v>
      </c>
      <c r="J1485" s="60">
        <f>PRODUCT('All-Servers'!F1495,'All-Servers'!$H1495)</f>
        <v>0</v>
      </c>
      <c r="K1485" s="60">
        <f>PRODUCT('All-Servers'!G1495,'All-Servers'!$H1495)</f>
        <v>0</v>
      </c>
    </row>
    <row r="1486" spans="8:11">
      <c r="H1486" s="60">
        <f>PRODUCT('All-Servers'!D1496,'All-Servers'!$H1496)</f>
        <v>0</v>
      </c>
      <c r="I1486" s="60">
        <f>PRODUCT('All-Servers'!E1496,'All-Servers'!$H1496)</f>
        <v>0</v>
      </c>
      <c r="J1486" s="60">
        <f>PRODUCT('All-Servers'!F1496,'All-Servers'!$H1496)</f>
        <v>0</v>
      </c>
      <c r="K1486" s="60">
        <f>PRODUCT('All-Servers'!G1496,'All-Servers'!$H1496)</f>
        <v>0</v>
      </c>
    </row>
    <row r="1487" spans="8:11">
      <c r="H1487" s="60">
        <f>PRODUCT('All-Servers'!D1497,'All-Servers'!$H1497)</f>
        <v>0</v>
      </c>
      <c r="I1487" s="60">
        <f>PRODUCT('All-Servers'!E1497,'All-Servers'!$H1497)</f>
        <v>0</v>
      </c>
      <c r="J1487" s="60">
        <f>PRODUCT('All-Servers'!F1497,'All-Servers'!$H1497)</f>
        <v>0</v>
      </c>
      <c r="K1487" s="60">
        <f>PRODUCT('All-Servers'!G1497,'All-Servers'!$H1497)</f>
        <v>0</v>
      </c>
    </row>
    <row r="1488" spans="8:11">
      <c r="H1488" s="60">
        <f>PRODUCT('All-Servers'!D1498,'All-Servers'!$H1498)</f>
        <v>0</v>
      </c>
      <c r="I1488" s="60">
        <f>PRODUCT('All-Servers'!E1498,'All-Servers'!$H1498)</f>
        <v>0</v>
      </c>
      <c r="J1488" s="60">
        <f>PRODUCT('All-Servers'!F1498,'All-Servers'!$H1498)</f>
        <v>0</v>
      </c>
      <c r="K1488" s="60">
        <f>PRODUCT('All-Servers'!G1498,'All-Servers'!$H1498)</f>
        <v>0</v>
      </c>
    </row>
    <row r="1489" spans="8:11">
      <c r="H1489" s="60">
        <f>PRODUCT('All-Servers'!D1499,'All-Servers'!$H1499)</f>
        <v>0</v>
      </c>
      <c r="I1489" s="60">
        <f>PRODUCT('All-Servers'!E1499,'All-Servers'!$H1499)</f>
        <v>0</v>
      </c>
      <c r="J1489" s="60">
        <f>PRODUCT('All-Servers'!F1499,'All-Servers'!$H1499)</f>
        <v>0</v>
      </c>
      <c r="K1489" s="60">
        <f>PRODUCT('All-Servers'!G1499,'All-Servers'!$H1499)</f>
        <v>0</v>
      </c>
    </row>
    <row r="1490" spans="8:11">
      <c r="H1490" s="60">
        <f>PRODUCT('All-Servers'!D1500,'All-Servers'!$H1500)</f>
        <v>0</v>
      </c>
      <c r="I1490" s="60">
        <f>PRODUCT('All-Servers'!E1500,'All-Servers'!$H1500)</f>
        <v>0</v>
      </c>
      <c r="J1490" s="60">
        <f>PRODUCT('All-Servers'!F1500,'All-Servers'!$H1500)</f>
        <v>0</v>
      </c>
      <c r="K1490" s="60">
        <f>PRODUCT('All-Servers'!G1500,'All-Servers'!$H1500)</f>
        <v>0</v>
      </c>
    </row>
    <row r="1491" spans="8:11">
      <c r="H1491" s="60">
        <f>PRODUCT('All-Servers'!D1501,'All-Servers'!$H1501)</f>
        <v>0</v>
      </c>
      <c r="I1491" s="60">
        <f>PRODUCT('All-Servers'!E1501,'All-Servers'!$H1501)</f>
        <v>0</v>
      </c>
      <c r="J1491" s="60">
        <f>PRODUCT('All-Servers'!F1501,'All-Servers'!$H1501)</f>
        <v>0</v>
      </c>
      <c r="K1491" s="60">
        <f>PRODUCT('All-Servers'!G1501,'All-Servers'!$H1501)</f>
        <v>0</v>
      </c>
    </row>
    <row r="1492" spans="8:11">
      <c r="H1492" s="60">
        <f>PRODUCT('All-Servers'!D1502,'All-Servers'!$H1502)</f>
        <v>0</v>
      </c>
      <c r="I1492" s="60">
        <f>PRODUCT('All-Servers'!E1502,'All-Servers'!$H1502)</f>
        <v>0</v>
      </c>
      <c r="J1492" s="60">
        <f>PRODUCT('All-Servers'!F1502,'All-Servers'!$H1502)</f>
        <v>0</v>
      </c>
      <c r="K1492" s="60">
        <f>PRODUCT('All-Servers'!G1502,'All-Servers'!$H1502)</f>
        <v>0</v>
      </c>
    </row>
    <row r="1493" spans="8:11">
      <c r="H1493" s="60">
        <f>PRODUCT('All-Servers'!D1503,'All-Servers'!$H1503)</f>
        <v>0</v>
      </c>
      <c r="I1493" s="60">
        <f>PRODUCT('All-Servers'!E1503,'All-Servers'!$H1503)</f>
        <v>0</v>
      </c>
      <c r="J1493" s="60">
        <f>PRODUCT('All-Servers'!F1503,'All-Servers'!$H1503)</f>
        <v>0</v>
      </c>
      <c r="K1493" s="60">
        <f>PRODUCT('All-Servers'!G1503,'All-Servers'!$H1503)</f>
        <v>0</v>
      </c>
    </row>
    <row r="1494" spans="8:11">
      <c r="H1494" s="60">
        <f>PRODUCT('All-Servers'!D1504,'All-Servers'!$H1504)</f>
        <v>0</v>
      </c>
      <c r="I1494" s="60">
        <f>PRODUCT('All-Servers'!E1504,'All-Servers'!$H1504)</f>
        <v>0</v>
      </c>
      <c r="J1494" s="60">
        <f>PRODUCT('All-Servers'!F1504,'All-Servers'!$H1504)</f>
        <v>0</v>
      </c>
      <c r="K1494" s="60">
        <f>PRODUCT('All-Servers'!G1504,'All-Servers'!$H1504)</f>
        <v>0</v>
      </c>
    </row>
    <row r="1495" spans="8:11">
      <c r="H1495" s="60">
        <f>PRODUCT('All-Servers'!D1505,'All-Servers'!$H1505)</f>
        <v>0</v>
      </c>
      <c r="I1495" s="60">
        <f>PRODUCT('All-Servers'!E1505,'All-Servers'!$H1505)</f>
        <v>0</v>
      </c>
      <c r="J1495" s="60">
        <f>PRODUCT('All-Servers'!F1505,'All-Servers'!$H1505)</f>
        <v>0</v>
      </c>
      <c r="K1495" s="60">
        <f>PRODUCT('All-Servers'!G1505,'All-Servers'!$H1505)</f>
        <v>0</v>
      </c>
    </row>
    <row r="1496" spans="8:11">
      <c r="H1496" s="60">
        <f>PRODUCT('All-Servers'!D1506,'All-Servers'!$H1506)</f>
        <v>0</v>
      </c>
      <c r="I1496" s="60">
        <f>PRODUCT('All-Servers'!E1506,'All-Servers'!$H1506)</f>
        <v>0</v>
      </c>
      <c r="J1496" s="60">
        <f>PRODUCT('All-Servers'!F1506,'All-Servers'!$H1506)</f>
        <v>0</v>
      </c>
      <c r="K1496" s="60">
        <f>PRODUCT('All-Servers'!G1506,'All-Servers'!$H1506)</f>
        <v>0</v>
      </c>
    </row>
    <row r="1497" spans="8:11">
      <c r="H1497" s="60">
        <f>PRODUCT('All-Servers'!D1507,'All-Servers'!$H1507)</f>
        <v>0</v>
      </c>
      <c r="I1497" s="60">
        <f>PRODUCT('All-Servers'!E1507,'All-Servers'!$H1507)</f>
        <v>0</v>
      </c>
      <c r="J1497" s="60">
        <f>PRODUCT('All-Servers'!F1507,'All-Servers'!$H1507)</f>
        <v>0</v>
      </c>
      <c r="K1497" s="60">
        <f>PRODUCT('All-Servers'!G1507,'All-Servers'!$H1507)</f>
        <v>0</v>
      </c>
    </row>
    <row r="1498" spans="8:11">
      <c r="H1498" s="60">
        <f>PRODUCT('All-Servers'!D1508,'All-Servers'!$H1508)</f>
        <v>0</v>
      </c>
      <c r="I1498" s="60">
        <f>PRODUCT('All-Servers'!E1508,'All-Servers'!$H1508)</f>
        <v>0</v>
      </c>
      <c r="J1498" s="60">
        <f>PRODUCT('All-Servers'!F1508,'All-Servers'!$H1508)</f>
        <v>0</v>
      </c>
      <c r="K1498" s="60">
        <f>PRODUCT('All-Servers'!G1508,'All-Servers'!$H1508)</f>
        <v>0</v>
      </c>
    </row>
    <row r="1499" spans="8:11">
      <c r="H1499" s="60">
        <f>PRODUCT('All-Servers'!D1509,'All-Servers'!$H1509)</f>
        <v>0</v>
      </c>
      <c r="I1499" s="60">
        <f>PRODUCT('All-Servers'!E1509,'All-Servers'!$H1509)</f>
        <v>0</v>
      </c>
      <c r="J1499" s="60">
        <f>PRODUCT('All-Servers'!F1509,'All-Servers'!$H1509)</f>
        <v>0</v>
      </c>
      <c r="K1499" s="60">
        <f>PRODUCT('All-Servers'!G1509,'All-Servers'!$H1509)</f>
        <v>0</v>
      </c>
    </row>
    <row r="1500" spans="8:11">
      <c r="H1500" s="60">
        <f>PRODUCT('All-Servers'!D1510,'All-Servers'!$H1510)</f>
        <v>0</v>
      </c>
      <c r="I1500" s="60">
        <f>PRODUCT('All-Servers'!E1510,'All-Servers'!$H1510)</f>
        <v>0</v>
      </c>
      <c r="J1500" s="60">
        <f>PRODUCT('All-Servers'!F1510,'All-Servers'!$H1510)</f>
        <v>0</v>
      </c>
      <c r="K1500" s="60">
        <f>PRODUCT('All-Servers'!G1510,'All-Servers'!$H1510)</f>
        <v>0</v>
      </c>
    </row>
    <row r="1501" spans="8:11">
      <c r="H1501" s="60">
        <f>PRODUCT('All-Servers'!D1511,'All-Servers'!$H1511)</f>
        <v>0</v>
      </c>
      <c r="I1501" s="60">
        <f>PRODUCT('All-Servers'!E1511,'All-Servers'!$H1511)</f>
        <v>0</v>
      </c>
      <c r="J1501" s="60">
        <f>PRODUCT('All-Servers'!F1511,'All-Servers'!$H1511)</f>
        <v>0</v>
      </c>
      <c r="K1501" s="60">
        <f>PRODUCT('All-Servers'!G1511,'All-Servers'!$H1511)</f>
        <v>0</v>
      </c>
    </row>
    <row r="1502" spans="8:11">
      <c r="H1502" s="60">
        <f>PRODUCT('All-Servers'!D1512,'All-Servers'!$H1512)</f>
        <v>0</v>
      </c>
      <c r="I1502" s="60">
        <f>PRODUCT('All-Servers'!E1512,'All-Servers'!$H1512)</f>
        <v>0</v>
      </c>
      <c r="J1502" s="60">
        <f>PRODUCT('All-Servers'!F1512,'All-Servers'!$H1512)</f>
        <v>0</v>
      </c>
      <c r="K1502" s="60">
        <f>PRODUCT('All-Servers'!G1512,'All-Servers'!$H1512)</f>
        <v>0</v>
      </c>
    </row>
  </sheetData>
  <phoneticPr fontId="33" type="noConversion"/>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enableFormatConditionsCalculation="0">
    <tabColor theme="4" tint="0.39997558519241921"/>
  </sheetPr>
  <dimension ref="A1:P1195"/>
  <sheetViews>
    <sheetView topLeftCell="A469" workbookViewId="0">
      <selection activeCell="J477" sqref="J477"/>
    </sheetView>
  </sheetViews>
  <sheetFormatPr baseColWidth="10" defaultRowHeight="15" x14ac:dyDescent="0"/>
  <cols>
    <col min="1" max="1" width="14.5" style="101" bestFit="1" customWidth="1"/>
    <col min="2" max="2" width="11.1640625" style="101" bestFit="1" customWidth="1"/>
    <col min="3" max="3" width="54.6640625" style="101" bestFit="1" customWidth="1"/>
    <col min="4" max="4" width="16.6640625" style="101" customWidth="1"/>
    <col min="5" max="5" width="12.6640625" style="101" bestFit="1" customWidth="1"/>
    <col min="6" max="6" width="8.6640625" style="101" bestFit="1" customWidth="1"/>
    <col min="7" max="7" width="12.1640625" style="101" bestFit="1" customWidth="1"/>
    <col min="8" max="8" width="9" style="101" customWidth="1"/>
    <col min="9" max="9" width="12.5" style="101" bestFit="1" customWidth="1"/>
    <col min="10" max="10" width="21.1640625" style="101" bestFit="1" customWidth="1"/>
    <col min="11" max="11" width="20.33203125" style="101" bestFit="1" customWidth="1"/>
    <col min="12" max="12" width="30" style="101" bestFit="1" customWidth="1"/>
    <col min="13" max="13" width="27.5" style="101" bestFit="1" customWidth="1"/>
    <col min="14" max="14" width="13" style="101" bestFit="1" customWidth="1"/>
    <col min="15" max="16" width="35.33203125" style="101" bestFit="1" customWidth="1"/>
    <col min="17" max="16384" width="10.83203125" style="101"/>
  </cols>
  <sheetData>
    <row r="1" spans="1:16">
      <c r="A1" t="s">
        <v>82</v>
      </c>
      <c r="B1" t="s">
        <v>83</v>
      </c>
      <c r="C1" t="s">
        <v>84</v>
      </c>
      <c r="D1" t="s">
        <v>85</v>
      </c>
      <c r="E1" t="s">
        <v>86</v>
      </c>
      <c r="F1" t="s">
        <v>87</v>
      </c>
      <c r="G1" t="s">
        <v>88</v>
      </c>
      <c r="H1" t="s">
        <v>89</v>
      </c>
      <c r="I1" t="s">
        <v>90</v>
      </c>
      <c r="J1" t="s">
        <v>91</v>
      </c>
      <c r="K1" t="s">
        <v>92</v>
      </c>
      <c r="L1" t="s">
        <v>93</v>
      </c>
      <c r="M1" t="s">
        <v>94</v>
      </c>
      <c r="N1" t="s">
        <v>95</v>
      </c>
      <c r="O1" t="s">
        <v>96</v>
      </c>
      <c r="P1" t="s">
        <v>97</v>
      </c>
    </row>
    <row r="2" spans="1:16" hidden="1">
      <c r="A2" t="s">
        <v>98</v>
      </c>
      <c r="B2" t="s">
        <v>99</v>
      </c>
      <c r="C2" t="s">
        <v>100</v>
      </c>
      <c r="D2">
        <v>2</v>
      </c>
      <c r="E2">
        <v>3750</v>
      </c>
      <c r="F2">
        <v>32</v>
      </c>
      <c r="G2">
        <v>20</v>
      </c>
      <c r="H2" t="s">
        <v>101</v>
      </c>
      <c r="I2" t="s">
        <v>102</v>
      </c>
      <c r="J2" t="s">
        <v>101</v>
      </c>
      <c r="K2" t="s">
        <v>101</v>
      </c>
      <c r="L2" t="s">
        <v>101</v>
      </c>
      <c r="M2" t="s">
        <v>103</v>
      </c>
      <c r="N2">
        <v>0.105</v>
      </c>
      <c r="O2">
        <v>6.2E-2</v>
      </c>
      <c r="P2">
        <v>3.9E-2</v>
      </c>
    </row>
    <row r="3" spans="1:16">
      <c r="A3" t="s">
        <v>98</v>
      </c>
      <c r="B3" t="s">
        <v>104</v>
      </c>
      <c r="C3" t="s">
        <v>105</v>
      </c>
      <c r="D3">
        <v>1</v>
      </c>
      <c r="E3">
        <v>1700</v>
      </c>
      <c r="F3">
        <v>160</v>
      </c>
      <c r="G3">
        <v>20</v>
      </c>
      <c r="H3" t="s">
        <v>101</v>
      </c>
      <c r="I3" t="s">
        <v>106</v>
      </c>
      <c r="J3" t="s">
        <v>107</v>
      </c>
      <c r="K3" t="s">
        <v>108</v>
      </c>
      <c r="L3" t="s">
        <v>109</v>
      </c>
      <c r="M3" t="s">
        <v>110</v>
      </c>
      <c r="N3">
        <v>4.3999999999999997E-2</v>
      </c>
      <c r="O3">
        <v>2.4E-2</v>
      </c>
      <c r="P3">
        <v>1.4999999999999999E-2</v>
      </c>
    </row>
    <row r="4" spans="1:16">
      <c r="A4" t="s">
        <v>98</v>
      </c>
      <c r="B4" t="s">
        <v>104</v>
      </c>
      <c r="C4" t="s">
        <v>111</v>
      </c>
      <c r="D4">
        <v>1</v>
      </c>
      <c r="E4">
        <v>1700</v>
      </c>
      <c r="F4">
        <v>160</v>
      </c>
      <c r="G4">
        <v>20</v>
      </c>
      <c r="H4" t="s">
        <v>101</v>
      </c>
      <c r="I4" t="s">
        <v>106</v>
      </c>
      <c r="J4" t="s">
        <v>112</v>
      </c>
      <c r="K4" t="s">
        <v>108</v>
      </c>
      <c r="L4" t="s">
        <v>113</v>
      </c>
      <c r="M4" t="s">
        <v>110</v>
      </c>
      <c r="N4">
        <v>4.3999999999999997E-2</v>
      </c>
      <c r="O4">
        <v>2.4E-2</v>
      </c>
      <c r="P4">
        <v>1.4999999999999999E-2</v>
      </c>
    </row>
    <row r="5" spans="1:16" hidden="1">
      <c r="A5" t="s">
        <v>98</v>
      </c>
      <c r="B5" t="s">
        <v>114</v>
      </c>
      <c r="C5" t="s">
        <v>115</v>
      </c>
      <c r="D5">
        <v>2</v>
      </c>
      <c r="E5">
        <v>7500</v>
      </c>
      <c r="F5">
        <v>32</v>
      </c>
      <c r="G5">
        <v>420</v>
      </c>
      <c r="H5" t="s">
        <v>101</v>
      </c>
      <c r="I5" t="s">
        <v>102</v>
      </c>
      <c r="J5" t="s">
        <v>101</v>
      </c>
      <c r="K5" t="s">
        <v>116</v>
      </c>
      <c r="L5" t="s">
        <v>117</v>
      </c>
      <c r="M5" t="s">
        <v>118</v>
      </c>
      <c r="N5">
        <v>0.13300000000000001</v>
      </c>
      <c r="O5">
        <v>8.1000000000000003E-2</v>
      </c>
      <c r="P5">
        <v>5.1999999999999998E-2</v>
      </c>
    </row>
    <row r="6" spans="1:16">
      <c r="A6" t="s">
        <v>98</v>
      </c>
      <c r="B6" t="s">
        <v>104</v>
      </c>
      <c r="C6" t="s">
        <v>119</v>
      </c>
      <c r="D6">
        <v>1</v>
      </c>
      <c r="E6">
        <v>1700</v>
      </c>
      <c r="F6">
        <v>160</v>
      </c>
      <c r="G6">
        <v>20</v>
      </c>
      <c r="H6" t="s">
        <v>101</v>
      </c>
      <c r="I6" t="s">
        <v>106</v>
      </c>
      <c r="J6" t="s">
        <v>120</v>
      </c>
      <c r="K6" t="s">
        <v>108</v>
      </c>
      <c r="L6" t="s">
        <v>121</v>
      </c>
      <c r="M6" t="s">
        <v>110</v>
      </c>
      <c r="N6">
        <v>4.3999999999999997E-2</v>
      </c>
      <c r="O6">
        <v>2.4E-2</v>
      </c>
      <c r="P6">
        <v>1.4999999999999999E-2</v>
      </c>
    </row>
    <row r="7" spans="1:16" hidden="1">
      <c r="A7" t="s">
        <v>98</v>
      </c>
      <c r="B7" t="s">
        <v>104</v>
      </c>
      <c r="C7" t="s">
        <v>122</v>
      </c>
      <c r="D7">
        <v>1</v>
      </c>
      <c r="E7">
        <v>1700</v>
      </c>
      <c r="F7">
        <v>160</v>
      </c>
      <c r="G7">
        <v>20</v>
      </c>
      <c r="H7" t="s">
        <v>101</v>
      </c>
      <c r="I7" t="s">
        <v>102</v>
      </c>
      <c r="J7" t="s">
        <v>101</v>
      </c>
      <c r="K7" t="s">
        <v>123</v>
      </c>
      <c r="L7" t="s">
        <v>124</v>
      </c>
      <c r="M7" t="s">
        <v>125</v>
      </c>
      <c r="N7">
        <v>4.3999999999999997E-2</v>
      </c>
      <c r="O7">
        <v>2.4E-2</v>
      </c>
      <c r="P7">
        <v>1.4999999999999999E-2</v>
      </c>
    </row>
    <row r="8" spans="1:16">
      <c r="A8" t="s">
        <v>98</v>
      </c>
      <c r="B8" t="s">
        <v>104</v>
      </c>
      <c r="C8" t="s">
        <v>126</v>
      </c>
      <c r="D8">
        <v>1</v>
      </c>
      <c r="E8">
        <v>1700</v>
      </c>
      <c r="F8">
        <v>160</v>
      </c>
      <c r="G8">
        <v>20</v>
      </c>
      <c r="H8" t="s">
        <v>101</v>
      </c>
      <c r="I8" t="s">
        <v>106</v>
      </c>
      <c r="J8" t="s">
        <v>127</v>
      </c>
      <c r="K8" t="s">
        <v>108</v>
      </c>
      <c r="L8" t="s">
        <v>128</v>
      </c>
      <c r="M8" t="s">
        <v>110</v>
      </c>
      <c r="N8">
        <v>4.3999999999999997E-2</v>
      </c>
      <c r="O8">
        <v>2.4E-2</v>
      </c>
      <c r="P8">
        <v>1.4999999999999999E-2</v>
      </c>
    </row>
    <row r="9" spans="1:16">
      <c r="A9" t="s">
        <v>98</v>
      </c>
      <c r="B9" t="s">
        <v>104</v>
      </c>
      <c r="C9" t="s">
        <v>129</v>
      </c>
      <c r="D9">
        <v>1</v>
      </c>
      <c r="E9">
        <v>1700</v>
      </c>
      <c r="F9">
        <v>160</v>
      </c>
      <c r="G9">
        <v>520</v>
      </c>
      <c r="H9" t="s">
        <v>101</v>
      </c>
      <c r="I9" t="s">
        <v>106</v>
      </c>
      <c r="J9" t="s">
        <v>130</v>
      </c>
      <c r="K9" t="s">
        <v>108</v>
      </c>
      <c r="L9" t="s">
        <v>131</v>
      </c>
      <c r="M9" t="s">
        <v>110</v>
      </c>
      <c r="N9">
        <v>4.3999999999999997E-2</v>
      </c>
      <c r="O9">
        <v>2.4E-2</v>
      </c>
      <c r="P9">
        <v>1.4999999999999999E-2</v>
      </c>
    </row>
    <row r="10" spans="1:16" hidden="1">
      <c r="A10" t="s">
        <v>98</v>
      </c>
      <c r="B10" t="s">
        <v>132</v>
      </c>
      <c r="C10" t="s">
        <v>133</v>
      </c>
      <c r="D10">
        <v>2</v>
      </c>
      <c r="E10">
        <v>7500</v>
      </c>
      <c r="F10">
        <v>850</v>
      </c>
      <c r="G10">
        <v>20</v>
      </c>
      <c r="H10" t="s">
        <v>101</v>
      </c>
      <c r="I10" t="s">
        <v>102</v>
      </c>
      <c r="J10" t="s">
        <v>101</v>
      </c>
      <c r="K10" t="s">
        <v>101</v>
      </c>
      <c r="L10" t="s">
        <v>101</v>
      </c>
      <c r="M10" t="s">
        <v>134</v>
      </c>
      <c r="N10">
        <v>0.17499999999999999</v>
      </c>
      <c r="O10">
        <v>9.5000000000000001E-2</v>
      </c>
      <c r="P10">
        <v>5.8999999999999997E-2</v>
      </c>
    </row>
    <row r="11" spans="1:16" hidden="1">
      <c r="A11" t="s">
        <v>98</v>
      </c>
      <c r="B11" t="s">
        <v>135</v>
      </c>
      <c r="C11" t="s">
        <v>136</v>
      </c>
      <c r="D11">
        <v>1</v>
      </c>
      <c r="E11">
        <v>3750</v>
      </c>
      <c r="F11">
        <v>4</v>
      </c>
      <c r="G11">
        <v>420</v>
      </c>
      <c r="H11" t="s">
        <v>101</v>
      </c>
      <c r="I11" t="s">
        <v>102</v>
      </c>
      <c r="J11" t="s">
        <v>101</v>
      </c>
      <c r="K11" t="s">
        <v>137</v>
      </c>
      <c r="L11" t="s">
        <v>117</v>
      </c>
      <c r="M11" t="s">
        <v>138</v>
      </c>
      <c r="N11">
        <v>6.7000000000000004E-2</v>
      </c>
      <c r="O11">
        <v>0.04</v>
      </c>
      <c r="P11">
        <v>2.5999999999999999E-2</v>
      </c>
    </row>
    <row r="12" spans="1:16" hidden="1">
      <c r="A12" t="s">
        <v>98</v>
      </c>
      <c r="B12" t="s">
        <v>135</v>
      </c>
      <c r="C12" t="s">
        <v>139</v>
      </c>
      <c r="D12">
        <v>1</v>
      </c>
      <c r="E12">
        <v>3750</v>
      </c>
      <c r="F12">
        <v>4</v>
      </c>
      <c r="G12">
        <v>520</v>
      </c>
      <c r="H12" t="s">
        <v>101</v>
      </c>
      <c r="I12" t="s">
        <v>102</v>
      </c>
      <c r="J12" t="s">
        <v>101</v>
      </c>
      <c r="K12" t="s">
        <v>140</v>
      </c>
      <c r="L12" t="s">
        <v>101</v>
      </c>
      <c r="M12" t="s">
        <v>138</v>
      </c>
      <c r="N12">
        <v>6.7000000000000004E-2</v>
      </c>
      <c r="O12">
        <v>0.04</v>
      </c>
      <c r="P12">
        <v>2.5999999999999999E-2</v>
      </c>
    </row>
    <row r="13" spans="1:16" hidden="1">
      <c r="A13" t="s">
        <v>98</v>
      </c>
      <c r="B13" t="s">
        <v>141</v>
      </c>
      <c r="C13" t="s">
        <v>142</v>
      </c>
      <c r="D13">
        <v>4</v>
      </c>
      <c r="E13">
        <v>15000</v>
      </c>
      <c r="F13">
        <v>80</v>
      </c>
      <c r="G13">
        <v>420</v>
      </c>
      <c r="H13" t="s">
        <v>101</v>
      </c>
      <c r="I13" t="s">
        <v>102</v>
      </c>
      <c r="J13" t="s">
        <v>101</v>
      </c>
      <c r="K13" t="s">
        <v>143</v>
      </c>
      <c r="L13" t="s">
        <v>117</v>
      </c>
      <c r="M13" t="s">
        <v>144</v>
      </c>
      <c r="N13">
        <v>0.26600000000000001</v>
      </c>
      <c r="O13">
        <v>0.16300000000000001</v>
      </c>
      <c r="P13">
        <v>0.104</v>
      </c>
    </row>
    <row r="14" spans="1:16" hidden="1">
      <c r="A14" t="s">
        <v>98</v>
      </c>
      <c r="B14" t="s">
        <v>99</v>
      </c>
      <c r="C14" t="s">
        <v>145</v>
      </c>
      <c r="D14">
        <v>2</v>
      </c>
      <c r="E14">
        <v>3750</v>
      </c>
      <c r="F14">
        <v>32</v>
      </c>
      <c r="G14">
        <v>3992</v>
      </c>
      <c r="H14" t="s">
        <v>101</v>
      </c>
      <c r="I14" t="s">
        <v>146</v>
      </c>
      <c r="J14" t="s">
        <v>101</v>
      </c>
      <c r="K14" t="s">
        <v>147</v>
      </c>
      <c r="L14" t="s">
        <v>101</v>
      </c>
      <c r="M14" t="s">
        <v>138</v>
      </c>
      <c r="N14">
        <v>0.105</v>
      </c>
      <c r="O14">
        <v>6.2E-2</v>
      </c>
      <c r="P14">
        <v>3.9E-2</v>
      </c>
    </row>
    <row r="15" spans="1:16" hidden="1">
      <c r="A15" t="s">
        <v>98</v>
      </c>
      <c r="B15" t="s">
        <v>148</v>
      </c>
      <c r="C15" t="s">
        <v>149</v>
      </c>
      <c r="D15">
        <v>2</v>
      </c>
      <c r="E15">
        <v>4000</v>
      </c>
      <c r="F15">
        <v>0</v>
      </c>
      <c r="G15">
        <v>20</v>
      </c>
      <c r="H15" t="s">
        <v>101</v>
      </c>
      <c r="I15" t="s">
        <v>102</v>
      </c>
      <c r="J15" t="s">
        <v>101</v>
      </c>
      <c r="K15" t="s">
        <v>150</v>
      </c>
      <c r="L15" t="s">
        <v>101</v>
      </c>
      <c r="M15" t="s">
        <v>151</v>
      </c>
      <c r="N15">
        <v>5.1999999999999998E-2</v>
      </c>
      <c r="O15">
        <v>3.4000000000000002E-2</v>
      </c>
      <c r="P15">
        <v>2.3E-2</v>
      </c>
    </row>
    <row r="16" spans="1:16">
      <c r="A16" t="s">
        <v>98</v>
      </c>
      <c r="B16" t="s">
        <v>104</v>
      </c>
      <c r="C16" t="s">
        <v>152</v>
      </c>
      <c r="D16">
        <v>1</v>
      </c>
      <c r="E16">
        <v>1700</v>
      </c>
      <c r="F16">
        <v>160</v>
      </c>
      <c r="G16">
        <v>420</v>
      </c>
      <c r="H16" t="s">
        <v>101</v>
      </c>
      <c r="I16" t="s">
        <v>106</v>
      </c>
      <c r="J16" t="s">
        <v>153</v>
      </c>
      <c r="K16" t="s">
        <v>108</v>
      </c>
      <c r="L16" t="s">
        <v>154</v>
      </c>
      <c r="M16" t="s">
        <v>110</v>
      </c>
      <c r="N16">
        <v>4.3999999999999997E-2</v>
      </c>
      <c r="O16">
        <v>2.4E-2</v>
      </c>
      <c r="P16">
        <v>1.4999999999999999E-2</v>
      </c>
    </row>
    <row r="17" spans="1:16" hidden="1">
      <c r="A17" t="s">
        <v>98</v>
      </c>
      <c r="B17" t="s">
        <v>141</v>
      </c>
      <c r="C17" t="s">
        <v>155</v>
      </c>
      <c r="D17">
        <v>4</v>
      </c>
      <c r="E17">
        <v>15000</v>
      </c>
      <c r="F17">
        <v>80</v>
      </c>
      <c r="G17">
        <v>420</v>
      </c>
      <c r="H17" t="s">
        <v>101</v>
      </c>
      <c r="I17" t="s">
        <v>102</v>
      </c>
      <c r="J17" t="s">
        <v>101</v>
      </c>
      <c r="K17" t="s">
        <v>156</v>
      </c>
      <c r="L17" t="s">
        <v>117</v>
      </c>
      <c r="M17" t="s">
        <v>118</v>
      </c>
      <c r="N17">
        <v>0.26600000000000001</v>
      </c>
      <c r="O17">
        <v>0.16300000000000001</v>
      </c>
      <c r="P17">
        <v>0.104</v>
      </c>
    </row>
    <row r="18" spans="1:16" hidden="1">
      <c r="A18" t="s">
        <v>98</v>
      </c>
      <c r="B18" t="s">
        <v>157</v>
      </c>
      <c r="C18" t="s">
        <v>158</v>
      </c>
      <c r="D18">
        <v>1</v>
      </c>
      <c r="E18">
        <v>3750</v>
      </c>
      <c r="F18">
        <v>410</v>
      </c>
      <c r="G18">
        <v>1244</v>
      </c>
      <c r="H18" t="s">
        <v>101</v>
      </c>
      <c r="I18" t="s">
        <v>102</v>
      </c>
      <c r="J18" t="s">
        <v>101</v>
      </c>
      <c r="K18" t="s">
        <v>159</v>
      </c>
      <c r="L18" t="s">
        <v>101</v>
      </c>
      <c r="M18" t="s">
        <v>160</v>
      </c>
      <c r="N18">
        <v>8.6999999999999994E-2</v>
      </c>
      <c r="O18">
        <v>4.7E-2</v>
      </c>
      <c r="P18">
        <v>2.9000000000000001E-2</v>
      </c>
    </row>
    <row r="19" spans="1:16">
      <c r="A19" t="s">
        <v>98</v>
      </c>
      <c r="B19" t="s">
        <v>104</v>
      </c>
      <c r="C19" t="s">
        <v>161</v>
      </c>
      <c r="D19">
        <v>1</v>
      </c>
      <c r="E19">
        <v>1700</v>
      </c>
      <c r="F19">
        <v>160</v>
      </c>
      <c r="G19">
        <v>20</v>
      </c>
      <c r="H19" t="s">
        <v>101</v>
      </c>
      <c r="I19" t="s">
        <v>106</v>
      </c>
      <c r="J19" t="s">
        <v>162</v>
      </c>
      <c r="K19" t="s">
        <v>108</v>
      </c>
      <c r="L19" t="s">
        <v>163</v>
      </c>
      <c r="M19" t="s">
        <v>110</v>
      </c>
      <c r="N19">
        <v>4.3999999999999997E-2</v>
      </c>
      <c r="O19">
        <v>2.4E-2</v>
      </c>
      <c r="P19">
        <v>1.4999999999999999E-2</v>
      </c>
    </row>
    <row r="20" spans="1:16" hidden="1">
      <c r="A20" t="s">
        <v>98</v>
      </c>
      <c r="B20" t="s">
        <v>164</v>
      </c>
      <c r="C20" t="s">
        <v>165</v>
      </c>
      <c r="D20">
        <v>8</v>
      </c>
      <c r="E20">
        <v>30000</v>
      </c>
      <c r="F20">
        <v>160</v>
      </c>
      <c r="G20">
        <v>1420</v>
      </c>
      <c r="H20" t="s">
        <v>101</v>
      </c>
      <c r="I20" t="s">
        <v>102</v>
      </c>
      <c r="J20" t="s">
        <v>101</v>
      </c>
      <c r="K20" t="s">
        <v>166</v>
      </c>
      <c r="L20" t="s">
        <v>117</v>
      </c>
      <c r="M20" t="s">
        <v>167</v>
      </c>
      <c r="N20">
        <v>0.53200000000000003</v>
      </c>
      <c r="O20">
        <v>0.32400000000000001</v>
      </c>
      <c r="P20">
        <v>0.20899999999999999</v>
      </c>
    </row>
    <row r="21" spans="1:16" hidden="1">
      <c r="A21" t="s">
        <v>98</v>
      </c>
      <c r="B21" t="s">
        <v>141</v>
      </c>
      <c r="C21" t="s">
        <v>168</v>
      </c>
      <c r="D21">
        <v>4</v>
      </c>
      <c r="E21">
        <v>15000</v>
      </c>
      <c r="F21">
        <v>80</v>
      </c>
      <c r="G21">
        <v>1420</v>
      </c>
      <c r="H21" t="s">
        <v>101</v>
      </c>
      <c r="I21" t="s">
        <v>102</v>
      </c>
      <c r="J21" t="s">
        <v>101</v>
      </c>
      <c r="K21" t="s">
        <v>169</v>
      </c>
      <c r="L21" t="s">
        <v>101</v>
      </c>
      <c r="M21" t="s">
        <v>118</v>
      </c>
      <c r="N21">
        <v>0.26600000000000001</v>
      </c>
      <c r="O21">
        <v>0.16300000000000001</v>
      </c>
      <c r="P21">
        <v>0.104</v>
      </c>
    </row>
    <row r="22" spans="1:16">
      <c r="A22" t="s">
        <v>98</v>
      </c>
      <c r="B22" t="s">
        <v>104</v>
      </c>
      <c r="C22" t="s">
        <v>170</v>
      </c>
      <c r="D22">
        <v>1</v>
      </c>
      <c r="E22">
        <v>1700</v>
      </c>
      <c r="F22">
        <v>160</v>
      </c>
      <c r="G22">
        <v>20</v>
      </c>
      <c r="H22" t="s">
        <v>101</v>
      </c>
      <c r="I22" t="s">
        <v>106</v>
      </c>
      <c r="J22" t="s">
        <v>171</v>
      </c>
      <c r="K22" t="s">
        <v>108</v>
      </c>
      <c r="L22" t="s">
        <v>113</v>
      </c>
      <c r="M22" t="s">
        <v>110</v>
      </c>
      <c r="N22">
        <v>4.3999999999999997E-2</v>
      </c>
      <c r="O22">
        <v>2.4E-2</v>
      </c>
      <c r="P22">
        <v>1.4999999999999999E-2</v>
      </c>
    </row>
    <row r="23" spans="1:16">
      <c r="A23" t="s">
        <v>98</v>
      </c>
      <c r="B23" t="s">
        <v>172</v>
      </c>
      <c r="C23" t="s">
        <v>173</v>
      </c>
      <c r="D23">
        <v>1</v>
      </c>
      <c r="E23">
        <v>2000</v>
      </c>
      <c r="F23">
        <v>0</v>
      </c>
      <c r="G23">
        <v>20</v>
      </c>
      <c r="H23" t="s">
        <v>101</v>
      </c>
      <c r="I23" t="s">
        <v>106</v>
      </c>
      <c r="J23" t="s">
        <v>174</v>
      </c>
      <c r="K23" t="s">
        <v>108</v>
      </c>
      <c r="L23" t="s">
        <v>175</v>
      </c>
      <c r="M23" t="s">
        <v>110</v>
      </c>
      <c r="N23">
        <v>2.5999999999999999E-2</v>
      </c>
      <c r="O23">
        <v>1.7000000000000001E-2</v>
      </c>
      <c r="P23">
        <v>1.2E-2</v>
      </c>
    </row>
    <row r="24" spans="1:16" hidden="1">
      <c r="A24" t="s">
        <v>98</v>
      </c>
      <c r="B24" t="s">
        <v>176</v>
      </c>
      <c r="C24" t="s">
        <v>177</v>
      </c>
      <c r="D24">
        <v>1</v>
      </c>
      <c r="E24">
        <v>615</v>
      </c>
      <c r="F24">
        <v>160</v>
      </c>
      <c r="G24">
        <v>8</v>
      </c>
      <c r="H24" t="s">
        <v>101</v>
      </c>
      <c r="I24" t="s">
        <v>102</v>
      </c>
      <c r="J24" t="s">
        <v>101</v>
      </c>
      <c r="K24" t="s">
        <v>101</v>
      </c>
      <c r="L24" t="s">
        <v>101</v>
      </c>
      <c r="M24" t="s">
        <v>138</v>
      </c>
      <c r="N24">
        <v>0.02</v>
      </c>
      <c r="O24">
        <v>1.2E-2</v>
      </c>
      <c r="P24">
        <v>8.0000000000000002E-3</v>
      </c>
    </row>
    <row r="25" spans="1:16" hidden="1">
      <c r="A25" t="s">
        <v>98</v>
      </c>
      <c r="B25" t="s">
        <v>141</v>
      </c>
      <c r="C25" t="s">
        <v>178</v>
      </c>
      <c r="D25">
        <v>4</v>
      </c>
      <c r="E25">
        <v>15000</v>
      </c>
      <c r="F25">
        <v>80</v>
      </c>
      <c r="G25">
        <v>820</v>
      </c>
      <c r="H25" t="s">
        <v>101</v>
      </c>
      <c r="I25" t="s">
        <v>102</v>
      </c>
      <c r="J25" t="s">
        <v>101</v>
      </c>
      <c r="K25" t="s">
        <v>143</v>
      </c>
      <c r="L25" t="s">
        <v>117</v>
      </c>
      <c r="M25" t="s">
        <v>144</v>
      </c>
      <c r="N25">
        <v>0.26600000000000001</v>
      </c>
      <c r="O25">
        <v>0.16300000000000001</v>
      </c>
      <c r="P25">
        <v>0.104</v>
      </c>
    </row>
    <row r="26" spans="1:16">
      <c r="A26" t="s">
        <v>98</v>
      </c>
      <c r="B26" t="s">
        <v>104</v>
      </c>
      <c r="C26" t="s">
        <v>179</v>
      </c>
      <c r="D26">
        <v>1</v>
      </c>
      <c r="E26">
        <v>1700</v>
      </c>
      <c r="F26">
        <v>160</v>
      </c>
      <c r="G26">
        <v>20</v>
      </c>
      <c r="H26" t="s">
        <v>101</v>
      </c>
      <c r="I26" t="s">
        <v>106</v>
      </c>
      <c r="J26" t="s">
        <v>180</v>
      </c>
      <c r="K26" t="s">
        <v>108</v>
      </c>
      <c r="L26" t="s">
        <v>131</v>
      </c>
      <c r="M26" t="s">
        <v>110</v>
      </c>
      <c r="N26">
        <v>4.3999999999999997E-2</v>
      </c>
      <c r="O26">
        <v>2.4E-2</v>
      </c>
      <c r="P26">
        <v>1.4999999999999999E-2</v>
      </c>
    </row>
    <row r="27" spans="1:16">
      <c r="A27" t="s">
        <v>98</v>
      </c>
      <c r="B27" t="s">
        <v>104</v>
      </c>
      <c r="C27" t="s">
        <v>181</v>
      </c>
      <c r="D27">
        <v>1</v>
      </c>
      <c r="E27">
        <v>1700</v>
      </c>
      <c r="F27">
        <v>160</v>
      </c>
      <c r="G27">
        <v>420</v>
      </c>
      <c r="H27" t="s">
        <v>101</v>
      </c>
      <c r="I27" t="s">
        <v>106</v>
      </c>
      <c r="J27" t="s">
        <v>182</v>
      </c>
      <c r="K27" t="s">
        <v>108</v>
      </c>
      <c r="L27" t="s">
        <v>131</v>
      </c>
      <c r="M27" t="s">
        <v>110</v>
      </c>
      <c r="N27">
        <v>4.3999999999999997E-2</v>
      </c>
      <c r="O27">
        <v>2.4E-2</v>
      </c>
      <c r="P27">
        <v>1.4999999999999999E-2</v>
      </c>
    </row>
    <row r="28" spans="1:16" hidden="1">
      <c r="A28" t="s">
        <v>98</v>
      </c>
      <c r="B28" t="s">
        <v>104</v>
      </c>
      <c r="C28" t="s">
        <v>183</v>
      </c>
      <c r="D28">
        <v>1</v>
      </c>
      <c r="E28">
        <v>1700</v>
      </c>
      <c r="F28">
        <v>160</v>
      </c>
      <c r="G28">
        <v>20</v>
      </c>
      <c r="H28" t="s">
        <v>101</v>
      </c>
      <c r="I28" t="s">
        <v>102</v>
      </c>
      <c r="J28" t="s">
        <v>101</v>
      </c>
      <c r="K28" t="s">
        <v>184</v>
      </c>
      <c r="L28" t="s">
        <v>124</v>
      </c>
      <c r="M28" t="s">
        <v>125</v>
      </c>
      <c r="N28">
        <v>4.3999999999999997E-2</v>
      </c>
      <c r="O28">
        <v>2.4E-2</v>
      </c>
      <c r="P28">
        <v>1.4999999999999999E-2</v>
      </c>
    </row>
    <row r="29" spans="1:16" hidden="1">
      <c r="A29" t="s">
        <v>98</v>
      </c>
      <c r="B29" t="s">
        <v>99</v>
      </c>
      <c r="C29" t="s">
        <v>185</v>
      </c>
      <c r="D29">
        <v>2</v>
      </c>
      <c r="E29">
        <v>3750</v>
      </c>
      <c r="F29">
        <v>32</v>
      </c>
      <c r="G29">
        <v>820</v>
      </c>
      <c r="H29" t="s">
        <v>101</v>
      </c>
      <c r="I29" t="s">
        <v>101</v>
      </c>
      <c r="J29" t="s">
        <v>101</v>
      </c>
      <c r="K29" t="s">
        <v>101</v>
      </c>
      <c r="L29" t="s">
        <v>101</v>
      </c>
      <c r="M29" t="s">
        <v>138</v>
      </c>
      <c r="N29">
        <v>0.105</v>
      </c>
      <c r="O29">
        <v>6.2E-2</v>
      </c>
      <c r="P29">
        <v>3.9E-2</v>
      </c>
    </row>
    <row r="30" spans="1:16" hidden="1">
      <c r="A30" t="s">
        <v>98</v>
      </c>
      <c r="B30" t="s">
        <v>104</v>
      </c>
      <c r="C30" t="s">
        <v>186</v>
      </c>
      <c r="D30">
        <v>1</v>
      </c>
      <c r="E30">
        <v>1700</v>
      </c>
      <c r="F30">
        <v>160</v>
      </c>
      <c r="G30">
        <v>20</v>
      </c>
      <c r="H30" t="s">
        <v>101</v>
      </c>
      <c r="I30" t="s">
        <v>102</v>
      </c>
      <c r="J30" t="s">
        <v>101</v>
      </c>
      <c r="K30" t="s">
        <v>166</v>
      </c>
      <c r="L30" t="s">
        <v>101</v>
      </c>
      <c r="M30" t="s">
        <v>125</v>
      </c>
      <c r="N30">
        <v>4.3999999999999997E-2</v>
      </c>
      <c r="O30">
        <v>2.4E-2</v>
      </c>
      <c r="P30">
        <v>1.4999999999999999E-2</v>
      </c>
    </row>
    <row r="31" spans="1:16">
      <c r="A31" t="s">
        <v>98</v>
      </c>
      <c r="B31" t="s">
        <v>172</v>
      </c>
      <c r="C31" t="s">
        <v>187</v>
      </c>
      <c r="D31">
        <v>1</v>
      </c>
      <c r="E31">
        <v>2000</v>
      </c>
      <c r="F31">
        <v>0</v>
      </c>
      <c r="G31">
        <v>420</v>
      </c>
      <c r="H31" t="s">
        <v>101</v>
      </c>
      <c r="I31" t="s">
        <v>106</v>
      </c>
      <c r="J31" t="s">
        <v>153</v>
      </c>
      <c r="K31" t="s">
        <v>108</v>
      </c>
      <c r="L31" t="s">
        <v>117</v>
      </c>
      <c r="M31" t="s">
        <v>110</v>
      </c>
      <c r="N31">
        <v>2.5999999999999999E-2</v>
      </c>
      <c r="O31">
        <v>1.7000000000000001E-2</v>
      </c>
      <c r="P31">
        <v>1.2E-2</v>
      </c>
    </row>
    <row r="32" spans="1:16">
      <c r="A32" t="s">
        <v>98</v>
      </c>
      <c r="B32" t="s">
        <v>172</v>
      </c>
      <c r="C32" t="s">
        <v>188</v>
      </c>
      <c r="D32">
        <v>1</v>
      </c>
      <c r="E32">
        <v>2000</v>
      </c>
      <c r="F32">
        <v>0</v>
      </c>
      <c r="G32">
        <v>220</v>
      </c>
      <c r="H32" t="s">
        <v>101</v>
      </c>
      <c r="I32" t="s">
        <v>106</v>
      </c>
      <c r="J32" t="s">
        <v>189</v>
      </c>
      <c r="K32" t="s">
        <v>108</v>
      </c>
      <c r="L32" t="s">
        <v>131</v>
      </c>
      <c r="M32" t="s">
        <v>110</v>
      </c>
      <c r="N32">
        <v>2.5999999999999999E-2</v>
      </c>
      <c r="O32">
        <v>1.7000000000000001E-2</v>
      </c>
      <c r="P32">
        <v>1.2E-2</v>
      </c>
    </row>
    <row r="33" spans="1:16">
      <c r="A33" t="s">
        <v>98</v>
      </c>
      <c r="B33" t="s">
        <v>104</v>
      </c>
      <c r="C33" t="s">
        <v>190</v>
      </c>
      <c r="D33">
        <v>1</v>
      </c>
      <c r="E33">
        <v>1700</v>
      </c>
      <c r="F33">
        <v>160</v>
      </c>
      <c r="G33">
        <v>20</v>
      </c>
      <c r="H33" t="s">
        <v>101</v>
      </c>
      <c r="I33" t="s">
        <v>106</v>
      </c>
      <c r="J33" t="s">
        <v>191</v>
      </c>
      <c r="K33" t="s">
        <v>108</v>
      </c>
      <c r="L33" t="s">
        <v>192</v>
      </c>
      <c r="M33" t="s">
        <v>110</v>
      </c>
      <c r="N33">
        <v>4.3999999999999997E-2</v>
      </c>
      <c r="O33">
        <v>2.4E-2</v>
      </c>
      <c r="P33">
        <v>1.4999999999999999E-2</v>
      </c>
    </row>
    <row r="34" spans="1:16" hidden="1">
      <c r="A34" t="s">
        <v>98</v>
      </c>
      <c r="B34" t="s">
        <v>193</v>
      </c>
      <c r="C34" t="s">
        <v>194</v>
      </c>
      <c r="D34">
        <v>2</v>
      </c>
      <c r="E34">
        <v>15000</v>
      </c>
      <c r="F34">
        <v>32</v>
      </c>
      <c r="G34">
        <v>420</v>
      </c>
      <c r="H34" t="s">
        <v>101</v>
      </c>
      <c r="I34" t="s">
        <v>102</v>
      </c>
      <c r="J34" t="s">
        <v>101</v>
      </c>
      <c r="K34" t="s">
        <v>195</v>
      </c>
      <c r="L34" t="s">
        <v>101</v>
      </c>
      <c r="M34" t="s">
        <v>110</v>
      </c>
      <c r="N34">
        <v>0.17499999999999999</v>
      </c>
      <c r="O34">
        <v>9.2999999999999999E-2</v>
      </c>
      <c r="P34">
        <v>6.0999999999999999E-2</v>
      </c>
    </row>
    <row r="35" spans="1:16" hidden="1">
      <c r="A35" t="s">
        <v>98</v>
      </c>
      <c r="B35" t="s">
        <v>132</v>
      </c>
      <c r="C35" t="s">
        <v>196</v>
      </c>
      <c r="D35">
        <v>2</v>
      </c>
      <c r="E35">
        <v>7500</v>
      </c>
      <c r="F35">
        <v>850</v>
      </c>
      <c r="G35">
        <v>20</v>
      </c>
      <c r="H35" t="s">
        <v>101</v>
      </c>
      <c r="I35" t="s">
        <v>102</v>
      </c>
      <c r="J35" t="s">
        <v>101</v>
      </c>
      <c r="K35" t="s">
        <v>101</v>
      </c>
      <c r="L35" t="s">
        <v>101</v>
      </c>
      <c r="M35" t="s">
        <v>134</v>
      </c>
      <c r="N35">
        <v>0.17499999999999999</v>
      </c>
      <c r="O35">
        <v>9.5000000000000001E-2</v>
      </c>
      <c r="P35">
        <v>5.8999999999999997E-2</v>
      </c>
    </row>
    <row r="36" spans="1:16" hidden="1">
      <c r="A36" t="s">
        <v>98</v>
      </c>
      <c r="B36" t="s">
        <v>197</v>
      </c>
      <c r="C36" t="s">
        <v>198</v>
      </c>
      <c r="D36">
        <v>32</v>
      </c>
      <c r="E36">
        <v>60000</v>
      </c>
      <c r="F36">
        <v>640</v>
      </c>
      <c r="G36">
        <v>590</v>
      </c>
      <c r="H36" t="s">
        <v>101</v>
      </c>
      <c r="I36" t="s">
        <v>146</v>
      </c>
      <c r="J36" t="s">
        <v>101</v>
      </c>
      <c r="K36" t="s">
        <v>199</v>
      </c>
      <c r="L36" t="s">
        <v>101</v>
      </c>
      <c r="M36" t="s">
        <v>138</v>
      </c>
      <c r="N36">
        <v>1.68</v>
      </c>
      <c r="O36">
        <v>0.99199999999999999</v>
      </c>
      <c r="P36">
        <v>0.628</v>
      </c>
    </row>
    <row r="37" spans="1:16" hidden="1">
      <c r="A37" t="s">
        <v>98</v>
      </c>
      <c r="B37" t="s">
        <v>104</v>
      </c>
      <c r="C37" t="s">
        <v>200</v>
      </c>
      <c r="D37">
        <v>1</v>
      </c>
      <c r="E37">
        <v>1700</v>
      </c>
      <c r="F37">
        <v>160</v>
      </c>
      <c r="G37">
        <v>20</v>
      </c>
      <c r="H37" t="s">
        <v>101</v>
      </c>
      <c r="I37" t="s">
        <v>102</v>
      </c>
      <c r="J37" t="s">
        <v>101</v>
      </c>
      <c r="K37" t="s">
        <v>143</v>
      </c>
      <c r="L37" t="s">
        <v>124</v>
      </c>
      <c r="M37" t="s">
        <v>125</v>
      </c>
      <c r="N37">
        <v>4.3999999999999997E-2</v>
      </c>
      <c r="O37">
        <v>2.4E-2</v>
      </c>
      <c r="P37">
        <v>1.4999999999999999E-2</v>
      </c>
    </row>
    <row r="38" spans="1:16">
      <c r="A38" t="s">
        <v>98</v>
      </c>
      <c r="B38" t="s">
        <v>104</v>
      </c>
      <c r="C38" t="s">
        <v>201</v>
      </c>
      <c r="D38">
        <v>1</v>
      </c>
      <c r="E38">
        <v>1700</v>
      </c>
      <c r="F38">
        <v>160</v>
      </c>
      <c r="G38">
        <v>20</v>
      </c>
      <c r="H38" t="s">
        <v>101</v>
      </c>
      <c r="I38" t="s">
        <v>106</v>
      </c>
      <c r="J38" t="s">
        <v>202</v>
      </c>
      <c r="K38" t="s">
        <v>108</v>
      </c>
      <c r="L38" t="s">
        <v>203</v>
      </c>
      <c r="M38" t="s">
        <v>110</v>
      </c>
      <c r="N38">
        <v>4.3999999999999997E-2</v>
      </c>
      <c r="O38">
        <v>2.4E-2</v>
      </c>
      <c r="P38">
        <v>1.4999999999999999E-2</v>
      </c>
    </row>
    <row r="39" spans="1:16" hidden="1">
      <c r="A39" t="s">
        <v>98</v>
      </c>
      <c r="B39" t="s">
        <v>135</v>
      </c>
      <c r="C39" t="s">
        <v>204</v>
      </c>
      <c r="D39">
        <v>1</v>
      </c>
      <c r="E39">
        <v>3750</v>
      </c>
      <c r="F39">
        <v>4</v>
      </c>
      <c r="G39">
        <v>820</v>
      </c>
      <c r="H39" t="s">
        <v>101</v>
      </c>
      <c r="I39" t="s">
        <v>102</v>
      </c>
      <c r="J39" t="s">
        <v>101</v>
      </c>
      <c r="K39" t="s">
        <v>205</v>
      </c>
      <c r="L39" t="s">
        <v>117</v>
      </c>
      <c r="M39" t="s">
        <v>118</v>
      </c>
      <c r="N39">
        <v>6.7000000000000004E-2</v>
      </c>
      <c r="O39">
        <v>0.04</v>
      </c>
      <c r="P39">
        <v>2.5999999999999999E-2</v>
      </c>
    </row>
    <row r="40" spans="1:16" hidden="1">
      <c r="A40" t="s">
        <v>98</v>
      </c>
      <c r="B40" t="s">
        <v>132</v>
      </c>
      <c r="C40" t="s">
        <v>206</v>
      </c>
      <c r="D40">
        <v>2</v>
      </c>
      <c r="E40">
        <v>7500</v>
      </c>
      <c r="F40">
        <v>850</v>
      </c>
      <c r="G40">
        <v>20</v>
      </c>
      <c r="H40" t="s">
        <v>101</v>
      </c>
      <c r="I40" t="s">
        <v>102</v>
      </c>
      <c r="J40" t="s">
        <v>101</v>
      </c>
      <c r="K40" t="s">
        <v>207</v>
      </c>
      <c r="L40" t="s">
        <v>101</v>
      </c>
      <c r="M40" t="s">
        <v>134</v>
      </c>
      <c r="N40">
        <v>0.17499999999999999</v>
      </c>
      <c r="O40">
        <v>9.5000000000000001E-2</v>
      </c>
      <c r="P40">
        <v>5.8999999999999997E-2</v>
      </c>
    </row>
    <row r="41" spans="1:16">
      <c r="A41" t="s">
        <v>98</v>
      </c>
      <c r="B41" t="s">
        <v>104</v>
      </c>
      <c r="C41" t="s">
        <v>208</v>
      </c>
      <c r="D41">
        <v>1</v>
      </c>
      <c r="E41">
        <v>1700</v>
      </c>
      <c r="F41">
        <v>160</v>
      </c>
      <c r="G41">
        <v>20</v>
      </c>
      <c r="H41" t="s">
        <v>101</v>
      </c>
      <c r="I41" t="s">
        <v>106</v>
      </c>
      <c r="J41" t="s">
        <v>209</v>
      </c>
      <c r="K41" t="s">
        <v>108</v>
      </c>
      <c r="L41" t="s">
        <v>210</v>
      </c>
      <c r="M41" t="s">
        <v>110</v>
      </c>
      <c r="N41">
        <v>4.3999999999999997E-2</v>
      </c>
      <c r="O41">
        <v>2.4E-2</v>
      </c>
      <c r="P41">
        <v>1.4999999999999999E-2</v>
      </c>
    </row>
    <row r="42" spans="1:16" hidden="1">
      <c r="A42" t="s">
        <v>98</v>
      </c>
      <c r="B42" t="s">
        <v>99</v>
      </c>
      <c r="C42" t="s">
        <v>211</v>
      </c>
      <c r="D42">
        <v>2</v>
      </c>
      <c r="E42">
        <v>3750</v>
      </c>
      <c r="F42">
        <v>32</v>
      </c>
      <c r="G42">
        <v>8</v>
      </c>
      <c r="H42" t="s">
        <v>101</v>
      </c>
      <c r="I42" t="s">
        <v>102</v>
      </c>
      <c r="J42" t="s">
        <v>101</v>
      </c>
      <c r="K42" t="s">
        <v>101</v>
      </c>
      <c r="L42" t="s">
        <v>101</v>
      </c>
      <c r="M42" t="s">
        <v>138</v>
      </c>
      <c r="N42">
        <v>0.105</v>
      </c>
      <c r="O42">
        <v>6.2E-2</v>
      </c>
      <c r="P42">
        <v>3.9E-2</v>
      </c>
    </row>
    <row r="43" spans="1:16">
      <c r="A43" t="s">
        <v>98</v>
      </c>
      <c r="B43" t="s">
        <v>212</v>
      </c>
      <c r="C43" t="s">
        <v>213</v>
      </c>
      <c r="D43">
        <v>1</v>
      </c>
      <c r="E43">
        <v>1000</v>
      </c>
      <c r="F43">
        <v>0</v>
      </c>
      <c r="G43">
        <v>20</v>
      </c>
      <c r="H43" t="s">
        <v>101</v>
      </c>
      <c r="I43" t="s">
        <v>106</v>
      </c>
      <c r="J43" t="s">
        <v>214</v>
      </c>
      <c r="K43" t="s">
        <v>108</v>
      </c>
      <c r="L43" t="s">
        <v>101</v>
      </c>
      <c r="M43" t="s">
        <v>110</v>
      </c>
      <c r="N43">
        <v>1.2999999999999999E-2</v>
      </c>
      <c r="O43">
        <v>8.9999999999999993E-3</v>
      </c>
      <c r="P43">
        <v>6.0000000000000001E-3</v>
      </c>
    </row>
    <row r="44" spans="1:16" hidden="1">
      <c r="A44" t="s">
        <v>98</v>
      </c>
      <c r="B44" t="s">
        <v>135</v>
      </c>
      <c r="C44" t="s">
        <v>215</v>
      </c>
      <c r="D44">
        <v>1</v>
      </c>
      <c r="E44">
        <v>3750</v>
      </c>
      <c r="F44">
        <v>4</v>
      </c>
      <c r="G44">
        <v>30</v>
      </c>
      <c r="H44" t="s">
        <v>101</v>
      </c>
      <c r="I44" t="s">
        <v>146</v>
      </c>
      <c r="J44" t="s">
        <v>101</v>
      </c>
      <c r="K44" t="s">
        <v>101</v>
      </c>
      <c r="L44" t="s">
        <v>101</v>
      </c>
      <c r="M44" t="s">
        <v>138</v>
      </c>
      <c r="N44">
        <v>0.13</v>
      </c>
      <c r="O44">
        <v>8.4000000000000005E-2</v>
      </c>
      <c r="P44">
        <v>6.4000000000000001E-2</v>
      </c>
    </row>
    <row r="45" spans="1:16" hidden="1">
      <c r="A45" t="s">
        <v>98</v>
      </c>
      <c r="B45" t="s">
        <v>141</v>
      </c>
      <c r="C45" t="s">
        <v>216</v>
      </c>
      <c r="D45">
        <v>4</v>
      </c>
      <c r="E45">
        <v>15000</v>
      </c>
      <c r="F45">
        <v>80</v>
      </c>
      <c r="G45">
        <v>820</v>
      </c>
      <c r="H45" t="s">
        <v>101</v>
      </c>
      <c r="I45" t="s">
        <v>102</v>
      </c>
      <c r="J45" t="s">
        <v>101</v>
      </c>
      <c r="K45" t="s">
        <v>217</v>
      </c>
      <c r="L45" t="s">
        <v>117</v>
      </c>
      <c r="M45" t="s">
        <v>118</v>
      </c>
      <c r="N45">
        <v>0.26600000000000001</v>
      </c>
      <c r="O45">
        <v>0.16300000000000001</v>
      </c>
      <c r="P45">
        <v>0.104</v>
      </c>
    </row>
    <row r="46" spans="1:16">
      <c r="A46" t="s">
        <v>98</v>
      </c>
      <c r="B46" t="s">
        <v>104</v>
      </c>
      <c r="C46" t="s">
        <v>218</v>
      </c>
      <c r="D46">
        <v>1</v>
      </c>
      <c r="E46">
        <v>1700</v>
      </c>
      <c r="F46">
        <v>160</v>
      </c>
      <c r="G46">
        <v>20</v>
      </c>
      <c r="H46" t="s">
        <v>101</v>
      </c>
      <c r="I46" t="s">
        <v>106</v>
      </c>
      <c r="J46" t="s">
        <v>209</v>
      </c>
      <c r="K46" t="s">
        <v>108</v>
      </c>
      <c r="L46" t="s">
        <v>128</v>
      </c>
      <c r="M46" t="s">
        <v>110</v>
      </c>
      <c r="N46">
        <v>4.3999999999999997E-2</v>
      </c>
      <c r="O46">
        <v>2.4E-2</v>
      </c>
      <c r="P46">
        <v>1.4999999999999999E-2</v>
      </c>
    </row>
    <row r="47" spans="1:16" hidden="1">
      <c r="A47" t="s">
        <v>98</v>
      </c>
      <c r="B47" t="s">
        <v>104</v>
      </c>
      <c r="C47" t="s">
        <v>219</v>
      </c>
      <c r="D47">
        <v>1</v>
      </c>
      <c r="E47">
        <v>1700</v>
      </c>
      <c r="F47">
        <v>160</v>
      </c>
      <c r="G47">
        <v>70</v>
      </c>
      <c r="H47" t="s">
        <v>101</v>
      </c>
      <c r="I47" t="s">
        <v>102</v>
      </c>
      <c r="J47" t="s">
        <v>101</v>
      </c>
      <c r="K47" t="s">
        <v>220</v>
      </c>
      <c r="L47" t="s">
        <v>101</v>
      </c>
      <c r="M47" t="s">
        <v>125</v>
      </c>
      <c r="N47">
        <v>4.3999999999999997E-2</v>
      </c>
      <c r="O47">
        <v>2.4E-2</v>
      </c>
      <c r="P47">
        <v>1.4999999999999999E-2</v>
      </c>
    </row>
    <row r="48" spans="1:16">
      <c r="A48" t="s">
        <v>98</v>
      </c>
      <c r="B48" t="s">
        <v>104</v>
      </c>
      <c r="C48" t="s">
        <v>221</v>
      </c>
      <c r="D48">
        <v>1</v>
      </c>
      <c r="E48">
        <v>1700</v>
      </c>
      <c r="F48">
        <v>160</v>
      </c>
      <c r="G48">
        <v>20</v>
      </c>
      <c r="H48" t="s">
        <v>101</v>
      </c>
      <c r="I48" t="s">
        <v>106</v>
      </c>
      <c r="J48" t="s">
        <v>209</v>
      </c>
      <c r="K48" t="s">
        <v>108</v>
      </c>
      <c r="L48" t="s">
        <v>222</v>
      </c>
      <c r="M48" t="s">
        <v>110</v>
      </c>
      <c r="N48">
        <v>4.3999999999999997E-2</v>
      </c>
      <c r="O48">
        <v>2.4E-2</v>
      </c>
      <c r="P48">
        <v>1.4999999999999999E-2</v>
      </c>
    </row>
    <row r="49" spans="1:16">
      <c r="A49" t="s">
        <v>98</v>
      </c>
      <c r="B49" t="s">
        <v>172</v>
      </c>
      <c r="C49" t="s">
        <v>223</v>
      </c>
      <c r="D49">
        <v>1</v>
      </c>
      <c r="E49">
        <v>2000</v>
      </c>
      <c r="F49">
        <v>0</v>
      </c>
      <c r="G49">
        <v>120</v>
      </c>
      <c r="H49" t="s">
        <v>101</v>
      </c>
      <c r="I49" t="s">
        <v>106</v>
      </c>
      <c r="J49" t="s">
        <v>130</v>
      </c>
      <c r="K49" t="s">
        <v>108</v>
      </c>
      <c r="L49" t="s">
        <v>154</v>
      </c>
      <c r="M49" t="s">
        <v>110</v>
      </c>
      <c r="N49">
        <v>2.5999999999999999E-2</v>
      </c>
      <c r="O49">
        <v>1.7000000000000001E-2</v>
      </c>
      <c r="P49">
        <v>1.2E-2</v>
      </c>
    </row>
    <row r="50" spans="1:16">
      <c r="A50" t="s">
        <v>98</v>
      </c>
      <c r="B50" t="s">
        <v>172</v>
      </c>
      <c r="C50" t="s">
        <v>224</v>
      </c>
      <c r="D50">
        <v>1</v>
      </c>
      <c r="E50">
        <v>2000</v>
      </c>
      <c r="F50">
        <v>0</v>
      </c>
      <c r="G50">
        <v>220</v>
      </c>
      <c r="H50" t="s">
        <v>101</v>
      </c>
      <c r="I50" t="s">
        <v>106</v>
      </c>
      <c r="J50" t="s">
        <v>189</v>
      </c>
      <c r="K50" t="s">
        <v>108</v>
      </c>
      <c r="L50" t="s">
        <v>154</v>
      </c>
      <c r="M50" t="s">
        <v>110</v>
      </c>
      <c r="N50">
        <v>2.5999999999999999E-2</v>
      </c>
      <c r="O50">
        <v>1.7000000000000001E-2</v>
      </c>
      <c r="P50">
        <v>1.2E-2</v>
      </c>
    </row>
    <row r="51" spans="1:16" hidden="1">
      <c r="A51" t="s">
        <v>98</v>
      </c>
      <c r="B51" t="s">
        <v>141</v>
      </c>
      <c r="C51" t="s">
        <v>225</v>
      </c>
      <c r="D51">
        <v>4</v>
      </c>
      <c r="E51">
        <v>15000</v>
      </c>
      <c r="F51">
        <v>80</v>
      </c>
      <c r="G51">
        <v>420</v>
      </c>
      <c r="H51" t="s">
        <v>101</v>
      </c>
      <c r="I51" t="s">
        <v>102</v>
      </c>
      <c r="J51" t="s">
        <v>101</v>
      </c>
      <c r="K51" t="s">
        <v>156</v>
      </c>
      <c r="L51" t="s">
        <v>117</v>
      </c>
      <c r="M51" t="s">
        <v>118</v>
      </c>
      <c r="N51">
        <v>0.26600000000000001</v>
      </c>
      <c r="O51">
        <v>0.16300000000000001</v>
      </c>
      <c r="P51">
        <v>0.104</v>
      </c>
    </row>
    <row r="52" spans="1:16">
      <c r="A52" t="s">
        <v>98</v>
      </c>
      <c r="B52" t="s">
        <v>99</v>
      </c>
      <c r="C52" t="s">
        <v>226</v>
      </c>
      <c r="D52">
        <v>2</v>
      </c>
      <c r="E52">
        <v>3750</v>
      </c>
      <c r="F52">
        <v>32</v>
      </c>
      <c r="G52">
        <v>20</v>
      </c>
      <c r="H52" t="s">
        <v>101</v>
      </c>
      <c r="I52" t="s">
        <v>106</v>
      </c>
      <c r="J52" t="s">
        <v>227</v>
      </c>
      <c r="K52" t="s">
        <v>108</v>
      </c>
      <c r="L52" t="s">
        <v>228</v>
      </c>
      <c r="M52" t="s">
        <v>110</v>
      </c>
      <c r="N52">
        <v>0.105</v>
      </c>
      <c r="O52">
        <v>6.2E-2</v>
      </c>
      <c r="P52">
        <v>3.9E-2</v>
      </c>
    </row>
    <row r="53" spans="1:16">
      <c r="A53" t="s">
        <v>98</v>
      </c>
      <c r="B53" t="s">
        <v>104</v>
      </c>
      <c r="C53" t="s">
        <v>229</v>
      </c>
      <c r="D53">
        <v>1</v>
      </c>
      <c r="E53">
        <v>1700</v>
      </c>
      <c r="F53">
        <v>160</v>
      </c>
      <c r="G53">
        <v>20</v>
      </c>
      <c r="H53" t="s">
        <v>101</v>
      </c>
      <c r="I53" t="s">
        <v>106</v>
      </c>
      <c r="J53" t="s">
        <v>230</v>
      </c>
      <c r="K53" t="s">
        <v>108</v>
      </c>
      <c r="L53" t="s">
        <v>231</v>
      </c>
      <c r="M53" t="s">
        <v>110</v>
      </c>
      <c r="N53">
        <v>4.3999999999999997E-2</v>
      </c>
      <c r="O53">
        <v>2.4E-2</v>
      </c>
      <c r="P53">
        <v>1.4999999999999999E-2</v>
      </c>
    </row>
    <row r="54" spans="1:16">
      <c r="A54" t="s">
        <v>98</v>
      </c>
      <c r="B54" t="s">
        <v>172</v>
      </c>
      <c r="C54" t="s">
        <v>232</v>
      </c>
      <c r="D54">
        <v>1</v>
      </c>
      <c r="E54">
        <v>2000</v>
      </c>
      <c r="F54">
        <v>0</v>
      </c>
      <c r="G54">
        <v>20</v>
      </c>
      <c r="H54" t="s">
        <v>101</v>
      </c>
      <c r="I54" t="s">
        <v>106</v>
      </c>
      <c r="J54" t="s">
        <v>107</v>
      </c>
      <c r="K54" t="s">
        <v>108</v>
      </c>
      <c r="L54" t="s">
        <v>233</v>
      </c>
      <c r="M54" t="s">
        <v>110</v>
      </c>
      <c r="N54">
        <v>2.5999999999999999E-2</v>
      </c>
      <c r="O54">
        <v>1.7000000000000001E-2</v>
      </c>
      <c r="P54">
        <v>1.2E-2</v>
      </c>
    </row>
    <row r="55" spans="1:16" hidden="1">
      <c r="A55" t="s">
        <v>98</v>
      </c>
      <c r="B55" t="s">
        <v>104</v>
      </c>
      <c r="C55" t="s">
        <v>234</v>
      </c>
      <c r="D55">
        <v>1</v>
      </c>
      <c r="E55">
        <v>1700</v>
      </c>
      <c r="F55">
        <v>160</v>
      </c>
      <c r="G55">
        <v>20</v>
      </c>
      <c r="H55" t="s">
        <v>101</v>
      </c>
      <c r="I55" t="s">
        <v>102</v>
      </c>
      <c r="J55" t="s">
        <v>101</v>
      </c>
      <c r="K55" t="s">
        <v>101</v>
      </c>
      <c r="L55" t="s">
        <v>101</v>
      </c>
      <c r="M55" t="s">
        <v>134</v>
      </c>
      <c r="N55">
        <v>4.3999999999999997E-2</v>
      </c>
      <c r="O55">
        <v>2.4E-2</v>
      </c>
      <c r="P55">
        <v>1.4999999999999999E-2</v>
      </c>
    </row>
    <row r="56" spans="1:16">
      <c r="A56" t="s">
        <v>98</v>
      </c>
      <c r="B56" t="s">
        <v>104</v>
      </c>
      <c r="C56" t="s">
        <v>235</v>
      </c>
      <c r="D56">
        <v>1</v>
      </c>
      <c r="E56">
        <v>1700</v>
      </c>
      <c r="F56">
        <v>160</v>
      </c>
      <c r="G56">
        <v>20</v>
      </c>
      <c r="H56" t="s">
        <v>101</v>
      </c>
      <c r="I56" t="s">
        <v>106</v>
      </c>
      <c r="J56" t="s">
        <v>236</v>
      </c>
      <c r="K56" t="s">
        <v>108</v>
      </c>
      <c r="L56" t="s">
        <v>210</v>
      </c>
      <c r="M56" t="s">
        <v>110</v>
      </c>
      <c r="N56">
        <v>4.3999999999999997E-2</v>
      </c>
      <c r="O56">
        <v>2.4E-2</v>
      </c>
      <c r="P56">
        <v>1.4999999999999999E-2</v>
      </c>
    </row>
    <row r="57" spans="1:16" hidden="1">
      <c r="A57" t="s">
        <v>98</v>
      </c>
      <c r="B57" t="s">
        <v>157</v>
      </c>
      <c r="C57" t="s">
        <v>237</v>
      </c>
      <c r="D57">
        <v>1</v>
      </c>
      <c r="E57">
        <v>3750</v>
      </c>
      <c r="F57">
        <v>410</v>
      </c>
      <c r="G57">
        <v>30</v>
      </c>
      <c r="H57" t="s">
        <v>101</v>
      </c>
      <c r="I57" t="s">
        <v>146</v>
      </c>
      <c r="J57" t="s">
        <v>101</v>
      </c>
      <c r="K57" t="s">
        <v>101</v>
      </c>
      <c r="L57" t="s">
        <v>101</v>
      </c>
      <c r="M57" t="s">
        <v>138</v>
      </c>
      <c r="N57">
        <v>0.14899999999999999</v>
      </c>
      <c r="O57">
        <v>9.6000000000000002E-2</v>
      </c>
      <c r="P57">
        <v>7.1999999999999995E-2</v>
      </c>
    </row>
    <row r="58" spans="1:16">
      <c r="A58" t="s">
        <v>98</v>
      </c>
      <c r="B58" t="s">
        <v>104</v>
      </c>
      <c r="C58" t="s">
        <v>238</v>
      </c>
      <c r="D58">
        <v>1</v>
      </c>
      <c r="E58">
        <v>1700</v>
      </c>
      <c r="F58">
        <v>160</v>
      </c>
      <c r="G58">
        <v>70</v>
      </c>
      <c r="H58" t="s">
        <v>101</v>
      </c>
      <c r="I58" t="s">
        <v>106</v>
      </c>
      <c r="J58" t="s">
        <v>239</v>
      </c>
      <c r="K58" t="s">
        <v>108</v>
      </c>
      <c r="L58" t="s">
        <v>231</v>
      </c>
      <c r="M58" t="s">
        <v>110</v>
      </c>
      <c r="N58">
        <v>4.3999999999999997E-2</v>
      </c>
      <c r="O58">
        <v>2.4E-2</v>
      </c>
      <c r="P58">
        <v>1.4999999999999999E-2</v>
      </c>
    </row>
    <row r="59" spans="1:16">
      <c r="A59" t="s">
        <v>98</v>
      </c>
      <c r="B59" t="s">
        <v>104</v>
      </c>
      <c r="C59" t="s">
        <v>240</v>
      </c>
      <c r="D59">
        <v>1</v>
      </c>
      <c r="E59">
        <v>1700</v>
      </c>
      <c r="F59">
        <v>160</v>
      </c>
      <c r="G59">
        <v>20</v>
      </c>
      <c r="H59" t="s">
        <v>101</v>
      </c>
      <c r="I59" t="s">
        <v>106</v>
      </c>
      <c r="J59" t="s">
        <v>241</v>
      </c>
      <c r="K59" t="s">
        <v>108</v>
      </c>
      <c r="L59" t="s">
        <v>242</v>
      </c>
      <c r="M59" t="s">
        <v>110</v>
      </c>
      <c r="N59">
        <v>4.3999999999999997E-2</v>
      </c>
      <c r="O59">
        <v>2.4E-2</v>
      </c>
      <c r="P59">
        <v>1.4999999999999999E-2</v>
      </c>
    </row>
    <row r="60" spans="1:16" hidden="1">
      <c r="A60" t="s">
        <v>98</v>
      </c>
      <c r="B60" t="s">
        <v>164</v>
      </c>
      <c r="C60" t="s">
        <v>243</v>
      </c>
      <c r="D60">
        <v>8</v>
      </c>
      <c r="E60">
        <v>30000</v>
      </c>
      <c r="F60">
        <v>160</v>
      </c>
      <c r="G60">
        <v>2406</v>
      </c>
      <c r="H60" t="s">
        <v>101</v>
      </c>
      <c r="I60" t="s">
        <v>146</v>
      </c>
      <c r="J60" t="s">
        <v>101</v>
      </c>
      <c r="K60" t="s">
        <v>244</v>
      </c>
      <c r="L60" t="s">
        <v>245</v>
      </c>
      <c r="M60" t="s">
        <v>138</v>
      </c>
      <c r="N60">
        <v>0.53200000000000003</v>
      </c>
      <c r="O60">
        <v>0.32400000000000001</v>
      </c>
      <c r="P60">
        <v>0.20899999999999999</v>
      </c>
    </row>
    <row r="61" spans="1:16" hidden="1">
      <c r="A61" t="s">
        <v>98</v>
      </c>
      <c r="B61" t="s">
        <v>141</v>
      </c>
      <c r="C61" t="s">
        <v>246</v>
      </c>
      <c r="D61">
        <v>4</v>
      </c>
      <c r="E61">
        <v>15000</v>
      </c>
      <c r="F61">
        <v>80</v>
      </c>
      <c r="G61">
        <v>420</v>
      </c>
      <c r="H61" t="s">
        <v>101</v>
      </c>
      <c r="I61" t="s">
        <v>102</v>
      </c>
      <c r="J61" t="s">
        <v>101</v>
      </c>
      <c r="K61" t="s">
        <v>156</v>
      </c>
      <c r="L61" t="s">
        <v>117</v>
      </c>
      <c r="M61" t="s">
        <v>118</v>
      </c>
      <c r="N61">
        <v>0.26600000000000001</v>
      </c>
      <c r="O61">
        <v>0.16300000000000001</v>
      </c>
      <c r="P61">
        <v>0.104</v>
      </c>
    </row>
    <row r="62" spans="1:16">
      <c r="A62" t="s">
        <v>98</v>
      </c>
      <c r="B62" t="s">
        <v>104</v>
      </c>
      <c r="C62" t="s">
        <v>247</v>
      </c>
      <c r="D62">
        <v>1</v>
      </c>
      <c r="E62">
        <v>1700</v>
      </c>
      <c r="F62">
        <v>160</v>
      </c>
      <c r="G62">
        <v>20</v>
      </c>
      <c r="H62" t="s">
        <v>101</v>
      </c>
      <c r="I62" t="s">
        <v>106</v>
      </c>
      <c r="J62" t="s">
        <v>248</v>
      </c>
      <c r="K62" t="s">
        <v>108</v>
      </c>
      <c r="L62" t="s">
        <v>249</v>
      </c>
      <c r="M62" t="s">
        <v>110</v>
      </c>
      <c r="N62">
        <v>4.3999999999999997E-2</v>
      </c>
      <c r="O62">
        <v>2.4E-2</v>
      </c>
      <c r="P62">
        <v>1.4999999999999999E-2</v>
      </c>
    </row>
    <row r="63" spans="1:16">
      <c r="A63" t="s">
        <v>98</v>
      </c>
      <c r="B63" t="s">
        <v>104</v>
      </c>
      <c r="C63" t="s">
        <v>250</v>
      </c>
      <c r="D63">
        <v>1</v>
      </c>
      <c r="E63">
        <v>1700</v>
      </c>
      <c r="F63">
        <v>160</v>
      </c>
      <c r="G63">
        <v>20</v>
      </c>
      <c r="H63" t="s">
        <v>101</v>
      </c>
      <c r="I63" t="s">
        <v>106</v>
      </c>
      <c r="J63" t="s">
        <v>251</v>
      </c>
      <c r="K63" t="s">
        <v>108</v>
      </c>
      <c r="L63" t="s">
        <v>252</v>
      </c>
      <c r="M63" t="s">
        <v>110</v>
      </c>
      <c r="N63">
        <v>4.3999999999999997E-2</v>
      </c>
      <c r="O63">
        <v>2.4E-2</v>
      </c>
      <c r="P63">
        <v>1.4999999999999999E-2</v>
      </c>
    </row>
    <row r="64" spans="1:16" hidden="1">
      <c r="A64" t="s">
        <v>98</v>
      </c>
      <c r="B64" t="s">
        <v>135</v>
      </c>
      <c r="C64" t="s">
        <v>253</v>
      </c>
      <c r="D64">
        <v>1</v>
      </c>
      <c r="E64">
        <v>3750</v>
      </c>
      <c r="F64">
        <v>4</v>
      </c>
      <c r="G64">
        <v>1420</v>
      </c>
      <c r="H64" t="s">
        <v>101</v>
      </c>
      <c r="I64" t="s">
        <v>102</v>
      </c>
      <c r="J64" t="s">
        <v>101</v>
      </c>
      <c r="K64" t="s">
        <v>150</v>
      </c>
      <c r="L64" t="s">
        <v>117</v>
      </c>
      <c r="M64" t="s">
        <v>151</v>
      </c>
      <c r="N64">
        <v>6.7000000000000004E-2</v>
      </c>
      <c r="O64">
        <v>0.04</v>
      </c>
      <c r="P64">
        <v>2.5999999999999999E-2</v>
      </c>
    </row>
    <row r="65" spans="1:16">
      <c r="A65" t="s">
        <v>98</v>
      </c>
      <c r="B65" t="s">
        <v>135</v>
      </c>
      <c r="C65" t="s">
        <v>254</v>
      </c>
      <c r="D65">
        <v>1</v>
      </c>
      <c r="E65">
        <v>3750</v>
      </c>
      <c r="F65">
        <v>4</v>
      </c>
      <c r="G65">
        <v>220</v>
      </c>
      <c r="H65" t="s">
        <v>101</v>
      </c>
      <c r="I65" t="s">
        <v>106</v>
      </c>
      <c r="J65" t="s">
        <v>130</v>
      </c>
      <c r="K65" t="s">
        <v>108</v>
      </c>
      <c r="L65" t="s">
        <v>154</v>
      </c>
      <c r="M65" t="s">
        <v>110</v>
      </c>
      <c r="N65">
        <v>6.7000000000000004E-2</v>
      </c>
      <c r="O65">
        <v>0.04</v>
      </c>
      <c r="P65">
        <v>2.5999999999999999E-2</v>
      </c>
    </row>
    <row r="66" spans="1:16" hidden="1">
      <c r="A66" t="s">
        <v>98</v>
      </c>
      <c r="B66" t="s">
        <v>114</v>
      </c>
      <c r="C66" t="s">
        <v>255</v>
      </c>
      <c r="D66">
        <v>2</v>
      </c>
      <c r="E66">
        <v>7500</v>
      </c>
      <c r="F66">
        <v>32</v>
      </c>
      <c r="G66">
        <v>20</v>
      </c>
      <c r="H66" t="s">
        <v>101</v>
      </c>
      <c r="I66" t="s">
        <v>102</v>
      </c>
      <c r="J66" t="s">
        <v>101</v>
      </c>
      <c r="K66" t="s">
        <v>150</v>
      </c>
      <c r="L66" t="s">
        <v>101</v>
      </c>
      <c r="M66" t="s">
        <v>151</v>
      </c>
      <c r="N66">
        <v>0.13300000000000001</v>
      </c>
      <c r="O66">
        <v>8.1000000000000003E-2</v>
      </c>
      <c r="P66">
        <v>5.1999999999999998E-2</v>
      </c>
    </row>
    <row r="67" spans="1:16">
      <c r="A67" t="s">
        <v>98</v>
      </c>
      <c r="B67" t="s">
        <v>172</v>
      </c>
      <c r="C67" t="s">
        <v>256</v>
      </c>
      <c r="D67">
        <v>1</v>
      </c>
      <c r="E67">
        <v>2000</v>
      </c>
      <c r="F67">
        <v>0</v>
      </c>
      <c r="G67">
        <v>20</v>
      </c>
      <c r="H67" t="s">
        <v>101</v>
      </c>
      <c r="I67" t="s">
        <v>106</v>
      </c>
      <c r="J67" t="s">
        <v>180</v>
      </c>
      <c r="K67" t="s">
        <v>108</v>
      </c>
      <c r="L67" t="s">
        <v>154</v>
      </c>
      <c r="M67" t="s">
        <v>110</v>
      </c>
      <c r="N67">
        <v>2.5999999999999999E-2</v>
      </c>
      <c r="O67">
        <v>1.7000000000000001E-2</v>
      </c>
      <c r="P67">
        <v>1.2E-2</v>
      </c>
    </row>
    <row r="68" spans="1:16">
      <c r="A68" t="s">
        <v>98</v>
      </c>
      <c r="B68" t="s">
        <v>104</v>
      </c>
      <c r="C68" t="s">
        <v>257</v>
      </c>
      <c r="D68">
        <v>1</v>
      </c>
      <c r="E68">
        <v>1700</v>
      </c>
      <c r="F68">
        <v>160</v>
      </c>
      <c r="G68">
        <v>220</v>
      </c>
      <c r="H68" t="s">
        <v>101</v>
      </c>
      <c r="I68" t="s">
        <v>106</v>
      </c>
      <c r="J68" t="s">
        <v>130</v>
      </c>
      <c r="K68" t="s">
        <v>108</v>
      </c>
      <c r="L68" t="s">
        <v>258</v>
      </c>
      <c r="M68" t="s">
        <v>110</v>
      </c>
      <c r="N68">
        <v>4.3999999999999997E-2</v>
      </c>
      <c r="O68">
        <v>2.4E-2</v>
      </c>
      <c r="P68">
        <v>1.4999999999999999E-2</v>
      </c>
    </row>
    <row r="69" spans="1:16" hidden="1">
      <c r="A69" t="s">
        <v>98</v>
      </c>
      <c r="B69" t="s">
        <v>148</v>
      </c>
      <c r="C69" t="s">
        <v>259</v>
      </c>
      <c r="D69">
        <v>2</v>
      </c>
      <c r="E69">
        <v>4000</v>
      </c>
      <c r="F69">
        <v>0</v>
      </c>
      <c r="G69">
        <v>20</v>
      </c>
      <c r="H69" t="s">
        <v>101</v>
      </c>
      <c r="I69" t="s">
        <v>146</v>
      </c>
      <c r="J69" t="s">
        <v>101</v>
      </c>
      <c r="K69" t="s">
        <v>199</v>
      </c>
      <c r="L69" t="s">
        <v>101</v>
      </c>
      <c r="M69" t="s">
        <v>138</v>
      </c>
      <c r="N69">
        <v>5.1999999999999998E-2</v>
      </c>
      <c r="O69">
        <v>3.4000000000000002E-2</v>
      </c>
      <c r="P69">
        <v>2.3E-2</v>
      </c>
    </row>
    <row r="70" spans="1:16" hidden="1">
      <c r="A70" t="s">
        <v>98</v>
      </c>
      <c r="B70" t="s">
        <v>135</v>
      </c>
      <c r="C70" t="s">
        <v>260</v>
      </c>
      <c r="D70">
        <v>1</v>
      </c>
      <c r="E70">
        <v>3750</v>
      </c>
      <c r="F70">
        <v>4</v>
      </c>
      <c r="G70">
        <v>20</v>
      </c>
      <c r="H70" t="s">
        <v>101</v>
      </c>
      <c r="I70" t="s">
        <v>102</v>
      </c>
      <c r="J70" t="s">
        <v>101</v>
      </c>
      <c r="K70" t="s">
        <v>140</v>
      </c>
      <c r="L70" t="s">
        <v>261</v>
      </c>
      <c r="M70" t="s">
        <v>125</v>
      </c>
      <c r="N70">
        <v>6.7000000000000004E-2</v>
      </c>
      <c r="O70">
        <v>0.04</v>
      </c>
      <c r="P70">
        <v>2.5999999999999999E-2</v>
      </c>
    </row>
    <row r="71" spans="1:16">
      <c r="A71" t="s">
        <v>98</v>
      </c>
      <c r="B71" t="s">
        <v>104</v>
      </c>
      <c r="C71" t="s">
        <v>262</v>
      </c>
      <c r="D71">
        <v>1</v>
      </c>
      <c r="E71">
        <v>1700</v>
      </c>
      <c r="F71">
        <v>160</v>
      </c>
      <c r="G71">
        <v>20</v>
      </c>
      <c r="H71" t="s">
        <v>101</v>
      </c>
      <c r="I71" t="s">
        <v>106</v>
      </c>
      <c r="J71" t="s">
        <v>263</v>
      </c>
      <c r="K71" t="s">
        <v>108</v>
      </c>
      <c r="L71" t="s">
        <v>210</v>
      </c>
      <c r="M71" t="s">
        <v>110</v>
      </c>
      <c r="N71">
        <v>4.3999999999999997E-2</v>
      </c>
      <c r="O71">
        <v>2.4E-2</v>
      </c>
      <c r="P71">
        <v>1.4999999999999999E-2</v>
      </c>
    </row>
    <row r="72" spans="1:16" hidden="1">
      <c r="A72" t="s">
        <v>98</v>
      </c>
      <c r="B72" t="s">
        <v>104</v>
      </c>
      <c r="C72" t="s">
        <v>264</v>
      </c>
      <c r="D72">
        <v>1</v>
      </c>
      <c r="E72">
        <v>1700</v>
      </c>
      <c r="F72">
        <v>160</v>
      </c>
      <c r="G72">
        <v>20</v>
      </c>
      <c r="H72" t="s">
        <v>101</v>
      </c>
      <c r="I72" t="s">
        <v>102</v>
      </c>
      <c r="J72" t="s">
        <v>101</v>
      </c>
      <c r="K72" t="s">
        <v>265</v>
      </c>
      <c r="L72" t="s">
        <v>117</v>
      </c>
      <c r="M72" t="s">
        <v>125</v>
      </c>
      <c r="N72">
        <v>4.3999999999999997E-2</v>
      </c>
      <c r="O72">
        <v>2.4E-2</v>
      </c>
      <c r="P72">
        <v>1.4999999999999999E-2</v>
      </c>
    </row>
    <row r="73" spans="1:16">
      <c r="A73" t="s">
        <v>98</v>
      </c>
      <c r="B73" t="s">
        <v>104</v>
      </c>
      <c r="C73" t="s">
        <v>266</v>
      </c>
      <c r="D73">
        <v>1</v>
      </c>
      <c r="E73">
        <v>1700</v>
      </c>
      <c r="F73">
        <v>160</v>
      </c>
      <c r="G73">
        <v>1220</v>
      </c>
      <c r="H73" t="s">
        <v>101</v>
      </c>
      <c r="I73" t="s">
        <v>106</v>
      </c>
      <c r="J73" t="s">
        <v>153</v>
      </c>
      <c r="K73" t="s">
        <v>108</v>
      </c>
      <c r="L73" t="s">
        <v>154</v>
      </c>
      <c r="M73" t="s">
        <v>110</v>
      </c>
      <c r="N73">
        <v>4.3999999999999997E-2</v>
      </c>
      <c r="O73">
        <v>2.4E-2</v>
      </c>
      <c r="P73">
        <v>1.4999999999999999E-2</v>
      </c>
    </row>
    <row r="74" spans="1:16" hidden="1">
      <c r="A74" t="s">
        <v>98</v>
      </c>
      <c r="B74" t="s">
        <v>267</v>
      </c>
      <c r="C74" t="s">
        <v>268</v>
      </c>
      <c r="D74">
        <v>8</v>
      </c>
      <c r="E74">
        <v>15000</v>
      </c>
      <c r="F74">
        <v>160</v>
      </c>
      <c r="G74">
        <v>20</v>
      </c>
      <c r="H74" t="s">
        <v>101</v>
      </c>
      <c r="I74" t="s">
        <v>102</v>
      </c>
      <c r="J74" t="s">
        <v>101</v>
      </c>
      <c r="K74" t="s">
        <v>269</v>
      </c>
      <c r="L74" t="s">
        <v>101</v>
      </c>
      <c r="M74" t="s">
        <v>270</v>
      </c>
      <c r="N74">
        <v>0.42</v>
      </c>
      <c r="O74">
        <v>0.248</v>
      </c>
      <c r="P74">
        <v>0.157</v>
      </c>
    </row>
    <row r="75" spans="1:16">
      <c r="A75" t="s">
        <v>98</v>
      </c>
      <c r="B75" t="s">
        <v>135</v>
      </c>
      <c r="C75" t="s">
        <v>271</v>
      </c>
      <c r="D75">
        <v>1</v>
      </c>
      <c r="E75">
        <v>3750</v>
      </c>
      <c r="F75">
        <v>4</v>
      </c>
      <c r="G75">
        <v>420</v>
      </c>
      <c r="H75" t="s">
        <v>101</v>
      </c>
      <c r="I75" t="s">
        <v>106</v>
      </c>
      <c r="J75" t="s">
        <v>153</v>
      </c>
      <c r="K75" t="s">
        <v>108</v>
      </c>
      <c r="L75" t="s">
        <v>117</v>
      </c>
      <c r="M75" t="s">
        <v>110</v>
      </c>
      <c r="N75">
        <v>6.7000000000000004E-2</v>
      </c>
      <c r="O75">
        <v>0.04</v>
      </c>
      <c r="P75">
        <v>2.5999999999999999E-2</v>
      </c>
    </row>
    <row r="76" spans="1:16" hidden="1">
      <c r="A76" t="s">
        <v>98</v>
      </c>
      <c r="B76" t="s">
        <v>141</v>
      </c>
      <c r="C76" t="s">
        <v>272</v>
      </c>
      <c r="D76">
        <v>4</v>
      </c>
      <c r="E76">
        <v>15000</v>
      </c>
      <c r="F76">
        <v>80</v>
      </c>
      <c r="G76">
        <v>420</v>
      </c>
      <c r="H76" t="s">
        <v>101</v>
      </c>
      <c r="I76" t="s">
        <v>102</v>
      </c>
      <c r="J76" t="s">
        <v>101</v>
      </c>
      <c r="K76" t="s">
        <v>273</v>
      </c>
      <c r="L76" t="s">
        <v>101</v>
      </c>
      <c r="M76" t="s">
        <v>274</v>
      </c>
      <c r="N76">
        <v>0.26600000000000001</v>
      </c>
      <c r="O76">
        <v>0.16300000000000001</v>
      </c>
      <c r="P76">
        <v>0.104</v>
      </c>
    </row>
    <row r="77" spans="1:16" hidden="1">
      <c r="A77" t="s">
        <v>98</v>
      </c>
      <c r="B77" t="s">
        <v>275</v>
      </c>
      <c r="C77" t="s">
        <v>276</v>
      </c>
      <c r="D77">
        <v>16</v>
      </c>
      <c r="E77">
        <v>30000</v>
      </c>
      <c r="F77">
        <v>320</v>
      </c>
      <c r="G77">
        <v>20</v>
      </c>
      <c r="H77" t="s">
        <v>101</v>
      </c>
      <c r="I77" t="s">
        <v>146</v>
      </c>
      <c r="J77" t="s">
        <v>101</v>
      </c>
      <c r="K77" t="s">
        <v>277</v>
      </c>
      <c r="L77" t="s">
        <v>101</v>
      </c>
      <c r="M77" t="s">
        <v>138</v>
      </c>
      <c r="N77">
        <v>0.84</v>
      </c>
      <c r="O77">
        <v>0.497</v>
      </c>
      <c r="P77">
        <v>0.314</v>
      </c>
    </row>
    <row r="78" spans="1:16">
      <c r="A78" t="s">
        <v>98</v>
      </c>
      <c r="B78" t="s">
        <v>104</v>
      </c>
      <c r="C78" t="s">
        <v>278</v>
      </c>
      <c r="D78">
        <v>1</v>
      </c>
      <c r="E78">
        <v>1700</v>
      </c>
      <c r="F78">
        <v>160</v>
      </c>
      <c r="G78">
        <v>20</v>
      </c>
      <c r="H78" t="s">
        <v>101</v>
      </c>
      <c r="I78" t="s">
        <v>106</v>
      </c>
      <c r="J78" t="s">
        <v>251</v>
      </c>
      <c r="K78" t="s">
        <v>108</v>
      </c>
      <c r="L78" t="s">
        <v>258</v>
      </c>
      <c r="M78" t="s">
        <v>110</v>
      </c>
      <c r="N78">
        <v>4.3999999999999997E-2</v>
      </c>
      <c r="O78">
        <v>2.4E-2</v>
      </c>
      <c r="P78">
        <v>1.4999999999999999E-2</v>
      </c>
    </row>
    <row r="79" spans="1:16">
      <c r="A79" t="s">
        <v>98</v>
      </c>
      <c r="B79" t="s">
        <v>104</v>
      </c>
      <c r="C79" t="s">
        <v>279</v>
      </c>
      <c r="D79">
        <v>1</v>
      </c>
      <c r="E79">
        <v>1700</v>
      </c>
      <c r="F79">
        <v>160</v>
      </c>
      <c r="G79">
        <v>70</v>
      </c>
      <c r="H79" t="s">
        <v>101</v>
      </c>
      <c r="I79" t="s">
        <v>106</v>
      </c>
      <c r="J79" t="s">
        <v>239</v>
      </c>
      <c r="K79" t="s">
        <v>108</v>
      </c>
      <c r="L79" t="s">
        <v>280</v>
      </c>
      <c r="M79" t="s">
        <v>110</v>
      </c>
      <c r="N79">
        <v>4.3999999999999997E-2</v>
      </c>
      <c r="O79">
        <v>2.4E-2</v>
      </c>
      <c r="P79">
        <v>1.4999999999999999E-2</v>
      </c>
    </row>
    <row r="80" spans="1:16" hidden="1">
      <c r="A80" t="s">
        <v>98</v>
      </c>
      <c r="B80" t="s">
        <v>104</v>
      </c>
      <c r="C80" t="s">
        <v>281</v>
      </c>
      <c r="D80">
        <v>1</v>
      </c>
      <c r="E80">
        <v>1700</v>
      </c>
      <c r="F80">
        <v>160</v>
      </c>
      <c r="G80">
        <v>20</v>
      </c>
      <c r="H80" t="s">
        <v>101</v>
      </c>
      <c r="I80" t="s">
        <v>102</v>
      </c>
      <c r="J80" t="s">
        <v>101</v>
      </c>
      <c r="K80" t="s">
        <v>273</v>
      </c>
      <c r="L80" t="s">
        <v>124</v>
      </c>
      <c r="M80" t="s">
        <v>125</v>
      </c>
      <c r="N80">
        <v>4.3999999999999997E-2</v>
      </c>
      <c r="O80">
        <v>2.4E-2</v>
      </c>
      <c r="P80">
        <v>1.4999999999999999E-2</v>
      </c>
    </row>
    <row r="81" spans="1:16">
      <c r="A81" t="s">
        <v>98</v>
      </c>
      <c r="B81" t="s">
        <v>104</v>
      </c>
      <c r="C81" t="s">
        <v>282</v>
      </c>
      <c r="D81">
        <v>1</v>
      </c>
      <c r="E81">
        <v>1700</v>
      </c>
      <c r="F81">
        <v>160</v>
      </c>
      <c r="G81">
        <v>20</v>
      </c>
      <c r="H81" t="s">
        <v>101</v>
      </c>
      <c r="I81" t="s">
        <v>106</v>
      </c>
      <c r="J81" t="s">
        <v>283</v>
      </c>
      <c r="K81" t="s">
        <v>108</v>
      </c>
      <c r="L81" t="s">
        <v>175</v>
      </c>
      <c r="M81" t="s">
        <v>110</v>
      </c>
      <c r="N81">
        <v>4.3999999999999997E-2</v>
      </c>
      <c r="O81">
        <v>2.4E-2</v>
      </c>
      <c r="P81">
        <v>1.4999999999999999E-2</v>
      </c>
    </row>
    <row r="82" spans="1:16">
      <c r="A82" t="s">
        <v>98</v>
      </c>
      <c r="B82" t="s">
        <v>104</v>
      </c>
      <c r="C82" t="s">
        <v>284</v>
      </c>
      <c r="D82">
        <v>1</v>
      </c>
      <c r="E82">
        <v>1700</v>
      </c>
      <c r="F82">
        <v>160</v>
      </c>
      <c r="G82">
        <v>20</v>
      </c>
      <c r="H82" t="s">
        <v>101</v>
      </c>
      <c r="I82" t="s">
        <v>106</v>
      </c>
      <c r="J82" t="s">
        <v>236</v>
      </c>
      <c r="K82" t="s">
        <v>108</v>
      </c>
      <c r="L82" t="s">
        <v>175</v>
      </c>
      <c r="M82" t="s">
        <v>110</v>
      </c>
      <c r="N82">
        <v>4.3999999999999997E-2</v>
      </c>
      <c r="O82">
        <v>2.4E-2</v>
      </c>
      <c r="P82">
        <v>1.4999999999999999E-2</v>
      </c>
    </row>
    <row r="83" spans="1:16">
      <c r="A83" t="s">
        <v>98</v>
      </c>
      <c r="B83" t="s">
        <v>148</v>
      </c>
      <c r="C83" t="s">
        <v>285</v>
      </c>
      <c r="D83">
        <v>2</v>
      </c>
      <c r="E83">
        <v>4000</v>
      </c>
      <c r="F83">
        <v>0</v>
      </c>
      <c r="G83">
        <v>420</v>
      </c>
      <c r="H83" t="s">
        <v>101</v>
      </c>
      <c r="I83" t="s">
        <v>106</v>
      </c>
      <c r="J83" t="s">
        <v>182</v>
      </c>
      <c r="K83" t="s">
        <v>108</v>
      </c>
      <c r="L83" t="s">
        <v>154</v>
      </c>
      <c r="M83" t="s">
        <v>110</v>
      </c>
      <c r="N83">
        <v>5.1999999999999998E-2</v>
      </c>
      <c r="O83">
        <v>3.4000000000000002E-2</v>
      </c>
      <c r="P83">
        <v>2.3E-2</v>
      </c>
    </row>
    <row r="84" spans="1:16" hidden="1">
      <c r="A84" t="s">
        <v>98</v>
      </c>
      <c r="B84" t="s">
        <v>197</v>
      </c>
      <c r="C84" t="s">
        <v>286</v>
      </c>
      <c r="D84">
        <v>32</v>
      </c>
      <c r="E84">
        <v>60000</v>
      </c>
      <c r="F84">
        <v>640</v>
      </c>
      <c r="G84">
        <v>20</v>
      </c>
      <c r="H84" t="s">
        <v>101</v>
      </c>
      <c r="I84" t="s">
        <v>102</v>
      </c>
      <c r="J84" t="s">
        <v>101</v>
      </c>
      <c r="K84" t="s">
        <v>166</v>
      </c>
      <c r="L84" t="s">
        <v>101</v>
      </c>
      <c r="M84" t="s">
        <v>167</v>
      </c>
      <c r="N84">
        <v>1.68</v>
      </c>
      <c r="O84">
        <v>0.99199999999999999</v>
      </c>
      <c r="P84">
        <v>0.628</v>
      </c>
    </row>
    <row r="85" spans="1:16">
      <c r="A85" t="s">
        <v>98</v>
      </c>
      <c r="B85" t="s">
        <v>135</v>
      </c>
      <c r="C85" t="s">
        <v>287</v>
      </c>
      <c r="D85">
        <v>1</v>
      </c>
      <c r="E85">
        <v>3750</v>
      </c>
      <c r="F85">
        <v>4</v>
      </c>
      <c r="G85">
        <v>120</v>
      </c>
      <c r="H85" t="s">
        <v>101</v>
      </c>
      <c r="I85" t="s">
        <v>106</v>
      </c>
      <c r="J85" t="s">
        <v>288</v>
      </c>
      <c r="K85" t="s">
        <v>108</v>
      </c>
      <c r="L85" t="s">
        <v>192</v>
      </c>
      <c r="M85" t="s">
        <v>110</v>
      </c>
      <c r="N85">
        <v>6.7000000000000004E-2</v>
      </c>
      <c r="O85">
        <v>0.04</v>
      </c>
      <c r="P85">
        <v>2.5999999999999999E-2</v>
      </c>
    </row>
    <row r="86" spans="1:16">
      <c r="A86" t="s">
        <v>98</v>
      </c>
      <c r="B86" t="s">
        <v>99</v>
      </c>
      <c r="C86" t="s">
        <v>289</v>
      </c>
      <c r="D86">
        <v>2</v>
      </c>
      <c r="E86">
        <v>3750</v>
      </c>
      <c r="F86">
        <v>32</v>
      </c>
      <c r="G86">
        <v>20</v>
      </c>
      <c r="H86" t="s">
        <v>101</v>
      </c>
      <c r="I86" t="s">
        <v>106</v>
      </c>
      <c r="J86" t="s">
        <v>227</v>
      </c>
      <c r="K86" t="s">
        <v>108</v>
      </c>
      <c r="L86" t="s">
        <v>228</v>
      </c>
      <c r="M86" t="s">
        <v>110</v>
      </c>
      <c r="N86">
        <v>0.105</v>
      </c>
      <c r="O86">
        <v>6.2E-2</v>
      </c>
      <c r="P86">
        <v>3.9E-2</v>
      </c>
    </row>
    <row r="87" spans="1:16" hidden="1">
      <c r="A87" t="s">
        <v>98</v>
      </c>
      <c r="B87" t="s">
        <v>104</v>
      </c>
      <c r="C87" t="s">
        <v>290</v>
      </c>
      <c r="D87">
        <v>1</v>
      </c>
      <c r="E87">
        <v>1700</v>
      </c>
      <c r="F87">
        <v>160</v>
      </c>
      <c r="G87">
        <v>20</v>
      </c>
      <c r="H87" t="s">
        <v>101</v>
      </c>
      <c r="I87" t="s">
        <v>102</v>
      </c>
      <c r="J87" t="s">
        <v>101</v>
      </c>
      <c r="K87" t="s">
        <v>166</v>
      </c>
      <c r="L87" t="s">
        <v>101</v>
      </c>
      <c r="M87" t="s">
        <v>125</v>
      </c>
      <c r="N87">
        <v>4.3999999999999997E-2</v>
      </c>
      <c r="O87">
        <v>2.4E-2</v>
      </c>
      <c r="P87">
        <v>1.4999999999999999E-2</v>
      </c>
    </row>
    <row r="88" spans="1:16" hidden="1">
      <c r="A88" t="s">
        <v>98</v>
      </c>
      <c r="B88" t="s">
        <v>135</v>
      </c>
      <c r="C88" t="s">
        <v>291</v>
      </c>
      <c r="D88">
        <v>1</v>
      </c>
      <c r="E88">
        <v>3750</v>
      </c>
      <c r="F88">
        <v>4</v>
      </c>
      <c r="G88">
        <v>820</v>
      </c>
      <c r="H88" t="s">
        <v>101</v>
      </c>
      <c r="I88" t="s">
        <v>102</v>
      </c>
      <c r="J88" t="s">
        <v>101</v>
      </c>
      <c r="K88" t="s">
        <v>137</v>
      </c>
      <c r="L88" t="s">
        <v>117</v>
      </c>
      <c r="M88" t="s">
        <v>138</v>
      </c>
      <c r="N88">
        <v>6.7000000000000004E-2</v>
      </c>
      <c r="O88">
        <v>0.04</v>
      </c>
      <c r="P88">
        <v>2.5999999999999999E-2</v>
      </c>
    </row>
    <row r="89" spans="1:16">
      <c r="A89" t="s">
        <v>98</v>
      </c>
      <c r="B89" t="s">
        <v>104</v>
      </c>
      <c r="C89" t="s">
        <v>292</v>
      </c>
      <c r="D89">
        <v>1</v>
      </c>
      <c r="E89">
        <v>1700</v>
      </c>
      <c r="F89">
        <v>160</v>
      </c>
      <c r="G89">
        <v>20</v>
      </c>
      <c r="H89" t="s">
        <v>101</v>
      </c>
      <c r="I89" t="s">
        <v>106</v>
      </c>
      <c r="J89" t="s">
        <v>153</v>
      </c>
      <c r="K89" t="s">
        <v>108</v>
      </c>
      <c r="L89" t="s">
        <v>258</v>
      </c>
      <c r="M89" t="s">
        <v>110</v>
      </c>
      <c r="N89">
        <v>4.3999999999999997E-2</v>
      </c>
      <c r="O89">
        <v>2.4E-2</v>
      </c>
      <c r="P89">
        <v>1.4999999999999999E-2</v>
      </c>
    </row>
    <row r="90" spans="1:16" hidden="1">
      <c r="A90" t="s">
        <v>98</v>
      </c>
      <c r="B90" t="s">
        <v>141</v>
      </c>
      <c r="C90" t="s">
        <v>293</v>
      </c>
      <c r="D90">
        <v>4</v>
      </c>
      <c r="E90">
        <v>15000</v>
      </c>
      <c r="F90">
        <v>80</v>
      </c>
      <c r="G90">
        <v>420</v>
      </c>
      <c r="H90" t="s">
        <v>101</v>
      </c>
      <c r="I90" t="s">
        <v>102</v>
      </c>
      <c r="J90" t="s">
        <v>101</v>
      </c>
      <c r="K90" t="s">
        <v>150</v>
      </c>
      <c r="L90" t="s">
        <v>117</v>
      </c>
      <c r="M90" t="s">
        <v>151</v>
      </c>
      <c r="N90">
        <v>0.26600000000000001</v>
      </c>
      <c r="O90">
        <v>0.16300000000000001</v>
      </c>
      <c r="P90">
        <v>0.104</v>
      </c>
    </row>
    <row r="91" spans="1:16">
      <c r="A91" t="s">
        <v>98</v>
      </c>
      <c r="B91" t="s">
        <v>172</v>
      </c>
      <c r="C91" t="s">
        <v>294</v>
      </c>
      <c r="D91">
        <v>1</v>
      </c>
      <c r="E91">
        <v>2000</v>
      </c>
      <c r="F91">
        <v>0</v>
      </c>
      <c r="G91">
        <v>20</v>
      </c>
      <c r="H91" t="s">
        <v>101</v>
      </c>
      <c r="I91" t="s">
        <v>106</v>
      </c>
      <c r="J91" t="s">
        <v>241</v>
      </c>
      <c r="K91" t="s">
        <v>108</v>
      </c>
      <c r="L91" t="s">
        <v>109</v>
      </c>
      <c r="M91" t="s">
        <v>110</v>
      </c>
      <c r="N91">
        <v>2.5999999999999999E-2</v>
      </c>
      <c r="O91">
        <v>1.7000000000000001E-2</v>
      </c>
      <c r="P91">
        <v>1.2E-2</v>
      </c>
    </row>
    <row r="92" spans="1:16">
      <c r="A92" t="s">
        <v>98</v>
      </c>
      <c r="B92" t="s">
        <v>104</v>
      </c>
      <c r="C92" t="s">
        <v>295</v>
      </c>
      <c r="D92">
        <v>1</v>
      </c>
      <c r="E92">
        <v>1700</v>
      </c>
      <c r="F92">
        <v>160</v>
      </c>
      <c r="G92">
        <v>20</v>
      </c>
      <c r="H92" t="s">
        <v>101</v>
      </c>
      <c r="I92" t="s">
        <v>106</v>
      </c>
      <c r="J92" t="s">
        <v>107</v>
      </c>
      <c r="K92" t="s">
        <v>108</v>
      </c>
      <c r="L92" t="s">
        <v>242</v>
      </c>
      <c r="M92" t="s">
        <v>110</v>
      </c>
      <c r="N92">
        <v>4.3999999999999997E-2</v>
      </c>
      <c r="O92">
        <v>2.4E-2</v>
      </c>
      <c r="P92">
        <v>1.4999999999999999E-2</v>
      </c>
    </row>
    <row r="93" spans="1:16">
      <c r="A93" t="s">
        <v>98</v>
      </c>
      <c r="B93" t="s">
        <v>104</v>
      </c>
      <c r="C93" t="s">
        <v>296</v>
      </c>
      <c r="D93">
        <v>1</v>
      </c>
      <c r="E93">
        <v>1700</v>
      </c>
      <c r="F93">
        <v>160</v>
      </c>
      <c r="G93">
        <v>20</v>
      </c>
      <c r="H93" t="s">
        <v>101</v>
      </c>
      <c r="I93" t="s">
        <v>106</v>
      </c>
      <c r="J93" t="s">
        <v>297</v>
      </c>
      <c r="K93" t="s">
        <v>108</v>
      </c>
      <c r="L93" t="s">
        <v>203</v>
      </c>
      <c r="M93" t="s">
        <v>110</v>
      </c>
      <c r="N93">
        <v>4.3999999999999997E-2</v>
      </c>
      <c r="O93">
        <v>2.4E-2</v>
      </c>
      <c r="P93">
        <v>1.4999999999999999E-2</v>
      </c>
    </row>
    <row r="94" spans="1:16">
      <c r="A94" t="s">
        <v>98</v>
      </c>
      <c r="B94" t="s">
        <v>104</v>
      </c>
      <c r="C94" t="s">
        <v>298</v>
      </c>
      <c r="D94">
        <v>1</v>
      </c>
      <c r="E94">
        <v>1700</v>
      </c>
      <c r="F94">
        <v>160</v>
      </c>
      <c r="G94">
        <v>20</v>
      </c>
      <c r="H94" t="s">
        <v>101</v>
      </c>
      <c r="I94" t="s">
        <v>106</v>
      </c>
      <c r="J94" t="s">
        <v>107</v>
      </c>
      <c r="K94" t="s">
        <v>108</v>
      </c>
      <c r="L94" t="s">
        <v>242</v>
      </c>
      <c r="M94" t="s">
        <v>110</v>
      </c>
      <c r="N94">
        <v>4.3999999999999997E-2</v>
      </c>
      <c r="O94">
        <v>2.4E-2</v>
      </c>
      <c r="P94">
        <v>1.4999999999999999E-2</v>
      </c>
    </row>
    <row r="95" spans="1:16">
      <c r="A95" t="s">
        <v>98</v>
      </c>
      <c r="B95" t="s">
        <v>104</v>
      </c>
      <c r="C95" t="s">
        <v>299</v>
      </c>
      <c r="D95">
        <v>1</v>
      </c>
      <c r="E95">
        <v>1700</v>
      </c>
      <c r="F95">
        <v>160</v>
      </c>
      <c r="G95">
        <v>20</v>
      </c>
      <c r="H95" t="s">
        <v>101</v>
      </c>
      <c r="I95" t="s">
        <v>106</v>
      </c>
      <c r="J95" t="s">
        <v>248</v>
      </c>
      <c r="K95" t="s">
        <v>108</v>
      </c>
      <c r="L95" t="s">
        <v>175</v>
      </c>
      <c r="M95" t="s">
        <v>110</v>
      </c>
      <c r="N95">
        <v>4.3999999999999997E-2</v>
      </c>
      <c r="O95">
        <v>2.4E-2</v>
      </c>
      <c r="P95">
        <v>1.4999999999999999E-2</v>
      </c>
    </row>
    <row r="96" spans="1:16">
      <c r="A96" t="s">
        <v>98</v>
      </c>
      <c r="B96" t="s">
        <v>104</v>
      </c>
      <c r="C96" t="s">
        <v>300</v>
      </c>
      <c r="D96">
        <v>1</v>
      </c>
      <c r="E96">
        <v>1700</v>
      </c>
      <c r="F96">
        <v>160</v>
      </c>
      <c r="G96">
        <v>20</v>
      </c>
      <c r="H96" t="s">
        <v>101</v>
      </c>
      <c r="I96" t="s">
        <v>106</v>
      </c>
      <c r="J96" t="s">
        <v>251</v>
      </c>
      <c r="K96" t="s">
        <v>108</v>
      </c>
      <c r="L96" t="s">
        <v>252</v>
      </c>
      <c r="M96" t="s">
        <v>110</v>
      </c>
      <c r="N96">
        <v>4.3999999999999997E-2</v>
      </c>
      <c r="O96">
        <v>2.4E-2</v>
      </c>
      <c r="P96">
        <v>1.4999999999999999E-2</v>
      </c>
    </row>
    <row r="97" spans="1:16" hidden="1">
      <c r="A97" t="s">
        <v>98</v>
      </c>
      <c r="B97" t="s">
        <v>275</v>
      </c>
      <c r="C97" t="s">
        <v>301</v>
      </c>
      <c r="D97">
        <v>16</v>
      </c>
      <c r="E97">
        <v>30000</v>
      </c>
      <c r="F97">
        <v>320</v>
      </c>
      <c r="G97">
        <v>20</v>
      </c>
      <c r="H97" t="s">
        <v>101</v>
      </c>
      <c r="I97" t="s">
        <v>146</v>
      </c>
      <c r="J97" t="s">
        <v>101</v>
      </c>
      <c r="K97" t="s">
        <v>277</v>
      </c>
      <c r="L97" t="s">
        <v>101</v>
      </c>
      <c r="M97" t="s">
        <v>138</v>
      </c>
      <c r="N97">
        <v>0.84</v>
      </c>
      <c r="O97">
        <v>0.497</v>
      </c>
      <c r="P97">
        <v>0.314</v>
      </c>
    </row>
    <row r="98" spans="1:16" hidden="1">
      <c r="A98" t="s">
        <v>98</v>
      </c>
      <c r="B98" t="s">
        <v>141</v>
      </c>
      <c r="C98" t="s">
        <v>302</v>
      </c>
      <c r="D98">
        <v>4</v>
      </c>
      <c r="E98">
        <v>15000</v>
      </c>
      <c r="F98">
        <v>80</v>
      </c>
      <c r="G98">
        <v>820</v>
      </c>
      <c r="H98" t="s">
        <v>101</v>
      </c>
      <c r="I98" t="s">
        <v>102</v>
      </c>
      <c r="J98" t="s">
        <v>101</v>
      </c>
      <c r="K98" t="s">
        <v>123</v>
      </c>
      <c r="L98" t="s">
        <v>101</v>
      </c>
      <c r="M98" t="s">
        <v>303</v>
      </c>
      <c r="N98">
        <v>0.26600000000000001</v>
      </c>
      <c r="O98">
        <v>0.16300000000000001</v>
      </c>
      <c r="P98">
        <v>0.104</v>
      </c>
    </row>
    <row r="99" spans="1:16">
      <c r="A99" t="s">
        <v>98</v>
      </c>
      <c r="B99" t="s">
        <v>135</v>
      </c>
      <c r="C99" t="s">
        <v>304</v>
      </c>
      <c r="D99">
        <v>1</v>
      </c>
      <c r="E99">
        <v>3750</v>
      </c>
      <c r="F99">
        <v>4</v>
      </c>
      <c r="G99">
        <v>20</v>
      </c>
      <c r="H99" t="s">
        <v>101</v>
      </c>
      <c r="I99" t="s">
        <v>106</v>
      </c>
      <c r="J99" t="s">
        <v>305</v>
      </c>
      <c r="K99" t="s">
        <v>108</v>
      </c>
      <c r="L99" t="s">
        <v>192</v>
      </c>
      <c r="M99" t="s">
        <v>110</v>
      </c>
      <c r="N99">
        <v>6.7000000000000004E-2</v>
      </c>
      <c r="O99">
        <v>0.04</v>
      </c>
      <c r="P99">
        <v>2.5999999999999999E-2</v>
      </c>
    </row>
    <row r="100" spans="1:16" hidden="1">
      <c r="A100" t="s">
        <v>98</v>
      </c>
      <c r="B100" t="s">
        <v>141</v>
      </c>
      <c r="C100" t="s">
        <v>306</v>
      </c>
      <c r="D100">
        <v>4</v>
      </c>
      <c r="E100">
        <v>15000</v>
      </c>
      <c r="F100">
        <v>80</v>
      </c>
      <c r="G100">
        <v>420</v>
      </c>
      <c r="H100" t="s">
        <v>101</v>
      </c>
      <c r="I100" t="s">
        <v>102</v>
      </c>
      <c r="J100" t="s">
        <v>101</v>
      </c>
      <c r="K100" t="s">
        <v>307</v>
      </c>
      <c r="L100" t="s">
        <v>117</v>
      </c>
      <c r="M100" t="s">
        <v>118</v>
      </c>
      <c r="N100">
        <v>0.26600000000000001</v>
      </c>
      <c r="O100">
        <v>0.16300000000000001</v>
      </c>
      <c r="P100">
        <v>0.104</v>
      </c>
    </row>
    <row r="101" spans="1:16">
      <c r="A101" t="s">
        <v>98</v>
      </c>
      <c r="B101" t="s">
        <v>104</v>
      </c>
      <c r="C101" t="s">
        <v>308</v>
      </c>
      <c r="D101">
        <v>1</v>
      </c>
      <c r="E101">
        <v>1700</v>
      </c>
      <c r="F101">
        <v>160</v>
      </c>
      <c r="G101">
        <v>270</v>
      </c>
      <c r="H101" t="s">
        <v>101</v>
      </c>
      <c r="I101" t="s">
        <v>106</v>
      </c>
      <c r="J101" t="s">
        <v>153</v>
      </c>
      <c r="K101" t="s">
        <v>108</v>
      </c>
      <c r="L101" t="s">
        <v>131</v>
      </c>
      <c r="M101" t="s">
        <v>110</v>
      </c>
      <c r="N101">
        <v>4.3999999999999997E-2</v>
      </c>
      <c r="O101">
        <v>2.4E-2</v>
      </c>
      <c r="P101">
        <v>1.4999999999999999E-2</v>
      </c>
    </row>
    <row r="102" spans="1:16" hidden="1">
      <c r="A102" t="s">
        <v>98</v>
      </c>
      <c r="B102" t="s">
        <v>172</v>
      </c>
      <c r="C102" t="s">
        <v>309</v>
      </c>
      <c r="D102">
        <v>1</v>
      </c>
      <c r="E102">
        <v>2000</v>
      </c>
      <c r="F102">
        <v>0</v>
      </c>
      <c r="G102">
        <v>20</v>
      </c>
      <c r="H102" t="s">
        <v>101</v>
      </c>
      <c r="I102" t="s">
        <v>102</v>
      </c>
      <c r="J102" t="s">
        <v>101</v>
      </c>
      <c r="K102" t="s">
        <v>310</v>
      </c>
      <c r="L102" t="s">
        <v>311</v>
      </c>
      <c r="M102" t="s">
        <v>125</v>
      </c>
      <c r="N102">
        <v>2.5999999999999999E-2</v>
      </c>
      <c r="O102">
        <v>1.7000000000000001E-2</v>
      </c>
      <c r="P102">
        <v>1.2E-2</v>
      </c>
    </row>
    <row r="103" spans="1:16">
      <c r="A103" t="s">
        <v>98</v>
      </c>
      <c r="B103" t="s">
        <v>148</v>
      </c>
      <c r="C103" t="s">
        <v>312</v>
      </c>
      <c r="D103">
        <v>2</v>
      </c>
      <c r="E103">
        <v>4000</v>
      </c>
      <c r="F103">
        <v>0</v>
      </c>
      <c r="G103">
        <v>420</v>
      </c>
      <c r="H103" t="s">
        <v>101</v>
      </c>
      <c r="I103" t="s">
        <v>106</v>
      </c>
      <c r="J103" t="s">
        <v>182</v>
      </c>
      <c r="K103" t="s">
        <v>108</v>
      </c>
      <c r="L103" t="s">
        <v>154</v>
      </c>
      <c r="M103" t="s">
        <v>110</v>
      </c>
      <c r="N103">
        <v>5.1999999999999998E-2</v>
      </c>
      <c r="O103">
        <v>3.4000000000000002E-2</v>
      </c>
      <c r="P103">
        <v>2.3E-2</v>
      </c>
    </row>
    <row r="104" spans="1:16">
      <c r="A104" t="s">
        <v>98</v>
      </c>
      <c r="B104" t="s">
        <v>172</v>
      </c>
      <c r="C104" t="s">
        <v>313</v>
      </c>
      <c r="D104">
        <v>1</v>
      </c>
      <c r="E104">
        <v>2000</v>
      </c>
      <c r="F104">
        <v>0</v>
      </c>
      <c r="G104">
        <v>20</v>
      </c>
      <c r="H104" t="s">
        <v>101</v>
      </c>
      <c r="I104" t="s">
        <v>106</v>
      </c>
      <c r="J104" t="s">
        <v>180</v>
      </c>
      <c r="K104" t="s">
        <v>108</v>
      </c>
      <c r="L104" t="s">
        <v>131</v>
      </c>
      <c r="M104" t="s">
        <v>110</v>
      </c>
      <c r="N104">
        <v>2.5999999999999999E-2</v>
      </c>
      <c r="O104">
        <v>1.7000000000000001E-2</v>
      </c>
      <c r="P104">
        <v>1.2E-2</v>
      </c>
    </row>
    <row r="105" spans="1:16">
      <c r="A105" t="s">
        <v>98</v>
      </c>
      <c r="B105" t="s">
        <v>104</v>
      </c>
      <c r="C105" t="s">
        <v>314</v>
      </c>
      <c r="D105">
        <v>1</v>
      </c>
      <c r="E105">
        <v>1700</v>
      </c>
      <c r="F105">
        <v>160</v>
      </c>
      <c r="G105">
        <v>20</v>
      </c>
      <c r="H105" t="s">
        <v>101</v>
      </c>
      <c r="I105" t="s">
        <v>106</v>
      </c>
      <c r="J105" t="s">
        <v>107</v>
      </c>
      <c r="K105" t="s">
        <v>108</v>
      </c>
      <c r="L105" t="s">
        <v>109</v>
      </c>
      <c r="M105" t="s">
        <v>110</v>
      </c>
      <c r="N105">
        <v>4.3999999999999997E-2</v>
      </c>
      <c r="O105">
        <v>2.4E-2</v>
      </c>
      <c r="P105">
        <v>1.4999999999999999E-2</v>
      </c>
    </row>
    <row r="106" spans="1:16" hidden="1">
      <c r="A106" t="s">
        <v>98</v>
      </c>
      <c r="B106" t="s">
        <v>114</v>
      </c>
      <c r="C106" t="s">
        <v>315</v>
      </c>
      <c r="D106">
        <v>2</v>
      </c>
      <c r="E106">
        <v>7500</v>
      </c>
      <c r="F106">
        <v>32</v>
      </c>
      <c r="G106">
        <v>1020</v>
      </c>
      <c r="H106" t="s">
        <v>101</v>
      </c>
      <c r="I106" t="s">
        <v>102</v>
      </c>
      <c r="J106" t="s">
        <v>101</v>
      </c>
      <c r="K106" t="s">
        <v>265</v>
      </c>
      <c r="L106" t="s">
        <v>117</v>
      </c>
      <c r="M106" t="s">
        <v>103</v>
      </c>
      <c r="N106">
        <v>0.13300000000000001</v>
      </c>
      <c r="O106">
        <v>8.1000000000000003E-2</v>
      </c>
      <c r="P106">
        <v>5.1999999999999998E-2</v>
      </c>
    </row>
    <row r="107" spans="1:16" hidden="1">
      <c r="A107" t="s">
        <v>98</v>
      </c>
      <c r="B107" t="s">
        <v>135</v>
      </c>
      <c r="C107" t="s">
        <v>316</v>
      </c>
      <c r="D107">
        <v>1</v>
      </c>
      <c r="E107">
        <v>3750</v>
      </c>
      <c r="F107">
        <v>4</v>
      </c>
      <c r="G107">
        <v>4516</v>
      </c>
      <c r="H107" t="s">
        <v>101</v>
      </c>
      <c r="I107" t="s">
        <v>102</v>
      </c>
      <c r="J107" t="s">
        <v>101</v>
      </c>
      <c r="K107" t="s">
        <v>195</v>
      </c>
      <c r="L107" t="s">
        <v>101</v>
      </c>
      <c r="M107" t="s">
        <v>110</v>
      </c>
      <c r="N107">
        <v>6.7000000000000004E-2</v>
      </c>
      <c r="O107">
        <v>0.04</v>
      </c>
      <c r="P107">
        <v>2.5999999999999999E-2</v>
      </c>
    </row>
    <row r="108" spans="1:16">
      <c r="A108" t="s">
        <v>98</v>
      </c>
      <c r="B108" t="s">
        <v>104</v>
      </c>
      <c r="C108" t="s">
        <v>317</v>
      </c>
      <c r="D108">
        <v>1</v>
      </c>
      <c r="E108">
        <v>1700</v>
      </c>
      <c r="F108">
        <v>160</v>
      </c>
      <c r="G108">
        <v>820</v>
      </c>
      <c r="H108" t="s">
        <v>101</v>
      </c>
      <c r="I108" t="s">
        <v>106</v>
      </c>
      <c r="J108" t="s">
        <v>153</v>
      </c>
      <c r="K108" t="s">
        <v>108</v>
      </c>
      <c r="L108" t="s">
        <v>154</v>
      </c>
      <c r="M108" t="s">
        <v>110</v>
      </c>
      <c r="N108">
        <v>4.3999999999999997E-2</v>
      </c>
      <c r="O108">
        <v>2.4E-2</v>
      </c>
      <c r="P108">
        <v>1.4999999999999999E-2</v>
      </c>
    </row>
    <row r="109" spans="1:16">
      <c r="A109" t="s">
        <v>98</v>
      </c>
      <c r="B109" t="s">
        <v>104</v>
      </c>
      <c r="C109" t="s">
        <v>318</v>
      </c>
      <c r="D109">
        <v>1</v>
      </c>
      <c r="E109">
        <v>1700</v>
      </c>
      <c r="F109">
        <v>160</v>
      </c>
      <c r="G109">
        <v>820</v>
      </c>
      <c r="H109" t="s">
        <v>101</v>
      </c>
      <c r="I109" t="s">
        <v>106</v>
      </c>
      <c r="J109" t="s">
        <v>182</v>
      </c>
      <c r="K109" t="s">
        <v>108</v>
      </c>
      <c r="L109" t="s">
        <v>154</v>
      </c>
      <c r="M109" t="s">
        <v>110</v>
      </c>
      <c r="N109">
        <v>4.3999999999999997E-2</v>
      </c>
      <c r="O109">
        <v>2.4E-2</v>
      </c>
      <c r="P109">
        <v>1.4999999999999999E-2</v>
      </c>
    </row>
    <row r="110" spans="1:16" hidden="1">
      <c r="A110" t="s">
        <v>98</v>
      </c>
      <c r="B110" t="s">
        <v>141</v>
      </c>
      <c r="C110" t="s">
        <v>319</v>
      </c>
      <c r="D110">
        <v>4</v>
      </c>
      <c r="E110">
        <v>15000</v>
      </c>
      <c r="F110">
        <v>80</v>
      </c>
      <c r="G110">
        <v>420</v>
      </c>
      <c r="H110" t="s">
        <v>101</v>
      </c>
      <c r="I110" t="s">
        <v>102</v>
      </c>
      <c r="J110" t="s">
        <v>101</v>
      </c>
      <c r="K110" t="s">
        <v>217</v>
      </c>
      <c r="L110" t="s">
        <v>117</v>
      </c>
      <c r="M110" t="s">
        <v>118</v>
      </c>
      <c r="N110">
        <v>0.26600000000000001</v>
      </c>
      <c r="O110">
        <v>0.16300000000000001</v>
      </c>
      <c r="P110">
        <v>0.104</v>
      </c>
    </row>
    <row r="111" spans="1:16" hidden="1">
      <c r="A111" t="s">
        <v>98</v>
      </c>
      <c r="B111" t="s">
        <v>104</v>
      </c>
      <c r="C111" t="s">
        <v>320</v>
      </c>
      <c r="D111">
        <v>1</v>
      </c>
      <c r="E111">
        <v>1700</v>
      </c>
      <c r="F111">
        <v>160</v>
      </c>
      <c r="G111">
        <v>820</v>
      </c>
      <c r="H111" t="s">
        <v>101</v>
      </c>
      <c r="I111" t="s">
        <v>102</v>
      </c>
      <c r="J111" t="s">
        <v>101</v>
      </c>
      <c r="K111" t="s">
        <v>265</v>
      </c>
      <c r="L111" t="s">
        <v>117</v>
      </c>
      <c r="M111" t="s">
        <v>125</v>
      </c>
      <c r="N111">
        <v>4.3999999999999997E-2</v>
      </c>
      <c r="O111">
        <v>2.4E-2</v>
      </c>
      <c r="P111">
        <v>1.4999999999999999E-2</v>
      </c>
    </row>
    <row r="112" spans="1:16">
      <c r="A112" t="s">
        <v>98</v>
      </c>
      <c r="B112" t="s">
        <v>172</v>
      </c>
      <c r="C112" t="s">
        <v>321</v>
      </c>
      <c r="D112">
        <v>1</v>
      </c>
      <c r="E112">
        <v>2000</v>
      </c>
      <c r="F112">
        <v>0</v>
      </c>
      <c r="G112">
        <v>20</v>
      </c>
      <c r="H112" t="s">
        <v>101</v>
      </c>
      <c r="I112" t="s">
        <v>106</v>
      </c>
      <c r="J112" t="s">
        <v>174</v>
      </c>
      <c r="K112" t="s">
        <v>108</v>
      </c>
      <c r="L112" t="s">
        <v>322</v>
      </c>
      <c r="M112" t="s">
        <v>110</v>
      </c>
      <c r="N112">
        <v>2.5999999999999999E-2</v>
      </c>
      <c r="O112">
        <v>1.7000000000000001E-2</v>
      </c>
      <c r="P112">
        <v>1.2E-2</v>
      </c>
    </row>
    <row r="113" spans="1:16">
      <c r="A113" t="s">
        <v>98</v>
      </c>
      <c r="B113" t="s">
        <v>172</v>
      </c>
      <c r="C113" t="s">
        <v>323</v>
      </c>
      <c r="D113">
        <v>1</v>
      </c>
      <c r="E113">
        <v>2000</v>
      </c>
      <c r="F113">
        <v>0</v>
      </c>
      <c r="G113">
        <v>108</v>
      </c>
      <c r="H113" t="s">
        <v>101</v>
      </c>
      <c r="I113" t="s">
        <v>106</v>
      </c>
      <c r="J113" t="s">
        <v>214</v>
      </c>
      <c r="K113" t="s">
        <v>108</v>
      </c>
      <c r="L113" t="s">
        <v>101</v>
      </c>
      <c r="M113" t="s">
        <v>110</v>
      </c>
      <c r="N113">
        <v>2.5999999999999999E-2</v>
      </c>
      <c r="O113">
        <v>1.7000000000000001E-2</v>
      </c>
      <c r="P113">
        <v>1.2E-2</v>
      </c>
    </row>
    <row r="114" spans="1:16">
      <c r="A114" t="s">
        <v>98</v>
      </c>
      <c r="B114" t="s">
        <v>104</v>
      </c>
      <c r="C114" t="s">
        <v>324</v>
      </c>
      <c r="D114">
        <v>1</v>
      </c>
      <c r="E114">
        <v>1700</v>
      </c>
      <c r="F114">
        <v>160</v>
      </c>
      <c r="G114">
        <v>270</v>
      </c>
      <c r="H114" t="s">
        <v>101</v>
      </c>
      <c r="I114" t="s">
        <v>106</v>
      </c>
      <c r="J114" t="s">
        <v>153</v>
      </c>
      <c r="K114" t="s">
        <v>108</v>
      </c>
      <c r="L114" t="s">
        <v>131</v>
      </c>
      <c r="M114" t="s">
        <v>110</v>
      </c>
      <c r="N114">
        <v>4.3999999999999997E-2</v>
      </c>
      <c r="O114">
        <v>2.4E-2</v>
      </c>
      <c r="P114">
        <v>1.4999999999999999E-2</v>
      </c>
    </row>
    <row r="115" spans="1:16" hidden="1">
      <c r="A115" t="s">
        <v>98</v>
      </c>
      <c r="B115" t="s">
        <v>141</v>
      </c>
      <c r="C115" t="s">
        <v>325</v>
      </c>
      <c r="D115">
        <v>4</v>
      </c>
      <c r="E115">
        <v>15000</v>
      </c>
      <c r="F115">
        <v>80</v>
      </c>
      <c r="G115">
        <v>820</v>
      </c>
      <c r="H115" t="s">
        <v>101</v>
      </c>
      <c r="I115" t="s">
        <v>102</v>
      </c>
      <c r="J115" t="s">
        <v>101</v>
      </c>
      <c r="K115" t="s">
        <v>184</v>
      </c>
      <c r="L115" t="s">
        <v>117</v>
      </c>
      <c r="M115" t="s">
        <v>118</v>
      </c>
      <c r="N115">
        <v>0.26600000000000001</v>
      </c>
      <c r="O115">
        <v>0.16300000000000001</v>
      </c>
      <c r="P115">
        <v>0.104</v>
      </c>
    </row>
    <row r="116" spans="1:16">
      <c r="A116" t="s">
        <v>98</v>
      </c>
      <c r="B116" t="s">
        <v>104</v>
      </c>
      <c r="C116" t="s">
        <v>326</v>
      </c>
      <c r="D116">
        <v>1</v>
      </c>
      <c r="E116">
        <v>1700</v>
      </c>
      <c r="F116">
        <v>160</v>
      </c>
      <c r="G116">
        <v>20</v>
      </c>
      <c r="H116" t="s">
        <v>101</v>
      </c>
      <c r="I116" t="s">
        <v>106</v>
      </c>
      <c r="J116" t="s">
        <v>107</v>
      </c>
      <c r="K116" t="s">
        <v>108</v>
      </c>
      <c r="L116" t="s">
        <v>109</v>
      </c>
      <c r="M116" t="s">
        <v>110</v>
      </c>
      <c r="N116">
        <v>4.3999999999999997E-2</v>
      </c>
      <c r="O116">
        <v>2.4E-2</v>
      </c>
      <c r="P116">
        <v>1.4999999999999999E-2</v>
      </c>
    </row>
    <row r="117" spans="1:16" hidden="1">
      <c r="A117" t="s">
        <v>98</v>
      </c>
      <c r="B117" t="s">
        <v>104</v>
      </c>
      <c r="C117" t="s">
        <v>327</v>
      </c>
      <c r="D117">
        <v>1</v>
      </c>
      <c r="E117">
        <v>1700</v>
      </c>
      <c r="F117">
        <v>160</v>
      </c>
      <c r="G117">
        <v>20</v>
      </c>
      <c r="H117" t="s">
        <v>101</v>
      </c>
      <c r="I117" t="s">
        <v>102</v>
      </c>
      <c r="J117" t="s">
        <v>101</v>
      </c>
      <c r="K117" t="s">
        <v>156</v>
      </c>
      <c r="L117" t="s">
        <v>117</v>
      </c>
      <c r="M117" t="s">
        <v>118</v>
      </c>
      <c r="N117">
        <v>4.3999999999999997E-2</v>
      </c>
      <c r="O117">
        <v>2.4E-2</v>
      </c>
      <c r="P117">
        <v>1.4999999999999999E-2</v>
      </c>
    </row>
    <row r="118" spans="1:16" hidden="1">
      <c r="A118" t="s">
        <v>98</v>
      </c>
      <c r="B118" t="s">
        <v>114</v>
      </c>
      <c r="C118" t="s">
        <v>328</v>
      </c>
      <c r="D118">
        <v>2</v>
      </c>
      <c r="E118">
        <v>7500</v>
      </c>
      <c r="F118">
        <v>32</v>
      </c>
      <c r="G118">
        <v>820</v>
      </c>
      <c r="H118" t="s">
        <v>101</v>
      </c>
      <c r="I118" t="s">
        <v>102</v>
      </c>
      <c r="J118" t="s">
        <v>101</v>
      </c>
      <c r="K118" t="s">
        <v>116</v>
      </c>
      <c r="L118" t="s">
        <v>117</v>
      </c>
      <c r="M118" t="s">
        <v>118</v>
      </c>
      <c r="N118">
        <v>0.13300000000000001</v>
      </c>
      <c r="O118">
        <v>8.1000000000000003E-2</v>
      </c>
      <c r="P118">
        <v>5.1999999999999998E-2</v>
      </c>
    </row>
    <row r="119" spans="1:16">
      <c r="A119" t="s">
        <v>98</v>
      </c>
      <c r="B119" t="s">
        <v>104</v>
      </c>
      <c r="C119" t="s">
        <v>329</v>
      </c>
      <c r="D119">
        <v>1</v>
      </c>
      <c r="E119">
        <v>1700</v>
      </c>
      <c r="F119">
        <v>160</v>
      </c>
      <c r="G119">
        <v>20</v>
      </c>
      <c r="H119" t="s">
        <v>101</v>
      </c>
      <c r="I119" t="s">
        <v>106</v>
      </c>
      <c r="J119" t="s">
        <v>248</v>
      </c>
      <c r="K119" t="s">
        <v>108</v>
      </c>
      <c r="L119" t="s">
        <v>128</v>
      </c>
      <c r="M119" t="s">
        <v>110</v>
      </c>
      <c r="N119">
        <v>4.3999999999999997E-2</v>
      </c>
      <c r="O119">
        <v>2.4E-2</v>
      </c>
      <c r="P119">
        <v>1.4999999999999999E-2</v>
      </c>
    </row>
    <row r="120" spans="1:16" hidden="1">
      <c r="A120" t="s">
        <v>98</v>
      </c>
      <c r="B120" t="s">
        <v>104</v>
      </c>
      <c r="C120" t="s">
        <v>330</v>
      </c>
      <c r="D120">
        <v>1</v>
      </c>
      <c r="E120">
        <v>1700</v>
      </c>
      <c r="F120">
        <v>160</v>
      </c>
      <c r="G120">
        <v>20</v>
      </c>
      <c r="H120" t="s">
        <v>101</v>
      </c>
      <c r="I120" t="s">
        <v>102</v>
      </c>
      <c r="J120" t="s">
        <v>101</v>
      </c>
      <c r="K120" t="s">
        <v>143</v>
      </c>
      <c r="L120" t="s">
        <v>124</v>
      </c>
      <c r="M120" t="s">
        <v>125</v>
      </c>
      <c r="N120">
        <v>4.3999999999999997E-2</v>
      </c>
      <c r="O120">
        <v>2.4E-2</v>
      </c>
      <c r="P120">
        <v>1.4999999999999999E-2</v>
      </c>
    </row>
    <row r="121" spans="1:16">
      <c r="A121" t="s">
        <v>98</v>
      </c>
      <c r="B121" t="s">
        <v>104</v>
      </c>
      <c r="C121" t="s">
        <v>331</v>
      </c>
      <c r="D121">
        <v>1</v>
      </c>
      <c r="E121">
        <v>1700</v>
      </c>
      <c r="F121">
        <v>160</v>
      </c>
      <c r="G121">
        <v>20</v>
      </c>
      <c r="H121" t="s">
        <v>101</v>
      </c>
      <c r="I121" t="s">
        <v>106</v>
      </c>
      <c r="J121" t="s">
        <v>127</v>
      </c>
      <c r="K121" t="s">
        <v>108</v>
      </c>
      <c r="L121" t="s">
        <v>222</v>
      </c>
      <c r="M121" t="s">
        <v>110</v>
      </c>
      <c r="N121">
        <v>4.3999999999999997E-2</v>
      </c>
      <c r="O121">
        <v>2.4E-2</v>
      </c>
      <c r="P121">
        <v>1.4999999999999999E-2</v>
      </c>
    </row>
    <row r="122" spans="1:16" hidden="1">
      <c r="A122" t="s">
        <v>98</v>
      </c>
      <c r="B122" t="s">
        <v>104</v>
      </c>
      <c r="C122" t="s">
        <v>332</v>
      </c>
      <c r="D122">
        <v>1</v>
      </c>
      <c r="E122">
        <v>1700</v>
      </c>
      <c r="F122">
        <v>160</v>
      </c>
      <c r="G122">
        <v>20</v>
      </c>
      <c r="H122" t="s">
        <v>101</v>
      </c>
      <c r="I122" t="s">
        <v>102</v>
      </c>
      <c r="J122" t="s">
        <v>101</v>
      </c>
      <c r="K122" t="s">
        <v>265</v>
      </c>
      <c r="L122" t="s">
        <v>117</v>
      </c>
      <c r="M122" t="s">
        <v>103</v>
      </c>
      <c r="N122">
        <v>4.3999999999999997E-2</v>
      </c>
      <c r="O122">
        <v>2.4E-2</v>
      </c>
      <c r="P122">
        <v>1.4999999999999999E-2</v>
      </c>
    </row>
    <row r="123" spans="1:16" hidden="1">
      <c r="A123" t="s">
        <v>98</v>
      </c>
      <c r="B123" t="s">
        <v>141</v>
      </c>
      <c r="C123" t="s">
        <v>333</v>
      </c>
      <c r="D123">
        <v>4</v>
      </c>
      <c r="E123">
        <v>15000</v>
      </c>
      <c r="F123">
        <v>80</v>
      </c>
      <c r="G123">
        <v>20</v>
      </c>
      <c r="H123" t="s">
        <v>101</v>
      </c>
      <c r="I123" t="s">
        <v>102</v>
      </c>
      <c r="J123" t="s">
        <v>101</v>
      </c>
      <c r="K123" t="s">
        <v>217</v>
      </c>
      <c r="L123" t="s">
        <v>101</v>
      </c>
      <c r="M123" t="s">
        <v>118</v>
      </c>
      <c r="N123">
        <v>0.26600000000000001</v>
      </c>
      <c r="O123">
        <v>0.16300000000000001</v>
      </c>
      <c r="P123">
        <v>0.104</v>
      </c>
    </row>
    <row r="124" spans="1:16" hidden="1">
      <c r="A124" t="s">
        <v>98</v>
      </c>
      <c r="B124" t="s">
        <v>275</v>
      </c>
      <c r="C124" t="s">
        <v>334</v>
      </c>
      <c r="D124">
        <v>16</v>
      </c>
      <c r="E124">
        <v>30000</v>
      </c>
      <c r="F124">
        <v>320</v>
      </c>
      <c r="G124">
        <v>20</v>
      </c>
      <c r="H124" t="s">
        <v>101</v>
      </c>
      <c r="I124" t="s">
        <v>102</v>
      </c>
      <c r="J124" t="s">
        <v>101</v>
      </c>
      <c r="K124" t="s">
        <v>166</v>
      </c>
      <c r="L124" t="s">
        <v>101</v>
      </c>
      <c r="M124" t="s">
        <v>167</v>
      </c>
      <c r="N124">
        <v>0.84</v>
      </c>
      <c r="O124">
        <v>0.497</v>
      </c>
      <c r="P124">
        <v>0.314</v>
      </c>
    </row>
    <row r="125" spans="1:16">
      <c r="A125" t="s">
        <v>98</v>
      </c>
      <c r="B125" t="s">
        <v>104</v>
      </c>
      <c r="C125" t="s">
        <v>335</v>
      </c>
      <c r="D125">
        <v>1</v>
      </c>
      <c r="E125">
        <v>1700</v>
      </c>
      <c r="F125">
        <v>160</v>
      </c>
      <c r="G125">
        <v>20</v>
      </c>
      <c r="H125" t="s">
        <v>101</v>
      </c>
      <c r="I125" t="s">
        <v>106</v>
      </c>
      <c r="J125" t="s">
        <v>248</v>
      </c>
      <c r="K125" t="s">
        <v>108</v>
      </c>
      <c r="L125" t="s">
        <v>203</v>
      </c>
      <c r="M125" t="s">
        <v>110</v>
      </c>
      <c r="N125">
        <v>4.3999999999999997E-2</v>
      </c>
      <c r="O125">
        <v>2.4E-2</v>
      </c>
      <c r="P125">
        <v>1.4999999999999999E-2</v>
      </c>
    </row>
    <row r="126" spans="1:16" hidden="1">
      <c r="A126" t="s">
        <v>98</v>
      </c>
      <c r="B126" t="s">
        <v>148</v>
      </c>
      <c r="C126" t="s">
        <v>336</v>
      </c>
      <c r="D126">
        <v>2</v>
      </c>
      <c r="E126">
        <v>4000</v>
      </c>
      <c r="F126">
        <v>0</v>
      </c>
      <c r="G126">
        <v>20</v>
      </c>
      <c r="H126" t="s">
        <v>101</v>
      </c>
      <c r="I126" t="s">
        <v>102</v>
      </c>
      <c r="J126" t="s">
        <v>101</v>
      </c>
      <c r="K126" t="s">
        <v>150</v>
      </c>
      <c r="L126" t="s">
        <v>117</v>
      </c>
      <c r="M126" t="s">
        <v>151</v>
      </c>
      <c r="N126">
        <v>5.1999999999999998E-2</v>
      </c>
      <c r="O126">
        <v>3.4000000000000002E-2</v>
      </c>
      <c r="P126">
        <v>2.3E-2</v>
      </c>
    </row>
    <row r="127" spans="1:16" hidden="1">
      <c r="A127" t="s">
        <v>98</v>
      </c>
      <c r="B127" t="s">
        <v>141</v>
      </c>
      <c r="C127" t="s">
        <v>337</v>
      </c>
      <c r="D127">
        <v>4</v>
      </c>
      <c r="E127">
        <v>15000</v>
      </c>
      <c r="F127">
        <v>80</v>
      </c>
      <c r="G127">
        <v>1420</v>
      </c>
      <c r="H127" t="s">
        <v>101</v>
      </c>
      <c r="I127" t="s">
        <v>102</v>
      </c>
      <c r="J127" t="s">
        <v>101</v>
      </c>
      <c r="K127" t="s">
        <v>273</v>
      </c>
      <c r="L127" t="s">
        <v>101</v>
      </c>
      <c r="M127" t="s">
        <v>274</v>
      </c>
      <c r="N127">
        <v>0.26600000000000001</v>
      </c>
      <c r="O127">
        <v>0.16300000000000001</v>
      </c>
      <c r="P127">
        <v>0.104</v>
      </c>
    </row>
    <row r="128" spans="1:16" hidden="1">
      <c r="A128" t="s">
        <v>98</v>
      </c>
      <c r="B128" t="s">
        <v>164</v>
      </c>
      <c r="C128" t="s">
        <v>338</v>
      </c>
      <c r="D128">
        <v>8</v>
      </c>
      <c r="E128">
        <v>30000</v>
      </c>
      <c r="F128">
        <v>160</v>
      </c>
      <c r="G128">
        <v>470</v>
      </c>
      <c r="H128" t="s">
        <v>101</v>
      </c>
      <c r="I128" t="s">
        <v>102</v>
      </c>
      <c r="J128" t="s">
        <v>101</v>
      </c>
      <c r="K128" t="s">
        <v>207</v>
      </c>
      <c r="L128" t="s">
        <v>117</v>
      </c>
      <c r="M128" t="s">
        <v>134</v>
      </c>
      <c r="N128">
        <v>0.53200000000000003</v>
      </c>
      <c r="O128">
        <v>0.32400000000000001</v>
      </c>
      <c r="P128">
        <v>0.20899999999999999</v>
      </c>
    </row>
    <row r="129" spans="1:16" hidden="1">
      <c r="A129" t="s">
        <v>98</v>
      </c>
      <c r="B129" t="s">
        <v>164</v>
      </c>
      <c r="C129" t="s">
        <v>339</v>
      </c>
      <c r="D129">
        <v>8</v>
      </c>
      <c r="E129">
        <v>30000</v>
      </c>
      <c r="F129">
        <v>160</v>
      </c>
      <c r="G129">
        <v>1820</v>
      </c>
      <c r="H129" t="s">
        <v>101</v>
      </c>
      <c r="I129" t="s">
        <v>102</v>
      </c>
      <c r="J129" t="s">
        <v>101</v>
      </c>
      <c r="K129" t="s">
        <v>340</v>
      </c>
      <c r="L129" t="s">
        <v>245</v>
      </c>
      <c r="M129" t="s">
        <v>270</v>
      </c>
      <c r="N129">
        <v>0.53200000000000003</v>
      </c>
      <c r="O129">
        <v>0.32400000000000001</v>
      </c>
      <c r="P129">
        <v>0.20899999999999999</v>
      </c>
    </row>
    <row r="130" spans="1:16">
      <c r="A130" t="s">
        <v>98</v>
      </c>
      <c r="B130" t="s">
        <v>104</v>
      </c>
      <c r="C130" t="s">
        <v>341</v>
      </c>
      <c r="D130">
        <v>1</v>
      </c>
      <c r="E130">
        <v>1700</v>
      </c>
      <c r="F130">
        <v>160</v>
      </c>
      <c r="G130">
        <v>20</v>
      </c>
      <c r="H130" t="s">
        <v>101</v>
      </c>
      <c r="I130" t="s">
        <v>106</v>
      </c>
      <c r="J130" t="s">
        <v>342</v>
      </c>
      <c r="K130" t="s">
        <v>108</v>
      </c>
      <c r="L130" t="s">
        <v>322</v>
      </c>
      <c r="M130" t="s">
        <v>110</v>
      </c>
      <c r="N130">
        <v>4.3999999999999997E-2</v>
      </c>
      <c r="O130">
        <v>2.4E-2</v>
      </c>
      <c r="P130">
        <v>1.4999999999999999E-2</v>
      </c>
    </row>
    <row r="131" spans="1:16">
      <c r="A131" t="s">
        <v>98</v>
      </c>
      <c r="B131" t="s">
        <v>104</v>
      </c>
      <c r="C131" t="s">
        <v>343</v>
      </c>
      <c r="D131">
        <v>1</v>
      </c>
      <c r="E131">
        <v>1700</v>
      </c>
      <c r="F131">
        <v>160</v>
      </c>
      <c r="G131">
        <v>20</v>
      </c>
      <c r="H131" t="s">
        <v>101</v>
      </c>
      <c r="I131" t="s">
        <v>106</v>
      </c>
      <c r="J131" t="s">
        <v>344</v>
      </c>
      <c r="K131" t="s">
        <v>108</v>
      </c>
      <c r="L131" t="s">
        <v>192</v>
      </c>
      <c r="M131" t="s">
        <v>110</v>
      </c>
      <c r="N131">
        <v>4.3999999999999997E-2</v>
      </c>
      <c r="O131">
        <v>2.4E-2</v>
      </c>
      <c r="P131">
        <v>1.4999999999999999E-2</v>
      </c>
    </row>
    <row r="132" spans="1:16" hidden="1">
      <c r="A132" t="s">
        <v>98</v>
      </c>
      <c r="B132" t="s">
        <v>104</v>
      </c>
      <c r="C132" t="s">
        <v>345</v>
      </c>
      <c r="D132">
        <v>1</v>
      </c>
      <c r="E132">
        <v>1700</v>
      </c>
      <c r="F132">
        <v>160</v>
      </c>
      <c r="G132">
        <v>20</v>
      </c>
      <c r="H132" t="s">
        <v>101</v>
      </c>
      <c r="I132" t="s">
        <v>102</v>
      </c>
      <c r="J132" t="s">
        <v>101</v>
      </c>
      <c r="K132" t="s">
        <v>184</v>
      </c>
      <c r="L132" t="s">
        <v>117</v>
      </c>
      <c r="M132" t="s">
        <v>118</v>
      </c>
      <c r="N132">
        <v>4.3999999999999997E-2</v>
      </c>
      <c r="O132">
        <v>2.4E-2</v>
      </c>
      <c r="P132">
        <v>1.4999999999999999E-2</v>
      </c>
    </row>
    <row r="133" spans="1:16">
      <c r="A133" t="s">
        <v>98</v>
      </c>
      <c r="B133" t="s">
        <v>104</v>
      </c>
      <c r="C133" t="s">
        <v>346</v>
      </c>
      <c r="D133">
        <v>1</v>
      </c>
      <c r="E133">
        <v>1700</v>
      </c>
      <c r="F133">
        <v>160</v>
      </c>
      <c r="G133">
        <v>20</v>
      </c>
      <c r="H133" t="s">
        <v>101</v>
      </c>
      <c r="I133" t="s">
        <v>106</v>
      </c>
      <c r="J133" t="s">
        <v>251</v>
      </c>
      <c r="K133" t="s">
        <v>108</v>
      </c>
      <c r="L133" t="s">
        <v>252</v>
      </c>
      <c r="M133" t="s">
        <v>110</v>
      </c>
      <c r="N133">
        <v>4.3999999999999997E-2</v>
      </c>
      <c r="O133">
        <v>2.4E-2</v>
      </c>
      <c r="P133">
        <v>1.4999999999999999E-2</v>
      </c>
    </row>
    <row r="134" spans="1:16">
      <c r="A134" t="s">
        <v>98</v>
      </c>
      <c r="B134" t="s">
        <v>104</v>
      </c>
      <c r="C134" t="s">
        <v>347</v>
      </c>
      <c r="D134">
        <v>1</v>
      </c>
      <c r="E134">
        <v>1700</v>
      </c>
      <c r="F134">
        <v>160</v>
      </c>
      <c r="G134">
        <v>20</v>
      </c>
      <c r="H134" t="s">
        <v>101</v>
      </c>
      <c r="I134" t="s">
        <v>106</v>
      </c>
      <c r="J134" t="s">
        <v>107</v>
      </c>
      <c r="K134" t="s">
        <v>108</v>
      </c>
      <c r="L134" t="s">
        <v>109</v>
      </c>
      <c r="M134" t="s">
        <v>110</v>
      </c>
      <c r="N134">
        <v>4.3999999999999997E-2</v>
      </c>
      <c r="O134">
        <v>2.4E-2</v>
      </c>
      <c r="P134">
        <v>1.4999999999999999E-2</v>
      </c>
    </row>
    <row r="135" spans="1:16" hidden="1">
      <c r="A135" t="s">
        <v>98</v>
      </c>
      <c r="B135" t="s">
        <v>193</v>
      </c>
      <c r="C135" t="s">
        <v>348</v>
      </c>
      <c r="D135">
        <v>2</v>
      </c>
      <c r="E135">
        <v>15000</v>
      </c>
      <c r="F135">
        <v>32</v>
      </c>
      <c r="G135">
        <v>420</v>
      </c>
      <c r="H135" t="s">
        <v>101</v>
      </c>
      <c r="I135" t="s">
        <v>102</v>
      </c>
      <c r="J135" t="s">
        <v>101</v>
      </c>
      <c r="K135" t="s">
        <v>195</v>
      </c>
      <c r="L135" t="s">
        <v>101</v>
      </c>
      <c r="M135" t="s">
        <v>110</v>
      </c>
      <c r="N135">
        <v>0.17499999999999999</v>
      </c>
      <c r="O135">
        <v>9.2999999999999999E-2</v>
      </c>
      <c r="P135">
        <v>6.0999999999999999E-2</v>
      </c>
    </row>
    <row r="136" spans="1:16">
      <c r="A136" t="s">
        <v>98</v>
      </c>
      <c r="B136" t="s">
        <v>104</v>
      </c>
      <c r="C136" t="s">
        <v>349</v>
      </c>
      <c r="D136">
        <v>1</v>
      </c>
      <c r="E136">
        <v>1700</v>
      </c>
      <c r="F136">
        <v>160</v>
      </c>
      <c r="G136">
        <v>20</v>
      </c>
      <c r="H136" t="s">
        <v>101</v>
      </c>
      <c r="I136" t="s">
        <v>106</v>
      </c>
      <c r="J136" t="s">
        <v>350</v>
      </c>
      <c r="K136" t="s">
        <v>108</v>
      </c>
      <c r="L136" t="s">
        <v>203</v>
      </c>
      <c r="M136" t="s">
        <v>110</v>
      </c>
      <c r="N136">
        <v>4.3999999999999997E-2</v>
      </c>
      <c r="O136">
        <v>2.4E-2</v>
      </c>
      <c r="P136">
        <v>1.4999999999999999E-2</v>
      </c>
    </row>
    <row r="137" spans="1:16" hidden="1">
      <c r="A137" t="s">
        <v>98</v>
      </c>
      <c r="B137" t="s">
        <v>135</v>
      </c>
      <c r="C137" t="s">
        <v>351</v>
      </c>
      <c r="D137">
        <v>1</v>
      </c>
      <c r="E137">
        <v>3750</v>
      </c>
      <c r="F137">
        <v>4</v>
      </c>
      <c r="G137">
        <v>220</v>
      </c>
      <c r="H137" t="s">
        <v>101</v>
      </c>
      <c r="I137" t="s">
        <v>102</v>
      </c>
      <c r="J137" t="s">
        <v>101</v>
      </c>
      <c r="K137" t="s">
        <v>140</v>
      </c>
      <c r="L137" t="s">
        <v>101</v>
      </c>
      <c r="M137" t="s">
        <v>138</v>
      </c>
      <c r="N137">
        <v>6.7000000000000004E-2</v>
      </c>
      <c r="O137">
        <v>0.04</v>
      </c>
      <c r="P137">
        <v>2.5999999999999999E-2</v>
      </c>
    </row>
    <row r="138" spans="1:16" hidden="1">
      <c r="A138" t="s">
        <v>98</v>
      </c>
      <c r="B138" t="s">
        <v>172</v>
      </c>
      <c r="C138" t="s">
        <v>352</v>
      </c>
      <c r="D138">
        <v>1</v>
      </c>
      <c r="E138">
        <v>2000</v>
      </c>
      <c r="F138">
        <v>0</v>
      </c>
      <c r="G138">
        <v>20</v>
      </c>
      <c r="H138" t="s">
        <v>101</v>
      </c>
      <c r="I138" t="s">
        <v>102</v>
      </c>
      <c r="J138" t="s">
        <v>101</v>
      </c>
      <c r="K138" t="s">
        <v>101</v>
      </c>
      <c r="L138" t="s">
        <v>311</v>
      </c>
      <c r="M138" t="s">
        <v>125</v>
      </c>
      <c r="N138">
        <v>2.5999999999999999E-2</v>
      </c>
      <c r="O138">
        <v>1.7000000000000001E-2</v>
      </c>
      <c r="P138">
        <v>1.2E-2</v>
      </c>
    </row>
    <row r="139" spans="1:16" hidden="1">
      <c r="A139" t="s">
        <v>98</v>
      </c>
      <c r="B139" t="s">
        <v>157</v>
      </c>
      <c r="C139" t="s">
        <v>353</v>
      </c>
      <c r="D139">
        <v>1</v>
      </c>
      <c r="E139">
        <v>3750</v>
      </c>
      <c r="F139">
        <v>410</v>
      </c>
      <c r="G139">
        <v>120</v>
      </c>
      <c r="H139" t="s">
        <v>101</v>
      </c>
      <c r="I139" t="s">
        <v>146</v>
      </c>
      <c r="J139" t="s">
        <v>101</v>
      </c>
      <c r="K139" t="s">
        <v>101</v>
      </c>
      <c r="L139" t="s">
        <v>101</v>
      </c>
      <c r="M139" t="s">
        <v>110</v>
      </c>
      <c r="N139">
        <v>8.6999999999999994E-2</v>
      </c>
      <c r="O139">
        <v>4.7E-2</v>
      </c>
      <c r="P139">
        <v>2.9000000000000001E-2</v>
      </c>
    </row>
    <row r="140" spans="1:16" hidden="1">
      <c r="A140" t="s">
        <v>98</v>
      </c>
      <c r="B140" t="s">
        <v>135</v>
      </c>
      <c r="C140" t="s">
        <v>354</v>
      </c>
      <c r="D140">
        <v>1</v>
      </c>
      <c r="E140">
        <v>3750</v>
      </c>
      <c r="F140">
        <v>4</v>
      </c>
      <c r="G140">
        <v>20</v>
      </c>
      <c r="H140" t="s">
        <v>101</v>
      </c>
      <c r="I140" t="s">
        <v>146</v>
      </c>
      <c r="J140" t="s">
        <v>101</v>
      </c>
      <c r="K140" t="s">
        <v>244</v>
      </c>
      <c r="L140" t="s">
        <v>101</v>
      </c>
      <c r="M140" t="s">
        <v>138</v>
      </c>
      <c r="N140">
        <v>6.7000000000000004E-2</v>
      </c>
      <c r="O140">
        <v>0.04</v>
      </c>
      <c r="P140">
        <v>2.5999999999999999E-2</v>
      </c>
    </row>
    <row r="141" spans="1:16" hidden="1">
      <c r="A141" t="s">
        <v>98</v>
      </c>
      <c r="B141" t="s">
        <v>157</v>
      </c>
      <c r="C141" t="s">
        <v>355</v>
      </c>
      <c r="D141">
        <v>1</v>
      </c>
      <c r="E141">
        <v>3750</v>
      </c>
      <c r="F141">
        <v>410</v>
      </c>
      <c r="G141">
        <v>220</v>
      </c>
      <c r="H141" t="s">
        <v>101</v>
      </c>
      <c r="I141" t="s">
        <v>102</v>
      </c>
      <c r="J141" t="s">
        <v>101</v>
      </c>
      <c r="K141" t="s">
        <v>159</v>
      </c>
      <c r="L141" t="s">
        <v>101</v>
      </c>
      <c r="M141" t="s">
        <v>160</v>
      </c>
      <c r="N141">
        <v>8.6999999999999994E-2</v>
      </c>
      <c r="O141">
        <v>4.7E-2</v>
      </c>
      <c r="P141">
        <v>2.9000000000000001E-2</v>
      </c>
    </row>
    <row r="142" spans="1:16" hidden="1">
      <c r="A142" t="s">
        <v>98</v>
      </c>
      <c r="B142" t="s">
        <v>114</v>
      </c>
      <c r="C142" t="s">
        <v>356</v>
      </c>
      <c r="D142">
        <v>2</v>
      </c>
      <c r="E142">
        <v>7500</v>
      </c>
      <c r="F142">
        <v>32</v>
      </c>
      <c r="G142">
        <v>20</v>
      </c>
      <c r="H142" t="s">
        <v>101</v>
      </c>
      <c r="I142" t="s">
        <v>102</v>
      </c>
      <c r="J142" t="s">
        <v>101</v>
      </c>
      <c r="K142" t="s">
        <v>150</v>
      </c>
      <c r="L142" t="s">
        <v>101</v>
      </c>
      <c r="M142" t="s">
        <v>151</v>
      </c>
      <c r="N142">
        <v>0.13300000000000001</v>
      </c>
      <c r="O142">
        <v>8.1000000000000003E-2</v>
      </c>
      <c r="P142">
        <v>5.1999999999999998E-2</v>
      </c>
    </row>
    <row r="143" spans="1:16" hidden="1">
      <c r="A143" t="s">
        <v>98</v>
      </c>
      <c r="B143" t="s">
        <v>172</v>
      </c>
      <c r="C143" t="s">
        <v>357</v>
      </c>
      <c r="D143">
        <v>1</v>
      </c>
      <c r="E143">
        <v>2000</v>
      </c>
      <c r="F143">
        <v>0</v>
      </c>
      <c r="G143">
        <v>20</v>
      </c>
      <c r="H143" t="s">
        <v>101</v>
      </c>
      <c r="I143" t="s">
        <v>102</v>
      </c>
      <c r="J143" t="s">
        <v>101</v>
      </c>
      <c r="K143" t="s">
        <v>358</v>
      </c>
      <c r="L143" t="s">
        <v>124</v>
      </c>
      <c r="M143" t="s">
        <v>125</v>
      </c>
      <c r="N143">
        <v>2.5999999999999999E-2</v>
      </c>
      <c r="O143">
        <v>1.7000000000000001E-2</v>
      </c>
      <c r="P143">
        <v>1.2E-2</v>
      </c>
    </row>
    <row r="144" spans="1:16" hidden="1">
      <c r="A144" t="s">
        <v>98</v>
      </c>
      <c r="B144" t="s">
        <v>135</v>
      </c>
      <c r="C144" t="s">
        <v>359</v>
      </c>
      <c r="D144">
        <v>1</v>
      </c>
      <c r="E144">
        <v>3750</v>
      </c>
      <c r="F144">
        <v>4</v>
      </c>
      <c r="G144">
        <v>20</v>
      </c>
      <c r="H144" t="s">
        <v>101</v>
      </c>
      <c r="I144" t="s">
        <v>102</v>
      </c>
      <c r="J144" t="s">
        <v>101</v>
      </c>
      <c r="K144" t="s">
        <v>140</v>
      </c>
      <c r="L144" t="s">
        <v>261</v>
      </c>
      <c r="M144" t="s">
        <v>125</v>
      </c>
      <c r="N144">
        <v>6.7000000000000004E-2</v>
      </c>
      <c r="O144">
        <v>0.04</v>
      </c>
      <c r="P144">
        <v>2.5999999999999999E-2</v>
      </c>
    </row>
    <row r="145" spans="1:16">
      <c r="A145" t="s">
        <v>98</v>
      </c>
      <c r="B145" t="s">
        <v>104</v>
      </c>
      <c r="C145" t="s">
        <v>360</v>
      </c>
      <c r="D145">
        <v>1</v>
      </c>
      <c r="E145">
        <v>1700</v>
      </c>
      <c r="F145">
        <v>160</v>
      </c>
      <c r="G145">
        <v>20</v>
      </c>
      <c r="H145" t="s">
        <v>101</v>
      </c>
      <c r="I145" t="s">
        <v>106</v>
      </c>
      <c r="J145" t="s">
        <v>297</v>
      </c>
      <c r="K145" t="s">
        <v>108</v>
      </c>
      <c r="L145" t="s">
        <v>175</v>
      </c>
      <c r="M145" t="s">
        <v>110</v>
      </c>
      <c r="N145">
        <v>4.3999999999999997E-2</v>
      </c>
      <c r="O145">
        <v>2.4E-2</v>
      </c>
      <c r="P145">
        <v>1.4999999999999999E-2</v>
      </c>
    </row>
    <row r="146" spans="1:16" hidden="1">
      <c r="A146" t="s">
        <v>98</v>
      </c>
      <c r="B146" t="s">
        <v>164</v>
      </c>
      <c r="C146" t="s">
        <v>361</v>
      </c>
      <c r="D146">
        <v>8</v>
      </c>
      <c r="E146">
        <v>30000</v>
      </c>
      <c r="F146">
        <v>160</v>
      </c>
      <c r="G146">
        <v>15340</v>
      </c>
      <c r="H146" t="s">
        <v>101</v>
      </c>
      <c r="I146" t="s">
        <v>101</v>
      </c>
      <c r="J146" t="s">
        <v>101</v>
      </c>
      <c r="K146" t="s">
        <v>362</v>
      </c>
      <c r="L146" t="s">
        <v>101</v>
      </c>
      <c r="M146" t="s">
        <v>138</v>
      </c>
      <c r="N146">
        <v>0.53200000000000003</v>
      </c>
      <c r="O146">
        <v>0.32400000000000001</v>
      </c>
      <c r="P146">
        <v>0.20899999999999999</v>
      </c>
    </row>
    <row r="147" spans="1:16" hidden="1">
      <c r="A147" t="s">
        <v>98</v>
      </c>
      <c r="B147" t="s">
        <v>141</v>
      </c>
      <c r="C147" t="s">
        <v>363</v>
      </c>
      <c r="D147">
        <v>4</v>
      </c>
      <c r="E147">
        <v>15000</v>
      </c>
      <c r="F147">
        <v>80</v>
      </c>
      <c r="G147">
        <v>420</v>
      </c>
      <c r="H147" t="s">
        <v>101</v>
      </c>
      <c r="I147" t="s">
        <v>102</v>
      </c>
      <c r="J147" t="s">
        <v>101</v>
      </c>
      <c r="K147" t="s">
        <v>217</v>
      </c>
      <c r="L147" t="s">
        <v>117</v>
      </c>
      <c r="M147" t="s">
        <v>118</v>
      </c>
      <c r="N147">
        <v>0.26600000000000001</v>
      </c>
      <c r="O147">
        <v>0.16300000000000001</v>
      </c>
      <c r="P147">
        <v>0.104</v>
      </c>
    </row>
    <row r="148" spans="1:16">
      <c r="A148" t="s">
        <v>98</v>
      </c>
      <c r="B148" t="s">
        <v>104</v>
      </c>
      <c r="C148" t="s">
        <v>364</v>
      </c>
      <c r="D148">
        <v>1</v>
      </c>
      <c r="E148">
        <v>1700</v>
      </c>
      <c r="F148">
        <v>160</v>
      </c>
      <c r="G148">
        <v>20</v>
      </c>
      <c r="H148" t="s">
        <v>101</v>
      </c>
      <c r="I148" t="s">
        <v>106</v>
      </c>
      <c r="J148" t="s">
        <v>251</v>
      </c>
      <c r="K148" t="s">
        <v>108</v>
      </c>
      <c r="L148" t="s">
        <v>252</v>
      </c>
      <c r="M148" t="s">
        <v>110</v>
      </c>
      <c r="N148">
        <v>4.3999999999999997E-2</v>
      </c>
      <c r="O148">
        <v>2.4E-2</v>
      </c>
      <c r="P148">
        <v>1.4999999999999999E-2</v>
      </c>
    </row>
    <row r="149" spans="1:16">
      <c r="A149" t="s">
        <v>98</v>
      </c>
      <c r="B149" t="s">
        <v>104</v>
      </c>
      <c r="C149" t="s">
        <v>365</v>
      </c>
      <c r="D149">
        <v>1</v>
      </c>
      <c r="E149">
        <v>1700</v>
      </c>
      <c r="F149">
        <v>160</v>
      </c>
      <c r="G149">
        <v>20</v>
      </c>
      <c r="H149" t="s">
        <v>101</v>
      </c>
      <c r="I149" t="s">
        <v>106</v>
      </c>
      <c r="J149" t="s">
        <v>214</v>
      </c>
      <c r="K149" t="s">
        <v>108</v>
      </c>
      <c r="L149" t="s">
        <v>101</v>
      </c>
      <c r="M149" t="s">
        <v>110</v>
      </c>
      <c r="N149">
        <v>4.3999999999999997E-2</v>
      </c>
      <c r="O149">
        <v>2.4E-2</v>
      </c>
      <c r="P149">
        <v>1.4999999999999999E-2</v>
      </c>
    </row>
    <row r="150" spans="1:16" hidden="1">
      <c r="A150" t="s">
        <v>98</v>
      </c>
      <c r="B150" t="s">
        <v>104</v>
      </c>
      <c r="C150" t="s">
        <v>366</v>
      </c>
      <c r="D150">
        <v>1</v>
      </c>
      <c r="E150">
        <v>1700</v>
      </c>
      <c r="F150">
        <v>160</v>
      </c>
      <c r="G150">
        <v>20</v>
      </c>
      <c r="H150" t="s">
        <v>101</v>
      </c>
      <c r="I150" t="s">
        <v>102</v>
      </c>
      <c r="J150" t="s">
        <v>101</v>
      </c>
      <c r="K150" t="s">
        <v>166</v>
      </c>
      <c r="L150" t="s">
        <v>101</v>
      </c>
      <c r="M150" t="s">
        <v>125</v>
      </c>
      <c r="N150">
        <v>4.3999999999999997E-2</v>
      </c>
      <c r="O150">
        <v>2.4E-2</v>
      </c>
      <c r="P150">
        <v>1.4999999999999999E-2</v>
      </c>
    </row>
    <row r="151" spans="1:16">
      <c r="A151" t="s">
        <v>98</v>
      </c>
      <c r="B151" t="s">
        <v>104</v>
      </c>
      <c r="C151" t="s">
        <v>367</v>
      </c>
      <c r="D151">
        <v>1</v>
      </c>
      <c r="E151">
        <v>1700</v>
      </c>
      <c r="F151">
        <v>160</v>
      </c>
      <c r="G151">
        <v>20</v>
      </c>
      <c r="H151" t="s">
        <v>101</v>
      </c>
      <c r="I151" t="s">
        <v>106</v>
      </c>
      <c r="J151" t="s">
        <v>251</v>
      </c>
      <c r="K151" t="s">
        <v>108</v>
      </c>
      <c r="L151" t="s">
        <v>252</v>
      </c>
      <c r="M151" t="s">
        <v>110</v>
      </c>
      <c r="N151">
        <v>4.3999999999999997E-2</v>
      </c>
      <c r="O151">
        <v>2.4E-2</v>
      </c>
      <c r="P151">
        <v>1.4999999999999999E-2</v>
      </c>
    </row>
    <row r="152" spans="1:16" hidden="1">
      <c r="A152" t="s">
        <v>98</v>
      </c>
      <c r="B152" t="s">
        <v>164</v>
      </c>
      <c r="C152" t="s">
        <v>368</v>
      </c>
      <c r="D152">
        <v>8</v>
      </c>
      <c r="E152">
        <v>30000</v>
      </c>
      <c r="F152">
        <v>160</v>
      </c>
      <c r="G152">
        <v>820</v>
      </c>
      <c r="H152" t="s">
        <v>101</v>
      </c>
      <c r="I152" t="s">
        <v>102</v>
      </c>
      <c r="J152" t="s">
        <v>101</v>
      </c>
      <c r="K152" t="s">
        <v>340</v>
      </c>
      <c r="L152" t="s">
        <v>245</v>
      </c>
      <c r="M152" t="s">
        <v>270</v>
      </c>
      <c r="N152">
        <v>0.53200000000000003</v>
      </c>
      <c r="O152">
        <v>0.32400000000000001</v>
      </c>
      <c r="P152">
        <v>0.20899999999999999</v>
      </c>
    </row>
    <row r="153" spans="1:16" hidden="1">
      <c r="A153" t="s">
        <v>98</v>
      </c>
      <c r="B153" t="s">
        <v>164</v>
      </c>
      <c r="C153" t="s">
        <v>369</v>
      </c>
      <c r="D153">
        <v>8</v>
      </c>
      <c r="E153">
        <v>30000</v>
      </c>
      <c r="F153">
        <v>160</v>
      </c>
      <c r="G153">
        <v>420</v>
      </c>
      <c r="H153" t="s">
        <v>101</v>
      </c>
      <c r="I153" t="s">
        <v>102</v>
      </c>
      <c r="J153" t="s">
        <v>101</v>
      </c>
      <c r="K153" t="s">
        <v>166</v>
      </c>
      <c r="L153" t="s">
        <v>117</v>
      </c>
      <c r="M153" t="s">
        <v>167</v>
      </c>
      <c r="N153">
        <v>0.53200000000000003</v>
      </c>
      <c r="O153">
        <v>0.32400000000000001</v>
      </c>
      <c r="P153">
        <v>0.20899999999999999</v>
      </c>
    </row>
    <row r="154" spans="1:16">
      <c r="A154" t="s">
        <v>98</v>
      </c>
      <c r="B154" t="s">
        <v>104</v>
      </c>
      <c r="C154" t="s">
        <v>370</v>
      </c>
      <c r="D154">
        <v>1</v>
      </c>
      <c r="E154">
        <v>1700</v>
      </c>
      <c r="F154">
        <v>160</v>
      </c>
      <c r="G154">
        <v>20</v>
      </c>
      <c r="H154" t="s">
        <v>101</v>
      </c>
      <c r="I154" t="s">
        <v>106</v>
      </c>
      <c r="J154" t="s">
        <v>371</v>
      </c>
      <c r="K154" t="s">
        <v>108</v>
      </c>
      <c r="L154" t="s">
        <v>131</v>
      </c>
      <c r="M154" t="s">
        <v>110</v>
      </c>
      <c r="N154">
        <v>4.3999999999999997E-2</v>
      </c>
      <c r="O154">
        <v>2.4E-2</v>
      </c>
      <c r="P154">
        <v>1.4999999999999999E-2</v>
      </c>
    </row>
    <row r="155" spans="1:16">
      <c r="A155" t="s">
        <v>98</v>
      </c>
      <c r="B155" t="s">
        <v>104</v>
      </c>
      <c r="C155" t="s">
        <v>372</v>
      </c>
      <c r="D155">
        <v>1</v>
      </c>
      <c r="E155">
        <v>1700</v>
      </c>
      <c r="F155">
        <v>160</v>
      </c>
      <c r="G155">
        <v>20</v>
      </c>
      <c r="H155" t="s">
        <v>101</v>
      </c>
      <c r="I155" t="s">
        <v>106</v>
      </c>
      <c r="J155" t="s">
        <v>251</v>
      </c>
      <c r="K155" t="s">
        <v>108</v>
      </c>
      <c r="L155" t="s">
        <v>131</v>
      </c>
      <c r="M155" t="s">
        <v>110</v>
      </c>
      <c r="N155">
        <v>4.3999999999999997E-2</v>
      </c>
      <c r="O155">
        <v>2.4E-2</v>
      </c>
      <c r="P155">
        <v>1.4999999999999999E-2</v>
      </c>
    </row>
    <row r="156" spans="1:16">
      <c r="A156" t="s">
        <v>98</v>
      </c>
      <c r="B156" t="s">
        <v>135</v>
      </c>
      <c r="C156" t="s">
        <v>373</v>
      </c>
      <c r="D156">
        <v>1</v>
      </c>
      <c r="E156">
        <v>3750</v>
      </c>
      <c r="F156">
        <v>4</v>
      </c>
      <c r="G156">
        <v>420</v>
      </c>
      <c r="H156" t="s">
        <v>101</v>
      </c>
      <c r="I156" t="s">
        <v>106</v>
      </c>
      <c r="J156" t="s">
        <v>153</v>
      </c>
      <c r="K156" t="s">
        <v>108</v>
      </c>
      <c r="L156" t="s">
        <v>117</v>
      </c>
      <c r="M156" t="s">
        <v>110</v>
      </c>
      <c r="N156">
        <v>6.7000000000000004E-2</v>
      </c>
      <c r="O156">
        <v>0.04</v>
      </c>
      <c r="P156">
        <v>2.5999999999999999E-2</v>
      </c>
    </row>
    <row r="157" spans="1:16" hidden="1">
      <c r="A157" t="s">
        <v>98</v>
      </c>
      <c r="B157" t="s">
        <v>141</v>
      </c>
      <c r="C157" t="s">
        <v>374</v>
      </c>
      <c r="D157">
        <v>4</v>
      </c>
      <c r="E157">
        <v>15000</v>
      </c>
      <c r="F157">
        <v>80</v>
      </c>
      <c r="G157">
        <v>420</v>
      </c>
      <c r="H157" t="s">
        <v>101</v>
      </c>
      <c r="I157" t="s">
        <v>102</v>
      </c>
      <c r="J157" t="s">
        <v>101</v>
      </c>
      <c r="K157" t="s">
        <v>307</v>
      </c>
      <c r="L157" t="s">
        <v>117</v>
      </c>
      <c r="M157" t="s">
        <v>118</v>
      </c>
      <c r="N157">
        <v>0.26600000000000001</v>
      </c>
      <c r="O157">
        <v>0.16300000000000001</v>
      </c>
      <c r="P157">
        <v>0.104</v>
      </c>
    </row>
    <row r="158" spans="1:16">
      <c r="A158" t="s">
        <v>98</v>
      </c>
      <c r="B158" t="s">
        <v>172</v>
      </c>
      <c r="C158" t="s">
        <v>375</v>
      </c>
      <c r="D158">
        <v>1</v>
      </c>
      <c r="E158">
        <v>2000</v>
      </c>
      <c r="F158">
        <v>0</v>
      </c>
      <c r="G158">
        <v>20</v>
      </c>
      <c r="H158" t="s">
        <v>101</v>
      </c>
      <c r="I158" t="s">
        <v>106</v>
      </c>
      <c r="J158" t="s">
        <v>376</v>
      </c>
      <c r="K158" t="s">
        <v>108</v>
      </c>
      <c r="L158" t="s">
        <v>377</v>
      </c>
      <c r="M158" t="s">
        <v>110</v>
      </c>
      <c r="N158">
        <v>2.5999999999999999E-2</v>
      </c>
      <c r="O158">
        <v>1.7000000000000001E-2</v>
      </c>
      <c r="P158">
        <v>1.2E-2</v>
      </c>
    </row>
    <row r="159" spans="1:16">
      <c r="A159" t="s">
        <v>98</v>
      </c>
      <c r="B159" t="s">
        <v>104</v>
      </c>
      <c r="C159" t="s">
        <v>378</v>
      </c>
      <c r="D159">
        <v>1</v>
      </c>
      <c r="E159">
        <v>1700</v>
      </c>
      <c r="F159">
        <v>160</v>
      </c>
      <c r="G159">
        <v>20</v>
      </c>
      <c r="H159" t="s">
        <v>101</v>
      </c>
      <c r="I159" t="s">
        <v>106</v>
      </c>
      <c r="J159" t="s">
        <v>171</v>
      </c>
      <c r="K159" t="s">
        <v>108</v>
      </c>
      <c r="L159" t="s">
        <v>131</v>
      </c>
      <c r="M159" t="s">
        <v>110</v>
      </c>
      <c r="N159">
        <v>4.3999999999999997E-2</v>
      </c>
      <c r="O159">
        <v>2.4E-2</v>
      </c>
      <c r="P159">
        <v>1.4999999999999999E-2</v>
      </c>
    </row>
    <row r="160" spans="1:16">
      <c r="A160" t="s">
        <v>98</v>
      </c>
      <c r="B160" t="s">
        <v>104</v>
      </c>
      <c r="C160" t="s">
        <v>379</v>
      </c>
      <c r="D160">
        <v>1</v>
      </c>
      <c r="E160">
        <v>1700</v>
      </c>
      <c r="F160">
        <v>160</v>
      </c>
      <c r="G160">
        <v>420</v>
      </c>
      <c r="H160" t="s">
        <v>101</v>
      </c>
      <c r="I160" t="s">
        <v>106</v>
      </c>
      <c r="J160" t="s">
        <v>182</v>
      </c>
      <c r="K160" t="s">
        <v>108</v>
      </c>
      <c r="L160" t="s">
        <v>154</v>
      </c>
      <c r="M160" t="s">
        <v>110</v>
      </c>
      <c r="N160">
        <v>4.3999999999999997E-2</v>
      </c>
      <c r="O160">
        <v>2.4E-2</v>
      </c>
      <c r="P160">
        <v>1.4999999999999999E-2</v>
      </c>
    </row>
    <row r="161" spans="1:16" hidden="1">
      <c r="A161" t="s">
        <v>98</v>
      </c>
      <c r="B161" t="s">
        <v>104</v>
      </c>
      <c r="C161" t="s">
        <v>380</v>
      </c>
      <c r="D161">
        <v>1</v>
      </c>
      <c r="E161">
        <v>1700</v>
      </c>
      <c r="F161">
        <v>160</v>
      </c>
      <c r="G161">
        <v>20</v>
      </c>
      <c r="H161" t="s">
        <v>101</v>
      </c>
      <c r="I161" t="s">
        <v>102</v>
      </c>
      <c r="J161" t="s">
        <v>101</v>
      </c>
      <c r="K161" t="s">
        <v>137</v>
      </c>
      <c r="L161" t="s">
        <v>261</v>
      </c>
      <c r="M161" t="s">
        <v>125</v>
      </c>
      <c r="N161">
        <v>4.3999999999999997E-2</v>
      </c>
      <c r="O161">
        <v>2.4E-2</v>
      </c>
      <c r="P161">
        <v>1.4999999999999999E-2</v>
      </c>
    </row>
    <row r="162" spans="1:16">
      <c r="A162" t="s">
        <v>98</v>
      </c>
      <c r="B162" t="s">
        <v>104</v>
      </c>
      <c r="C162" t="s">
        <v>381</v>
      </c>
      <c r="D162">
        <v>1</v>
      </c>
      <c r="E162">
        <v>1700</v>
      </c>
      <c r="F162">
        <v>160</v>
      </c>
      <c r="G162">
        <v>20</v>
      </c>
      <c r="H162" t="s">
        <v>101</v>
      </c>
      <c r="I162" t="s">
        <v>106</v>
      </c>
      <c r="J162" t="s">
        <v>153</v>
      </c>
      <c r="K162" t="s">
        <v>108</v>
      </c>
      <c r="L162" t="s">
        <v>154</v>
      </c>
      <c r="M162" t="s">
        <v>110</v>
      </c>
      <c r="N162">
        <v>4.3999999999999997E-2</v>
      </c>
      <c r="O162">
        <v>2.4E-2</v>
      </c>
      <c r="P162">
        <v>1.4999999999999999E-2</v>
      </c>
    </row>
    <row r="163" spans="1:16" hidden="1">
      <c r="A163" t="s">
        <v>98</v>
      </c>
      <c r="B163" t="s">
        <v>267</v>
      </c>
      <c r="C163" t="s">
        <v>382</v>
      </c>
      <c r="D163">
        <v>8</v>
      </c>
      <c r="E163">
        <v>15000</v>
      </c>
      <c r="F163">
        <v>160</v>
      </c>
      <c r="G163">
        <v>20</v>
      </c>
      <c r="H163" t="s">
        <v>101</v>
      </c>
      <c r="I163" t="s">
        <v>102</v>
      </c>
      <c r="J163" t="s">
        <v>101</v>
      </c>
      <c r="K163" t="s">
        <v>383</v>
      </c>
      <c r="L163" t="s">
        <v>101</v>
      </c>
      <c r="M163" t="s">
        <v>384</v>
      </c>
      <c r="N163">
        <v>0.42</v>
      </c>
      <c r="O163">
        <v>0.248</v>
      </c>
      <c r="P163">
        <v>0.157</v>
      </c>
    </row>
    <row r="164" spans="1:16">
      <c r="A164" t="s">
        <v>98</v>
      </c>
      <c r="B164" t="s">
        <v>157</v>
      </c>
      <c r="C164" t="s">
        <v>385</v>
      </c>
      <c r="D164">
        <v>1</v>
      </c>
      <c r="E164">
        <v>3750</v>
      </c>
      <c r="F164">
        <v>410</v>
      </c>
      <c r="G164">
        <v>20</v>
      </c>
      <c r="H164" t="s">
        <v>101</v>
      </c>
      <c r="I164" t="s">
        <v>106</v>
      </c>
      <c r="J164" t="s">
        <v>386</v>
      </c>
      <c r="K164" t="s">
        <v>108</v>
      </c>
      <c r="L164" t="s">
        <v>387</v>
      </c>
      <c r="M164" t="s">
        <v>110</v>
      </c>
      <c r="N164">
        <v>8.6999999999999994E-2</v>
      </c>
      <c r="O164">
        <v>4.7E-2</v>
      </c>
      <c r="P164">
        <v>2.9000000000000001E-2</v>
      </c>
    </row>
    <row r="165" spans="1:16" hidden="1">
      <c r="A165" t="s">
        <v>98</v>
      </c>
      <c r="B165" t="s">
        <v>114</v>
      </c>
      <c r="C165" t="s">
        <v>388</v>
      </c>
      <c r="D165">
        <v>2</v>
      </c>
      <c r="E165">
        <v>7500</v>
      </c>
      <c r="F165">
        <v>32</v>
      </c>
      <c r="G165">
        <v>1020</v>
      </c>
      <c r="H165" t="s">
        <v>101</v>
      </c>
      <c r="I165" t="s">
        <v>102</v>
      </c>
      <c r="J165" t="s">
        <v>101</v>
      </c>
      <c r="K165" t="s">
        <v>265</v>
      </c>
      <c r="L165" t="s">
        <v>117</v>
      </c>
      <c r="M165" t="s">
        <v>103</v>
      </c>
      <c r="N165">
        <v>0.13300000000000001</v>
      </c>
      <c r="O165">
        <v>8.1000000000000003E-2</v>
      </c>
      <c r="P165">
        <v>5.1999999999999998E-2</v>
      </c>
    </row>
    <row r="166" spans="1:16">
      <c r="A166" t="s">
        <v>98</v>
      </c>
      <c r="B166" t="s">
        <v>172</v>
      </c>
      <c r="C166" t="s">
        <v>389</v>
      </c>
      <c r="D166">
        <v>1</v>
      </c>
      <c r="E166">
        <v>2000</v>
      </c>
      <c r="F166">
        <v>0</v>
      </c>
      <c r="G166">
        <v>20</v>
      </c>
      <c r="H166" t="s">
        <v>101</v>
      </c>
      <c r="I166" t="s">
        <v>106</v>
      </c>
      <c r="J166" t="s">
        <v>263</v>
      </c>
      <c r="K166" t="s">
        <v>108</v>
      </c>
      <c r="L166" t="s">
        <v>203</v>
      </c>
      <c r="M166" t="s">
        <v>110</v>
      </c>
      <c r="N166">
        <v>2.5999999999999999E-2</v>
      </c>
      <c r="O166">
        <v>1.7000000000000001E-2</v>
      </c>
      <c r="P166">
        <v>1.2E-2</v>
      </c>
    </row>
    <row r="167" spans="1:16" hidden="1">
      <c r="A167" t="s">
        <v>98</v>
      </c>
      <c r="B167" t="s">
        <v>104</v>
      </c>
      <c r="C167" t="s">
        <v>390</v>
      </c>
      <c r="D167">
        <v>1</v>
      </c>
      <c r="E167">
        <v>1700</v>
      </c>
      <c r="F167">
        <v>160</v>
      </c>
      <c r="G167">
        <v>20</v>
      </c>
      <c r="H167" t="s">
        <v>101</v>
      </c>
      <c r="I167" t="s">
        <v>102</v>
      </c>
      <c r="J167" t="s">
        <v>101</v>
      </c>
      <c r="K167" t="s">
        <v>101</v>
      </c>
      <c r="L167" t="s">
        <v>101</v>
      </c>
      <c r="M167" t="s">
        <v>134</v>
      </c>
      <c r="N167">
        <v>4.3999999999999997E-2</v>
      </c>
      <c r="O167">
        <v>2.4E-2</v>
      </c>
      <c r="P167">
        <v>1.4999999999999999E-2</v>
      </c>
    </row>
    <row r="168" spans="1:16">
      <c r="A168" t="s">
        <v>98</v>
      </c>
      <c r="B168" t="s">
        <v>104</v>
      </c>
      <c r="C168" t="s">
        <v>391</v>
      </c>
      <c r="D168">
        <v>1</v>
      </c>
      <c r="E168">
        <v>1700</v>
      </c>
      <c r="F168">
        <v>160</v>
      </c>
      <c r="G168">
        <v>20</v>
      </c>
      <c r="H168" t="s">
        <v>101</v>
      </c>
      <c r="I168" t="s">
        <v>106</v>
      </c>
      <c r="J168" t="s">
        <v>107</v>
      </c>
      <c r="K168" t="s">
        <v>108</v>
      </c>
      <c r="L168" t="s">
        <v>109</v>
      </c>
      <c r="M168" t="s">
        <v>110</v>
      </c>
      <c r="N168">
        <v>4.3999999999999997E-2</v>
      </c>
      <c r="O168">
        <v>2.4E-2</v>
      </c>
      <c r="P168">
        <v>1.4999999999999999E-2</v>
      </c>
    </row>
    <row r="169" spans="1:16" hidden="1">
      <c r="A169" t="s">
        <v>98</v>
      </c>
      <c r="B169" t="s">
        <v>104</v>
      </c>
      <c r="C169" t="s">
        <v>392</v>
      </c>
      <c r="D169">
        <v>1</v>
      </c>
      <c r="E169">
        <v>1700</v>
      </c>
      <c r="F169">
        <v>160</v>
      </c>
      <c r="G169">
        <v>20</v>
      </c>
      <c r="H169" t="s">
        <v>101</v>
      </c>
      <c r="I169" t="s">
        <v>102</v>
      </c>
      <c r="J169" t="s">
        <v>101</v>
      </c>
      <c r="K169" t="s">
        <v>101</v>
      </c>
      <c r="L169" t="s">
        <v>101</v>
      </c>
      <c r="M169" t="s">
        <v>125</v>
      </c>
      <c r="N169">
        <v>4.3999999999999997E-2</v>
      </c>
      <c r="O169">
        <v>2.4E-2</v>
      </c>
      <c r="P169">
        <v>1.4999999999999999E-2</v>
      </c>
    </row>
    <row r="170" spans="1:16">
      <c r="A170" t="s">
        <v>98</v>
      </c>
      <c r="B170" t="s">
        <v>104</v>
      </c>
      <c r="C170" t="s">
        <v>393</v>
      </c>
      <c r="D170">
        <v>1</v>
      </c>
      <c r="E170">
        <v>1700</v>
      </c>
      <c r="F170">
        <v>160</v>
      </c>
      <c r="G170">
        <v>20</v>
      </c>
      <c r="H170" t="s">
        <v>101</v>
      </c>
      <c r="I170" t="s">
        <v>106</v>
      </c>
      <c r="J170" t="s">
        <v>344</v>
      </c>
      <c r="K170" t="s">
        <v>108</v>
      </c>
      <c r="L170" t="s">
        <v>394</v>
      </c>
      <c r="M170" t="s">
        <v>110</v>
      </c>
      <c r="N170">
        <v>4.3999999999999997E-2</v>
      </c>
      <c r="O170">
        <v>2.4E-2</v>
      </c>
      <c r="P170">
        <v>1.4999999999999999E-2</v>
      </c>
    </row>
    <row r="171" spans="1:16" hidden="1">
      <c r="A171" t="s">
        <v>98</v>
      </c>
      <c r="B171" t="s">
        <v>157</v>
      </c>
      <c r="C171" t="s">
        <v>395</v>
      </c>
      <c r="D171">
        <v>1</v>
      </c>
      <c r="E171">
        <v>3750</v>
      </c>
      <c r="F171">
        <v>410</v>
      </c>
      <c r="G171">
        <v>3992</v>
      </c>
      <c r="H171" t="s">
        <v>101</v>
      </c>
      <c r="I171" t="s">
        <v>146</v>
      </c>
      <c r="J171" t="s">
        <v>101</v>
      </c>
      <c r="K171" t="s">
        <v>147</v>
      </c>
      <c r="L171" t="s">
        <v>101</v>
      </c>
      <c r="M171" t="s">
        <v>138</v>
      </c>
      <c r="N171">
        <v>8.6999999999999994E-2</v>
      </c>
      <c r="O171">
        <v>4.7E-2</v>
      </c>
      <c r="P171">
        <v>2.9000000000000001E-2</v>
      </c>
    </row>
    <row r="172" spans="1:16">
      <c r="A172" t="s">
        <v>98</v>
      </c>
      <c r="B172" t="s">
        <v>135</v>
      </c>
      <c r="C172" t="s">
        <v>396</v>
      </c>
      <c r="D172">
        <v>1</v>
      </c>
      <c r="E172">
        <v>3750</v>
      </c>
      <c r="F172">
        <v>4</v>
      </c>
      <c r="G172">
        <v>220</v>
      </c>
      <c r="H172" t="s">
        <v>101</v>
      </c>
      <c r="I172" t="s">
        <v>106</v>
      </c>
      <c r="J172" t="s">
        <v>130</v>
      </c>
      <c r="K172" t="s">
        <v>108</v>
      </c>
      <c r="L172" t="s">
        <v>154</v>
      </c>
      <c r="M172" t="s">
        <v>110</v>
      </c>
      <c r="N172">
        <v>6.7000000000000004E-2</v>
      </c>
      <c r="O172">
        <v>0.04</v>
      </c>
      <c r="P172">
        <v>2.5999999999999999E-2</v>
      </c>
    </row>
    <row r="173" spans="1:16">
      <c r="A173" t="s">
        <v>98</v>
      </c>
      <c r="B173" t="s">
        <v>99</v>
      </c>
      <c r="C173" t="s">
        <v>397</v>
      </c>
      <c r="D173">
        <v>2</v>
      </c>
      <c r="E173">
        <v>3750</v>
      </c>
      <c r="F173">
        <v>32</v>
      </c>
      <c r="G173">
        <v>20</v>
      </c>
      <c r="H173" t="s">
        <v>101</v>
      </c>
      <c r="I173" t="s">
        <v>106</v>
      </c>
      <c r="J173" t="s">
        <v>227</v>
      </c>
      <c r="K173" t="s">
        <v>108</v>
      </c>
      <c r="L173" t="s">
        <v>228</v>
      </c>
      <c r="M173" t="s">
        <v>110</v>
      </c>
      <c r="N173">
        <v>0.105</v>
      </c>
      <c r="O173">
        <v>6.2E-2</v>
      </c>
      <c r="P173">
        <v>3.9E-2</v>
      </c>
    </row>
    <row r="174" spans="1:16">
      <c r="A174" t="s">
        <v>98</v>
      </c>
      <c r="B174" t="s">
        <v>99</v>
      </c>
      <c r="C174" t="s">
        <v>398</v>
      </c>
      <c r="D174">
        <v>2</v>
      </c>
      <c r="E174">
        <v>3750</v>
      </c>
      <c r="F174">
        <v>32</v>
      </c>
      <c r="G174">
        <v>20</v>
      </c>
      <c r="H174" t="s">
        <v>101</v>
      </c>
      <c r="I174" t="s">
        <v>106</v>
      </c>
      <c r="J174" t="s">
        <v>227</v>
      </c>
      <c r="K174" t="s">
        <v>108</v>
      </c>
      <c r="L174" t="s">
        <v>228</v>
      </c>
      <c r="M174" t="s">
        <v>110</v>
      </c>
      <c r="N174">
        <v>0.105</v>
      </c>
      <c r="O174">
        <v>6.2E-2</v>
      </c>
      <c r="P174">
        <v>3.9E-2</v>
      </c>
    </row>
    <row r="175" spans="1:16">
      <c r="A175" t="s">
        <v>98</v>
      </c>
      <c r="B175" t="s">
        <v>99</v>
      </c>
      <c r="C175" t="s">
        <v>399</v>
      </c>
      <c r="D175">
        <v>2</v>
      </c>
      <c r="E175">
        <v>3750</v>
      </c>
      <c r="F175">
        <v>32</v>
      </c>
      <c r="G175">
        <v>20</v>
      </c>
      <c r="H175" t="s">
        <v>101</v>
      </c>
      <c r="I175" t="s">
        <v>106</v>
      </c>
      <c r="J175" t="s">
        <v>227</v>
      </c>
      <c r="K175" t="s">
        <v>108</v>
      </c>
      <c r="L175" t="s">
        <v>228</v>
      </c>
      <c r="M175" t="s">
        <v>110</v>
      </c>
      <c r="N175">
        <v>0.105</v>
      </c>
      <c r="O175">
        <v>6.2E-2</v>
      </c>
      <c r="P175">
        <v>3.9E-2</v>
      </c>
    </row>
    <row r="176" spans="1:16">
      <c r="A176" t="s">
        <v>98</v>
      </c>
      <c r="B176" t="s">
        <v>99</v>
      </c>
      <c r="C176" t="s">
        <v>400</v>
      </c>
      <c r="D176">
        <v>2</v>
      </c>
      <c r="E176">
        <v>3750</v>
      </c>
      <c r="F176">
        <v>32</v>
      </c>
      <c r="G176">
        <v>20</v>
      </c>
      <c r="H176" t="s">
        <v>101</v>
      </c>
      <c r="I176" t="s">
        <v>106</v>
      </c>
      <c r="J176" t="s">
        <v>227</v>
      </c>
      <c r="K176" t="s">
        <v>108</v>
      </c>
      <c r="L176" t="s">
        <v>228</v>
      </c>
      <c r="M176" t="s">
        <v>110</v>
      </c>
      <c r="N176">
        <v>0.105</v>
      </c>
      <c r="O176">
        <v>6.2E-2</v>
      </c>
      <c r="P176">
        <v>3.9E-2</v>
      </c>
    </row>
    <row r="177" spans="1:16">
      <c r="A177" t="s">
        <v>98</v>
      </c>
      <c r="B177" t="s">
        <v>99</v>
      </c>
      <c r="C177" t="s">
        <v>401</v>
      </c>
      <c r="D177">
        <v>2</v>
      </c>
      <c r="E177">
        <v>3750</v>
      </c>
      <c r="F177">
        <v>32</v>
      </c>
      <c r="G177">
        <v>20</v>
      </c>
      <c r="H177" t="s">
        <v>101</v>
      </c>
      <c r="I177" t="s">
        <v>106</v>
      </c>
      <c r="J177" t="s">
        <v>227</v>
      </c>
      <c r="K177" t="s">
        <v>108</v>
      </c>
      <c r="L177" t="s">
        <v>228</v>
      </c>
      <c r="M177" t="s">
        <v>110</v>
      </c>
      <c r="N177">
        <v>0.105</v>
      </c>
      <c r="O177">
        <v>6.2E-2</v>
      </c>
      <c r="P177">
        <v>3.9E-2</v>
      </c>
    </row>
    <row r="178" spans="1:16">
      <c r="A178" t="s">
        <v>98</v>
      </c>
      <c r="B178" t="s">
        <v>104</v>
      </c>
      <c r="C178" t="s">
        <v>402</v>
      </c>
      <c r="D178">
        <v>1</v>
      </c>
      <c r="E178">
        <v>1700</v>
      </c>
      <c r="F178">
        <v>160</v>
      </c>
      <c r="G178">
        <v>20</v>
      </c>
      <c r="H178" t="s">
        <v>101</v>
      </c>
      <c r="I178" t="s">
        <v>106</v>
      </c>
      <c r="J178" t="s">
        <v>283</v>
      </c>
      <c r="K178" t="s">
        <v>108</v>
      </c>
      <c r="L178" t="s">
        <v>222</v>
      </c>
      <c r="M178" t="s">
        <v>110</v>
      </c>
      <c r="N178">
        <v>4.3999999999999997E-2</v>
      </c>
      <c r="O178">
        <v>2.4E-2</v>
      </c>
      <c r="P178">
        <v>1.4999999999999999E-2</v>
      </c>
    </row>
    <row r="179" spans="1:16">
      <c r="A179" t="s">
        <v>98</v>
      </c>
      <c r="B179" t="s">
        <v>157</v>
      </c>
      <c r="C179" t="s">
        <v>403</v>
      </c>
      <c r="D179">
        <v>1</v>
      </c>
      <c r="E179">
        <v>3750</v>
      </c>
      <c r="F179">
        <v>410</v>
      </c>
      <c r="G179">
        <v>20</v>
      </c>
      <c r="H179" t="s">
        <v>101</v>
      </c>
      <c r="I179" t="s">
        <v>106</v>
      </c>
      <c r="J179" t="s">
        <v>214</v>
      </c>
      <c r="K179" t="s">
        <v>108</v>
      </c>
      <c r="L179" t="s">
        <v>101</v>
      </c>
      <c r="M179" t="s">
        <v>110</v>
      </c>
      <c r="N179">
        <v>8.6999999999999994E-2</v>
      </c>
      <c r="O179">
        <v>4.7E-2</v>
      </c>
      <c r="P179">
        <v>2.9000000000000001E-2</v>
      </c>
    </row>
    <row r="180" spans="1:16" hidden="1">
      <c r="A180" t="s">
        <v>98</v>
      </c>
      <c r="B180" t="s">
        <v>114</v>
      </c>
      <c r="C180" t="s">
        <v>404</v>
      </c>
      <c r="D180">
        <v>2</v>
      </c>
      <c r="E180">
        <v>7500</v>
      </c>
      <c r="F180">
        <v>32</v>
      </c>
      <c r="G180">
        <v>420</v>
      </c>
      <c r="H180" t="s">
        <v>101</v>
      </c>
      <c r="I180" t="s">
        <v>102</v>
      </c>
      <c r="J180" t="s">
        <v>101</v>
      </c>
      <c r="K180" t="s">
        <v>405</v>
      </c>
      <c r="L180" t="s">
        <v>117</v>
      </c>
      <c r="M180" t="s">
        <v>406</v>
      </c>
      <c r="N180">
        <v>0.13300000000000001</v>
      </c>
      <c r="O180">
        <v>8.1000000000000003E-2</v>
      </c>
      <c r="P180">
        <v>5.1999999999999998E-2</v>
      </c>
    </row>
    <row r="181" spans="1:16" hidden="1">
      <c r="A181" t="s">
        <v>98</v>
      </c>
      <c r="B181" t="s">
        <v>148</v>
      </c>
      <c r="C181" t="s">
        <v>407</v>
      </c>
      <c r="D181">
        <v>2</v>
      </c>
      <c r="E181">
        <v>4000</v>
      </c>
      <c r="F181">
        <v>0</v>
      </c>
      <c r="G181">
        <v>20</v>
      </c>
      <c r="H181" t="s">
        <v>101</v>
      </c>
      <c r="I181" t="s">
        <v>102</v>
      </c>
      <c r="J181" t="s">
        <v>101</v>
      </c>
      <c r="K181" t="s">
        <v>150</v>
      </c>
      <c r="L181" t="s">
        <v>101</v>
      </c>
      <c r="M181" t="s">
        <v>151</v>
      </c>
      <c r="N181">
        <v>5.1999999999999998E-2</v>
      </c>
      <c r="O181">
        <v>3.4000000000000002E-2</v>
      </c>
      <c r="P181">
        <v>2.3E-2</v>
      </c>
    </row>
    <row r="182" spans="1:16" hidden="1">
      <c r="A182" t="s">
        <v>98</v>
      </c>
      <c r="B182" t="s">
        <v>141</v>
      </c>
      <c r="C182" t="s">
        <v>408</v>
      </c>
      <c r="D182">
        <v>4</v>
      </c>
      <c r="E182">
        <v>15000</v>
      </c>
      <c r="F182">
        <v>80</v>
      </c>
      <c r="G182">
        <v>420</v>
      </c>
      <c r="H182" t="s">
        <v>101</v>
      </c>
      <c r="I182" t="s">
        <v>102</v>
      </c>
      <c r="J182" t="s">
        <v>101</v>
      </c>
      <c r="K182" t="s">
        <v>150</v>
      </c>
      <c r="L182" t="s">
        <v>117</v>
      </c>
      <c r="M182" t="s">
        <v>151</v>
      </c>
      <c r="N182">
        <v>0.26600000000000001</v>
      </c>
      <c r="O182">
        <v>0.16300000000000001</v>
      </c>
      <c r="P182">
        <v>0.104</v>
      </c>
    </row>
    <row r="183" spans="1:16" hidden="1">
      <c r="A183" t="s">
        <v>98</v>
      </c>
      <c r="B183" t="s">
        <v>104</v>
      </c>
      <c r="C183" t="s">
        <v>409</v>
      </c>
      <c r="D183">
        <v>1</v>
      </c>
      <c r="E183">
        <v>1700</v>
      </c>
      <c r="F183">
        <v>160</v>
      </c>
      <c r="G183">
        <v>20</v>
      </c>
      <c r="H183" t="s">
        <v>101</v>
      </c>
      <c r="I183" t="s">
        <v>102</v>
      </c>
      <c r="J183" t="s">
        <v>101</v>
      </c>
      <c r="K183" t="s">
        <v>405</v>
      </c>
      <c r="L183" t="s">
        <v>117</v>
      </c>
      <c r="M183" t="s">
        <v>406</v>
      </c>
      <c r="N183">
        <v>4.3999999999999997E-2</v>
      </c>
      <c r="O183">
        <v>2.4E-2</v>
      </c>
      <c r="P183">
        <v>1.4999999999999999E-2</v>
      </c>
    </row>
    <row r="184" spans="1:16" hidden="1">
      <c r="A184" t="s">
        <v>98</v>
      </c>
      <c r="B184" t="s">
        <v>164</v>
      </c>
      <c r="C184" t="s">
        <v>410</v>
      </c>
      <c r="D184">
        <v>8</v>
      </c>
      <c r="E184">
        <v>30000</v>
      </c>
      <c r="F184">
        <v>160</v>
      </c>
      <c r="G184">
        <v>820</v>
      </c>
      <c r="H184" t="s">
        <v>101</v>
      </c>
      <c r="I184" t="s">
        <v>102</v>
      </c>
      <c r="J184" t="s">
        <v>101</v>
      </c>
      <c r="K184" t="s">
        <v>383</v>
      </c>
      <c r="L184" t="s">
        <v>245</v>
      </c>
      <c r="M184" t="s">
        <v>384</v>
      </c>
      <c r="N184">
        <v>0.53200000000000003</v>
      </c>
      <c r="O184">
        <v>0.32400000000000001</v>
      </c>
      <c r="P184">
        <v>0.20899999999999999</v>
      </c>
    </row>
    <row r="185" spans="1:16">
      <c r="A185" t="s">
        <v>98</v>
      </c>
      <c r="B185" t="s">
        <v>104</v>
      </c>
      <c r="C185" t="s">
        <v>411</v>
      </c>
      <c r="D185">
        <v>1</v>
      </c>
      <c r="E185">
        <v>1700</v>
      </c>
      <c r="F185">
        <v>160</v>
      </c>
      <c r="G185">
        <v>20</v>
      </c>
      <c r="H185" t="s">
        <v>101</v>
      </c>
      <c r="I185" t="s">
        <v>106</v>
      </c>
      <c r="J185" t="s">
        <v>350</v>
      </c>
      <c r="K185" t="s">
        <v>108</v>
      </c>
      <c r="L185" t="s">
        <v>210</v>
      </c>
      <c r="M185" t="s">
        <v>110</v>
      </c>
      <c r="N185">
        <v>4.3999999999999997E-2</v>
      </c>
      <c r="O185">
        <v>2.4E-2</v>
      </c>
      <c r="P185">
        <v>1.4999999999999999E-2</v>
      </c>
    </row>
    <row r="186" spans="1:16" hidden="1">
      <c r="A186" t="s">
        <v>98</v>
      </c>
      <c r="B186" t="s">
        <v>132</v>
      </c>
      <c r="C186" t="s">
        <v>412</v>
      </c>
      <c r="D186">
        <v>2</v>
      </c>
      <c r="E186">
        <v>7500</v>
      </c>
      <c r="F186">
        <v>850</v>
      </c>
      <c r="G186">
        <v>20</v>
      </c>
      <c r="H186" t="s">
        <v>101</v>
      </c>
      <c r="I186" t="s">
        <v>102</v>
      </c>
      <c r="J186" t="s">
        <v>101</v>
      </c>
      <c r="K186" t="s">
        <v>207</v>
      </c>
      <c r="L186" t="s">
        <v>101</v>
      </c>
      <c r="M186" t="s">
        <v>134</v>
      </c>
      <c r="N186">
        <v>0.17499999999999999</v>
      </c>
      <c r="O186">
        <v>9.5000000000000001E-2</v>
      </c>
      <c r="P186">
        <v>5.8999999999999997E-2</v>
      </c>
    </row>
    <row r="187" spans="1:16">
      <c r="A187" t="s">
        <v>98</v>
      </c>
      <c r="B187" t="s">
        <v>104</v>
      </c>
      <c r="C187" t="s">
        <v>413</v>
      </c>
      <c r="D187">
        <v>1</v>
      </c>
      <c r="E187">
        <v>1700</v>
      </c>
      <c r="F187">
        <v>160</v>
      </c>
      <c r="G187">
        <v>20</v>
      </c>
      <c r="H187" t="s">
        <v>101</v>
      </c>
      <c r="I187" t="s">
        <v>106</v>
      </c>
      <c r="J187" t="s">
        <v>236</v>
      </c>
      <c r="K187" t="s">
        <v>108</v>
      </c>
      <c r="L187" t="s">
        <v>128</v>
      </c>
      <c r="M187" t="s">
        <v>110</v>
      </c>
      <c r="N187">
        <v>4.3999999999999997E-2</v>
      </c>
      <c r="O187">
        <v>2.4E-2</v>
      </c>
      <c r="P187">
        <v>1.4999999999999999E-2</v>
      </c>
    </row>
    <row r="188" spans="1:16">
      <c r="A188" t="s">
        <v>98</v>
      </c>
      <c r="B188" t="s">
        <v>172</v>
      </c>
      <c r="C188" t="s">
        <v>414</v>
      </c>
      <c r="D188">
        <v>1</v>
      </c>
      <c r="E188">
        <v>2000</v>
      </c>
      <c r="F188">
        <v>0</v>
      </c>
      <c r="G188">
        <v>20</v>
      </c>
      <c r="H188" t="s">
        <v>101</v>
      </c>
      <c r="I188" t="s">
        <v>106</v>
      </c>
      <c r="J188" t="s">
        <v>112</v>
      </c>
      <c r="K188" t="s">
        <v>108</v>
      </c>
      <c r="L188" t="s">
        <v>231</v>
      </c>
      <c r="M188" t="s">
        <v>110</v>
      </c>
      <c r="N188">
        <v>2.5999999999999999E-2</v>
      </c>
      <c r="O188">
        <v>1.7000000000000001E-2</v>
      </c>
      <c r="P188">
        <v>1.2E-2</v>
      </c>
    </row>
    <row r="189" spans="1:16" hidden="1">
      <c r="A189" t="s">
        <v>98</v>
      </c>
      <c r="B189" t="s">
        <v>172</v>
      </c>
      <c r="C189" t="s">
        <v>415</v>
      </c>
      <c r="D189">
        <v>1</v>
      </c>
      <c r="E189">
        <v>2000</v>
      </c>
      <c r="F189">
        <v>0</v>
      </c>
      <c r="G189">
        <v>20</v>
      </c>
      <c r="H189" t="s">
        <v>101</v>
      </c>
      <c r="I189" t="s">
        <v>102</v>
      </c>
      <c r="J189" t="s">
        <v>101</v>
      </c>
      <c r="K189" t="s">
        <v>205</v>
      </c>
      <c r="L189" t="s">
        <v>117</v>
      </c>
      <c r="M189" t="s">
        <v>118</v>
      </c>
      <c r="N189">
        <v>2.5999999999999999E-2</v>
      </c>
      <c r="O189">
        <v>1.7000000000000001E-2</v>
      </c>
      <c r="P189">
        <v>1.2E-2</v>
      </c>
    </row>
    <row r="190" spans="1:16" hidden="1">
      <c r="A190" t="s">
        <v>98</v>
      </c>
      <c r="B190" t="s">
        <v>141</v>
      </c>
      <c r="C190" t="s">
        <v>416</v>
      </c>
      <c r="D190">
        <v>4</v>
      </c>
      <c r="E190">
        <v>15000</v>
      </c>
      <c r="F190">
        <v>80</v>
      </c>
      <c r="G190">
        <v>20</v>
      </c>
      <c r="H190" t="s">
        <v>101</v>
      </c>
      <c r="I190" t="s">
        <v>102</v>
      </c>
      <c r="J190" t="s">
        <v>101</v>
      </c>
      <c r="K190" t="s">
        <v>156</v>
      </c>
      <c r="L190" t="s">
        <v>101</v>
      </c>
      <c r="M190" t="s">
        <v>118</v>
      </c>
      <c r="N190">
        <v>0.26600000000000001</v>
      </c>
      <c r="O190">
        <v>0.16300000000000001</v>
      </c>
      <c r="P190">
        <v>0.104</v>
      </c>
    </row>
    <row r="191" spans="1:16" hidden="1">
      <c r="A191" t="s">
        <v>98</v>
      </c>
      <c r="B191" t="s">
        <v>172</v>
      </c>
      <c r="C191" t="s">
        <v>417</v>
      </c>
      <c r="D191">
        <v>1</v>
      </c>
      <c r="E191">
        <v>2000</v>
      </c>
      <c r="F191">
        <v>0</v>
      </c>
      <c r="G191">
        <v>20</v>
      </c>
      <c r="H191" t="s">
        <v>101</v>
      </c>
      <c r="I191" t="s">
        <v>102</v>
      </c>
      <c r="J191" t="s">
        <v>101</v>
      </c>
      <c r="K191" t="s">
        <v>418</v>
      </c>
      <c r="L191" t="s">
        <v>261</v>
      </c>
      <c r="M191" t="s">
        <v>125</v>
      </c>
      <c r="N191">
        <v>2.5999999999999999E-2</v>
      </c>
      <c r="O191">
        <v>1.7000000000000001E-2</v>
      </c>
      <c r="P191">
        <v>1.2E-2</v>
      </c>
    </row>
    <row r="192" spans="1:16">
      <c r="A192" t="s">
        <v>98</v>
      </c>
      <c r="B192" t="s">
        <v>172</v>
      </c>
      <c r="C192" t="s">
        <v>419</v>
      </c>
      <c r="D192">
        <v>1</v>
      </c>
      <c r="E192">
        <v>2000</v>
      </c>
      <c r="F192">
        <v>0</v>
      </c>
      <c r="G192">
        <v>420</v>
      </c>
      <c r="H192" t="s">
        <v>101</v>
      </c>
      <c r="I192" t="s">
        <v>106</v>
      </c>
      <c r="J192" t="s">
        <v>153</v>
      </c>
      <c r="K192" t="s">
        <v>108</v>
      </c>
      <c r="L192" t="s">
        <v>117</v>
      </c>
      <c r="M192" t="s">
        <v>110</v>
      </c>
      <c r="N192">
        <v>2.5999999999999999E-2</v>
      </c>
      <c r="O192">
        <v>1.7000000000000001E-2</v>
      </c>
      <c r="P192">
        <v>1.2E-2</v>
      </c>
    </row>
    <row r="193" spans="1:16">
      <c r="A193" t="s">
        <v>98</v>
      </c>
      <c r="B193" t="s">
        <v>104</v>
      </c>
      <c r="C193" t="s">
        <v>420</v>
      </c>
      <c r="D193">
        <v>1</v>
      </c>
      <c r="E193">
        <v>1700</v>
      </c>
      <c r="F193">
        <v>160</v>
      </c>
      <c r="G193">
        <v>20</v>
      </c>
      <c r="H193" t="s">
        <v>101</v>
      </c>
      <c r="I193" t="s">
        <v>106</v>
      </c>
      <c r="J193" t="s">
        <v>251</v>
      </c>
      <c r="K193" t="s">
        <v>108</v>
      </c>
      <c r="L193" t="s">
        <v>131</v>
      </c>
      <c r="M193" t="s">
        <v>110</v>
      </c>
      <c r="N193">
        <v>4.3999999999999997E-2</v>
      </c>
      <c r="O193">
        <v>2.4E-2</v>
      </c>
      <c r="P193">
        <v>1.4999999999999999E-2</v>
      </c>
    </row>
    <row r="194" spans="1:16" hidden="1">
      <c r="A194" t="s">
        <v>98</v>
      </c>
      <c r="B194" t="s">
        <v>141</v>
      </c>
      <c r="C194" t="s">
        <v>421</v>
      </c>
      <c r="D194">
        <v>4</v>
      </c>
      <c r="E194">
        <v>15000</v>
      </c>
      <c r="F194">
        <v>80</v>
      </c>
      <c r="G194">
        <v>420</v>
      </c>
      <c r="H194" t="s">
        <v>101</v>
      </c>
      <c r="I194" t="s">
        <v>102</v>
      </c>
      <c r="J194" t="s">
        <v>101</v>
      </c>
      <c r="K194" t="s">
        <v>143</v>
      </c>
      <c r="L194" t="s">
        <v>117</v>
      </c>
      <c r="M194" t="s">
        <v>144</v>
      </c>
      <c r="N194">
        <v>0.26600000000000001</v>
      </c>
      <c r="O194">
        <v>0.16300000000000001</v>
      </c>
      <c r="P194">
        <v>0.104</v>
      </c>
    </row>
    <row r="195" spans="1:16">
      <c r="A195" t="s">
        <v>98</v>
      </c>
      <c r="B195" t="s">
        <v>104</v>
      </c>
      <c r="C195" t="s">
        <v>422</v>
      </c>
      <c r="D195">
        <v>1</v>
      </c>
      <c r="E195">
        <v>1700</v>
      </c>
      <c r="F195">
        <v>160</v>
      </c>
      <c r="G195">
        <v>20</v>
      </c>
      <c r="H195" t="s">
        <v>101</v>
      </c>
      <c r="I195" t="s">
        <v>106</v>
      </c>
      <c r="J195" t="s">
        <v>342</v>
      </c>
      <c r="K195" t="s">
        <v>108</v>
      </c>
      <c r="L195" t="s">
        <v>175</v>
      </c>
      <c r="M195" t="s">
        <v>110</v>
      </c>
      <c r="N195">
        <v>4.3999999999999997E-2</v>
      </c>
      <c r="O195">
        <v>2.4E-2</v>
      </c>
      <c r="P195">
        <v>1.4999999999999999E-2</v>
      </c>
    </row>
    <row r="196" spans="1:16" hidden="1">
      <c r="A196" t="s">
        <v>98</v>
      </c>
      <c r="B196" t="s">
        <v>99</v>
      </c>
      <c r="C196" t="s">
        <v>423</v>
      </c>
      <c r="D196">
        <v>2</v>
      </c>
      <c r="E196">
        <v>3750</v>
      </c>
      <c r="F196">
        <v>32</v>
      </c>
      <c r="G196">
        <v>3992</v>
      </c>
      <c r="H196" t="s">
        <v>101</v>
      </c>
      <c r="I196" t="s">
        <v>146</v>
      </c>
      <c r="J196" t="s">
        <v>101</v>
      </c>
      <c r="K196" t="s">
        <v>147</v>
      </c>
      <c r="L196" t="s">
        <v>101</v>
      </c>
      <c r="M196" t="s">
        <v>138</v>
      </c>
      <c r="N196">
        <v>0.105</v>
      </c>
      <c r="O196">
        <v>6.2E-2</v>
      </c>
      <c r="P196">
        <v>3.9E-2</v>
      </c>
    </row>
    <row r="197" spans="1:16">
      <c r="A197" t="s">
        <v>98</v>
      </c>
      <c r="B197" t="s">
        <v>104</v>
      </c>
      <c r="C197" t="s">
        <v>424</v>
      </c>
      <c r="D197">
        <v>1</v>
      </c>
      <c r="E197">
        <v>1700</v>
      </c>
      <c r="F197">
        <v>160</v>
      </c>
      <c r="G197">
        <v>20</v>
      </c>
      <c r="H197" t="s">
        <v>101</v>
      </c>
      <c r="I197" t="s">
        <v>106</v>
      </c>
      <c r="J197" t="s">
        <v>209</v>
      </c>
      <c r="K197" t="s">
        <v>108</v>
      </c>
      <c r="L197" t="s">
        <v>203</v>
      </c>
      <c r="M197" t="s">
        <v>110</v>
      </c>
      <c r="N197">
        <v>4.3999999999999997E-2</v>
      </c>
      <c r="O197">
        <v>2.4E-2</v>
      </c>
      <c r="P197">
        <v>1.4999999999999999E-2</v>
      </c>
    </row>
    <row r="198" spans="1:16">
      <c r="A198" t="s">
        <v>98</v>
      </c>
      <c r="B198" t="s">
        <v>104</v>
      </c>
      <c r="C198" t="s">
        <v>425</v>
      </c>
      <c r="D198">
        <v>1</v>
      </c>
      <c r="E198">
        <v>1700</v>
      </c>
      <c r="F198">
        <v>160</v>
      </c>
      <c r="G198">
        <v>20</v>
      </c>
      <c r="H198" t="s">
        <v>101</v>
      </c>
      <c r="I198" t="s">
        <v>106</v>
      </c>
      <c r="J198" t="s">
        <v>297</v>
      </c>
      <c r="K198" t="s">
        <v>108</v>
      </c>
      <c r="L198" t="s">
        <v>322</v>
      </c>
      <c r="M198" t="s">
        <v>110</v>
      </c>
      <c r="N198">
        <v>4.3999999999999997E-2</v>
      </c>
      <c r="O198">
        <v>2.4E-2</v>
      </c>
      <c r="P198">
        <v>1.4999999999999999E-2</v>
      </c>
    </row>
    <row r="199" spans="1:16">
      <c r="A199" t="s">
        <v>98</v>
      </c>
      <c r="B199" t="s">
        <v>104</v>
      </c>
      <c r="C199" t="s">
        <v>426</v>
      </c>
      <c r="D199">
        <v>1</v>
      </c>
      <c r="E199">
        <v>1700</v>
      </c>
      <c r="F199">
        <v>160</v>
      </c>
      <c r="G199">
        <v>20</v>
      </c>
      <c r="H199" t="s">
        <v>101</v>
      </c>
      <c r="I199" t="s">
        <v>106</v>
      </c>
      <c r="J199" t="s">
        <v>248</v>
      </c>
      <c r="K199" t="s">
        <v>108</v>
      </c>
      <c r="L199" t="s">
        <v>210</v>
      </c>
      <c r="M199" t="s">
        <v>110</v>
      </c>
      <c r="N199">
        <v>4.3999999999999997E-2</v>
      </c>
      <c r="O199">
        <v>2.4E-2</v>
      </c>
      <c r="P199">
        <v>1.4999999999999999E-2</v>
      </c>
    </row>
    <row r="200" spans="1:16" hidden="1">
      <c r="A200" t="s">
        <v>98</v>
      </c>
      <c r="B200" t="s">
        <v>114</v>
      </c>
      <c r="C200" t="s">
        <v>427</v>
      </c>
      <c r="D200">
        <v>2</v>
      </c>
      <c r="E200">
        <v>7500</v>
      </c>
      <c r="F200">
        <v>32</v>
      </c>
      <c r="G200">
        <v>420</v>
      </c>
      <c r="H200" t="s">
        <v>101</v>
      </c>
      <c r="I200" t="s">
        <v>102</v>
      </c>
      <c r="J200" t="s">
        <v>101</v>
      </c>
      <c r="K200" t="s">
        <v>205</v>
      </c>
      <c r="L200" t="s">
        <v>117</v>
      </c>
      <c r="M200" t="s">
        <v>118</v>
      </c>
      <c r="N200">
        <v>0.13300000000000001</v>
      </c>
      <c r="O200">
        <v>8.1000000000000003E-2</v>
      </c>
      <c r="P200">
        <v>5.1999999999999998E-2</v>
      </c>
    </row>
    <row r="201" spans="1:16" hidden="1">
      <c r="A201" t="s">
        <v>98</v>
      </c>
      <c r="B201" t="s">
        <v>172</v>
      </c>
      <c r="C201" t="s">
        <v>428</v>
      </c>
      <c r="D201">
        <v>1</v>
      </c>
      <c r="E201">
        <v>2000</v>
      </c>
      <c r="F201">
        <v>0</v>
      </c>
      <c r="G201">
        <v>20</v>
      </c>
      <c r="H201" t="s">
        <v>101</v>
      </c>
      <c r="I201" t="s">
        <v>102</v>
      </c>
      <c r="J201" t="s">
        <v>101</v>
      </c>
      <c r="K201" t="s">
        <v>429</v>
      </c>
      <c r="L201" t="s">
        <v>124</v>
      </c>
      <c r="M201" t="s">
        <v>125</v>
      </c>
      <c r="N201">
        <v>2.5999999999999999E-2</v>
      </c>
      <c r="O201">
        <v>1.7000000000000001E-2</v>
      </c>
      <c r="P201">
        <v>1.2E-2</v>
      </c>
    </row>
    <row r="202" spans="1:16" hidden="1">
      <c r="A202" t="s">
        <v>98</v>
      </c>
      <c r="B202" t="s">
        <v>135</v>
      </c>
      <c r="C202" t="s">
        <v>430</v>
      </c>
      <c r="D202">
        <v>1</v>
      </c>
      <c r="E202">
        <v>3750</v>
      </c>
      <c r="F202">
        <v>4</v>
      </c>
      <c r="G202">
        <v>420</v>
      </c>
      <c r="H202" t="s">
        <v>101</v>
      </c>
      <c r="I202" t="s">
        <v>102</v>
      </c>
      <c r="J202" t="s">
        <v>101</v>
      </c>
      <c r="K202" t="s">
        <v>150</v>
      </c>
      <c r="L202" t="s">
        <v>117</v>
      </c>
      <c r="M202" t="s">
        <v>151</v>
      </c>
      <c r="N202">
        <v>6.7000000000000004E-2</v>
      </c>
      <c r="O202">
        <v>0.04</v>
      </c>
      <c r="P202">
        <v>2.5999999999999999E-2</v>
      </c>
    </row>
    <row r="203" spans="1:16" hidden="1">
      <c r="A203" t="s">
        <v>98</v>
      </c>
      <c r="B203" t="s">
        <v>141</v>
      </c>
      <c r="C203" t="s">
        <v>431</v>
      </c>
      <c r="D203">
        <v>4</v>
      </c>
      <c r="E203">
        <v>15000</v>
      </c>
      <c r="F203">
        <v>80</v>
      </c>
      <c r="G203">
        <v>420</v>
      </c>
      <c r="H203" t="s">
        <v>101</v>
      </c>
      <c r="I203" t="s">
        <v>102</v>
      </c>
      <c r="J203" t="s">
        <v>101</v>
      </c>
      <c r="K203" t="s">
        <v>432</v>
      </c>
      <c r="L203" t="s">
        <v>117</v>
      </c>
      <c r="M203" t="s">
        <v>118</v>
      </c>
      <c r="N203">
        <v>0.26600000000000001</v>
      </c>
      <c r="O203">
        <v>0.16300000000000001</v>
      </c>
      <c r="P203">
        <v>0.104</v>
      </c>
    </row>
    <row r="204" spans="1:16">
      <c r="A204" t="s">
        <v>98</v>
      </c>
      <c r="B204" t="s">
        <v>104</v>
      </c>
      <c r="C204" t="s">
        <v>433</v>
      </c>
      <c r="D204">
        <v>1</v>
      </c>
      <c r="E204">
        <v>1700</v>
      </c>
      <c r="F204">
        <v>160</v>
      </c>
      <c r="G204">
        <v>20</v>
      </c>
      <c r="H204" t="s">
        <v>101</v>
      </c>
      <c r="I204" t="s">
        <v>106</v>
      </c>
      <c r="J204" t="s">
        <v>305</v>
      </c>
      <c r="K204" t="s">
        <v>108</v>
      </c>
      <c r="L204" t="s">
        <v>434</v>
      </c>
      <c r="M204" t="s">
        <v>110</v>
      </c>
      <c r="N204">
        <v>4.3999999999999997E-2</v>
      </c>
      <c r="O204">
        <v>2.4E-2</v>
      </c>
      <c r="P204">
        <v>1.4999999999999999E-2</v>
      </c>
    </row>
    <row r="205" spans="1:16" hidden="1">
      <c r="A205" t="s">
        <v>98</v>
      </c>
      <c r="B205" t="s">
        <v>141</v>
      </c>
      <c r="C205" t="s">
        <v>435</v>
      </c>
      <c r="D205">
        <v>4</v>
      </c>
      <c r="E205">
        <v>15000</v>
      </c>
      <c r="F205">
        <v>80</v>
      </c>
      <c r="G205">
        <v>420</v>
      </c>
      <c r="H205" t="s">
        <v>101</v>
      </c>
      <c r="I205" t="s">
        <v>102</v>
      </c>
      <c r="J205" t="s">
        <v>101</v>
      </c>
      <c r="K205" t="s">
        <v>150</v>
      </c>
      <c r="L205" t="s">
        <v>117</v>
      </c>
      <c r="M205" t="s">
        <v>151</v>
      </c>
      <c r="N205">
        <v>0.26600000000000001</v>
      </c>
      <c r="O205">
        <v>0.16300000000000001</v>
      </c>
      <c r="P205">
        <v>0.104</v>
      </c>
    </row>
    <row r="206" spans="1:16" hidden="1">
      <c r="A206" t="s">
        <v>98</v>
      </c>
      <c r="B206" t="s">
        <v>135</v>
      </c>
      <c r="C206" t="s">
        <v>436</v>
      </c>
      <c r="D206">
        <v>1</v>
      </c>
      <c r="E206">
        <v>3750</v>
      </c>
      <c r="F206">
        <v>4</v>
      </c>
      <c r="G206">
        <v>420</v>
      </c>
      <c r="H206" t="s">
        <v>101</v>
      </c>
      <c r="I206" t="s">
        <v>102</v>
      </c>
      <c r="J206" t="s">
        <v>101</v>
      </c>
      <c r="K206" t="s">
        <v>205</v>
      </c>
      <c r="L206" t="s">
        <v>117</v>
      </c>
      <c r="M206" t="s">
        <v>118</v>
      </c>
      <c r="N206">
        <v>6.7000000000000004E-2</v>
      </c>
      <c r="O206">
        <v>0.04</v>
      </c>
      <c r="P206">
        <v>2.5999999999999999E-2</v>
      </c>
    </row>
    <row r="207" spans="1:16" hidden="1">
      <c r="A207" t="s">
        <v>98</v>
      </c>
      <c r="B207" t="s">
        <v>437</v>
      </c>
      <c r="C207" t="s">
        <v>438</v>
      </c>
      <c r="D207">
        <v>8</v>
      </c>
      <c r="E207">
        <v>61000</v>
      </c>
      <c r="F207">
        <v>1440</v>
      </c>
      <c r="G207">
        <v>20</v>
      </c>
      <c r="H207" t="s">
        <v>101</v>
      </c>
      <c r="I207" t="s">
        <v>102</v>
      </c>
      <c r="J207" t="s">
        <v>101</v>
      </c>
      <c r="K207" t="s">
        <v>166</v>
      </c>
      <c r="L207" t="s">
        <v>117</v>
      </c>
      <c r="M207" t="s">
        <v>167</v>
      </c>
      <c r="N207">
        <v>1.7050000000000001</v>
      </c>
      <c r="O207">
        <v>0.71199999999999997</v>
      </c>
      <c r="P207">
        <v>0.42299999999999999</v>
      </c>
    </row>
    <row r="208" spans="1:16" hidden="1">
      <c r="A208" t="s">
        <v>98</v>
      </c>
      <c r="B208" t="s">
        <v>164</v>
      </c>
      <c r="C208" t="s">
        <v>439</v>
      </c>
      <c r="D208">
        <v>8</v>
      </c>
      <c r="E208">
        <v>30000</v>
      </c>
      <c r="F208">
        <v>160</v>
      </c>
      <c r="G208">
        <v>1820</v>
      </c>
      <c r="H208" t="s">
        <v>101</v>
      </c>
      <c r="I208" t="s">
        <v>102</v>
      </c>
      <c r="J208" t="s">
        <v>101</v>
      </c>
      <c r="K208" t="s">
        <v>340</v>
      </c>
      <c r="L208" t="s">
        <v>245</v>
      </c>
      <c r="M208" t="s">
        <v>270</v>
      </c>
      <c r="N208">
        <v>0.53200000000000003</v>
      </c>
      <c r="O208">
        <v>0.32400000000000001</v>
      </c>
      <c r="P208">
        <v>0.20899999999999999</v>
      </c>
    </row>
    <row r="209" spans="1:16">
      <c r="A209" t="s">
        <v>98</v>
      </c>
      <c r="B209" t="s">
        <v>104</v>
      </c>
      <c r="C209" t="s">
        <v>440</v>
      </c>
      <c r="D209">
        <v>1</v>
      </c>
      <c r="E209">
        <v>1700</v>
      </c>
      <c r="F209">
        <v>160</v>
      </c>
      <c r="G209">
        <v>20</v>
      </c>
      <c r="H209" t="s">
        <v>101</v>
      </c>
      <c r="I209" t="s">
        <v>106</v>
      </c>
      <c r="J209" t="s">
        <v>202</v>
      </c>
      <c r="K209" t="s">
        <v>108</v>
      </c>
      <c r="L209" t="s">
        <v>222</v>
      </c>
      <c r="M209" t="s">
        <v>110</v>
      </c>
      <c r="N209">
        <v>4.3999999999999997E-2</v>
      </c>
      <c r="O209">
        <v>2.4E-2</v>
      </c>
      <c r="P209">
        <v>1.4999999999999999E-2</v>
      </c>
    </row>
    <row r="210" spans="1:16" hidden="1">
      <c r="A210" t="s">
        <v>98</v>
      </c>
      <c r="B210" t="s">
        <v>141</v>
      </c>
      <c r="C210" t="s">
        <v>441</v>
      </c>
      <c r="D210">
        <v>4</v>
      </c>
      <c r="E210">
        <v>15000</v>
      </c>
      <c r="F210">
        <v>80</v>
      </c>
      <c r="G210">
        <v>420</v>
      </c>
      <c r="H210" t="s">
        <v>101</v>
      </c>
      <c r="I210" t="s">
        <v>102</v>
      </c>
      <c r="J210" t="s">
        <v>101</v>
      </c>
      <c r="K210" t="s">
        <v>307</v>
      </c>
      <c r="L210" t="s">
        <v>101</v>
      </c>
      <c r="M210" t="s">
        <v>118</v>
      </c>
      <c r="N210">
        <v>0.26600000000000001</v>
      </c>
      <c r="O210">
        <v>0.16300000000000001</v>
      </c>
      <c r="P210">
        <v>0.104</v>
      </c>
    </row>
    <row r="211" spans="1:16" hidden="1">
      <c r="A211" t="s">
        <v>98</v>
      </c>
      <c r="B211" t="s">
        <v>104</v>
      </c>
      <c r="C211" t="s">
        <v>442</v>
      </c>
      <c r="D211">
        <v>1</v>
      </c>
      <c r="E211">
        <v>1700</v>
      </c>
      <c r="F211">
        <v>160</v>
      </c>
      <c r="G211">
        <v>20</v>
      </c>
      <c r="H211" t="s">
        <v>101</v>
      </c>
      <c r="I211" t="s">
        <v>102</v>
      </c>
      <c r="J211" t="s">
        <v>101</v>
      </c>
      <c r="K211" t="s">
        <v>307</v>
      </c>
      <c r="L211" t="s">
        <v>124</v>
      </c>
      <c r="M211" t="s">
        <v>125</v>
      </c>
      <c r="N211">
        <v>4.3999999999999997E-2</v>
      </c>
      <c r="O211">
        <v>2.4E-2</v>
      </c>
      <c r="P211">
        <v>1.4999999999999999E-2</v>
      </c>
    </row>
    <row r="212" spans="1:16">
      <c r="A212" t="s">
        <v>98</v>
      </c>
      <c r="B212" t="s">
        <v>104</v>
      </c>
      <c r="C212" t="s">
        <v>443</v>
      </c>
      <c r="D212">
        <v>1</v>
      </c>
      <c r="E212">
        <v>1700</v>
      </c>
      <c r="F212">
        <v>160</v>
      </c>
      <c r="G212">
        <v>20</v>
      </c>
      <c r="H212" t="s">
        <v>101</v>
      </c>
      <c r="I212" t="s">
        <v>106</v>
      </c>
      <c r="J212" t="s">
        <v>371</v>
      </c>
      <c r="K212" t="s">
        <v>108</v>
      </c>
      <c r="L212" t="s">
        <v>131</v>
      </c>
      <c r="M212" t="s">
        <v>110</v>
      </c>
      <c r="N212">
        <v>4.3999999999999997E-2</v>
      </c>
      <c r="O212">
        <v>2.4E-2</v>
      </c>
      <c r="P212">
        <v>1.4999999999999999E-2</v>
      </c>
    </row>
    <row r="213" spans="1:16">
      <c r="A213" t="s">
        <v>98</v>
      </c>
      <c r="B213" t="s">
        <v>104</v>
      </c>
      <c r="C213" t="s">
        <v>444</v>
      </c>
      <c r="D213">
        <v>1</v>
      </c>
      <c r="E213">
        <v>1700</v>
      </c>
      <c r="F213">
        <v>160</v>
      </c>
      <c r="G213">
        <v>20</v>
      </c>
      <c r="H213" t="s">
        <v>101</v>
      </c>
      <c r="I213" t="s">
        <v>106</v>
      </c>
      <c r="J213" t="s">
        <v>350</v>
      </c>
      <c r="K213" t="s">
        <v>108</v>
      </c>
      <c r="L213" t="s">
        <v>128</v>
      </c>
      <c r="M213" t="s">
        <v>110</v>
      </c>
      <c r="N213">
        <v>4.3999999999999997E-2</v>
      </c>
      <c r="O213">
        <v>2.4E-2</v>
      </c>
      <c r="P213">
        <v>1.4999999999999999E-2</v>
      </c>
    </row>
    <row r="214" spans="1:16" hidden="1">
      <c r="A214" t="s">
        <v>98</v>
      </c>
      <c r="B214" t="s">
        <v>104</v>
      </c>
      <c r="C214" t="s">
        <v>445</v>
      </c>
      <c r="D214">
        <v>1</v>
      </c>
      <c r="E214">
        <v>1700</v>
      </c>
      <c r="F214">
        <v>160</v>
      </c>
      <c r="G214">
        <v>520</v>
      </c>
      <c r="H214" t="s">
        <v>101</v>
      </c>
      <c r="I214" t="s">
        <v>102</v>
      </c>
      <c r="J214" t="s">
        <v>101</v>
      </c>
      <c r="K214" t="s">
        <v>446</v>
      </c>
      <c r="L214" t="s">
        <v>101</v>
      </c>
      <c r="M214" t="s">
        <v>125</v>
      </c>
      <c r="N214">
        <v>4.3999999999999997E-2</v>
      </c>
      <c r="O214">
        <v>2.4E-2</v>
      </c>
      <c r="P214">
        <v>1.4999999999999999E-2</v>
      </c>
    </row>
    <row r="215" spans="1:16" hidden="1">
      <c r="A215" t="s">
        <v>98</v>
      </c>
      <c r="B215" t="s">
        <v>104</v>
      </c>
      <c r="C215" t="s">
        <v>447</v>
      </c>
      <c r="D215">
        <v>1</v>
      </c>
      <c r="E215">
        <v>1700</v>
      </c>
      <c r="F215">
        <v>160</v>
      </c>
      <c r="G215">
        <v>20</v>
      </c>
      <c r="H215" t="s">
        <v>101</v>
      </c>
      <c r="I215" t="s">
        <v>102</v>
      </c>
      <c r="J215" t="s">
        <v>101</v>
      </c>
      <c r="K215" t="s">
        <v>217</v>
      </c>
      <c r="L215" t="s">
        <v>117</v>
      </c>
      <c r="M215" t="s">
        <v>118</v>
      </c>
      <c r="N215">
        <v>4.3999999999999997E-2</v>
      </c>
      <c r="O215">
        <v>2.4E-2</v>
      </c>
      <c r="P215">
        <v>1.4999999999999999E-2</v>
      </c>
    </row>
    <row r="216" spans="1:16">
      <c r="A216" t="s">
        <v>98</v>
      </c>
      <c r="B216" t="s">
        <v>135</v>
      </c>
      <c r="C216" t="s">
        <v>448</v>
      </c>
      <c r="D216">
        <v>1</v>
      </c>
      <c r="E216">
        <v>3750</v>
      </c>
      <c r="F216">
        <v>4</v>
      </c>
      <c r="G216">
        <v>820</v>
      </c>
      <c r="H216" t="s">
        <v>101</v>
      </c>
      <c r="I216" t="s">
        <v>106</v>
      </c>
      <c r="J216" t="s">
        <v>153</v>
      </c>
      <c r="K216" t="s">
        <v>108</v>
      </c>
      <c r="L216" t="s">
        <v>117</v>
      </c>
      <c r="M216" t="s">
        <v>110</v>
      </c>
      <c r="N216">
        <v>6.7000000000000004E-2</v>
      </c>
      <c r="O216">
        <v>0.04</v>
      </c>
      <c r="P216">
        <v>2.5999999999999999E-2</v>
      </c>
    </row>
    <row r="217" spans="1:16" hidden="1">
      <c r="A217" t="s">
        <v>98</v>
      </c>
      <c r="B217" t="s">
        <v>114</v>
      </c>
      <c r="C217" t="s">
        <v>449</v>
      </c>
      <c r="D217">
        <v>2</v>
      </c>
      <c r="E217">
        <v>7500</v>
      </c>
      <c r="F217">
        <v>32</v>
      </c>
      <c r="G217">
        <v>420</v>
      </c>
      <c r="H217" t="s">
        <v>101</v>
      </c>
      <c r="I217" t="s">
        <v>102</v>
      </c>
      <c r="J217" t="s">
        <v>101</v>
      </c>
      <c r="K217" t="s">
        <v>405</v>
      </c>
      <c r="L217" t="s">
        <v>117</v>
      </c>
      <c r="M217" t="s">
        <v>406</v>
      </c>
      <c r="N217">
        <v>0.13300000000000001</v>
      </c>
      <c r="O217">
        <v>8.1000000000000003E-2</v>
      </c>
      <c r="P217">
        <v>5.1999999999999998E-2</v>
      </c>
    </row>
    <row r="218" spans="1:16" hidden="1">
      <c r="A218" t="s">
        <v>98</v>
      </c>
      <c r="B218" t="s">
        <v>172</v>
      </c>
      <c r="C218" t="s">
        <v>450</v>
      </c>
      <c r="D218">
        <v>1</v>
      </c>
      <c r="E218">
        <v>2000</v>
      </c>
      <c r="F218">
        <v>0</v>
      </c>
      <c r="G218">
        <v>20</v>
      </c>
      <c r="H218" t="s">
        <v>101</v>
      </c>
      <c r="I218" t="s">
        <v>102</v>
      </c>
      <c r="J218" t="s">
        <v>101</v>
      </c>
      <c r="K218" t="s">
        <v>150</v>
      </c>
      <c r="L218" t="s">
        <v>117</v>
      </c>
      <c r="M218" t="s">
        <v>151</v>
      </c>
      <c r="N218">
        <v>2.5999999999999999E-2</v>
      </c>
      <c r="O218">
        <v>1.7000000000000001E-2</v>
      </c>
      <c r="P218">
        <v>1.2E-2</v>
      </c>
    </row>
    <row r="219" spans="1:16">
      <c r="A219" t="s">
        <v>98</v>
      </c>
      <c r="B219" t="s">
        <v>172</v>
      </c>
      <c r="C219" t="s">
        <v>451</v>
      </c>
      <c r="D219">
        <v>1</v>
      </c>
      <c r="E219">
        <v>2000</v>
      </c>
      <c r="F219">
        <v>0</v>
      </c>
      <c r="G219">
        <v>420</v>
      </c>
      <c r="H219" t="s">
        <v>101</v>
      </c>
      <c r="I219" t="s">
        <v>106</v>
      </c>
      <c r="J219" t="s">
        <v>153</v>
      </c>
      <c r="K219" t="s">
        <v>108</v>
      </c>
      <c r="L219" t="s">
        <v>117</v>
      </c>
      <c r="M219" t="s">
        <v>110</v>
      </c>
      <c r="N219">
        <v>2.5999999999999999E-2</v>
      </c>
      <c r="O219">
        <v>1.7000000000000001E-2</v>
      </c>
      <c r="P219">
        <v>1.2E-2</v>
      </c>
    </row>
    <row r="220" spans="1:16" hidden="1">
      <c r="A220" t="s">
        <v>98</v>
      </c>
      <c r="B220" t="s">
        <v>141</v>
      </c>
      <c r="C220" t="s">
        <v>452</v>
      </c>
      <c r="D220">
        <v>4</v>
      </c>
      <c r="E220">
        <v>15000</v>
      </c>
      <c r="F220">
        <v>80</v>
      </c>
      <c r="G220">
        <v>420</v>
      </c>
      <c r="H220" t="s">
        <v>101</v>
      </c>
      <c r="I220" t="s">
        <v>102</v>
      </c>
      <c r="J220" t="s">
        <v>101</v>
      </c>
      <c r="K220" t="s">
        <v>184</v>
      </c>
      <c r="L220" t="s">
        <v>117</v>
      </c>
      <c r="M220" t="s">
        <v>118</v>
      </c>
      <c r="N220">
        <v>0.26600000000000001</v>
      </c>
      <c r="O220">
        <v>0.16300000000000001</v>
      </c>
      <c r="P220">
        <v>0.104</v>
      </c>
    </row>
    <row r="221" spans="1:16">
      <c r="A221" t="s">
        <v>98</v>
      </c>
      <c r="B221" t="s">
        <v>104</v>
      </c>
      <c r="C221" t="s">
        <v>453</v>
      </c>
      <c r="D221">
        <v>1</v>
      </c>
      <c r="E221">
        <v>1700</v>
      </c>
      <c r="F221">
        <v>160</v>
      </c>
      <c r="G221">
        <v>20</v>
      </c>
      <c r="H221" t="s">
        <v>101</v>
      </c>
      <c r="I221" t="s">
        <v>106</v>
      </c>
      <c r="J221" t="s">
        <v>251</v>
      </c>
      <c r="K221" t="s">
        <v>108</v>
      </c>
      <c r="L221" t="s">
        <v>252</v>
      </c>
      <c r="M221" t="s">
        <v>110</v>
      </c>
      <c r="N221">
        <v>4.3999999999999997E-2</v>
      </c>
      <c r="O221">
        <v>2.4E-2</v>
      </c>
      <c r="P221">
        <v>1.4999999999999999E-2</v>
      </c>
    </row>
    <row r="222" spans="1:16">
      <c r="A222" t="s">
        <v>98</v>
      </c>
      <c r="B222" t="s">
        <v>176</v>
      </c>
      <c r="C222" t="s">
        <v>454</v>
      </c>
      <c r="D222">
        <v>1</v>
      </c>
      <c r="E222">
        <v>615</v>
      </c>
      <c r="F222">
        <v>160</v>
      </c>
      <c r="G222">
        <v>8</v>
      </c>
      <c r="H222" t="s">
        <v>101</v>
      </c>
      <c r="I222" t="s">
        <v>106</v>
      </c>
      <c r="J222" t="s">
        <v>455</v>
      </c>
      <c r="K222" t="s">
        <v>108</v>
      </c>
      <c r="L222" t="s">
        <v>101</v>
      </c>
      <c r="M222" t="s">
        <v>138</v>
      </c>
      <c r="N222">
        <v>0.02</v>
      </c>
      <c r="O222">
        <v>1.2E-2</v>
      </c>
      <c r="P222">
        <v>8.0000000000000002E-3</v>
      </c>
    </row>
    <row r="223" spans="1:16">
      <c r="A223" t="s">
        <v>98</v>
      </c>
      <c r="B223" t="s">
        <v>104</v>
      </c>
      <c r="C223" t="s">
        <v>456</v>
      </c>
      <c r="D223">
        <v>1</v>
      </c>
      <c r="E223">
        <v>1700</v>
      </c>
      <c r="F223">
        <v>160</v>
      </c>
      <c r="G223">
        <v>520</v>
      </c>
      <c r="H223" t="s">
        <v>101</v>
      </c>
      <c r="I223" t="s">
        <v>106</v>
      </c>
      <c r="J223" t="s">
        <v>130</v>
      </c>
      <c r="K223" t="s">
        <v>108</v>
      </c>
      <c r="L223" t="s">
        <v>258</v>
      </c>
      <c r="M223" t="s">
        <v>110</v>
      </c>
      <c r="N223">
        <v>4.3999999999999997E-2</v>
      </c>
      <c r="O223">
        <v>2.4E-2</v>
      </c>
      <c r="P223">
        <v>1.4999999999999999E-2</v>
      </c>
    </row>
    <row r="224" spans="1:16" hidden="1">
      <c r="A224" t="s">
        <v>98</v>
      </c>
      <c r="B224" t="s">
        <v>267</v>
      </c>
      <c r="C224" t="s">
        <v>457</v>
      </c>
      <c r="D224">
        <v>8</v>
      </c>
      <c r="E224">
        <v>15000</v>
      </c>
      <c r="F224">
        <v>160</v>
      </c>
      <c r="G224">
        <v>20</v>
      </c>
      <c r="H224" t="s">
        <v>101</v>
      </c>
      <c r="I224" t="s">
        <v>102</v>
      </c>
      <c r="J224" t="s">
        <v>101</v>
      </c>
      <c r="K224" t="s">
        <v>383</v>
      </c>
      <c r="L224" t="s">
        <v>101</v>
      </c>
      <c r="M224" t="s">
        <v>384</v>
      </c>
      <c r="N224">
        <v>0.42</v>
      </c>
      <c r="O224">
        <v>0.248</v>
      </c>
      <c r="P224">
        <v>0.157</v>
      </c>
    </row>
    <row r="225" spans="1:16">
      <c r="A225" t="s">
        <v>98</v>
      </c>
      <c r="B225" t="s">
        <v>104</v>
      </c>
      <c r="C225" t="s">
        <v>458</v>
      </c>
      <c r="D225">
        <v>1</v>
      </c>
      <c r="E225">
        <v>1700</v>
      </c>
      <c r="F225">
        <v>160</v>
      </c>
      <c r="G225">
        <v>20</v>
      </c>
      <c r="H225" t="s">
        <v>101</v>
      </c>
      <c r="I225" t="s">
        <v>106</v>
      </c>
      <c r="J225" t="s">
        <v>112</v>
      </c>
      <c r="K225" t="s">
        <v>108</v>
      </c>
      <c r="L225" t="s">
        <v>175</v>
      </c>
      <c r="M225" t="s">
        <v>110</v>
      </c>
      <c r="N225">
        <v>4.3999999999999997E-2</v>
      </c>
      <c r="O225">
        <v>2.4E-2</v>
      </c>
      <c r="P225">
        <v>1.4999999999999999E-2</v>
      </c>
    </row>
    <row r="226" spans="1:16">
      <c r="A226" t="s">
        <v>98</v>
      </c>
      <c r="B226" t="s">
        <v>172</v>
      </c>
      <c r="C226" t="s">
        <v>459</v>
      </c>
      <c r="D226">
        <v>1</v>
      </c>
      <c r="E226">
        <v>2000</v>
      </c>
      <c r="F226">
        <v>0</v>
      </c>
      <c r="G226">
        <v>108</v>
      </c>
      <c r="H226" t="s">
        <v>101</v>
      </c>
      <c r="I226" t="s">
        <v>106</v>
      </c>
      <c r="J226" t="s">
        <v>214</v>
      </c>
      <c r="K226" t="s">
        <v>108</v>
      </c>
      <c r="L226" t="s">
        <v>101</v>
      </c>
      <c r="M226" t="s">
        <v>110</v>
      </c>
      <c r="N226">
        <v>2.5999999999999999E-2</v>
      </c>
      <c r="O226">
        <v>1.7000000000000001E-2</v>
      </c>
      <c r="P226">
        <v>1.2E-2</v>
      </c>
    </row>
    <row r="227" spans="1:16">
      <c r="A227" t="s">
        <v>98</v>
      </c>
      <c r="B227" t="s">
        <v>104</v>
      </c>
      <c r="C227" t="s">
        <v>460</v>
      </c>
      <c r="D227">
        <v>1</v>
      </c>
      <c r="E227">
        <v>1700</v>
      </c>
      <c r="F227">
        <v>160</v>
      </c>
      <c r="G227">
        <v>820</v>
      </c>
      <c r="H227" t="s">
        <v>101</v>
      </c>
      <c r="I227" t="s">
        <v>106</v>
      </c>
      <c r="J227" t="s">
        <v>153</v>
      </c>
      <c r="K227" t="s">
        <v>108</v>
      </c>
      <c r="L227" t="s">
        <v>258</v>
      </c>
      <c r="M227" t="s">
        <v>110</v>
      </c>
      <c r="N227">
        <v>4.3999999999999997E-2</v>
      </c>
      <c r="O227">
        <v>2.4E-2</v>
      </c>
      <c r="P227">
        <v>1.4999999999999999E-2</v>
      </c>
    </row>
    <row r="228" spans="1:16" hidden="1">
      <c r="A228" t="s">
        <v>98</v>
      </c>
      <c r="B228" t="s">
        <v>148</v>
      </c>
      <c r="C228" t="s">
        <v>461</v>
      </c>
      <c r="D228">
        <v>2</v>
      </c>
      <c r="E228">
        <v>4000</v>
      </c>
      <c r="F228">
        <v>0</v>
      </c>
      <c r="G228">
        <v>20</v>
      </c>
      <c r="H228" t="s">
        <v>101</v>
      </c>
      <c r="I228" t="s">
        <v>102</v>
      </c>
      <c r="J228" t="s">
        <v>101</v>
      </c>
      <c r="K228" t="s">
        <v>116</v>
      </c>
      <c r="L228" t="s">
        <v>117</v>
      </c>
      <c r="M228" t="s">
        <v>118</v>
      </c>
      <c r="N228">
        <v>5.1999999999999998E-2</v>
      </c>
      <c r="O228">
        <v>3.4000000000000002E-2</v>
      </c>
      <c r="P228">
        <v>2.3E-2</v>
      </c>
    </row>
    <row r="229" spans="1:16" hidden="1">
      <c r="A229" t="s">
        <v>98</v>
      </c>
      <c r="B229" t="s">
        <v>114</v>
      </c>
      <c r="C229" t="s">
        <v>462</v>
      </c>
      <c r="D229">
        <v>2</v>
      </c>
      <c r="E229">
        <v>7500</v>
      </c>
      <c r="F229">
        <v>32</v>
      </c>
      <c r="G229">
        <v>420</v>
      </c>
      <c r="H229" t="s">
        <v>101</v>
      </c>
      <c r="I229" t="s">
        <v>102</v>
      </c>
      <c r="J229" t="s">
        <v>101</v>
      </c>
      <c r="K229" t="s">
        <v>116</v>
      </c>
      <c r="L229" t="s">
        <v>117</v>
      </c>
      <c r="M229" t="s">
        <v>118</v>
      </c>
      <c r="N229">
        <v>0.13300000000000001</v>
      </c>
      <c r="O229">
        <v>8.1000000000000003E-2</v>
      </c>
      <c r="P229">
        <v>5.1999999999999998E-2</v>
      </c>
    </row>
    <row r="230" spans="1:16" hidden="1">
      <c r="A230" t="s">
        <v>98</v>
      </c>
      <c r="B230" t="s">
        <v>164</v>
      </c>
      <c r="C230" t="s">
        <v>463</v>
      </c>
      <c r="D230">
        <v>8</v>
      </c>
      <c r="E230">
        <v>30000</v>
      </c>
      <c r="F230">
        <v>160</v>
      </c>
      <c r="G230">
        <v>420</v>
      </c>
      <c r="H230" t="s">
        <v>101</v>
      </c>
      <c r="I230" t="s">
        <v>102</v>
      </c>
      <c r="J230" t="s">
        <v>101</v>
      </c>
      <c r="K230" t="s">
        <v>166</v>
      </c>
      <c r="L230" t="s">
        <v>117</v>
      </c>
      <c r="M230" t="s">
        <v>167</v>
      </c>
      <c r="N230">
        <v>0.53200000000000003</v>
      </c>
      <c r="O230">
        <v>0.32400000000000001</v>
      </c>
      <c r="P230">
        <v>0.20899999999999999</v>
      </c>
    </row>
    <row r="231" spans="1:16">
      <c r="A231" t="s">
        <v>98</v>
      </c>
      <c r="B231" t="s">
        <v>104</v>
      </c>
      <c r="C231" t="s">
        <v>464</v>
      </c>
      <c r="D231">
        <v>1</v>
      </c>
      <c r="E231">
        <v>1700</v>
      </c>
      <c r="F231">
        <v>160</v>
      </c>
      <c r="G231">
        <v>20</v>
      </c>
      <c r="H231" t="s">
        <v>101</v>
      </c>
      <c r="I231" t="s">
        <v>106</v>
      </c>
      <c r="J231" t="s">
        <v>107</v>
      </c>
      <c r="K231" t="s">
        <v>108</v>
      </c>
      <c r="L231" t="s">
        <v>109</v>
      </c>
      <c r="M231" t="s">
        <v>110</v>
      </c>
      <c r="N231">
        <v>4.3999999999999997E-2</v>
      </c>
      <c r="O231">
        <v>2.4E-2</v>
      </c>
      <c r="P231">
        <v>1.4999999999999999E-2</v>
      </c>
    </row>
    <row r="232" spans="1:16">
      <c r="A232" t="s">
        <v>98</v>
      </c>
      <c r="B232" t="s">
        <v>104</v>
      </c>
      <c r="C232" t="s">
        <v>465</v>
      </c>
      <c r="D232">
        <v>1</v>
      </c>
      <c r="E232">
        <v>1700</v>
      </c>
      <c r="F232">
        <v>160</v>
      </c>
      <c r="G232">
        <v>20</v>
      </c>
      <c r="H232" t="s">
        <v>101</v>
      </c>
      <c r="I232" t="s">
        <v>106</v>
      </c>
      <c r="J232" t="s">
        <v>466</v>
      </c>
      <c r="K232" t="s">
        <v>108</v>
      </c>
      <c r="L232" t="s">
        <v>210</v>
      </c>
      <c r="M232" t="s">
        <v>110</v>
      </c>
      <c r="N232">
        <v>4.3999999999999997E-2</v>
      </c>
      <c r="O232">
        <v>2.4E-2</v>
      </c>
      <c r="P232">
        <v>1.4999999999999999E-2</v>
      </c>
    </row>
    <row r="233" spans="1:16" hidden="1">
      <c r="A233" t="s">
        <v>98</v>
      </c>
      <c r="B233" t="s">
        <v>141</v>
      </c>
      <c r="C233" t="s">
        <v>467</v>
      </c>
      <c r="D233">
        <v>4</v>
      </c>
      <c r="E233">
        <v>15000</v>
      </c>
      <c r="F233">
        <v>80</v>
      </c>
      <c r="G233">
        <v>1820</v>
      </c>
      <c r="H233" t="s">
        <v>101</v>
      </c>
      <c r="I233" t="s">
        <v>102</v>
      </c>
      <c r="J233" t="s">
        <v>101</v>
      </c>
      <c r="K233" t="s">
        <v>123</v>
      </c>
      <c r="L233" t="s">
        <v>101</v>
      </c>
      <c r="M233" t="s">
        <v>303</v>
      </c>
      <c r="N233">
        <v>0.26600000000000001</v>
      </c>
      <c r="O233">
        <v>0.16300000000000001</v>
      </c>
      <c r="P233">
        <v>0.104</v>
      </c>
    </row>
    <row r="234" spans="1:16">
      <c r="A234" t="s">
        <v>98</v>
      </c>
      <c r="B234" t="s">
        <v>104</v>
      </c>
      <c r="C234" t="s">
        <v>468</v>
      </c>
      <c r="D234">
        <v>1</v>
      </c>
      <c r="E234">
        <v>1700</v>
      </c>
      <c r="F234">
        <v>160</v>
      </c>
      <c r="G234">
        <v>420</v>
      </c>
      <c r="H234" t="s">
        <v>101</v>
      </c>
      <c r="I234" t="s">
        <v>106</v>
      </c>
      <c r="J234" t="s">
        <v>182</v>
      </c>
      <c r="K234" t="s">
        <v>108</v>
      </c>
      <c r="L234" t="s">
        <v>154</v>
      </c>
      <c r="M234" t="s">
        <v>110</v>
      </c>
      <c r="N234">
        <v>4.3999999999999997E-2</v>
      </c>
      <c r="O234">
        <v>2.4E-2</v>
      </c>
      <c r="P234">
        <v>1.4999999999999999E-2</v>
      </c>
    </row>
    <row r="235" spans="1:16">
      <c r="A235" t="s">
        <v>98</v>
      </c>
      <c r="B235" t="s">
        <v>172</v>
      </c>
      <c r="C235" t="s">
        <v>469</v>
      </c>
      <c r="D235">
        <v>1</v>
      </c>
      <c r="E235">
        <v>2000</v>
      </c>
      <c r="F235">
        <v>0</v>
      </c>
      <c r="G235">
        <v>220</v>
      </c>
      <c r="H235" t="s">
        <v>101</v>
      </c>
      <c r="I235" t="s">
        <v>106</v>
      </c>
      <c r="J235" t="s">
        <v>189</v>
      </c>
      <c r="K235" t="s">
        <v>108</v>
      </c>
      <c r="L235" t="s">
        <v>131</v>
      </c>
      <c r="M235" t="s">
        <v>110</v>
      </c>
      <c r="N235">
        <v>2.5999999999999999E-2</v>
      </c>
      <c r="O235">
        <v>1.7000000000000001E-2</v>
      </c>
      <c r="P235">
        <v>1.2E-2</v>
      </c>
    </row>
    <row r="236" spans="1:16">
      <c r="A236" t="s">
        <v>98</v>
      </c>
      <c r="B236" t="s">
        <v>172</v>
      </c>
      <c r="C236" t="s">
        <v>470</v>
      </c>
      <c r="D236">
        <v>1</v>
      </c>
      <c r="E236">
        <v>2000</v>
      </c>
      <c r="F236">
        <v>0</v>
      </c>
      <c r="G236">
        <v>820</v>
      </c>
      <c r="H236" t="s">
        <v>101</v>
      </c>
      <c r="I236" t="s">
        <v>106</v>
      </c>
      <c r="J236" t="s">
        <v>153</v>
      </c>
      <c r="K236" t="s">
        <v>108</v>
      </c>
      <c r="L236" t="s">
        <v>117</v>
      </c>
      <c r="M236" t="s">
        <v>110</v>
      </c>
      <c r="N236">
        <v>2.5999999999999999E-2</v>
      </c>
      <c r="O236">
        <v>1.7000000000000001E-2</v>
      </c>
      <c r="P236">
        <v>1.2E-2</v>
      </c>
    </row>
    <row r="237" spans="1:16">
      <c r="A237" t="s">
        <v>98</v>
      </c>
      <c r="B237" t="s">
        <v>172</v>
      </c>
      <c r="C237" t="s">
        <v>471</v>
      </c>
      <c r="D237">
        <v>1</v>
      </c>
      <c r="E237">
        <v>2000</v>
      </c>
      <c r="F237">
        <v>0</v>
      </c>
      <c r="G237">
        <v>20</v>
      </c>
      <c r="H237" t="s">
        <v>101</v>
      </c>
      <c r="I237" t="s">
        <v>106</v>
      </c>
      <c r="J237" t="s">
        <v>472</v>
      </c>
      <c r="K237" t="s">
        <v>108</v>
      </c>
      <c r="L237" t="s">
        <v>322</v>
      </c>
      <c r="M237" t="s">
        <v>110</v>
      </c>
      <c r="N237">
        <v>2.5999999999999999E-2</v>
      </c>
      <c r="O237">
        <v>1.7000000000000001E-2</v>
      </c>
      <c r="P237">
        <v>1.2E-2</v>
      </c>
    </row>
    <row r="238" spans="1:16">
      <c r="A238" t="s">
        <v>98</v>
      </c>
      <c r="B238" t="s">
        <v>104</v>
      </c>
      <c r="C238" t="s">
        <v>473</v>
      </c>
      <c r="D238">
        <v>1</v>
      </c>
      <c r="E238">
        <v>1700</v>
      </c>
      <c r="F238">
        <v>160</v>
      </c>
      <c r="G238">
        <v>20</v>
      </c>
      <c r="H238" t="s">
        <v>101</v>
      </c>
      <c r="I238" t="s">
        <v>106</v>
      </c>
      <c r="J238" t="s">
        <v>112</v>
      </c>
      <c r="K238" t="s">
        <v>108</v>
      </c>
      <c r="L238" t="s">
        <v>322</v>
      </c>
      <c r="M238" t="s">
        <v>110</v>
      </c>
      <c r="N238">
        <v>4.3999999999999997E-2</v>
      </c>
      <c r="O238">
        <v>2.4E-2</v>
      </c>
      <c r="P238">
        <v>1.4999999999999999E-2</v>
      </c>
    </row>
    <row r="239" spans="1:16">
      <c r="A239" t="s">
        <v>98</v>
      </c>
      <c r="B239" t="s">
        <v>104</v>
      </c>
      <c r="C239" t="s">
        <v>474</v>
      </c>
      <c r="D239">
        <v>1</v>
      </c>
      <c r="E239">
        <v>1700</v>
      </c>
      <c r="F239">
        <v>160</v>
      </c>
      <c r="G239">
        <v>20</v>
      </c>
      <c r="H239" t="s">
        <v>101</v>
      </c>
      <c r="I239" t="s">
        <v>106</v>
      </c>
      <c r="J239" t="s">
        <v>342</v>
      </c>
      <c r="K239" t="s">
        <v>108</v>
      </c>
      <c r="L239" t="s">
        <v>222</v>
      </c>
      <c r="M239" t="s">
        <v>110</v>
      </c>
      <c r="N239">
        <v>4.3999999999999997E-2</v>
      </c>
      <c r="O239">
        <v>2.4E-2</v>
      </c>
      <c r="P239">
        <v>1.4999999999999999E-2</v>
      </c>
    </row>
    <row r="240" spans="1:16">
      <c r="A240" t="s">
        <v>98</v>
      </c>
      <c r="B240" t="s">
        <v>104</v>
      </c>
      <c r="C240" t="s">
        <v>475</v>
      </c>
      <c r="D240">
        <v>1</v>
      </c>
      <c r="E240">
        <v>1700</v>
      </c>
      <c r="F240">
        <v>160</v>
      </c>
      <c r="G240">
        <v>20</v>
      </c>
      <c r="H240" t="s">
        <v>101</v>
      </c>
      <c r="I240" t="s">
        <v>106</v>
      </c>
      <c r="J240" t="s">
        <v>466</v>
      </c>
      <c r="K240" t="s">
        <v>108</v>
      </c>
      <c r="L240" t="s">
        <v>128</v>
      </c>
      <c r="M240" t="s">
        <v>110</v>
      </c>
      <c r="N240">
        <v>4.3999999999999997E-2</v>
      </c>
      <c r="O240">
        <v>2.4E-2</v>
      </c>
      <c r="P240">
        <v>1.4999999999999999E-2</v>
      </c>
    </row>
    <row r="241" spans="1:16" hidden="1">
      <c r="A241" t="s">
        <v>98</v>
      </c>
      <c r="B241" t="s">
        <v>141</v>
      </c>
      <c r="C241" t="s">
        <v>476</v>
      </c>
      <c r="D241">
        <v>4</v>
      </c>
      <c r="E241">
        <v>15000</v>
      </c>
      <c r="F241">
        <v>80</v>
      </c>
      <c r="G241">
        <v>820</v>
      </c>
      <c r="H241" t="s">
        <v>101</v>
      </c>
      <c r="I241" t="s">
        <v>102</v>
      </c>
      <c r="J241" t="s">
        <v>101</v>
      </c>
      <c r="K241" t="s">
        <v>156</v>
      </c>
      <c r="L241" t="s">
        <v>117</v>
      </c>
      <c r="M241" t="s">
        <v>118</v>
      </c>
      <c r="N241">
        <v>0.26600000000000001</v>
      </c>
      <c r="O241">
        <v>0.16300000000000001</v>
      </c>
      <c r="P241">
        <v>0.104</v>
      </c>
    </row>
    <row r="242" spans="1:16">
      <c r="A242" t="s">
        <v>98</v>
      </c>
      <c r="B242" t="s">
        <v>172</v>
      </c>
      <c r="C242" t="s">
        <v>477</v>
      </c>
      <c r="D242">
        <v>1</v>
      </c>
      <c r="E242">
        <v>2000</v>
      </c>
      <c r="F242">
        <v>0</v>
      </c>
      <c r="G242">
        <v>820</v>
      </c>
      <c r="H242" t="s">
        <v>101</v>
      </c>
      <c r="I242" t="s">
        <v>106</v>
      </c>
      <c r="J242" t="s">
        <v>153</v>
      </c>
      <c r="K242" t="s">
        <v>108</v>
      </c>
      <c r="L242" t="s">
        <v>117</v>
      </c>
      <c r="M242" t="s">
        <v>110</v>
      </c>
      <c r="N242">
        <v>2.5999999999999999E-2</v>
      </c>
      <c r="O242">
        <v>1.7000000000000001E-2</v>
      </c>
      <c r="P242">
        <v>1.2E-2</v>
      </c>
    </row>
    <row r="243" spans="1:16" hidden="1">
      <c r="A243" t="s">
        <v>98</v>
      </c>
      <c r="B243" t="s">
        <v>172</v>
      </c>
      <c r="C243" t="s">
        <v>478</v>
      </c>
      <c r="D243">
        <v>1</v>
      </c>
      <c r="E243">
        <v>2000</v>
      </c>
      <c r="F243">
        <v>0</v>
      </c>
      <c r="G243">
        <v>20</v>
      </c>
      <c r="H243" t="s">
        <v>101</v>
      </c>
      <c r="I243" t="s">
        <v>102</v>
      </c>
      <c r="J243" t="s">
        <v>101</v>
      </c>
      <c r="K243" t="s">
        <v>116</v>
      </c>
      <c r="L243" t="s">
        <v>124</v>
      </c>
      <c r="M243" t="s">
        <v>125</v>
      </c>
      <c r="N243">
        <v>2.5999999999999999E-2</v>
      </c>
      <c r="O243">
        <v>1.7000000000000001E-2</v>
      </c>
      <c r="P243">
        <v>1.2E-2</v>
      </c>
    </row>
    <row r="244" spans="1:16">
      <c r="A244" t="s">
        <v>98</v>
      </c>
      <c r="B244" t="s">
        <v>104</v>
      </c>
      <c r="C244" t="s">
        <v>479</v>
      </c>
      <c r="D244">
        <v>1</v>
      </c>
      <c r="E244">
        <v>1700</v>
      </c>
      <c r="F244">
        <v>160</v>
      </c>
      <c r="G244">
        <v>20</v>
      </c>
      <c r="H244" t="s">
        <v>101</v>
      </c>
      <c r="I244" t="s">
        <v>106</v>
      </c>
      <c r="J244" t="s">
        <v>107</v>
      </c>
      <c r="K244" t="s">
        <v>108</v>
      </c>
      <c r="L244" t="s">
        <v>109</v>
      </c>
      <c r="M244" t="s">
        <v>110</v>
      </c>
      <c r="N244">
        <v>4.3999999999999997E-2</v>
      </c>
      <c r="O244">
        <v>2.4E-2</v>
      </c>
      <c r="P244">
        <v>1.4999999999999999E-2</v>
      </c>
    </row>
    <row r="245" spans="1:16">
      <c r="A245" t="s">
        <v>98</v>
      </c>
      <c r="B245" t="s">
        <v>104</v>
      </c>
      <c r="C245" t="s">
        <v>480</v>
      </c>
      <c r="D245">
        <v>1</v>
      </c>
      <c r="E245">
        <v>1700</v>
      </c>
      <c r="F245">
        <v>160</v>
      </c>
      <c r="G245">
        <v>20</v>
      </c>
      <c r="H245" t="s">
        <v>101</v>
      </c>
      <c r="I245" t="s">
        <v>106</v>
      </c>
      <c r="J245" t="s">
        <v>248</v>
      </c>
      <c r="K245" t="s">
        <v>108</v>
      </c>
      <c r="L245" t="s">
        <v>222</v>
      </c>
      <c r="M245" t="s">
        <v>110</v>
      </c>
      <c r="N245">
        <v>4.3999999999999997E-2</v>
      </c>
      <c r="O245">
        <v>2.4E-2</v>
      </c>
      <c r="P245">
        <v>1.4999999999999999E-2</v>
      </c>
    </row>
    <row r="246" spans="1:16" hidden="1">
      <c r="A246" t="s">
        <v>98</v>
      </c>
      <c r="B246" t="s">
        <v>99</v>
      </c>
      <c r="C246" t="s">
        <v>481</v>
      </c>
      <c r="D246">
        <v>2</v>
      </c>
      <c r="E246">
        <v>3750</v>
      </c>
      <c r="F246">
        <v>32</v>
      </c>
      <c r="G246">
        <v>20</v>
      </c>
      <c r="H246" t="s">
        <v>101</v>
      </c>
      <c r="I246" t="s">
        <v>102</v>
      </c>
      <c r="J246" t="s">
        <v>101</v>
      </c>
      <c r="K246" t="s">
        <v>482</v>
      </c>
      <c r="L246" t="s">
        <v>101</v>
      </c>
      <c r="M246" t="s">
        <v>151</v>
      </c>
      <c r="N246">
        <v>0.105</v>
      </c>
      <c r="O246">
        <v>6.2E-2</v>
      </c>
      <c r="P246">
        <v>3.9E-2</v>
      </c>
    </row>
    <row r="247" spans="1:16">
      <c r="A247" t="s">
        <v>98</v>
      </c>
      <c r="B247" t="s">
        <v>172</v>
      </c>
      <c r="C247" t="s">
        <v>483</v>
      </c>
      <c r="D247">
        <v>1</v>
      </c>
      <c r="E247">
        <v>2000</v>
      </c>
      <c r="F247">
        <v>0</v>
      </c>
      <c r="G247">
        <v>420</v>
      </c>
      <c r="H247" t="s">
        <v>101</v>
      </c>
      <c r="I247" t="s">
        <v>106</v>
      </c>
      <c r="J247" t="s">
        <v>130</v>
      </c>
      <c r="K247" t="s">
        <v>108</v>
      </c>
      <c r="L247" t="s">
        <v>154</v>
      </c>
      <c r="M247" t="s">
        <v>110</v>
      </c>
      <c r="N247">
        <v>2.5999999999999999E-2</v>
      </c>
      <c r="O247">
        <v>1.7000000000000001E-2</v>
      </c>
      <c r="P247">
        <v>1.2E-2</v>
      </c>
    </row>
    <row r="248" spans="1:16">
      <c r="A248" t="s">
        <v>98</v>
      </c>
      <c r="B248" t="s">
        <v>104</v>
      </c>
      <c r="C248" t="s">
        <v>484</v>
      </c>
      <c r="D248">
        <v>1</v>
      </c>
      <c r="E248">
        <v>1700</v>
      </c>
      <c r="F248">
        <v>160</v>
      </c>
      <c r="G248">
        <v>20</v>
      </c>
      <c r="H248" t="s">
        <v>101</v>
      </c>
      <c r="I248" t="s">
        <v>106</v>
      </c>
      <c r="J248" t="s">
        <v>171</v>
      </c>
      <c r="K248" t="s">
        <v>108</v>
      </c>
      <c r="L248" t="s">
        <v>163</v>
      </c>
      <c r="M248" t="s">
        <v>110</v>
      </c>
      <c r="N248">
        <v>4.3999999999999997E-2</v>
      </c>
      <c r="O248">
        <v>2.4E-2</v>
      </c>
      <c r="P248">
        <v>1.4999999999999999E-2</v>
      </c>
    </row>
    <row r="249" spans="1:16">
      <c r="A249" t="s">
        <v>98</v>
      </c>
      <c r="B249" t="s">
        <v>104</v>
      </c>
      <c r="C249" t="s">
        <v>485</v>
      </c>
      <c r="D249">
        <v>1</v>
      </c>
      <c r="E249">
        <v>1700</v>
      </c>
      <c r="F249">
        <v>160</v>
      </c>
      <c r="G249">
        <v>20</v>
      </c>
      <c r="H249" t="s">
        <v>101</v>
      </c>
      <c r="I249" t="s">
        <v>106</v>
      </c>
      <c r="J249" t="s">
        <v>209</v>
      </c>
      <c r="K249" t="s">
        <v>108</v>
      </c>
      <c r="L249" t="s">
        <v>175</v>
      </c>
      <c r="M249" t="s">
        <v>110</v>
      </c>
      <c r="N249">
        <v>4.3999999999999997E-2</v>
      </c>
      <c r="O249">
        <v>2.4E-2</v>
      </c>
      <c r="P249">
        <v>1.4999999999999999E-2</v>
      </c>
    </row>
    <row r="250" spans="1:16">
      <c r="A250" t="s">
        <v>98</v>
      </c>
      <c r="B250" t="s">
        <v>172</v>
      </c>
      <c r="C250" t="s">
        <v>486</v>
      </c>
      <c r="D250">
        <v>1</v>
      </c>
      <c r="E250">
        <v>2000</v>
      </c>
      <c r="F250">
        <v>0</v>
      </c>
      <c r="G250">
        <v>820</v>
      </c>
      <c r="H250" t="s">
        <v>101</v>
      </c>
      <c r="I250" t="s">
        <v>106</v>
      </c>
      <c r="J250" t="s">
        <v>182</v>
      </c>
      <c r="K250" t="s">
        <v>108</v>
      </c>
      <c r="L250" t="s">
        <v>258</v>
      </c>
      <c r="M250" t="s">
        <v>110</v>
      </c>
      <c r="N250">
        <v>2.5999999999999999E-2</v>
      </c>
      <c r="O250">
        <v>1.7000000000000001E-2</v>
      </c>
      <c r="P250">
        <v>1.2E-2</v>
      </c>
    </row>
    <row r="251" spans="1:16">
      <c r="A251" t="s">
        <v>98</v>
      </c>
      <c r="B251" t="s">
        <v>172</v>
      </c>
      <c r="C251" t="s">
        <v>487</v>
      </c>
      <c r="D251">
        <v>1</v>
      </c>
      <c r="E251">
        <v>2000</v>
      </c>
      <c r="F251">
        <v>0</v>
      </c>
      <c r="G251">
        <v>420</v>
      </c>
      <c r="H251" t="s">
        <v>101</v>
      </c>
      <c r="I251" t="s">
        <v>106</v>
      </c>
      <c r="J251" t="s">
        <v>153</v>
      </c>
      <c r="K251" t="s">
        <v>108</v>
      </c>
      <c r="L251" t="s">
        <v>117</v>
      </c>
      <c r="M251" t="s">
        <v>110</v>
      </c>
      <c r="N251">
        <v>2.5999999999999999E-2</v>
      </c>
      <c r="O251">
        <v>1.7000000000000001E-2</v>
      </c>
      <c r="P251">
        <v>1.2E-2</v>
      </c>
    </row>
    <row r="252" spans="1:16">
      <c r="A252" t="s">
        <v>98</v>
      </c>
      <c r="B252" t="s">
        <v>104</v>
      </c>
      <c r="C252" t="s">
        <v>488</v>
      </c>
      <c r="D252">
        <v>1</v>
      </c>
      <c r="E252">
        <v>1700</v>
      </c>
      <c r="F252">
        <v>160</v>
      </c>
      <c r="G252">
        <v>20</v>
      </c>
      <c r="H252" t="s">
        <v>101</v>
      </c>
      <c r="I252" t="s">
        <v>106</v>
      </c>
      <c r="J252" t="s">
        <v>112</v>
      </c>
      <c r="K252" t="s">
        <v>108</v>
      </c>
      <c r="L252" t="s">
        <v>203</v>
      </c>
      <c r="M252" t="s">
        <v>110</v>
      </c>
      <c r="N252">
        <v>4.3999999999999997E-2</v>
      </c>
      <c r="O252">
        <v>2.4E-2</v>
      </c>
      <c r="P252">
        <v>1.4999999999999999E-2</v>
      </c>
    </row>
    <row r="253" spans="1:16">
      <c r="A253" t="s">
        <v>98</v>
      </c>
      <c r="B253" t="s">
        <v>104</v>
      </c>
      <c r="C253" t="s">
        <v>489</v>
      </c>
      <c r="D253">
        <v>1</v>
      </c>
      <c r="E253">
        <v>1700</v>
      </c>
      <c r="F253">
        <v>160</v>
      </c>
      <c r="G253">
        <v>20</v>
      </c>
      <c r="H253" t="s">
        <v>101</v>
      </c>
      <c r="I253" t="s">
        <v>106</v>
      </c>
      <c r="J253" t="s">
        <v>490</v>
      </c>
      <c r="K253" t="s">
        <v>108</v>
      </c>
      <c r="L253" t="s">
        <v>128</v>
      </c>
      <c r="M253" t="s">
        <v>110</v>
      </c>
      <c r="N253">
        <v>4.3999999999999997E-2</v>
      </c>
      <c r="O253">
        <v>2.4E-2</v>
      </c>
      <c r="P253">
        <v>1.4999999999999999E-2</v>
      </c>
    </row>
    <row r="254" spans="1:16" hidden="1">
      <c r="A254" t="s">
        <v>98</v>
      </c>
      <c r="B254" t="s">
        <v>164</v>
      </c>
      <c r="C254" t="s">
        <v>491</v>
      </c>
      <c r="D254">
        <v>8</v>
      </c>
      <c r="E254">
        <v>30000</v>
      </c>
      <c r="F254">
        <v>160</v>
      </c>
      <c r="G254">
        <v>420</v>
      </c>
      <c r="H254" t="s">
        <v>101</v>
      </c>
      <c r="I254" t="s">
        <v>102</v>
      </c>
      <c r="J254" t="s">
        <v>101</v>
      </c>
      <c r="K254" t="s">
        <v>207</v>
      </c>
      <c r="L254" t="s">
        <v>117</v>
      </c>
      <c r="M254" t="s">
        <v>134</v>
      </c>
      <c r="N254">
        <v>0.53200000000000003</v>
      </c>
      <c r="O254">
        <v>0.32400000000000001</v>
      </c>
      <c r="P254">
        <v>0.20899999999999999</v>
      </c>
    </row>
    <row r="255" spans="1:16">
      <c r="A255" t="s">
        <v>98</v>
      </c>
      <c r="B255" t="s">
        <v>104</v>
      </c>
      <c r="C255" t="s">
        <v>492</v>
      </c>
      <c r="D255">
        <v>1</v>
      </c>
      <c r="E255">
        <v>1700</v>
      </c>
      <c r="F255">
        <v>160</v>
      </c>
      <c r="G255">
        <v>20</v>
      </c>
      <c r="H255" t="s">
        <v>101</v>
      </c>
      <c r="I255" t="s">
        <v>106</v>
      </c>
      <c r="J255" t="s">
        <v>371</v>
      </c>
      <c r="K255" t="s">
        <v>108</v>
      </c>
      <c r="L255" t="s">
        <v>154</v>
      </c>
      <c r="M255" t="s">
        <v>110</v>
      </c>
      <c r="N255">
        <v>4.3999999999999997E-2</v>
      </c>
      <c r="O255">
        <v>2.4E-2</v>
      </c>
      <c r="P255">
        <v>1.4999999999999999E-2</v>
      </c>
    </row>
    <row r="256" spans="1:16">
      <c r="A256" t="s">
        <v>98</v>
      </c>
      <c r="B256" t="s">
        <v>104</v>
      </c>
      <c r="C256" t="s">
        <v>493</v>
      </c>
      <c r="D256">
        <v>1</v>
      </c>
      <c r="E256">
        <v>1700</v>
      </c>
      <c r="F256">
        <v>160</v>
      </c>
      <c r="G256">
        <v>20</v>
      </c>
      <c r="H256" t="s">
        <v>101</v>
      </c>
      <c r="I256" t="s">
        <v>106</v>
      </c>
      <c r="J256" t="s">
        <v>342</v>
      </c>
      <c r="K256" t="s">
        <v>108</v>
      </c>
      <c r="L256" t="s">
        <v>128</v>
      </c>
      <c r="M256" t="s">
        <v>110</v>
      </c>
      <c r="N256">
        <v>4.3999999999999997E-2</v>
      </c>
      <c r="O256">
        <v>2.4E-2</v>
      </c>
      <c r="P256">
        <v>1.4999999999999999E-2</v>
      </c>
    </row>
    <row r="257" spans="1:16" hidden="1">
      <c r="A257" t="s">
        <v>98</v>
      </c>
      <c r="B257" t="s">
        <v>164</v>
      </c>
      <c r="C257" t="s">
        <v>494</v>
      </c>
      <c r="D257">
        <v>8</v>
      </c>
      <c r="E257">
        <v>30000</v>
      </c>
      <c r="F257">
        <v>160</v>
      </c>
      <c r="G257">
        <v>420</v>
      </c>
      <c r="H257" t="s">
        <v>101</v>
      </c>
      <c r="I257" t="s">
        <v>102</v>
      </c>
      <c r="J257" t="s">
        <v>101</v>
      </c>
      <c r="K257" t="s">
        <v>207</v>
      </c>
      <c r="L257" t="s">
        <v>117</v>
      </c>
      <c r="M257" t="s">
        <v>134</v>
      </c>
      <c r="N257">
        <v>0.53200000000000003</v>
      </c>
      <c r="O257">
        <v>0.32400000000000001</v>
      </c>
      <c r="P257">
        <v>0.20899999999999999</v>
      </c>
    </row>
    <row r="258" spans="1:16">
      <c r="A258" t="s">
        <v>98</v>
      </c>
      <c r="B258" t="s">
        <v>172</v>
      </c>
      <c r="C258" t="s">
        <v>495</v>
      </c>
      <c r="D258">
        <v>1</v>
      </c>
      <c r="E258">
        <v>2000</v>
      </c>
      <c r="F258">
        <v>0</v>
      </c>
      <c r="G258">
        <v>20</v>
      </c>
      <c r="H258" t="s">
        <v>101</v>
      </c>
      <c r="I258" t="s">
        <v>106</v>
      </c>
      <c r="J258" t="s">
        <v>472</v>
      </c>
      <c r="K258" t="s">
        <v>108</v>
      </c>
      <c r="L258" t="s">
        <v>175</v>
      </c>
      <c r="M258" t="s">
        <v>110</v>
      </c>
      <c r="N258">
        <v>2.5999999999999999E-2</v>
      </c>
      <c r="O258">
        <v>1.7000000000000001E-2</v>
      </c>
      <c r="P258">
        <v>1.2E-2</v>
      </c>
    </row>
    <row r="259" spans="1:16" hidden="1">
      <c r="A259" t="s">
        <v>98</v>
      </c>
      <c r="B259" t="s">
        <v>197</v>
      </c>
      <c r="C259" t="s">
        <v>496</v>
      </c>
      <c r="D259">
        <v>32</v>
      </c>
      <c r="E259">
        <v>60000</v>
      </c>
      <c r="F259">
        <v>640</v>
      </c>
      <c r="G259">
        <v>20</v>
      </c>
      <c r="H259" t="s">
        <v>101</v>
      </c>
      <c r="I259" t="s">
        <v>102</v>
      </c>
      <c r="J259" t="s">
        <v>101</v>
      </c>
      <c r="K259" t="s">
        <v>166</v>
      </c>
      <c r="L259" t="s">
        <v>101</v>
      </c>
      <c r="M259" t="s">
        <v>167</v>
      </c>
      <c r="N259">
        <v>1.68</v>
      </c>
      <c r="O259">
        <v>0.99199999999999999</v>
      </c>
      <c r="P259">
        <v>0.628</v>
      </c>
    </row>
    <row r="260" spans="1:16">
      <c r="A260" t="s">
        <v>98</v>
      </c>
      <c r="B260" t="s">
        <v>104</v>
      </c>
      <c r="C260" t="s">
        <v>497</v>
      </c>
      <c r="D260">
        <v>1</v>
      </c>
      <c r="E260">
        <v>1700</v>
      </c>
      <c r="F260">
        <v>160</v>
      </c>
      <c r="G260">
        <v>20</v>
      </c>
      <c r="H260" t="s">
        <v>101</v>
      </c>
      <c r="I260" t="s">
        <v>106</v>
      </c>
      <c r="J260" t="s">
        <v>498</v>
      </c>
      <c r="K260" t="s">
        <v>108</v>
      </c>
      <c r="L260" t="s">
        <v>203</v>
      </c>
      <c r="M260" t="s">
        <v>110</v>
      </c>
      <c r="N260">
        <v>4.3999999999999997E-2</v>
      </c>
      <c r="O260">
        <v>2.4E-2</v>
      </c>
      <c r="P260">
        <v>1.4999999999999999E-2</v>
      </c>
    </row>
    <row r="261" spans="1:16">
      <c r="A261" t="s">
        <v>98</v>
      </c>
      <c r="B261" t="s">
        <v>104</v>
      </c>
      <c r="C261" t="s">
        <v>499</v>
      </c>
      <c r="D261">
        <v>1</v>
      </c>
      <c r="E261">
        <v>1700</v>
      </c>
      <c r="F261">
        <v>160</v>
      </c>
      <c r="G261">
        <v>20</v>
      </c>
      <c r="H261" t="s">
        <v>101</v>
      </c>
      <c r="I261" t="s">
        <v>106</v>
      </c>
      <c r="J261" t="s">
        <v>236</v>
      </c>
      <c r="K261" t="s">
        <v>108</v>
      </c>
      <c r="L261" t="s">
        <v>222</v>
      </c>
      <c r="M261" t="s">
        <v>110</v>
      </c>
      <c r="N261">
        <v>4.3999999999999997E-2</v>
      </c>
      <c r="O261">
        <v>2.4E-2</v>
      </c>
      <c r="P261">
        <v>1.4999999999999999E-2</v>
      </c>
    </row>
    <row r="262" spans="1:16">
      <c r="A262" t="s">
        <v>98</v>
      </c>
      <c r="B262" t="s">
        <v>104</v>
      </c>
      <c r="C262" t="s">
        <v>500</v>
      </c>
      <c r="D262">
        <v>1</v>
      </c>
      <c r="E262">
        <v>1700</v>
      </c>
      <c r="F262">
        <v>160</v>
      </c>
      <c r="G262">
        <v>20</v>
      </c>
      <c r="H262" t="s">
        <v>101</v>
      </c>
      <c r="I262" t="s">
        <v>106</v>
      </c>
      <c r="J262" t="s">
        <v>209</v>
      </c>
      <c r="K262" t="s">
        <v>108</v>
      </c>
      <c r="L262" t="s">
        <v>322</v>
      </c>
      <c r="M262" t="s">
        <v>110</v>
      </c>
      <c r="N262">
        <v>4.3999999999999997E-2</v>
      </c>
      <c r="O262">
        <v>2.4E-2</v>
      </c>
      <c r="P262">
        <v>1.4999999999999999E-2</v>
      </c>
    </row>
    <row r="263" spans="1:16">
      <c r="A263" t="s">
        <v>98</v>
      </c>
      <c r="B263" t="s">
        <v>172</v>
      </c>
      <c r="C263" t="s">
        <v>501</v>
      </c>
      <c r="D263">
        <v>1</v>
      </c>
      <c r="E263">
        <v>2000</v>
      </c>
      <c r="F263">
        <v>0</v>
      </c>
      <c r="G263">
        <v>20</v>
      </c>
      <c r="H263" t="s">
        <v>101</v>
      </c>
      <c r="I263" t="s">
        <v>106</v>
      </c>
      <c r="J263" t="s">
        <v>153</v>
      </c>
      <c r="K263" t="s">
        <v>108</v>
      </c>
      <c r="L263" t="s">
        <v>117</v>
      </c>
      <c r="M263" t="s">
        <v>110</v>
      </c>
      <c r="N263">
        <v>2.5999999999999999E-2</v>
      </c>
      <c r="O263">
        <v>1.7000000000000001E-2</v>
      </c>
      <c r="P263">
        <v>1.2E-2</v>
      </c>
    </row>
    <row r="264" spans="1:16" hidden="1">
      <c r="A264" t="s">
        <v>98</v>
      </c>
      <c r="B264" t="s">
        <v>267</v>
      </c>
      <c r="C264" t="s">
        <v>502</v>
      </c>
      <c r="D264">
        <v>8</v>
      </c>
      <c r="E264">
        <v>15000</v>
      </c>
      <c r="F264">
        <v>160</v>
      </c>
      <c r="G264">
        <v>20</v>
      </c>
      <c r="H264" t="s">
        <v>101</v>
      </c>
      <c r="I264" t="s">
        <v>102</v>
      </c>
      <c r="J264" t="s">
        <v>101</v>
      </c>
      <c r="K264" t="s">
        <v>269</v>
      </c>
      <c r="L264" t="s">
        <v>101</v>
      </c>
      <c r="M264" t="s">
        <v>270</v>
      </c>
      <c r="N264">
        <v>0.42</v>
      </c>
      <c r="O264">
        <v>0.248</v>
      </c>
      <c r="P264">
        <v>0.157</v>
      </c>
    </row>
    <row r="265" spans="1:16">
      <c r="A265" t="s">
        <v>98</v>
      </c>
      <c r="B265" t="s">
        <v>104</v>
      </c>
      <c r="C265" t="s">
        <v>503</v>
      </c>
      <c r="D265">
        <v>1</v>
      </c>
      <c r="E265">
        <v>1700</v>
      </c>
      <c r="F265">
        <v>160</v>
      </c>
      <c r="G265">
        <v>220</v>
      </c>
      <c r="H265" t="s">
        <v>101</v>
      </c>
      <c r="I265" t="s">
        <v>106</v>
      </c>
      <c r="J265" t="s">
        <v>130</v>
      </c>
      <c r="K265" t="s">
        <v>108</v>
      </c>
      <c r="L265" t="s">
        <v>131</v>
      </c>
      <c r="M265" t="s">
        <v>110</v>
      </c>
      <c r="N265">
        <v>4.3999999999999997E-2</v>
      </c>
      <c r="O265">
        <v>2.4E-2</v>
      </c>
      <c r="P265">
        <v>1.4999999999999999E-2</v>
      </c>
    </row>
    <row r="266" spans="1:16">
      <c r="A266" t="s">
        <v>98</v>
      </c>
      <c r="B266" t="s">
        <v>104</v>
      </c>
      <c r="C266" t="s">
        <v>504</v>
      </c>
      <c r="D266">
        <v>1</v>
      </c>
      <c r="E266">
        <v>1700</v>
      </c>
      <c r="F266">
        <v>160</v>
      </c>
      <c r="G266">
        <v>20</v>
      </c>
      <c r="H266" t="s">
        <v>101</v>
      </c>
      <c r="I266" t="s">
        <v>106</v>
      </c>
      <c r="J266" t="s">
        <v>120</v>
      </c>
      <c r="K266" t="s">
        <v>108</v>
      </c>
      <c r="L266" t="s">
        <v>121</v>
      </c>
      <c r="M266" t="s">
        <v>110</v>
      </c>
      <c r="N266">
        <v>4.3999999999999997E-2</v>
      </c>
      <c r="O266">
        <v>2.4E-2</v>
      </c>
      <c r="P266">
        <v>1.4999999999999999E-2</v>
      </c>
    </row>
    <row r="267" spans="1:16">
      <c r="A267" t="s">
        <v>98</v>
      </c>
      <c r="B267" t="s">
        <v>172</v>
      </c>
      <c r="C267" t="s">
        <v>505</v>
      </c>
      <c r="D267">
        <v>1</v>
      </c>
      <c r="E267">
        <v>2000</v>
      </c>
      <c r="F267">
        <v>0</v>
      </c>
      <c r="G267">
        <v>220</v>
      </c>
      <c r="H267" t="s">
        <v>101</v>
      </c>
      <c r="I267" t="s">
        <v>106</v>
      </c>
      <c r="J267" t="s">
        <v>189</v>
      </c>
      <c r="K267" t="s">
        <v>108</v>
      </c>
      <c r="L267" t="s">
        <v>154</v>
      </c>
      <c r="M267" t="s">
        <v>110</v>
      </c>
      <c r="N267">
        <v>2.5999999999999999E-2</v>
      </c>
      <c r="O267">
        <v>1.7000000000000001E-2</v>
      </c>
      <c r="P267">
        <v>1.2E-2</v>
      </c>
    </row>
    <row r="268" spans="1:16">
      <c r="A268" t="s">
        <v>98</v>
      </c>
      <c r="B268" t="s">
        <v>104</v>
      </c>
      <c r="C268" t="s">
        <v>506</v>
      </c>
      <c r="D268">
        <v>1</v>
      </c>
      <c r="E268">
        <v>1700</v>
      </c>
      <c r="F268">
        <v>160</v>
      </c>
      <c r="G268">
        <v>20</v>
      </c>
      <c r="H268" t="s">
        <v>101</v>
      </c>
      <c r="I268" t="s">
        <v>106</v>
      </c>
      <c r="J268" t="s">
        <v>248</v>
      </c>
      <c r="K268" t="s">
        <v>108</v>
      </c>
      <c r="L268" t="s">
        <v>322</v>
      </c>
      <c r="M268" t="s">
        <v>110</v>
      </c>
      <c r="N268">
        <v>4.3999999999999997E-2</v>
      </c>
      <c r="O268">
        <v>2.4E-2</v>
      </c>
      <c r="P268">
        <v>1.4999999999999999E-2</v>
      </c>
    </row>
    <row r="269" spans="1:16">
      <c r="A269" t="s">
        <v>98</v>
      </c>
      <c r="B269" t="s">
        <v>104</v>
      </c>
      <c r="C269" t="s">
        <v>507</v>
      </c>
      <c r="D269">
        <v>1</v>
      </c>
      <c r="E269">
        <v>1700</v>
      </c>
      <c r="F269">
        <v>160</v>
      </c>
      <c r="G269">
        <v>20</v>
      </c>
      <c r="H269" t="s">
        <v>101</v>
      </c>
      <c r="I269" t="s">
        <v>106</v>
      </c>
      <c r="J269" t="s">
        <v>127</v>
      </c>
      <c r="K269" t="s">
        <v>108</v>
      </c>
      <c r="L269" t="s">
        <v>210</v>
      </c>
      <c r="M269" t="s">
        <v>110</v>
      </c>
      <c r="N269">
        <v>4.3999999999999997E-2</v>
      </c>
      <c r="O269">
        <v>2.4E-2</v>
      </c>
      <c r="P269">
        <v>1.4999999999999999E-2</v>
      </c>
    </row>
    <row r="270" spans="1:16">
      <c r="A270" t="s">
        <v>98</v>
      </c>
      <c r="B270" t="s">
        <v>172</v>
      </c>
      <c r="C270" t="s">
        <v>508</v>
      </c>
      <c r="D270">
        <v>1</v>
      </c>
      <c r="E270">
        <v>2000</v>
      </c>
      <c r="F270">
        <v>0</v>
      </c>
      <c r="G270">
        <v>220</v>
      </c>
      <c r="H270" t="s">
        <v>101</v>
      </c>
      <c r="I270" t="s">
        <v>106</v>
      </c>
      <c r="J270" t="s">
        <v>189</v>
      </c>
      <c r="K270" t="s">
        <v>108</v>
      </c>
      <c r="L270" t="s">
        <v>154</v>
      </c>
      <c r="M270" t="s">
        <v>110</v>
      </c>
      <c r="N270">
        <v>2.5999999999999999E-2</v>
      </c>
      <c r="O270">
        <v>1.7000000000000001E-2</v>
      </c>
      <c r="P270">
        <v>1.2E-2</v>
      </c>
    </row>
    <row r="271" spans="1:16">
      <c r="A271" t="s">
        <v>98</v>
      </c>
      <c r="B271" t="s">
        <v>104</v>
      </c>
      <c r="C271" t="s">
        <v>509</v>
      </c>
      <c r="D271">
        <v>1</v>
      </c>
      <c r="E271">
        <v>1700</v>
      </c>
      <c r="F271">
        <v>160</v>
      </c>
      <c r="G271">
        <v>20</v>
      </c>
      <c r="H271" t="s">
        <v>101</v>
      </c>
      <c r="I271" t="s">
        <v>106</v>
      </c>
      <c r="J271" t="s">
        <v>350</v>
      </c>
      <c r="K271" t="s">
        <v>108</v>
      </c>
      <c r="L271" t="s">
        <v>175</v>
      </c>
      <c r="M271" t="s">
        <v>110</v>
      </c>
      <c r="N271">
        <v>4.3999999999999997E-2</v>
      </c>
      <c r="O271">
        <v>2.4E-2</v>
      </c>
      <c r="P271">
        <v>1.4999999999999999E-2</v>
      </c>
    </row>
    <row r="272" spans="1:16">
      <c r="A272" t="s">
        <v>98</v>
      </c>
      <c r="B272" t="s">
        <v>104</v>
      </c>
      <c r="C272" t="s">
        <v>510</v>
      </c>
      <c r="D272">
        <v>1</v>
      </c>
      <c r="E272">
        <v>1700</v>
      </c>
      <c r="F272">
        <v>160</v>
      </c>
      <c r="G272">
        <v>270</v>
      </c>
      <c r="H272" t="s">
        <v>101</v>
      </c>
      <c r="I272" t="s">
        <v>106</v>
      </c>
      <c r="J272" t="s">
        <v>153</v>
      </c>
      <c r="K272" t="s">
        <v>108</v>
      </c>
      <c r="L272" t="s">
        <v>131</v>
      </c>
      <c r="M272" t="s">
        <v>110</v>
      </c>
      <c r="N272">
        <v>4.3999999999999997E-2</v>
      </c>
      <c r="O272">
        <v>2.4E-2</v>
      </c>
      <c r="P272">
        <v>1.4999999999999999E-2</v>
      </c>
    </row>
    <row r="273" spans="1:16" hidden="1">
      <c r="A273" t="s">
        <v>98</v>
      </c>
      <c r="B273" t="s">
        <v>104</v>
      </c>
      <c r="C273" t="s">
        <v>511</v>
      </c>
      <c r="D273">
        <v>1</v>
      </c>
      <c r="E273">
        <v>1700</v>
      </c>
      <c r="F273">
        <v>160</v>
      </c>
      <c r="G273">
        <v>70</v>
      </c>
      <c r="H273" t="s">
        <v>101</v>
      </c>
      <c r="I273" t="s">
        <v>102</v>
      </c>
      <c r="J273" t="s">
        <v>101</v>
      </c>
      <c r="K273" t="s">
        <v>220</v>
      </c>
      <c r="L273" t="s">
        <v>101</v>
      </c>
      <c r="M273" t="s">
        <v>125</v>
      </c>
      <c r="N273">
        <v>4.3999999999999997E-2</v>
      </c>
      <c r="O273">
        <v>2.4E-2</v>
      </c>
      <c r="P273">
        <v>1.4999999999999999E-2</v>
      </c>
    </row>
    <row r="274" spans="1:16">
      <c r="A274" t="s">
        <v>98</v>
      </c>
      <c r="B274" t="s">
        <v>104</v>
      </c>
      <c r="C274" t="s">
        <v>512</v>
      </c>
      <c r="D274">
        <v>1</v>
      </c>
      <c r="E274">
        <v>1700</v>
      </c>
      <c r="F274">
        <v>160</v>
      </c>
      <c r="G274">
        <v>20</v>
      </c>
      <c r="H274" t="s">
        <v>101</v>
      </c>
      <c r="I274" t="s">
        <v>106</v>
      </c>
      <c r="J274" t="s">
        <v>202</v>
      </c>
      <c r="K274" t="s">
        <v>108</v>
      </c>
      <c r="L274" t="s">
        <v>175</v>
      </c>
      <c r="M274" t="s">
        <v>110</v>
      </c>
      <c r="N274">
        <v>4.3999999999999997E-2</v>
      </c>
      <c r="O274">
        <v>2.4E-2</v>
      </c>
      <c r="P274">
        <v>1.4999999999999999E-2</v>
      </c>
    </row>
    <row r="275" spans="1:16" hidden="1">
      <c r="A275" t="s">
        <v>98</v>
      </c>
      <c r="B275" t="s">
        <v>114</v>
      </c>
      <c r="C275" t="s">
        <v>513</v>
      </c>
      <c r="D275">
        <v>2</v>
      </c>
      <c r="E275">
        <v>7500</v>
      </c>
      <c r="F275">
        <v>32</v>
      </c>
      <c r="G275">
        <v>520</v>
      </c>
      <c r="H275" t="s">
        <v>101</v>
      </c>
      <c r="I275" t="s">
        <v>146</v>
      </c>
      <c r="J275" t="s">
        <v>101</v>
      </c>
      <c r="K275" t="s">
        <v>244</v>
      </c>
      <c r="L275" t="s">
        <v>245</v>
      </c>
      <c r="M275" t="s">
        <v>138</v>
      </c>
      <c r="N275">
        <v>0.13300000000000001</v>
      </c>
      <c r="O275">
        <v>8.1000000000000003E-2</v>
      </c>
      <c r="P275">
        <v>5.1999999999999998E-2</v>
      </c>
    </row>
    <row r="276" spans="1:16">
      <c r="A276" t="s">
        <v>98</v>
      </c>
      <c r="B276" t="s">
        <v>104</v>
      </c>
      <c r="C276" t="s">
        <v>514</v>
      </c>
      <c r="D276">
        <v>1</v>
      </c>
      <c r="E276">
        <v>1700</v>
      </c>
      <c r="F276">
        <v>160</v>
      </c>
      <c r="G276">
        <v>20</v>
      </c>
      <c r="H276" t="s">
        <v>101</v>
      </c>
      <c r="I276" t="s">
        <v>106</v>
      </c>
      <c r="J276" t="s">
        <v>162</v>
      </c>
      <c r="K276" t="s">
        <v>108</v>
      </c>
      <c r="L276" t="s">
        <v>163</v>
      </c>
      <c r="M276" t="s">
        <v>110</v>
      </c>
      <c r="N276">
        <v>4.3999999999999997E-2</v>
      </c>
      <c r="O276">
        <v>2.4E-2</v>
      </c>
      <c r="P276">
        <v>1.4999999999999999E-2</v>
      </c>
    </row>
    <row r="277" spans="1:16">
      <c r="A277" t="s">
        <v>98</v>
      </c>
      <c r="B277" t="s">
        <v>176</v>
      </c>
      <c r="C277" t="s">
        <v>515</v>
      </c>
      <c r="D277">
        <v>1</v>
      </c>
      <c r="E277">
        <v>615</v>
      </c>
      <c r="F277">
        <v>160</v>
      </c>
      <c r="G277">
        <v>8</v>
      </c>
      <c r="H277" t="s">
        <v>101</v>
      </c>
      <c r="I277" t="s">
        <v>106</v>
      </c>
      <c r="J277" t="s">
        <v>455</v>
      </c>
      <c r="K277" t="s">
        <v>108</v>
      </c>
      <c r="L277" t="s">
        <v>101</v>
      </c>
      <c r="M277" t="s">
        <v>138</v>
      </c>
      <c r="N277">
        <v>0.02</v>
      </c>
      <c r="O277">
        <v>1.2E-2</v>
      </c>
      <c r="P277">
        <v>8.0000000000000002E-3</v>
      </c>
    </row>
    <row r="278" spans="1:16">
      <c r="A278" t="s">
        <v>98</v>
      </c>
      <c r="B278" t="s">
        <v>104</v>
      </c>
      <c r="C278" t="s">
        <v>516</v>
      </c>
      <c r="D278">
        <v>1</v>
      </c>
      <c r="E278">
        <v>1700</v>
      </c>
      <c r="F278">
        <v>160</v>
      </c>
      <c r="G278">
        <v>70</v>
      </c>
      <c r="H278" t="s">
        <v>101</v>
      </c>
      <c r="I278" t="s">
        <v>106</v>
      </c>
      <c r="J278" t="s">
        <v>239</v>
      </c>
      <c r="K278" t="s">
        <v>108</v>
      </c>
      <c r="L278" t="s">
        <v>113</v>
      </c>
      <c r="M278" t="s">
        <v>110</v>
      </c>
      <c r="N278">
        <v>4.3999999999999997E-2</v>
      </c>
      <c r="O278">
        <v>2.4E-2</v>
      </c>
      <c r="P278">
        <v>1.4999999999999999E-2</v>
      </c>
    </row>
    <row r="279" spans="1:16" hidden="1">
      <c r="A279" t="s">
        <v>98</v>
      </c>
      <c r="B279" t="s">
        <v>114</v>
      </c>
      <c r="C279" t="s">
        <v>517</v>
      </c>
      <c r="D279">
        <v>2</v>
      </c>
      <c r="E279">
        <v>7500</v>
      </c>
      <c r="F279">
        <v>32</v>
      </c>
      <c r="G279">
        <v>6140</v>
      </c>
      <c r="H279" t="s">
        <v>101</v>
      </c>
      <c r="I279" t="s">
        <v>102</v>
      </c>
      <c r="J279" t="s">
        <v>101</v>
      </c>
      <c r="K279" t="s">
        <v>265</v>
      </c>
      <c r="L279" t="s">
        <v>117</v>
      </c>
      <c r="M279" t="s">
        <v>103</v>
      </c>
      <c r="N279">
        <v>0.13300000000000001</v>
      </c>
      <c r="O279">
        <v>8.1000000000000003E-2</v>
      </c>
      <c r="P279">
        <v>5.1999999999999998E-2</v>
      </c>
    </row>
    <row r="280" spans="1:16">
      <c r="A280" t="s">
        <v>98</v>
      </c>
      <c r="B280" t="s">
        <v>172</v>
      </c>
      <c r="C280" t="s">
        <v>518</v>
      </c>
      <c r="D280">
        <v>1</v>
      </c>
      <c r="E280">
        <v>2000</v>
      </c>
      <c r="F280">
        <v>0</v>
      </c>
      <c r="G280">
        <v>420</v>
      </c>
      <c r="H280" t="s">
        <v>101</v>
      </c>
      <c r="I280" t="s">
        <v>106</v>
      </c>
      <c r="J280" t="s">
        <v>153</v>
      </c>
      <c r="K280" t="s">
        <v>108</v>
      </c>
      <c r="L280" t="s">
        <v>117</v>
      </c>
      <c r="M280" t="s">
        <v>110</v>
      </c>
      <c r="N280">
        <v>2.5999999999999999E-2</v>
      </c>
      <c r="O280">
        <v>1.7000000000000001E-2</v>
      </c>
      <c r="P280">
        <v>1.2E-2</v>
      </c>
    </row>
    <row r="281" spans="1:16">
      <c r="A281" t="s">
        <v>98</v>
      </c>
      <c r="B281" t="s">
        <v>172</v>
      </c>
      <c r="C281" t="s">
        <v>519</v>
      </c>
      <c r="D281">
        <v>1</v>
      </c>
      <c r="E281">
        <v>2000</v>
      </c>
      <c r="F281">
        <v>0</v>
      </c>
      <c r="G281">
        <v>20</v>
      </c>
      <c r="H281" t="s">
        <v>101</v>
      </c>
      <c r="I281" t="s">
        <v>106</v>
      </c>
      <c r="J281" t="s">
        <v>472</v>
      </c>
      <c r="K281" t="s">
        <v>108</v>
      </c>
      <c r="L281" t="s">
        <v>203</v>
      </c>
      <c r="M281" t="s">
        <v>110</v>
      </c>
      <c r="N281">
        <v>2.5999999999999999E-2</v>
      </c>
      <c r="O281">
        <v>1.7000000000000001E-2</v>
      </c>
      <c r="P281">
        <v>1.2E-2</v>
      </c>
    </row>
    <row r="282" spans="1:16">
      <c r="A282" t="s">
        <v>98</v>
      </c>
      <c r="B282" t="s">
        <v>104</v>
      </c>
      <c r="C282" t="s">
        <v>520</v>
      </c>
      <c r="D282">
        <v>1</v>
      </c>
      <c r="E282">
        <v>1700</v>
      </c>
      <c r="F282">
        <v>160</v>
      </c>
      <c r="G282">
        <v>20</v>
      </c>
      <c r="H282" t="s">
        <v>101</v>
      </c>
      <c r="I282" t="s">
        <v>106</v>
      </c>
      <c r="J282" t="s">
        <v>342</v>
      </c>
      <c r="K282" t="s">
        <v>108</v>
      </c>
      <c r="L282" t="s">
        <v>203</v>
      </c>
      <c r="M282" t="s">
        <v>110</v>
      </c>
      <c r="N282">
        <v>4.3999999999999997E-2</v>
      </c>
      <c r="O282">
        <v>2.4E-2</v>
      </c>
      <c r="P282">
        <v>1.4999999999999999E-2</v>
      </c>
    </row>
    <row r="283" spans="1:16" hidden="1">
      <c r="A283" t="s">
        <v>98</v>
      </c>
      <c r="B283" t="s">
        <v>141</v>
      </c>
      <c r="C283" t="s">
        <v>521</v>
      </c>
      <c r="D283">
        <v>4</v>
      </c>
      <c r="E283">
        <v>15000</v>
      </c>
      <c r="F283">
        <v>80</v>
      </c>
      <c r="G283">
        <v>820</v>
      </c>
      <c r="H283" t="s">
        <v>101</v>
      </c>
      <c r="I283" t="s">
        <v>102</v>
      </c>
      <c r="J283" t="s">
        <v>101</v>
      </c>
      <c r="K283" t="s">
        <v>522</v>
      </c>
      <c r="L283" t="s">
        <v>101</v>
      </c>
      <c r="M283" t="s">
        <v>274</v>
      </c>
      <c r="N283">
        <v>0.26600000000000001</v>
      </c>
      <c r="O283">
        <v>0.16300000000000001</v>
      </c>
      <c r="P283">
        <v>0.104</v>
      </c>
    </row>
    <row r="284" spans="1:16" hidden="1">
      <c r="A284" t="s">
        <v>98</v>
      </c>
      <c r="B284" t="s">
        <v>148</v>
      </c>
      <c r="C284" t="s">
        <v>523</v>
      </c>
      <c r="D284">
        <v>2</v>
      </c>
      <c r="E284">
        <v>4000</v>
      </c>
      <c r="F284">
        <v>0</v>
      </c>
      <c r="G284">
        <v>20</v>
      </c>
      <c r="H284" t="s">
        <v>101</v>
      </c>
      <c r="I284" t="s">
        <v>146</v>
      </c>
      <c r="J284" t="s">
        <v>101</v>
      </c>
      <c r="K284" t="s">
        <v>199</v>
      </c>
      <c r="L284" t="s">
        <v>101</v>
      </c>
      <c r="M284" t="s">
        <v>138</v>
      </c>
      <c r="N284">
        <v>5.1999999999999998E-2</v>
      </c>
      <c r="O284">
        <v>3.4000000000000002E-2</v>
      </c>
      <c r="P284">
        <v>2.3E-2</v>
      </c>
    </row>
    <row r="285" spans="1:16" hidden="1">
      <c r="A285" t="s">
        <v>98</v>
      </c>
      <c r="B285" t="s">
        <v>157</v>
      </c>
      <c r="C285" t="s">
        <v>524</v>
      </c>
      <c r="D285">
        <v>1</v>
      </c>
      <c r="E285">
        <v>3750</v>
      </c>
      <c r="F285">
        <v>410</v>
      </c>
      <c r="G285">
        <v>20</v>
      </c>
      <c r="H285" t="s">
        <v>101</v>
      </c>
      <c r="I285" t="s">
        <v>102</v>
      </c>
      <c r="J285" t="s">
        <v>101</v>
      </c>
      <c r="K285" t="s">
        <v>166</v>
      </c>
      <c r="L285" t="s">
        <v>124</v>
      </c>
      <c r="M285" t="s">
        <v>125</v>
      </c>
      <c r="N285">
        <v>8.6999999999999994E-2</v>
      </c>
      <c r="O285">
        <v>4.7E-2</v>
      </c>
      <c r="P285">
        <v>2.9000000000000001E-2</v>
      </c>
    </row>
    <row r="286" spans="1:16" hidden="1">
      <c r="A286" t="s">
        <v>98</v>
      </c>
      <c r="B286" t="s">
        <v>104</v>
      </c>
      <c r="C286" t="s">
        <v>525</v>
      </c>
      <c r="D286">
        <v>1</v>
      </c>
      <c r="E286">
        <v>1700</v>
      </c>
      <c r="F286">
        <v>160</v>
      </c>
      <c r="G286">
        <v>820</v>
      </c>
      <c r="H286" t="s">
        <v>101</v>
      </c>
      <c r="I286" t="s">
        <v>102</v>
      </c>
      <c r="J286" t="s">
        <v>101</v>
      </c>
      <c r="K286" t="s">
        <v>340</v>
      </c>
      <c r="L286" t="s">
        <v>245</v>
      </c>
      <c r="M286" t="s">
        <v>125</v>
      </c>
      <c r="N286">
        <v>4.3999999999999997E-2</v>
      </c>
      <c r="O286">
        <v>2.4E-2</v>
      </c>
      <c r="P286">
        <v>1.4999999999999999E-2</v>
      </c>
    </row>
    <row r="287" spans="1:16" hidden="1">
      <c r="A287" t="s">
        <v>98</v>
      </c>
      <c r="B287" t="s">
        <v>164</v>
      </c>
      <c r="C287" t="s">
        <v>526</v>
      </c>
      <c r="D287">
        <v>8</v>
      </c>
      <c r="E287">
        <v>30000</v>
      </c>
      <c r="F287">
        <v>160</v>
      </c>
      <c r="G287">
        <v>20</v>
      </c>
      <c r="H287" t="s">
        <v>101</v>
      </c>
      <c r="I287" t="s">
        <v>146</v>
      </c>
      <c r="J287" t="s">
        <v>101</v>
      </c>
      <c r="K287" t="s">
        <v>244</v>
      </c>
      <c r="L287" t="s">
        <v>101</v>
      </c>
      <c r="M287" t="s">
        <v>138</v>
      </c>
      <c r="N287">
        <v>0.53200000000000003</v>
      </c>
      <c r="O287">
        <v>0.32400000000000001</v>
      </c>
      <c r="P287">
        <v>0.20899999999999999</v>
      </c>
    </row>
    <row r="288" spans="1:16">
      <c r="A288" t="s">
        <v>98</v>
      </c>
      <c r="B288" t="s">
        <v>104</v>
      </c>
      <c r="C288" t="s">
        <v>527</v>
      </c>
      <c r="D288">
        <v>1</v>
      </c>
      <c r="E288">
        <v>1700</v>
      </c>
      <c r="F288">
        <v>160</v>
      </c>
      <c r="G288">
        <v>20</v>
      </c>
      <c r="H288" t="s">
        <v>101</v>
      </c>
      <c r="I288" t="s">
        <v>106</v>
      </c>
      <c r="J288" t="s">
        <v>236</v>
      </c>
      <c r="K288" t="s">
        <v>108</v>
      </c>
      <c r="L288" t="s">
        <v>322</v>
      </c>
      <c r="M288" t="s">
        <v>110</v>
      </c>
      <c r="N288">
        <v>4.3999999999999997E-2</v>
      </c>
      <c r="O288">
        <v>2.4E-2</v>
      </c>
      <c r="P288">
        <v>1.4999999999999999E-2</v>
      </c>
    </row>
    <row r="289" spans="1:16">
      <c r="A289" t="s">
        <v>98</v>
      </c>
      <c r="B289" t="s">
        <v>172</v>
      </c>
      <c r="C289" t="s">
        <v>528</v>
      </c>
      <c r="D289">
        <v>1</v>
      </c>
      <c r="E289">
        <v>2000</v>
      </c>
      <c r="F289">
        <v>0</v>
      </c>
      <c r="G289">
        <v>108</v>
      </c>
      <c r="H289" t="s">
        <v>101</v>
      </c>
      <c r="I289" t="s">
        <v>106</v>
      </c>
      <c r="J289" t="s">
        <v>214</v>
      </c>
      <c r="K289" t="s">
        <v>108</v>
      </c>
      <c r="L289" t="s">
        <v>101</v>
      </c>
      <c r="M289" t="s">
        <v>110</v>
      </c>
      <c r="N289">
        <v>2.5999999999999999E-2</v>
      </c>
      <c r="O289">
        <v>1.7000000000000001E-2</v>
      </c>
      <c r="P289">
        <v>1.2E-2</v>
      </c>
    </row>
    <row r="290" spans="1:16" hidden="1">
      <c r="A290" t="s">
        <v>98</v>
      </c>
      <c r="B290" t="s">
        <v>104</v>
      </c>
      <c r="C290" t="s">
        <v>529</v>
      </c>
      <c r="D290">
        <v>1</v>
      </c>
      <c r="E290">
        <v>1700</v>
      </c>
      <c r="F290">
        <v>160</v>
      </c>
      <c r="G290">
        <v>20</v>
      </c>
      <c r="H290" t="s">
        <v>101</v>
      </c>
      <c r="I290" t="s">
        <v>102</v>
      </c>
      <c r="J290" t="s">
        <v>101</v>
      </c>
      <c r="K290" t="s">
        <v>217</v>
      </c>
      <c r="L290" t="s">
        <v>101</v>
      </c>
      <c r="M290" t="s">
        <v>125</v>
      </c>
      <c r="N290">
        <v>4.3999999999999997E-2</v>
      </c>
      <c r="O290">
        <v>2.4E-2</v>
      </c>
      <c r="P290">
        <v>1.4999999999999999E-2</v>
      </c>
    </row>
    <row r="291" spans="1:16" hidden="1">
      <c r="A291" t="s">
        <v>98</v>
      </c>
      <c r="B291" t="s">
        <v>141</v>
      </c>
      <c r="C291" t="s">
        <v>530</v>
      </c>
      <c r="D291">
        <v>4</v>
      </c>
      <c r="E291">
        <v>15000</v>
      </c>
      <c r="F291">
        <v>80</v>
      </c>
      <c r="G291">
        <v>20</v>
      </c>
      <c r="H291" t="s">
        <v>101</v>
      </c>
      <c r="I291" t="s">
        <v>102</v>
      </c>
      <c r="J291" t="s">
        <v>101</v>
      </c>
      <c r="K291" t="s">
        <v>217</v>
      </c>
      <c r="L291" t="s">
        <v>101</v>
      </c>
      <c r="M291" t="s">
        <v>118</v>
      </c>
      <c r="N291">
        <v>0.26600000000000001</v>
      </c>
      <c r="O291">
        <v>0.16300000000000001</v>
      </c>
      <c r="P291">
        <v>0.104</v>
      </c>
    </row>
    <row r="292" spans="1:16">
      <c r="A292" t="s">
        <v>98</v>
      </c>
      <c r="B292" t="s">
        <v>99</v>
      </c>
      <c r="C292" t="s">
        <v>531</v>
      </c>
      <c r="D292">
        <v>2</v>
      </c>
      <c r="E292">
        <v>3750</v>
      </c>
      <c r="F292">
        <v>32</v>
      </c>
      <c r="G292">
        <v>20</v>
      </c>
      <c r="H292" t="s">
        <v>101</v>
      </c>
      <c r="I292" t="s">
        <v>106</v>
      </c>
      <c r="J292" t="s">
        <v>227</v>
      </c>
      <c r="K292" t="s">
        <v>108</v>
      </c>
      <c r="L292" t="s">
        <v>228</v>
      </c>
      <c r="M292" t="s">
        <v>110</v>
      </c>
      <c r="N292">
        <v>0.105</v>
      </c>
      <c r="O292">
        <v>6.2E-2</v>
      </c>
      <c r="P292">
        <v>3.9E-2</v>
      </c>
    </row>
    <row r="293" spans="1:16">
      <c r="A293" t="s">
        <v>98</v>
      </c>
      <c r="B293" t="s">
        <v>99</v>
      </c>
      <c r="C293" t="s">
        <v>532</v>
      </c>
      <c r="D293">
        <v>2</v>
      </c>
      <c r="E293">
        <v>3750</v>
      </c>
      <c r="F293">
        <v>32</v>
      </c>
      <c r="G293">
        <v>20</v>
      </c>
      <c r="H293" t="s">
        <v>101</v>
      </c>
      <c r="I293" t="s">
        <v>106</v>
      </c>
      <c r="J293" t="s">
        <v>227</v>
      </c>
      <c r="K293" t="s">
        <v>108</v>
      </c>
      <c r="L293" t="s">
        <v>228</v>
      </c>
      <c r="M293" t="s">
        <v>110</v>
      </c>
      <c r="N293">
        <v>0.105</v>
      </c>
      <c r="O293">
        <v>6.2E-2</v>
      </c>
      <c r="P293">
        <v>3.9E-2</v>
      </c>
    </row>
    <row r="294" spans="1:16">
      <c r="A294" t="s">
        <v>98</v>
      </c>
      <c r="B294" t="s">
        <v>135</v>
      </c>
      <c r="C294" t="s">
        <v>533</v>
      </c>
      <c r="D294">
        <v>1</v>
      </c>
      <c r="E294">
        <v>3750</v>
      </c>
      <c r="F294">
        <v>4</v>
      </c>
      <c r="G294">
        <v>420</v>
      </c>
      <c r="H294" t="s">
        <v>101</v>
      </c>
      <c r="I294" t="s">
        <v>106</v>
      </c>
      <c r="J294" t="s">
        <v>153</v>
      </c>
      <c r="K294" t="s">
        <v>108</v>
      </c>
      <c r="L294" t="s">
        <v>117</v>
      </c>
      <c r="M294" t="s">
        <v>110</v>
      </c>
      <c r="N294">
        <v>6.7000000000000004E-2</v>
      </c>
      <c r="O294">
        <v>0.04</v>
      </c>
      <c r="P294">
        <v>2.5999999999999999E-2</v>
      </c>
    </row>
    <row r="295" spans="1:16">
      <c r="A295" t="s">
        <v>98</v>
      </c>
      <c r="B295" t="s">
        <v>172</v>
      </c>
      <c r="C295" t="s">
        <v>534</v>
      </c>
      <c r="D295">
        <v>1</v>
      </c>
      <c r="E295">
        <v>2000</v>
      </c>
      <c r="F295">
        <v>0</v>
      </c>
      <c r="G295">
        <v>20</v>
      </c>
      <c r="H295" t="s">
        <v>101</v>
      </c>
      <c r="I295" t="s">
        <v>106</v>
      </c>
      <c r="J295" t="s">
        <v>472</v>
      </c>
      <c r="K295" t="s">
        <v>108</v>
      </c>
      <c r="L295" t="s">
        <v>210</v>
      </c>
      <c r="M295" t="s">
        <v>110</v>
      </c>
      <c r="N295">
        <v>2.5999999999999999E-2</v>
      </c>
      <c r="O295">
        <v>1.7000000000000001E-2</v>
      </c>
      <c r="P295">
        <v>1.2E-2</v>
      </c>
    </row>
    <row r="296" spans="1:16">
      <c r="A296" t="s">
        <v>98</v>
      </c>
      <c r="B296" t="s">
        <v>104</v>
      </c>
      <c r="C296" t="s">
        <v>535</v>
      </c>
      <c r="D296">
        <v>1</v>
      </c>
      <c r="E296">
        <v>1700</v>
      </c>
      <c r="F296">
        <v>160</v>
      </c>
      <c r="G296">
        <v>20</v>
      </c>
      <c r="H296" t="s">
        <v>101</v>
      </c>
      <c r="I296" t="s">
        <v>106</v>
      </c>
      <c r="J296" t="s">
        <v>466</v>
      </c>
      <c r="K296" t="s">
        <v>108</v>
      </c>
      <c r="L296" t="s">
        <v>203</v>
      </c>
      <c r="M296" t="s">
        <v>110</v>
      </c>
      <c r="N296">
        <v>4.3999999999999997E-2</v>
      </c>
      <c r="O296">
        <v>2.4E-2</v>
      </c>
      <c r="P296">
        <v>1.4999999999999999E-2</v>
      </c>
    </row>
    <row r="297" spans="1:16">
      <c r="A297" t="s">
        <v>98</v>
      </c>
      <c r="B297" t="s">
        <v>172</v>
      </c>
      <c r="C297" t="s">
        <v>536</v>
      </c>
      <c r="D297">
        <v>1</v>
      </c>
      <c r="E297">
        <v>2000</v>
      </c>
      <c r="F297">
        <v>0</v>
      </c>
      <c r="G297">
        <v>20</v>
      </c>
      <c r="H297" t="s">
        <v>101</v>
      </c>
      <c r="I297" t="s">
        <v>106</v>
      </c>
      <c r="J297" t="s">
        <v>153</v>
      </c>
      <c r="K297" t="s">
        <v>108</v>
      </c>
      <c r="L297" t="s">
        <v>117</v>
      </c>
      <c r="M297" t="s">
        <v>110</v>
      </c>
      <c r="N297">
        <v>2.5999999999999999E-2</v>
      </c>
      <c r="O297">
        <v>1.7000000000000001E-2</v>
      </c>
      <c r="P297">
        <v>1.2E-2</v>
      </c>
    </row>
    <row r="298" spans="1:16" hidden="1">
      <c r="A298" t="s">
        <v>98</v>
      </c>
      <c r="B298" t="s">
        <v>104</v>
      </c>
      <c r="C298" t="s">
        <v>537</v>
      </c>
      <c r="D298">
        <v>1</v>
      </c>
      <c r="E298">
        <v>1700</v>
      </c>
      <c r="F298">
        <v>160</v>
      </c>
      <c r="G298">
        <v>20</v>
      </c>
      <c r="H298" t="s">
        <v>101</v>
      </c>
      <c r="I298" t="s">
        <v>102</v>
      </c>
      <c r="J298" t="s">
        <v>101</v>
      </c>
      <c r="K298" t="s">
        <v>166</v>
      </c>
      <c r="L298" t="s">
        <v>117</v>
      </c>
      <c r="M298" t="s">
        <v>167</v>
      </c>
      <c r="N298">
        <v>4.3999999999999997E-2</v>
      </c>
      <c r="O298">
        <v>2.4E-2</v>
      </c>
      <c r="P298">
        <v>1.4999999999999999E-2</v>
      </c>
    </row>
    <row r="299" spans="1:16">
      <c r="A299" t="s">
        <v>98</v>
      </c>
      <c r="B299" t="s">
        <v>172</v>
      </c>
      <c r="C299" t="s">
        <v>538</v>
      </c>
      <c r="D299">
        <v>1</v>
      </c>
      <c r="E299">
        <v>2000</v>
      </c>
      <c r="F299">
        <v>0</v>
      </c>
      <c r="G299">
        <v>220</v>
      </c>
      <c r="H299" t="s">
        <v>101</v>
      </c>
      <c r="I299" t="s">
        <v>106</v>
      </c>
      <c r="J299" t="s">
        <v>189</v>
      </c>
      <c r="K299" t="s">
        <v>108</v>
      </c>
      <c r="L299" t="s">
        <v>131</v>
      </c>
      <c r="M299" t="s">
        <v>110</v>
      </c>
      <c r="N299">
        <v>2.5999999999999999E-2</v>
      </c>
      <c r="O299">
        <v>1.7000000000000001E-2</v>
      </c>
      <c r="P299">
        <v>1.2E-2</v>
      </c>
    </row>
    <row r="300" spans="1:16">
      <c r="A300" t="s">
        <v>98</v>
      </c>
      <c r="B300" t="s">
        <v>104</v>
      </c>
      <c r="C300" t="s">
        <v>539</v>
      </c>
      <c r="D300">
        <v>1</v>
      </c>
      <c r="E300">
        <v>1700</v>
      </c>
      <c r="F300">
        <v>160</v>
      </c>
      <c r="G300">
        <v>20</v>
      </c>
      <c r="H300" t="s">
        <v>101</v>
      </c>
      <c r="I300" t="s">
        <v>106</v>
      </c>
      <c r="J300" t="s">
        <v>251</v>
      </c>
      <c r="K300" t="s">
        <v>108</v>
      </c>
      <c r="L300" t="s">
        <v>154</v>
      </c>
      <c r="M300" t="s">
        <v>110</v>
      </c>
      <c r="N300">
        <v>4.3999999999999997E-2</v>
      </c>
      <c r="O300">
        <v>2.4E-2</v>
      </c>
      <c r="P300">
        <v>1.4999999999999999E-2</v>
      </c>
    </row>
    <row r="301" spans="1:16">
      <c r="A301" t="s">
        <v>98</v>
      </c>
      <c r="B301" t="s">
        <v>104</v>
      </c>
      <c r="C301" t="s">
        <v>540</v>
      </c>
      <c r="D301">
        <v>1</v>
      </c>
      <c r="E301">
        <v>1700</v>
      </c>
      <c r="F301">
        <v>160</v>
      </c>
      <c r="G301">
        <v>20</v>
      </c>
      <c r="H301" t="s">
        <v>101</v>
      </c>
      <c r="I301" t="s">
        <v>106</v>
      </c>
      <c r="J301" t="s">
        <v>120</v>
      </c>
      <c r="K301" t="s">
        <v>108</v>
      </c>
      <c r="L301" t="s">
        <v>541</v>
      </c>
      <c r="M301" t="s">
        <v>110</v>
      </c>
      <c r="N301">
        <v>4.3999999999999997E-2</v>
      </c>
      <c r="O301">
        <v>2.4E-2</v>
      </c>
      <c r="P301">
        <v>1.4999999999999999E-2</v>
      </c>
    </row>
    <row r="302" spans="1:16">
      <c r="A302" t="s">
        <v>98</v>
      </c>
      <c r="B302" t="s">
        <v>104</v>
      </c>
      <c r="C302" t="s">
        <v>542</v>
      </c>
      <c r="D302">
        <v>1</v>
      </c>
      <c r="E302">
        <v>1700</v>
      </c>
      <c r="F302">
        <v>160</v>
      </c>
      <c r="G302">
        <v>820</v>
      </c>
      <c r="H302" t="s">
        <v>101</v>
      </c>
      <c r="I302" t="s">
        <v>106</v>
      </c>
      <c r="J302" t="s">
        <v>182</v>
      </c>
      <c r="K302" t="s">
        <v>108</v>
      </c>
      <c r="L302" t="s">
        <v>131</v>
      </c>
      <c r="M302" t="s">
        <v>110</v>
      </c>
      <c r="N302">
        <v>4.3999999999999997E-2</v>
      </c>
      <c r="O302">
        <v>2.4E-2</v>
      </c>
      <c r="P302">
        <v>1.4999999999999999E-2</v>
      </c>
    </row>
    <row r="303" spans="1:16">
      <c r="A303" t="s">
        <v>98</v>
      </c>
      <c r="B303" t="s">
        <v>104</v>
      </c>
      <c r="C303" t="s">
        <v>543</v>
      </c>
      <c r="D303">
        <v>1</v>
      </c>
      <c r="E303">
        <v>1700</v>
      </c>
      <c r="F303">
        <v>160</v>
      </c>
      <c r="G303">
        <v>20</v>
      </c>
      <c r="H303" t="s">
        <v>101</v>
      </c>
      <c r="I303" t="s">
        <v>106</v>
      </c>
      <c r="J303" t="s">
        <v>191</v>
      </c>
      <c r="K303" t="s">
        <v>108</v>
      </c>
      <c r="L303" t="s">
        <v>434</v>
      </c>
      <c r="M303" t="s">
        <v>110</v>
      </c>
      <c r="N303">
        <v>4.3999999999999997E-2</v>
      </c>
      <c r="O303">
        <v>2.4E-2</v>
      </c>
      <c r="P303">
        <v>1.4999999999999999E-2</v>
      </c>
    </row>
    <row r="304" spans="1:16">
      <c r="A304" t="s">
        <v>98</v>
      </c>
      <c r="B304" t="s">
        <v>172</v>
      </c>
      <c r="C304" t="s">
        <v>544</v>
      </c>
      <c r="D304">
        <v>1</v>
      </c>
      <c r="E304">
        <v>2000</v>
      </c>
      <c r="F304">
        <v>0</v>
      </c>
      <c r="G304">
        <v>120</v>
      </c>
      <c r="H304" t="s">
        <v>101</v>
      </c>
      <c r="I304" t="s">
        <v>106</v>
      </c>
      <c r="J304" t="s">
        <v>130</v>
      </c>
      <c r="K304" t="s">
        <v>108</v>
      </c>
      <c r="L304" t="s">
        <v>154</v>
      </c>
      <c r="M304" t="s">
        <v>110</v>
      </c>
      <c r="N304">
        <v>2.5999999999999999E-2</v>
      </c>
      <c r="O304">
        <v>1.7000000000000001E-2</v>
      </c>
      <c r="P304">
        <v>1.2E-2</v>
      </c>
    </row>
    <row r="305" spans="1:16">
      <c r="A305" t="s">
        <v>98</v>
      </c>
      <c r="B305" t="s">
        <v>104</v>
      </c>
      <c r="C305" t="s">
        <v>545</v>
      </c>
      <c r="D305">
        <v>1</v>
      </c>
      <c r="E305">
        <v>1700</v>
      </c>
      <c r="F305">
        <v>160</v>
      </c>
      <c r="G305">
        <v>70</v>
      </c>
      <c r="H305" t="s">
        <v>101</v>
      </c>
      <c r="I305" t="s">
        <v>106</v>
      </c>
      <c r="J305" t="s">
        <v>239</v>
      </c>
      <c r="K305" t="s">
        <v>108</v>
      </c>
      <c r="L305" t="s">
        <v>280</v>
      </c>
      <c r="M305" t="s">
        <v>110</v>
      </c>
      <c r="N305">
        <v>4.3999999999999997E-2</v>
      </c>
      <c r="O305">
        <v>2.4E-2</v>
      </c>
      <c r="P305">
        <v>1.4999999999999999E-2</v>
      </c>
    </row>
    <row r="306" spans="1:16" hidden="1">
      <c r="A306" t="s">
        <v>98</v>
      </c>
      <c r="B306" t="s">
        <v>114</v>
      </c>
      <c r="C306" t="s">
        <v>546</v>
      </c>
      <c r="D306">
        <v>2</v>
      </c>
      <c r="E306">
        <v>7500</v>
      </c>
      <c r="F306">
        <v>32</v>
      </c>
      <c r="G306">
        <v>420</v>
      </c>
      <c r="H306" t="s">
        <v>101</v>
      </c>
      <c r="I306" t="s">
        <v>102</v>
      </c>
      <c r="J306" t="s">
        <v>101</v>
      </c>
      <c r="K306" t="s">
        <v>116</v>
      </c>
      <c r="L306" t="s">
        <v>117</v>
      </c>
      <c r="M306" t="s">
        <v>118</v>
      </c>
      <c r="N306">
        <v>0.13300000000000001</v>
      </c>
      <c r="O306">
        <v>8.1000000000000003E-2</v>
      </c>
      <c r="P306">
        <v>5.1999999999999998E-2</v>
      </c>
    </row>
    <row r="307" spans="1:16" hidden="1">
      <c r="A307" t="s">
        <v>98</v>
      </c>
      <c r="B307" t="s">
        <v>141</v>
      </c>
      <c r="C307" t="s">
        <v>547</v>
      </c>
      <c r="D307">
        <v>4</v>
      </c>
      <c r="E307">
        <v>15000</v>
      </c>
      <c r="F307">
        <v>80</v>
      </c>
      <c r="G307">
        <v>420</v>
      </c>
      <c r="H307" t="s">
        <v>101</v>
      </c>
      <c r="I307" t="s">
        <v>102</v>
      </c>
      <c r="J307" t="s">
        <v>101</v>
      </c>
      <c r="K307" t="s">
        <v>169</v>
      </c>
      <c r="L307" t="s">
        <v>101</v>
      </c>
      <c r="M307" t="s">
        <v>118</v>
      </c>
      <c r="N307">
        <v>0.26600000000000001</v>
      </c>
      <c r="O307">
        <v>0.16300000000000001</v>
      </c>
      <c r="P307">
        <v>0.104</v>
      </c>
    </row>
    <row r="308" spans="1:16" hidden="1">
      <c r="A308" t="s">
        <v>98</v>
      </c>
      <c r="B308" t="s">
        <v>141</v>
      </c>
      <c r="C308" t="s">
        <v>548</v>
      </c>
      <c r="D308">
        <v>4</v>
      </c>
      <c r="E308">
        <v>15000</v>
      </c>
      <c r="F308">
        <v>80</v>
      </c>
      <c r="G308">
        <v>420</v>
      </c>
      <c r="H308" t="s">
        <v>101</v>
      </c>
      <c r="I308" t="s">
        <v>102</v>
      </c>
      <c r="J308" t="s">
        <v>101</v>
      </c>
      <c r="K308" t="s">
        <v>307</v>
      </c>
      <c r="L308" t="s">
        <v>117</v>
      </c>
      <c r="M308" t="s">
        <v>118</v>
      </c>
      <c r="N308">
        <v>0.26600000000000001</v>
      </c>
      <c r="O308">
        <v>0.16300000000000001</v>
      </c>
      <c r="P308">
        <v>0.104</v>
      </c>
    </row>
    <row r="309" spans="1:16">
      <c r="A309" t="s">
        <v>98</v>
      </c>
      <c r="B309" t="s">
        <v>104</v>
      </c>
      <c r="C309" t="s">
        <v>549</v>
      </c>
      <c r="D309">
        <v>1</v>
      </c>
      <c r="E309">
        <v>1700</v>
      </c>
      <c r="F309">
        <v>160</v>
      </c>
      <c r="G309">
        <v>20</v>
      </c>
      <c r="H309" t="s">
        <v>101</v>
      </c>
      <c r="I309" t="s">
        <v>106</v>
      </c>
      <c r="J309" t="s">
        <v>107</v>
      </c>
      <c r="K309" t="s">
        <v>108</v>
      </c>
      <c r="L309" t="s">
        <v>109</v>
      </c>
      <c r="M309" t="s">
        <v>110</v>
      </c>
      <c r="N309">
        <v>4.3999999999999997E-2</v>
      </c>
      <c r="O309">
        <v>2.4E-2</v>
      </c>
      <c r="P309">
        <v>1.4999999999999999E-2</v>
      </c>
    </row>
    <row r="310" spans="1:16" hidden="1">
      <c r="A310" t="s">
        <v>98</v>
      </c>
      <c r="B310" t="s">
        <v>132</v>
      </c>
      <c r="C310" t="s">
        <v>550</v>
      </c>
      <c r="D310">
        <v>2</v>
      </c>
      <c r="E310">
        <v>7500</v>
      </c>
      <c r="F310">
        <v>850</v>
      </c>
      <c r="G310">
        <v>20</v>
      </c>
      <c r="H310" t="s">
        <v>101</v>
      </c>
      <c r="I310" t="s">
        <v>102</v>
      </c>
      <c r="J310" t="s">
        <v>101</v>
      </c>
      <c r="K310" t="s">
        <v>101</v>
      </c>
      <c r="L310" t="s">
        <v>101</v>
      </c>
      <c r="M310" t="s">
        <v>134</v>
      </c>
      <c r="N310">
        <v>0.17499999999999999</v>
      </c>
      <c r="O310">
        <v>9.5000000000000001E-2</v>
      </c>
      <c r="P310">
        <v>5.8999999999999997E-2</v>
      </c>
    </row>
    <row r="311" spans="1:16" hidden="1">
      <c r="A311" t="s">
        <v>98</v>
      </c>
      <c r="B311" t="s">
        <v>104</v>
      </c>
      <c r="C311" t="s">
        <v>551</v>
      </c>
      <c r="D311">
        <v>1</v>
      </c>
      <c r="E311">
        <v>1700</v>
      </c>
      <c r="F311">
        <v>160</v>
      </c>
      <c r="G311">
        <v>20</v>
      </c>
      <c r="H311" t="s">
        <v>101</v>
      </c>
      <c r="I311" t="s">
        <v>102</v>
      </c>
      <c r="J311" t="s">
        <v>101</v>
      </c>
      <c r="K311" t="s">
        <v>522</v>
      </c>
      <c r="L311" t="s">
        <v>124</v>
      </c>
      <c r="M311" t="s">
        <v>125</v>
      </c>
      <c r="N311">
        <v>4.3999999999999997E-2</v>
      </c>
      <c r="O311">
        <v>2.4E-2</v>
      </c>
      <c r="P311">
        <v>1.4999999999999999E-2</v>
      </c>
    </row>
    <row r="312" spans="1:16" hidden="1">
      <c r="A312" t="s">
        <v>98</v>
      </c>
      <c r="B312" t="s">
        <v>135</v>
      </c>
      <c r="C312" t="s">
        <v>552</v>
      </c>
      <c r="D312">
        <v>1</v>
      </c>
      <c r="E312">
        <v>3750</v>
      </c>
      <c r="F312">
        <v>4</v>
      </c>
      <c r="G312">
        <v>820</v>
      </c>
      <c r="H312" t="s">
        <v>101</v>
      </c>
      <c r="I312" t="s">
        <v>102</v>
      </c>
      <c r="J312" t="s">
        <v>101</v>
      </c>
      <c r="K312" t="s">
        <v>358</v>
      </c>
      <c r="L312" t="s">
        <v>117</v>
      </c>
      <c r="M312" t="s">
        <v>118</v>
      </c>
      <c r="N312">
        <v>6.7000000000000004E-2</v>
      </c>
      <c r="O312">
        <v>0.04</v>
      </c>
      <c r="P312">
        <v>2.5999999999999999E-2</v>
      </c>
    </row>
    <row r="313" spans="1:16" hidden="1">
      <c r="A313" t="s">
        <v>98</v>
      </c>
      <c r="B313" t="s">
        <v>141</v>
      </c>
      <c r="C313" t="s">
        <v>553</v>
      </c>
      <c r="D313">
        <v>4</v>
      </c>
      <c r="E313">
        <v>15000</v>
      </c>
      <c r="F313">
        <v>80</v>
      </c>
      <c r="G313">
        <v>1420</v>
      </c>
      <c r="H313" t="s">
        <v>101</v>
      </c>
      <c r="I313" t="s">
        <v>102</v>
      </c>
      <c r="J313" t="s">
        <v>101</v>
      </c>
      <c r="K313" t="s">
        <v>432</v>
      </c>
      <c r="L313" t="s">
        <v>117</v>
      </c>
      <c r="M313" t="s">
        <v>118</v>
      </c>
      <c r="N313">
        <v>0.26600000000000001</v>
      </c>
      <c r="O313">
        <v>0.16300000000000001</v>
      </c>
      <c r="P313">
        <v>0.104</v>
      </c>
    </row>
    <row r="314" spans="1:16">
      <c r="A314" t="s">
        <v>98</v>
      </c>
      <c r="B314" t="s">
        <v>172</v>
      </c>
      <c r="C314" t="s">
        <v>554</v>
      </c>
      <c r="D314">
        <v>1</v>
      </c>
      <c r="E314">
        <v>2000</v>
      </c>
      <c r="F314">
        <v>0</v>
      </c>
      <c r="G314">
        <v>20</v>
      </c>
      <c r="H314" t="s">
        <v>101</v>
      </c>
      <c r="I314" t="s">
        <v>106</v>
      </c>
      <c r="J314" t="s">
        <v>263</v>
      </c>
      <c r="K314" t="s">
        <v>108</v>
      </c>
      <c r="L314" t="s">
        <v>175</v>
      </c>
      <c r="M314" t="s">
        <v>110</v>
      </c>
      <c r="N314">
        <v>2.5999999999999999E-2</v>
      </c>
      <c r="O314">
        <v>1.7000000000000001E-2</v>
      </c>
      <c r="P314">
        <v>1.2E-2</v>
      </c>
    </row>
    <row r="315" spans="1:16">
      <c r="A315" t="s">
        <v>98</v>
      </c>
      <c r="B315" t="s">
        <v>104</v>
      </c>
      <c r="C315" t="s">
        <v>555</v>
      </c>
      <c r="D315">
        <v>1</v>
      </c>
      <c r="E315">
        <v>1700</v>
      </c>
      <c r="F315">
        <v>160</v>
      </c>
      <c r="G315">
        <v>20</v>
      </c>
      <c r="H315" t="s">
        <v>101</v>
      </c>
      <c r="I315" t="s">
        <v>106</v>
      </c>
      <c r="J315" t="s">
        <v>127</v>
      </c>
      <c r="K315" t="s">
        <v>108</v>
      </c>
      <c r="L315" t="s">
        <v>203</v>
      </c>
      <c r="M315" t="s">
        <v>110</v>
      </c>
      <c r="N315">
        <v>4.3999999999999997E-2</v>
      </c>
      <c r="O315">
        <v>2.4E-2</v>
      </c>
      <c r="P315">
        <v>1.4999999999999999E-2</v>
      </c>
    </row>
    <row r="316" spans="1:16" hidden="1">
      <c r="A316" t="s">
        <v>98</v>
      </c>
      <c r="B316" t="s">
        <v>141</v>
      </c>
      <c r="C316" t="s">
        <v>556</v>
      </c>
      <c r="D316">
        <v>4</v>
      </c>
      <c r="E316">
        <v>15000</v>
      </c>
      <c r="F316">
        <v>80</v>
      </c>
      <c r="G316">
        <v>420</v>
      </c>
      <c r="H316" t="s">
        <v>101</v>
      </c>
      <c r="I316" t="s">
        <v>102</v>
      </c>
      <c r="J316" t="s">
        <v>101</v>
      </c>
      <c r="K316" t="s">
        <v>307</v>
      </c>
      <c r="L316" t="s">
        <v>101</v>
      </c>
      <c r="M316" t="s">
        <v>118</v>
      </c>
      <c r="N316">
        <v>0.26600000000000001</v>
      </c>
      <c r="O316">
        <v>0.16300000000000001</v>
      </c>
      <c r="P316">
        <v>0.104</v>
      </c>
    </row>
    <row r="317" spans="1:16">
      <c r="A317" t="s">
        <v>98</v>
      </c>
      <c r="B317" t="s">
        <v>104</v>
      </c>
      <c r="C317" t="s">
        <v>557</v>
      </c>
      <c r="D317">
        <v>1</v>
      </c>
      <c r="E317">
        <v>1700</v>
      </c>
      <c r="F317">
        <v>160</v>
      </c>
      <c r="G317">
        <v>670</v>
      </c>
      <c r="H317" t="s">
        <v>101</v>
      </c>
      <c r="I317" t="s">
        <v>106</v>
      </c>
      <c r="J317" t="s">
        <v>153</v>
      </c>
      <c r="K317" t="s">
        <v>108</v>
      </c>
      <c r="L317" t="s">
        <v>131</v>
      </c>
      <c r="M317" t="s">
        <v>110</v>
      </c>
      <c r="N317">
        <v>4.3999999999999997E-2</v>
      </c>
      <c r="O317">
        <v>2.4E-2</v>
      </c>
      <c r="P317">
        <v>1.4999999999999999E-2</v>
      </c>
    </row>
    <row r="318" spans="1:16">
      <c r="A318" t="s">
        <v>98</v>
      </c>
      <c r="B318" t="s">
        <v>172</v>
      </c>
      <c r="C318" t="s">
        <v>558</v>
      </c>
      <c r="D318">
        <v>1</v>
      </c>
      <c r="E318">
        <v>2000</v>
      </c>
      <c r="F318">
        <v>0</v>
      </c>
      <c r="G318">
        <v>20</v>
      </c>
      <c r="H318" t="s">
        <v>101</v>
      </c>
      <c r="I318" t="s">
        <v>106</v>
      </c>
      <c r="J318" t="s">
        <v>153</v>
      </c>
      <c r="K318" t="s">
        <v>108</v>
      </c>
      <c r="L318" t="s">
        <v>117</v>
      </c>
      <c r="M318" t="s">
        <v>110</v>
      </c>
      <c r="N318">
        <v>2.5999999999999999E-2</v>
      </c>
      <c r="O318">
        <v>1.7000000000000001E-2</v>
      </c>
      <c r="P318">
        <v>1.2E-2</v>
      </c>
    </row>
    <row r="319" spans="1:16">
      <c r="A319" t="s">
        <v>98</v>
      </c>
      <c r="B319" t="s">
        <v>172</v>
      </c>
      <c r="C319" t="s">
        <v>559</v>
      </c>
      <c r="D319">
        <v>1</v>
      </c>
      <c r="E319">
        <v>2000</v>
      </c>
      <c r="F319">
        <v>0</v>
      </c>
      <c r="G319">
        <v>20</v>
      </c>
      <c r="H319" t="s">
        <v>101</v>
      </c>
      <c r="I319" t="s">
        <v>106</v>
      </c>
      <c r="J319" t="s">
        <v>153</v>
      </c>
      <c r="K319" t="s">
        <v>108</v>
      </c>
      <c r="L319" t="s">
        <v>117</v>
      </c>
      <c r="M319" t="s">
        <v>110</v>
      </c>
      <c r="N319">
        <v>2.5999999999999999E-2</v>
      </c>
      <c r="O319">
        <v>1.7000000000000001E-2</v>
      </c>
      <c r="P319">
        <v>1.2E-2</v>
      </c>
    </row>
    <row r="320" spans="1:16">
      <c r="A320" t="s">
        <v>98</v>
      </c>
      <c r="B320" t="s">
        <v>172</v>
      </c>
      <c r="C320" t="s">
        <v>560</v>
      </c>
      <c r="D320">
        <v>1</v>
      </c>
      <c r="E320">
        <v>2000</v>
      </c>
      <c r="F320">
        <v>0</v>
      </c>
      <c r="G320">
        <v>20</v>
      </c>
      <c r="H320" t="s">
        <v>101</v>
      </c>
      <c r="I320" t="s">
        <v>106</v>
      </c>
      <c r="J320" t="s">
        <v>241</v>
      </c>
      <c r="K320" t="s">
        <v>108</v>
      </c>
      <c r="L320" t="s">
        <v>377</v>
      </c>
      <c r="M320" t="s">
        <v>110</v>
      </c>
      <c r="N320">
        <v>2.5999999999999999E-2</v>
      </c>
      <c r="O320">
        <v>1.7000000000000001E-2</v>
      </c>
      <c r="P320">
        <v>1.2E-2</v>
      </c>
    </row>
    <row r="321" spans="1:16" hidden="1">
      <c r="A321" t="s">
        <v>98</v>
      </c>
      <c r="B321" t="s">
        <v>104</v>
      </c>
      <c r="C321" t="s">
        <v>561</v>
      </c>
      <c r="D321">
        <v>1</v>
      </c>
      <c r="E321">
        <v>1700</v>
      </c>
      <c r="F321">
        <v>160</v>
      </c>
      <c r="G321">
        <v>20</v>
      </c>
      <c r="H321" t="s">
        <v>101</v>
      </c>
      <c r="I321" t="s">
        <v>102</v>
      </c>
      <c r="J321" t="s">
        <v>101</v>
      </c>
      <c r="K321" t="s">
        <v>137</v>
      </c>
      <c r="L321" t="s">
        <v>117</v>
      </c>
      <c r="M321" t="s">
        <v>138</v>
      </c>
      <c r="N321">
        <v>4.3999999999999997E-2</v>
      </c>
      <c r="O321">
        <v>2.4E-2</v>
      </c>
      <c r="P321">
        <v>1.4999999999999999E-2</v>
      </c>
    </row>
    <row r="322" spans="1:16">
      <c r="A322" t="s">
        <v>98</v>
      </c>
      <c r="B322" t="s">
        <v>104</v>
      </c>
      <c r="C322" t="s">
        <v>562</v>
      </c>
      <c r="D322">
        <v>1</v>
      </c>
      <c r="E322">
        <v>1700</v>
      </c>
      <c r="F322">
        <v>160</v>
      </c>
      <c r="G322">
        <v>20</v>
      </c>
      <c r="H322" t="s">
        <v>101</v>
      </c>
      <c r="I322" t="s">
        <v>106</v>
      </c>
      <c r="J322" t="s">
        <v>563</v>
      </c>
      <c r="K322" t="s">
        <v>108</v>
      </c>
      <c r="L322" t="s">
        <v>210</v>
      </c>
      <c r="M322" t="s">
        <v>110</v>
      </c>
      <c r="N322">
        <v>4.3999999999999997E-2</v>
      </c>
      <c r="O322">
        <v>2.4E-2</v>
      </c>
      <c r="P322">
        <v>1.4999999999999999E-2</v>
      </c>
    </row>
    <row r="323" spans="1:16" hidden="1">
      <c r="A323" t="s">
        <v>98</v>
      </c>
      <c r="B323" t="s">
        <v>104</v>
      </c>
      <c r="C323" t="s">
        <v>564</v>
      </c>
      <c r="D323">
        <v>1</v>
      </c>
      <c r="E323">
        <v>1700</v>
      </c>
      <c r="F323">
        <v>160</v>
      </c>
      <c r="G323">
        <v>220</v>
      </c>
      <c r="H323" t="s">
        <v>101</v>
      </c>
      <c r="I323" t="s">
        <v>102</v>
      </c>
      <c r="J323" t="s">
        <v>101</v>
      </c>
      <c r="K323" t="s">
        <v>446</v>
      </c>
      <c r="L323" t="s">
        <v>101</v>
      </c>
      <c r="M323" t="s">
        <v>125</v>
      </c>
      <c r="N323">
        <v>4.3999999999999997E-2</v>
      </c>
      <c r="O323">
        <v>2.4E-2</v>
      </c>
      <c r="P323">
        <v>1.4999999999999999E-2</v>
      </c>
    </row>
    <row r="324" spans="1:16" hidden="1">
      <c r="A324" t="s">
        <v>98</v>
      </c>
      <c r="B324" t="s">
        <v>104</v>
      </c>
      <c r="C324" t="s">
        <v>565</v>
      </c>
      <c r="D324">
        <v>1</v>
      </c>
      <c r="E324">
        <v>1700</v>
      </c>
      <c r="F324">
        <v>160</v>
      </c>
      <c r="G324">
        <v>20</v>
      </c>
      <c r="H324" t="s">
        <v>101</v>
      </c>
      <c r="I324" t="s">
        <v>102</v>
      </c>
      <c r="J324" t="s">
        <v>101</v>
      </c>
      <c r="K324" t="s">
        <v>566</v>
      </c>
      <c r="L324" t="s">
        <v>261</v>
      </c>
      <c r="M324" t="s">
        <v>125</v>
      </c>
      <c r="N324">
        <v>4.3999999999999997E-2</v>
      </c>
      <c r="O324">
        <v>2.4E-2</v>
      </c>
      <c r="P324">
        <v>1.4999999999999999E-2</v>
      </c>
    </row>
    <row r="325" spans="1:16">
      <c r="A325" t="s">
        <v>98</v>
      </c>
      <c r="B325" t="s">
        <v>176</v>
      </c>
      <c r="C325" t="s">
        <v>567</v>
      </c>
      <c r="D325">
        <v>1</v>
      </c>
      <c r="E325">
        <v>615</v>
      </c>
      <c r="F325">
        <v>160</v>
      </c>
      <c r="G325">
        <v>20</v>
      </c>
      <c r="H325" t="s">
        <v>101</v>
      </c>
      <c r="I325" t="s">
        <v>106</v>
      </c>
      <c r="J325" t="s">
        <v>214</v>
      </c>
      <c r="K325" t="s">
        <v>108</v>
      </c>
      <c r="L325" t="s">
        <v>101</v>
      </c>
      <c r="M325" t="s">
        <v>110</v>
      </c>
      <c r="N325">
        <v>0.02</v>
      </c>
      <c r="O325">
        <v>1.2E-2</v>
      </c>
      <c r="P325">
        <v>8.0000000000000002E-3</v>
      </c>
    </row>
    <row r="326" spans="1:16" hidden="1">
      <c r="A326" t="s">
        <v>98</v>
      </c>
      <c r="B326" t="s">
        <v>275</v>
      </c>
      <c r="C326" t="s">
        <v>568</v>
      </c>
      <c r="D326">
        <v>16</v>
      </c>
      <c r="E326">
        <v>30000</v>
      </c>
      <c r="F326">
        <v>320</v>
      </c>
      <c r="G326">
        <v>420</v>
      </c>
      <c r="H326" t="s">
        <v>101</v>
      </c>
      <c r="I326" t="s">
        <v>102</v>
      </c>
      <c r="J326" t="s">
        <v>101</v>
      </c>
      <c r="K326" t="s">
        <v>432</v>
      </c>
      <c r="L326" t="s">
        <v>117</v>
      </c>
      <c r="M326" t="s">
        <v>118</v>
      </c>
      <c r="N326">
        <v>0.84</v>
      </c>
      <c r="O326">
        <v>0.497</v>
      </c>
      <c r="P326">
        <v>0.314</v>
      </c>
    </row>
    <row r="327" spans="1:16">
      <c r="A327" t="s">
        <v>98</v>
      </c>
      <c r="B327" t="s">
        <v>172</v>
      </c>
      <c r="C327" t="s">
        <v>569</v>
      </c>
      <c r="D327">
        <v>1</v>
      </c>
      <c r="E327">
        <v>2000</v>
      </c>
      <c r="F327">
        <v>0</v>
      </c>
      <c r="G327">
        <v>20</v>
      </c>
      <c r="H327" t="s">
        <v>101</v>
      </c>
      <c r="I327" t="s">
        <v>106</v>
      </c>
      <c r="J327" t="s">
        <v>376</v>
      </c>
      <c r="K327" t="s">
        <v>108</v>
      </c>
      <c r="L327" t="s">
        <v>377</v>
      </c>
      <c r="M327" t="s">
        <v>110</v>
      </c>
      <c r="N327">
        <v>2.5999999999999999E-2</v>
      </c>
      <c r="O327">
        <v>1.7000000000000001E-2</v>
      </c>
      <c r="P327">
        <v>1.2E-2</v>
      </c>
    </row>
    <row r="328" spans="1:16" hidden="1">
      <c r="A328" t="s">
        <v>98</v>
      </c>
      <c r="B328" t="s">
        <v>135</v>
      </c>
      <c r="C328" t="s">
        <v>570</v>
      </c>
      <c r="D328">
        <v>1</v>
      </c>
      <c r="E328">
        <v>3750</v>
      </c>
      <c r="F328">
        <v>4</v>
      </c>
      <c r="G328">
        <v>1420</v>
      </c>
      <c r="H328" t="s">
        <v>101</v>
      </c>
      <c r="I328" t="s">
        <v>102</v>
      </c>
      <c r="J328" t="s">
        <v>101</v>
      </c>
      <c r="K328" t="s">
        <v>405</v>
      </c>
      <c r="L328" t="s">
        <v>117</v>
      </c>
      <c r="M328" t="s">
        <v>406</v>
      </c>
      <c r="N328">
        <v>6.7000000000000004E-2</v>
      </c>
      <c r="O328">
        <v>0.04</v>
      </c>
      <c r="P328">
        <v>2.5999999999999999E-2</v>
      </c>
    </row>
    <row r="329" spans="1:16">
      <c r="A329" t="s">
        <v>98</v>
      </c>
      <c r="B329" t="s">
        <v>172</v>
      </c>
      <c r="C329" t="s">
        <v>571</v>
      </c>
      <c r="D329">
        <v>1</v>
      </c>
      <c r="E329">
        <v>2000</v>
      </c>
      <c r="F329">
        <v>0</v>
      </c>
      <c r="G329">
        <v>420</v>
      </c>
      <c r="H329" t="s">
        <v>101</v>
      </c>
      <c r="I329" t="s">
        <v>106</v>
      </c>
      <c r="J329" t="s">
        <v>153</v>
      </c>
      <c r="K329" t="s">
        <v>108</v>
      </c>
      <c r="L329" t="s">
        <v>117</v>
      </c>
      <c r="M329" t="s">
        <v>110</v>
      </c>
      <c r="N329">
        <v>2.5999999999999999E-2</v>
      </c>
      <c r="O329">
        <v>1.7000000000000001E-2</v>
      </c>
      <c r="P329">
        <v>1.2E-2</v>
      </c>
    </row>
    <row r="330" spans="1:16">
      <c r="A330" t="s">
        <v>98</v>
      </c>
      <c r="B330" t="s">
        <v>104</v>
      </c>
      <c r="C330" t="s">
        <v>572</v>
      </c>
      <c r="D330">
        <v>1</v>
      </c>
      <c r="E330">
        <v>1700</v>
      </c>
      <c r="F330">
        <v>160</v>
      </c>
      <c r="G330">
        <v>20</v>
      </c>
      <c r="H330" t="s">
        <v>101</v>
      </c>
      <c r="I330" t="s">
        <v>106</v>
      </c>
      <c r="J330" t="s">
        <v>490</v>
      </c>
      <c r="K330" t="s">
        <v>108</v>
      </c>
      <c r="L330" t="s">
        <v>175</v>
      </c>
      <c r="M330" t="s">
        <v>110</v>
      </c>
      <c r="N330">
        <v>4.3999999999999997E-2</v>
      </c>
      <c r="O330">
        <v>2.4E-2</v>
      </c>
      <c r="P330">
        <v>1.4999999999999999E-2</v>
      </c>
    </row>
    <row r="331" spans="1:16" hidden="1">
      <c r="A331" t="s">
        <v>98</v>
      </c>
      <c r="B331" t="s">
        <v>157</v>
      </c>
      <c r="C331" t="s">
        <v>573</v>
      </c>
      <c r="D331">
        <v>1</v>
      </c>
      <c r="E331">
        <v>3750</v>
      </c>
      <c r="F331">
        <v>410</v>
      </c>
      <c r="G331">
        <v>220</v>
      </c>
      <c r="H331" t="s">
        <v>101</v>
      </c>
      <c r="I331" t="s">
        <v>102</v>
      </c>
      <c r="J331" t="s">
        <v>101</v>
      </c>
      <c r="K331" t="s">
        <v>159</v>
      </c>
      <c r="L331" t="s">
        <v>101</v>
      </c>
      <c r="M331" t="s">
        <v>160</v>
      </c>
      <c r="N331">
        <v>8.6999999999999994E-2</v>
      </c>
      <c r="O331">
        <v>4.7E-2</v>
      </c>
      <c r="P331">
        <v>2.9000000000000001E-2</v>
      </c>
    </row>
    <row r="332" spans="1:16">
      <c r="A332" t="s">
        <v>98</v>
      </c>
      <c r="B332" t="s">
        <v>104</v>
      </c>
      <c r="C332" t="s">
        <v>574</v>
      </c>
      <c r="D332">
        <v>1</v>
      </c>
      <c r="E332">
        <v>1700</v>
      </c>
      <c r="F332">
        <v>160</v>
      </c>
      <c r="G332">
        <v>20</v>
      </c>
      <c r="H332" t="s">
        <v>101</v>
      </c>
      <c r="I332" t="s">
        <v>106</v>
      </c>
      <c r="J332" t="s">
        <v>251</v>
      </c>
      <c r="K332" t="s">
        <v>108</v>
      </c>
      <c r="L332" t="s">
        <v>252</v>
      </c>
      <c r="M332" t="s">
        <v>110</v>
      </c>
      <c r="N332">
        <v>4.3999999999999997E-2</v>
      </c>
      <c r="O332">
        <v>2.4E-2</v>
      </c>
      <c r="P332">
        <v>1.4999999999999999E-2</v>
      </c>
    </row>
    <row r="333" spans="1:16" hidden="1">
      <c r="A333" t="s">
        <v>98</v>
      </c>
      <c r="B333" t="s">
        <v>132</v>
      </c>
      <c r="C333" t="s">
        <v>575</v>
      </c>
      <c r="D333">
        <v>2</v>
      </c>
      <c r="E333">
        <v>7500</v>
      </c>
      <c r="F333">
        <v>850</v>
      </c>
      <c r="G333">
        <v>20</v>
      </c>
      <c r="H333" t="s">
        <v>101</v>
      </c>
      <c r="I333" t="s">
        <v>102</v>
      </c>
      <c r="J333" t="s">
        <v>101</v>
      </c>
      <c r="K333" t="s">
        <v>207</v>
      </c>
      <c r="L333" t="s">
        <v>101</v>
      </c>
      <c r="M333" t="s">
        <v>134</v>
      </c>
      <c r="N333">
        <v>0.17499999999999999</v>
      </c>
      <c r="O333">
        <v>9.5000000000000001E-2</v>
      </c>
      <c r="P333">
        <v>5.8999999999999997E-2</v>
      </c>
    </row>
    <row r="334" spans="1:16">
      <c r="A334" t="s">
        <v>98</v>
      </c>
      <c r="B334" t="s">
        <v>104</v>
      </c>
      <c r="C334" t="s">
        <v>576</v>
      </c>
      <c r="D334">
        <v>1</v>
      </c>
      <c r="E334">
        <v>1700</v>
      </c>
      <c r="F334">
        <v>160</v>
      </c>
      <c r="G334">
        <v>20</v>
      </c>
      <c r="H334" t="s">
        <v>101</v>
      </c>
      <c r="I334" t="s">
        <v>106</v>
      </c>
      <c r="J334" t="s">
        <v>490</v>
      </c>
      <c r="K334" t="s">
        <v>108</v>
      </c>
      <c r="L334" t="s">
        <v>210</v>
      </c>
      <c r="M334" t="s">
        <v>110</v>
      </c>
      <c r="N334">
        <v>4.3999999999999997E-2</v>
      </c>
      <c r="O334">
        <v>2.4E-2</v>
      </c>
      <c r="P334">
        <v>1.4999999999999999E-2</v>
      </c>
    </row>
    <row r="335" spans="1:16">
      <c r="A335" t="s">
        <v>98</v>
      </c>
      <c r="B335" t="s">
        <v>104</v>
      </c>
      <c r="C335" t="s">
        <v>577</v>
      </c>
      <c r="D335">
        <v>1</v>
      </c>
      <c r="E335">
        <v>1700</v>
      </c>
      <c r="F335">
        <v>160</v>
      </c>
      <c r="G335">
        <v>20</v>
      </c>
      <c r="H335" t="s">
        <v>101</v>
      </c>
      <c r="I335" t="s">
        <v>106</v>
      </c>
      <c r="J335" t="s">
        <v>107</v>
      </c>
      <c r="K335" t="s">
        <v>108</v>
      </c>
      <c r="L335" t="s">
        <v>109</v>
      </c>
      <c r="M335" t="s">
        <v>110</v>
      </c>
      <c r="N335">
        <v>4.3999999999999997E-2</v>
      </c>
      <c r="O335">
        <v>2.4E-2</v>
      </c>
      <c r="P335">
        <v>1.4999999999999999E-2</v>
      </c>
    </row>
    <row r="336" spans="1:16">
      <c r="A336" t="s">
        <v>98</v>
      </c>
      <c r="B336" t="s">
        <v>172</v>
      </c>
      <c r="C336" t="s">
        <v>578</v>
      </c>
      <c r="D336">
        <v>1</v>
      </c>
      <c r="E336">
        <v>2000</v>
      </c>
      <c r="F336">
        <v>0</v>
      </c>
      <c r="G336">
        <v>220</v>
      </c>
      <c r="H336" t="s">
        <v>101</v>
      </c>
      <c r="I336" t="s">
        <v>106</v>
      </c>
      <c r="J336" t="s">
        <v>189</v>
      </c>
      <c r="K336" t="s">
        <v>108</v>
      </c>
      <c r="L336" t="s">
        <v>131</v>
      </c>
      <c r="M336" t="s">
        <v>110</v>
      </c>
      <c r="N336">
        <v>2.5999999999999999E-2</v>
      </c>
      <c r="O336">
        <v>1.7000000000000001E-2</v>
      </c>
      <c r="P336">
        <v>1.2E-2</v>
      </c>
    </row>
    <row r="337" spans="1:16" hidden="1">
      <c r="A337" t="s">
        <v>98</v>
      </c>
      <c r="B337" t="s">
        <v>104</v>
      </c>
      <c r="C337" t="s">
        <v>579</v>
      </c>
      <c r="D337">
        <v>1</v>
      </c>
      <c r="E337">
        <v>1700</v>
      </c>
      <c r="F337">
        <v>160</v>
      </c>
      <c r="G337">
        <v>820</v>
      </c>
      <c r="H337" t="s">
        <v>101</v>
      </c>
      <c r="I337" t="s">
        <v>102</v>
      </c>
      <c r="J337" t="s">
        <v>101</v>
      </c>
      <c r="K337" t="s">
        <v>265</v>
      </c>
      <c r="L337" t="s">
        <v>117</v>
      </c>
      <c r="M337" t="s">
        <v>125</v>
      </c>
      <c r="N337">
        <v>4.3999999999999997E-2</v>
      </c>
      <c r="O337">
        <v>2.4E-2</v>
      </c>
      <c r="P337">
        <v>1.4999999999999999E-2</v>
      </c>
    </row>
    <row r="338" spans="1:16" hidden="1">
      <c r="A338" t="s">
        <v>98</v>
      </c>
      <c r="B338" t="s">
        <v>99</v>
      </c>
      <c r="C338" t="s">
        <v>580</v>
      </c>
      <c r="D338">
        <v>2</v>
      </c>
      <c r="E338">
        <v>3750</v>
      </c>
      <c r="F338">
        <v>32</v>
      </c>
      <c r="G338">
        <v>820</v>
      </c>
      <c r="H338" t="s">
        <v>101</v>
      </c>
      <c r="I338" t="s">
        <v>102</v>
      </c>
      <c r="J338" t="s">
        <v>101</v>
      </c>
      <c r="K338" t="s">
        <v>418</v>
      </c>
      <c r="L338" t="s">
        <v>101</v>
      </c>
      <c r="M338" t="s">
        <v>151</v>
      </c>
      <c r="N338">
        <v>0.105</v>
      </c>
      <c r="O338">
        <v>6.2E-2</v>
      </c>
      <c r="P338">
        <v>3.9E-2</v>
      </c>
    </row>
    <row r="339" spans="1:16">
      <c r="A339" t="s">
        <v>98</v>
      </c>
      <c r="B339" t="s">
        <v>104</v>
      </c>
      <c r="C339" t="s">
        <v>581</v>
      </c>
      <c r="D339">
        <v>1</v>
      </c>
      <c r="E339">
        <v>1700</v>
      </c>
      <c r="F339">
        <v>160</v>
      </c>
      <c r="G339">
        <v>20</v>
      </c>
      <c r="H339" t="s">
        <v>101</v>
      </c>
      <c r="I339" t="s">
        <v>106</v>
      </c>
      <c r="J339" t="s">
        <v>171</v>
      </c>
      <c r="K339" t="s">
        <v>108</v>
      </c>
      <c r="L339" t="s">
        <v>131</v>
      </c>
      <c r="M339" t="s">
        <v>110</v>
      </c>
      <c r="N339">
        <v>4.3999999999999997E-2</v>
      </c>
      <c r="O339">
        <v>2.4E-2</v>
      </c>
      <c r="P339">
        <v>1.4999999999999999E-2</v>
      </c>
    </row>
    <row r="340" spans="1:16">
      <c r="A340" t="s">
        <v>98</v>
      </c>
      <c r="B340" t="s">
        <v>172</v>
      </c>
      <c r="C340" t="s">
        <v>582</v>
      </c>
      <c r="D340">
        <v>1</v>
      </c>
      <c r="E340">
        <v>2000</v>
      </c>
      <c r="F340">
        <v>0</v>
      </c>
      <c r="G340">
        <v>820</v>
      </c>
      <c r="H340" t="s">
        <v>101</v>
      </c>
      <c r="I340" t="s">
        <v>106</v>
      </c>
      <c r="J340" t="s">
        <v>153</v>
      </c>
      <c r="K340" t="s">
        <v>108</v>
      </c>
      <c r="L340" t="s">
        <v>117</v>
      </c>
      <c r="M340" t="s">
        <v>110</v>
      </c>
      <c r="N340">
        <v>2.5999999999999999E-2</v>
      </c>
      <c r="O340">
        <v>1.7000000000000001E-2</v>
      </c>
      <c r="P340">
        <v>1.2E-2</v>
      </c>
    </row>
    <row r="341" spans="1:16">
      <c r="A341" t="s">
        <v>98</v>
      </c>
      <c r="B341" t="s">
        <v>157</v>
      </c>
      <c r="C341" t="s">
        <v>583</v>
      </c>
      <c r="D341">
        <v>1</v>
      </c>
      <c r="E341">
        <v>3750</v>
      </c>
      <c r="F341">
        <v>410</v>
      </c>
      <c r="G341">
        <v>20</v>
      </c>
      <c r="H341" t="s">
        <v>101</v>
      </c>
      <c r="I341" t="s">
        <v>106</v>
      </c>
      <c r="J341" t="s">
        <v>376</v>
      </c>
      <c r="K341" t="s">
        <v>108</v>
      </c>
      <c r="L341" t="s">
        <v>109</v>
      </c>
      <c r="M341" t="s">
        <v>110</v>
      </c>
      <c r="N341">
        <v>8.6999999999999994E-2</v>
      </c>
      <c r="O341">
        <v>4.7E-2</v>
      </c>
      <c r="P341">
        <v>2.9000000000000001E-2</v>
      </c>
    </row>
    <row r="342" spans="1:16" hidden="1">
      <c r="A342" t="s">
        <v>98</v>
      </c>
      <c r="B342" t="s">
        <v>135</v>
      </c>
      <c r="C342" t="s">
        <v>584</v>
      </c>
      <c r="D342">
        <v>1</v>
      </c>
      <c r="E342">
        <v>3750</v>
      </c>
      <c r="F342">
        <v>4</v>
      </c>
      <c r="G342">
        <v>420</v>
      </c>
      <c r="H342" t="s">
        <v>101</v>
      </c>
      <c r="I342" t="s">
        <v>102</v>
      </c>
      <c r="J342" t="s">
        <v>101</v>
      </c>
      <c r="K342" t="s">
        <v>150</v>
      </c>
      <c r="L342" t="s">
        <v>117</v>
      </c>
      <c r="M342" t="s">
        <v>151</v>
      </c>
      <c r="N342">
        <v>6.7000000000000004E-2</v>
      </c>
      <c r="O342">
        <v>0.04</v>
      </c>
      <c r="P342">
        <v>2.5999999999999999E-2</v>
      </c>
    </row>
    <row r="343" spans="1:16">
      <c r="A343" t="s">
        <v>98</v>
      </c>
      <c r="B343" t="s">
        <v>104</v>
      </c>
      <c r="C343" t="s">
        <v>585</v>
      </c>
      <c r="D343">
        <v>1</v>
      </c>
      <c r="E343">
        <v>1700</v>
      </c>
      <c r="F343">
        <v>160</v>
      </c>
      <c r="G343">
        <v>20</v>
      </c>
      <c r="H343" t="s">
        <v>101</v>
      </c>
      <c r="I343" t="s">
        <v>106</v>
      </c>
      <c r="J343" t="s">
        <v>191</v>
      </c>
      <c r="K343" t="s">
        <v>108</v>
      </c>
      <c r="L343" t="s">
        <v>394</v>
      </c>
      <c r="M343" t="s">
        <v>110</v>
      </c>
      <c r="N343">
        <v>4.3999999999999997E-2</v>
      </c>
      <c r="O343">
        <v>2.4E-2</v>
      </c>
      <c r="P343">
        <v>1.4999999999999999E-2</v>
      </c>
    </row>
    <row r="344" spans="1:16">
      <c r="A344" t="s">
        <v>98</v>
      </c>
      <c r="B344" t="s">
        <v>172</v>
      </c>
      <c r="C344" t="s">
        <v>586</v>
      </c>
      <c r="D344">
        <v>1</v>
      </c>
      <c r="E344">
        <v>2000</v>
      </c>
      <c r="F344">
        <v>0</v>
      </c>
      <c r="G344">
        <v>20</v>
      </c>
      <c r="H344" t="s">
        <v>101</v>
      </c>
      <c r="I344" t="s">
        <v>106</v>
      </c>
      <c r="J344" t="s">
        <v>174</v>
      </c>
      <c r="K344" t="s">
        <v>108</v>
      </c>
      <c r="L344" t="s">
        <v>203</v>
      </c>
      <c r="M344" t="s">
        <v>110</v>
      </c>
      <c r="N344">
        <v>2.5999999999999999E-2</v>
      </c>
      <c r="O344">
        <v>1.7000000000000001E-2</v>
      </c>
      <c r="P344">
        <v>1.2E-2</v>
      </c>
    </row>
    <row r="345" spans="1:16">
      <c r="A345" t="s">
        <v>98</v>
      </c>
      <c r="B345" t="s">
        <v>99</v>
      </c>
      <c r="C345" t="s">
        <v>587</v>
      </c>
      <c r="D345">
        <v>2</v>
      </c>
      <c r="E345">
        <v>3750</v>
      </c>
      <c r="F345">
        <v>32</v>
      </c>
      <c r="G345">
        <v>20</v>
      </c>
      <c r="H345" t="s">
        <v>101</v>
      </c>
      <c r="I345" t="s">
        <v>106</v>
      </c>
      <c r="J345" t="s">
        <v>227</v>
      </c>
      <c r="K345" t="s">
        <v>108</v>
      </c>
      <c r="L345" t="s">
        <v>228</v>
      </c>
      <c r="M345" t="s">
        <v>110</v>
      </c>
      <c r="N345">
        <v>0.105</v>
      </c>
      <c r="O345">
        <v>6.2E-2</v>
      </c>
      <c r="P345">
        <v>3.9E-2</v>
      </c>
    </row>
    <row r="346" spans="1:16" hidden="1">
      <c r="A346" t="s">
        <v>98</v>
      </c>
      <c r="B346" t="s">
        <v>588</v>
      </c>
      <c r="C346" t="s">
        <v>589</v>
      </c>
      <c r="D346">
        <v>4</v>
      </c>
      <c r="E346">
        <v>7500</v>
      </c>
      <c r="F346">
        <v>80</v>
      </c>
      <c r="G346">
        <v>70</v>
      </c>
      <c r="H346" t="s">
        <v>101</v>
      </c>
      <c r="I346" t="s">
        <v>102</v>
      </c>
      <c r="J346" t="s">
        <v>101</v>
      </c>
      <c r="K346" t="s">
        <v>195</v>
      </c>
      <c r="L346" t="s">
        <v>101</v>
      </c>
      <c r="M346" t="s">
        <v>110</v>
      </c>
      <c r="N346">
        <v>0.21</v>
      </c>
      <c r="O346">
        <v>0.125</v>
      </c>
      <c r="P346">
        <v>7.9000000000000001E-2</v>
      </c>
    </row>
    <row r="347" spans="1:16" hidden="1">
      <c r="A347" t="s">
        <v>98</v>
      </c>
      <c r="B347" t="s">
        <v>141</v>
      </c>
      <c r="C347" t="s">
        <v>590</v>
      </c>
      <c r="D347">
        <v>4</v>
      </c>
      <c r="E347">
        <v>15000</v>
      </c>
      <c r="F347">
        <v>80</v>
      </c>
      <c r="G347">
        <v>420</v>
      </c>
      <c r="H347" t="s">
        <v>101</v>
      </c>
      <c r="I347" t="s">
        <v>102</v>
      </c>
      <c r="J347" t="s">
        <v>101</v>
      </c>
      <c r="K347" t="s">
        <v>432</v>
      </c>
      <c r="L347" t="s">
        <v>117</v>
      </c>
      <c r="M347" t="s">
        <v>118</v>
      </c>
      <c r="N347">
        <v>0.26600000000000001</v>
      </c>
      <c r="O347">
        <v>0.16300000000000001</v>
      </c>
      <c r="P347">
        <v>0.104</v>
      </c>
    </row>
    <row r="348" spans="1:16">
      <c r="A348" t="s">
        <v>98</v>
      </c>
      <c r="B348" t="s">
        <v>104</v>
      </c>
      <c r="C348" t="s">
        <v>591</v>
      </c>
      <c r="D348">
        <v>1</v>
      </c>
      <c r="E348">
        <v>1700</v>
      </c>
      <c r="F348">
        <v>160</v>
      </c>
      <c r="G348">
        <v>420</v>
      </c>
      <c r="H348" t="s">
        <v>101</v>
      </c>
      <c r="I348" t="s">
        <v>106</v>
      </c>
      <c r="J348" t="s">
        <v>153</v>
      </c>
      <c r="K348" t="s">
        <v>108</v>
      </c>
      <c r="L348" t="s">
        <v>154</v>
      </c>
      <c r="M348" t="s">
        <v>110</v>
      </c>
      <c r="N348">
        <v>4.3999999999999997E-2</v>
      </c>
      <c r="O348">
        <v>2.4E-2</v>
      </c>
      <c r="P348">
        <v>1.4999999999999999E-2</v>
      </c>
    </row>
    <row r="349" spans="1:16" hidden="1">
      <c r="A349" t="s">
        <v>98</v>
      </c>
      <c r="B349" t="s">
        <v>141</v>
      </c>
      <c r="C349" t="s">
        <v>592</v>
      </c>
      <c r="D349">
        <v>4</v>
      </c>
      <c r="E349">
        <v>15000</v>
      </c>
      <c r="F349">
        <v>80</v>
      </c>
      <c r="G349">
        <v>20</v>
      </c>
      <c r="H349" t="s">
        <v>101</v>
      </c>
      <c r="I349" t="s">
        <v>102</v>
      </c>
      <c r="J349" t="s">
        <v>101</v>
      </c>
      <c r="K349" t="s">
        <v>156</v>
      </c>
      <c r="L349" t="s">
        <v>101</v>
      </c>
      <c r="M349" t="s">
        <v>118</v>
      </c>
      <c r="N349">
        <v>0.26600000000000001</v>
      </c>
      <c r="O349">
        <v>0.16300000000000001</v>
      </c>
      <c r="P349">
        <v>0.104</v>
      </c>
    </row>
    <row r="350" spans="1:16">
      <c r="A350" t="s">
        <v>98</v>
      </c>
      <c r="B350" t="s">
        <v>104</v>
      </c>
      <c r="C350" t="s">
        <v>593</v>
      </c>
      <c r="D350">
        <v>1</v>
      </c>
      <c r="E350">
        <v>1700</v>
      </c>
      <c r="F350">
        <v>160</v>
      </c>
      <c r="G350">
        <v>70</v>
      </c>
      <c r="H350" t="s">
        <v>101</v>
      </c>
      <c r="I350" t="s">
        <v>106</v>
      </c>
      <c r="J350" t="s">
        <v>239</v>
      </c>
      <c r="K350" t="s">
        <v>108</v>
      </c>
      <c r="L350" t="s">
        <v>231</v>
      </c>
      <c r="M350" t="s">
        <v>110</v>
      </c>
      <c r="N350">
        <v>4.3999999999999997E-2</v>
      </c>
      <c r="O350">
        <v>2.4E-2</v>
      </c>
      <c r="P350">
        <v>1.4999999999999999E-2</v>
      </c>
    </row>
    <row r="351" spans="1:16" hidden="1">
      <c r="A351" t="s">
        <v>98</v>
      </c>
      <c r="B351" t="s">
        <v>135</v>
      </c>
      <c r="C351" t="s">
        <v>594</v>
      </c>
      <c r="D351">
        <v>1</v>
      </c>
      <c r="E351">
        <v>3750</v>
      </c>
      <c r="F351">
        <v>4</v>
      </c>
      <c r="G351">
        <v>420</v>
      </c>
      <c r="H351" t="s">
        <v>101</v>
      </c>
      <c r="I351" t="s">
        <v>102</v>
      </c>
      <c r="J351" t="s">
        <v>101</v>
      </c>
      <c r="K351" t="s">
        <v>150</v>
      </c>
      <c r="L351" t="s">
        <v>117</v>
      </c>
      <c r="M351" t="s">
        <v>151</v>
      </c>
      <c r="N351">
        <v>6.7000000000000004E-2</v>
      </c>
      <c r="O351">
        <v>0.04</v>
      </c>
      <c r="P351">
        <v>2.5999999999999999E-2</v>
      </c>
    </row>
    <row r="352" spans="1:16" hidden="1">
      <c r="A352" t="s">
        <v>98</v>
      </c>
      <c r="B352" t="s">
        <v>164</v>
      </c>
      <c r="C352" t="s">
        <v>595</v>
      </c>
      <c r="D352">
        <v>8</v>
      </c>
      <c r="E352">
        <v>30000</v>
      </c>
      <c r="F352">
        <v>160</v>
      </c>
      <c r="G352">
        <v>820</v>
      </c>
      <c r="H352" t="s">
        <v>101</v>
      </c>
      <c r="I352" t="s">
        <v>102</v>
      </c>
      <c r="J352" t="s">
        <v>101</v>
      </c>
      <c r="K352" t="s">
        <v>383</v>
      </c>
      <c r="L352" t="s">
        <v>245</v>
      </c>
      <c r="M352" t="s">
        <v>384</v>
      </c>
      <c r="N352">
        <v>0.53200000000000003</v>
      </c>
      <c r="O352">
        <v>0.32400000000000001</v>
      </c>
      <c r="P352">
        <v>0.20899999999999999</v>
      </c>
    </row>
    <row r="353" spans="1:16" hidden="1">
      <c r="A353" t="s">
        <v>98</v>
      </c>
      <c r="B353" t="s">
        <v>157</v>
      </c>
      <c r="C353" t="s">
        <v>596</v>
      </c>
      <c r="D353">
        <v>1</v>
      </c>
      <c r="E353">
        <v>3750</v>
      </c>
      <c r="F353">
        <v>410</v>
      </c>
      <c r="G353">
        <v>20</v>
      </c>
      <c r="H353" t="s">
        <v>101</v>
      </c>
      <c r="I353" t="s">
        <v>102</v>
      </c>
      <c r="J353" t="s">
        <v>101</v>
      </c>
      <c r="K353" t="s">
        <v>166</v>
      </c>
      <c r="L353" t="s">
        <v>124</v>
      </c>
      <c r="M353" t="s">
        <v>125</v>
      </c>
      <c r="N353">
        <v>8.6999999999999994E-2</v>
      </c>
      <c r="O353">
        <v>4.7E-2</v>
      </c>
      <c r="P353">
        <v>2.9000000000000001E-2</v>
      </c>
    </row>
    <row r="354" spans="1:16">
      <c r="A354" t="s">
        <v>98</v>
      </c>
      <c r="B354" t="s">
        <v>104</v>
      </c>
      <c r="C354" t="s">
        <v>597</v>
      </c>
      <c r="D354">
        <v>1</v>
      </c>
      <c r="E354">
        <v>1700</v>
      </c>
      <c r="F354">
        <v>160</v>
      </c>
      <c r="G354">
        <v>20</v>
      </c>
      <c r="H354" t="s">
        <v>101</v>
      </c>
      <c r="I354" t="s">
        <v>106</v>
      </c>
      <c r="J354" t="s">
        <v>342</v>
      </c>
      <c r="K354" t="s">
        <v>108</v>
      </c>
      <c r="L354" t="s">
        <v>210</v>
      </c>
      <c r="M354" t="s">
        <v>110</v>
      </c>
      <c r="N354">
        <v>4.3999999999999997E-2</v>
      </c>
      <c r="O354">
        <v>2.4E-2</v>
      </c>
      <c r="P354">
        <v>1.4999999999999999E-2</v>
      </c>
    </row>
    <row r="355" spans="1:16" hidden="1">
      <c r="A355" t="s">
        <v>98</v>
      </c>
      <c r="B355" t="s">
        <v>99</v>
      </c>
      <c r="C355" t="s">
        <v>598</v>
      </c>
      <c r="D355">
        <v>2</v>
      </c>
      <c r="E355">
        <v>3750</v>
      </c>
      <c r="F355">
        <v>32</v>
      </c>
      <c r="G355">
        <v>8</v>
      </c>
      <c r="H355" t="s">
        <v>101</v>
      </c>
      <c r="I355" t="s">
        <v>102</v>
      </c>
      <c r="J355" t="s">
        <v>101</v>
      </c>
      <c r="K355" t="s">
        <v>101</v>
      </c>
      <c r="L355" t="s">
        <v>101</v>
      </c>
      <c r="M355" t="s">
        <v>138</v>
      </c>
      <c r="N355">
        <v>0.105</v>
      </c>
      <c r="O355">
        <v>6.2E-2</v>
      </c>
      <c r="P355">
        <v>3.9E-2</v>
      </c>
    </row>
    <row r="356" spans="1:16" hidden="1">
      <c r="A356" t="s">
        <v>98</v>
      </c>
      <c r="B356" t="s">
        <v>104</v>
      </c>
      <c r="C356" t="s">
        <v>599</v>
      </c>
      <c r="D356">
        <v>1</v>
      </c>
      <c r="E356">
        <v>1700</v>
      </c>
      <c r="F356">
        <v>160</v>
      </c>
      <c r="G356">
        <v>20</v>
      </c>
      <c r="H356" t="s">
        <v>101</v>
      </c>
      <c r="I356" t="s">
        <v>102</v>
      </c>
      <c r="J356" t="s">
        <v>101</v>
      </c>
      <c r="K356" t="s">
        <v>101</v>
      </c>
      <c r="L356" t="s">
        <v>101</v>
      </c>
      <c r="M356" t="s">
        <v>125</v>
      </c>
      <c r="N356">
        <v>4.3999999999999997E-2</v>
      </c>
      <c r="O356">
        <v>2.4E-2</v>
      </c>
      <c r="P356">
        <v>1.4999999999999999E-2</v>
      </c>
    </row>
    <row r="357" spans="1:16">
      <c r="A357" t="s">
        <v>98</v>
      </c>
      <c r="B357" t="s">
        <v>104</v>
      </c>
      <c r="C357" t="s">
        <v>600</v>
      </c>
      <c r="D357">
        <v>1</v>
      </c>
      <c r="E357">
        <v>1700</v>
      </c>
      <c r="F357">
        <v>160</v>
      </c>
      <c r="G357">
        <v>20</v>
      </c>
      <c r="H357" t="s">
        <v>101</v>
      </c>
      <c r="I357" t="s">
        <v>106</v>
      </c>
      <c r="J357" t="s">
        <v>112</v>
      </c>
      <c r="K357" t="s">
        <v>108</v>
      </c>
      <c r="L357" t="s">
        <v>128</v>
      </c>
      <c r="M357" t="s">
        <v>110</v>
      </c>
      <c r="N357">
        <v>4.3999999999999997E-2</v>
      </c>
      <c r="O357">
        <v>2.4E-2</v>
      </c>
      <c r="P357">
        <v>1.4999999999999999E-2</v>
      </c>
    </row>
    <row r="358" spans="1:16" hidden="1">
      <c r="A358" t="s">
        <v>98</v>
      </c>
      <c r="B358" t="s">
        <v>141</v>
      </c>
      <c r="C358" t="s">
        <v>601</v>
      </c>
      <c r="D358">
        <v>4</v>
      </c>
      <c r="E358">
        <v>15000</v>
      </c>
      <c r="F358">
        <v>80</v>
      </c>
      <c r="G358">
        <v>420</v>
      </c>
      <c r="H358" t="s">
        <v>101</v>
      </c>
      <c r="I358" t="s">
        <v>102</v>
      </c>
      <c r="J358" t="s">
        <v>101</v>
      </c>
      <c r="K358" t="s">
        <v>184</v>
      </c>
      <c r="L358" t="s">
        <v>117</v>
      </c>
      <c r="M358" t="s">
        <v>118</v>
      </c>
      <c r="N358">
        <v>0.26600000000000001</v>
      </c>
      <c r="O358">
        <v>0.16300000000000001</v>
      </c>
      <c r="P358">
        <v>0.104</v>
      </c>
    </row>
    <row r="359" spans="1:16">
      <c r="A359" t="s">
        <v>98</v>
      </c>
      <c r="B359" t="s">
        <v>135</v>
      </c>
      <c r="C359" t="s">
        <v>602</v>
      </c>
      <c r="D359">
        <v>1</v>
      </c>
      <c r="E359">
        <v>3750</v>
      </c>
      <c r="F359">
        <v>4</v>
      </c>
      <c r="G359">
        <v>20</v>
      </c>
      <c r="H359" t="s">
        <v>101</v>
      </c>
      <c r="I359" t="s">
        <v>106</v>
      </c>
      <c r="J359" t="s">
        <v>603</v>
      </c>
      <c r="K359" t="s">
        <v>108</v>
      </c>
      <c r="L359" t="s">
        <v>192</v>
      </c>
      <c r="M359" t="s">
        <v>110</v>
      </c>
      <c r="N359">
        <v>6.7000000000000004E-2</v>
      </c>
      <c r="O359">
        <v>0.04</v>
      </c>
      <c r="P359">
        <v>2.5999999999999999E-2</v>
      </c>
    </row>
    <row r="360" spans="1:16">
      <c r="A360" t="s">
        <v>98</v>
      </c>
      <c r="B360" t="s">
        <v>104</v>
      </c>
      <c r="C360" t="s">
        <v>604</v>
      </c>
      <c r="D360">
        <v>1</v>
      </c>
      <c r="E360">
        <v>1700</v>
      </c>
      <c r="F360">
        <v>160</v>
      </c>
      <c r="G360">
        <v>20</v>
      </c>
      <c r="H360" t="s">
        <v>101</v>
      </c>
      <c r="I360" t="s">
        <v>106</v>
      </c>
      <c r="J360" t="s">
        <v>120</v>
      </c>
      <c r="K360" t="s">
        <v>108</v>
      </c>
      <c r="L360" t="s">
        <v>541</v>
      </c>
      <c r="M360" t="s">
        <v>110</v>
      </c>
      <c r="N360">
        <v>4.3999999999999997E-2</v>
      </c>
      <c r="O360">
        <v>2.4E-2</v>
      </c>
      <c r="P360">
        <v>1.4999999999999999E-2</v>
      </c>
    </row>
    <row r="361" spans="1:16" hidden="1">
      <c r="A361" t="s">
        <v>98</v>
      </c>
      <c r="B361" t="s">
        <v>135</v>
      </c>
      <c r="C361" t="s">
        <v>605</v>
      </c>
      <c r="D361">
        <v>1</v>
      </c>
      <c r="E361">
        <v>3750</v>
      </c>
      <c r="F361">
        <v>4</v>
      </c>
      <c r="G361">
        <v>420</v>
      </c>
      <c r="H361" t="s">
        <v>101</v>
      </c>
      <c r="I361" t="s">
        <v>102</v>
      </c>
      <c r="J361" t="s">
        <v>101</v>
      </c>
      <c r="K361" t="s">
        <v>205</v>
      </c>
      <c r="L361" t="s">
        <v>117</v>
      </c>
      <c r="M361" t="s">
        <v>118</v>
      </c>
      <c r="N361">
        <v>6.7000000000000004E-2</v>
      </c>
      <c r="O361">
        <v>0.04</v>
      </c>
      <c r="P361">
        <v>2.5999999999999999E-2</v>
      </c>
    </row>
    <row r="362" spans="1:16" hidden="1">
      <c r="A362" t="s">
        <v>98</v>
      </c>
      <c r="B362" t="s">
        <v>104</v>
      </c>
      <c r="C362" t="s">
        <v>606</v>
      </c>
      <c r="D362">
        <v>1</v>
      </c>
      <c r="E362">
        <v>1700</v>
      </c>
      <c r="F362">
        <v>160</v>
      </c>
      <c r="G362">
        <v>20</v>
      </c>
      <c r="H362" t="s">
        <v>101</v>
      </c>
      <c r="I362" t="s">
        <v>102</v>
      </c>
      <c r="J362" t="s">
        <v>101</v>
      </c>
      <c r="K362" t="s">
        <v>207</v>
      </c>
      <c r="L362" t="s">
        <v>117</v>
      </c>
      <c r="M362" t="s">
        <v>134</v>
      </c>
      <c r="N362">
        <v>4.3999999999999997E-2</v>
      </c>
      <c r="O362">
        <v>2.4E-2</v>
      </c>
      <c r="P362">
        <v>1.4999999999999999E-2</v>
      </c>
    </row>
    <row r="363" spans="1:16" hidden="1">
      <c r="A363" t="s">
        <v>98</v>
      </c>
      <c r="B363" t="s">
        <v>135</v>
      </c>
      <c r="C363" t="s">
        <v>607</v>
      </c>
      <c r="D363">
        <v>1</v>
      </c>
      <c r="E363">
        <v>3750</v>
      </c>
      <c r="F363">
        <v>4</v>
      </c>
      <c r="G363">
        <v>420</v>
      </c>
      <c r="H363" t="s">
        <v>101</v>
      </c>
      <c r="I363" t="s">
        <v>102</v>
      </c>
      <c r="J363" t="s">
        <v>101</v>
      </c>
      <c r="K363" t="s">
        <v>195</v>
      </c>
      <c r="L363" t="s">
        <v>101</v>
      </c>
      <c r="M363" t="s">
        <v>110</v>
      </c>
      <c r="N363">
        <v>6.7000000000000004E-2</v>
      </c>
      <c r="O363">
        <v>0.04</v>
      </c>
      <c r="P363">
        <v>2.5999999999999999E-2</v>
      </c>
    </row>
    <row r="364" spans="1:16">
      <c r="A364" t="s">
        <v>98</v>
      </c>
      <c r="B364" t="s">
        <v>104</v>
      </c>
      <c r="C364" t="s">
        <v>608</v>
      </c>
      <c r="D364">
        <v>1</v>
      </c>
      <c r="E364">
        <v>1700</v>
      </c>
      <c r="F364">
        <v>160</v>
      </c>
      <c r="G364">
        <v>20</v>
      </c>
      <c r="H364" t="s">
        <v>101</v>
      </c>
      <c r="I364" t="s">
        <v>106</v>
      </c>
      <c r="J364" t="s">
        <v>609</v>
      </c>
      <c r="K364" t="s">
        <v>108</v>
      </c>
      <c r="L364" t="s">
        <v>210</v>
      </c>
      <c r="M364" t="s">
        <v>110</v>
      </c>
      <c r="N364">
        <v>4.3999999999999997E-2</v>
      </c>
      <c r="O364">
        <v>2.4E-2</v>
      </c>
      <c r="P364">
        <v>1.4999999999999999E-2</v>
      </c>
    </row>
    <row r="365" spans="1:16" hidden="1">
      <c r="A365" t="s">
        <v>98</v>
      </c>
      <c r="B365" t="s">
        <v>135</v>
      </c>
      <c r="C365" t="s">
        <v>610</v>
      </c>
      <c r="D365">
        <v>1</v>
      </c>
      <c r="E365">
        <v>3750</v>
      </c>
      <c r="F365">
        <v>4</v>
      </c>
      <c r="G365">
        <v>420</v>
      </c>
      <c r="H365" t="s">
        <v>101</v>
      </c>
      <c r="I365" t="s">
        <v>102</v>
      </c>
      <c r="J365" t="s">
        <v>101</v>
      </c>
      <c r="K365" t="s">
        <v>405</v>
      </c>
      <c r="L365" t="s">
        <v>117</v>
      </c>
      <c r="M365" t="s">
        <v>406</v>
      </c>
      <c r="N365">
        <v>6.7000000000000004E-2</v>
      </c>
      <c r="O365">
        <v>0.04</v>
      </c>
      <c r="P365">
        <v>2.5999999999999999E-2</v>
      </c>
    </row>
    <row r="366" spans="1:16" hidden="1">
      <c r="A366" t="s">
        <v>98</v>
      </c>
      <c r="B366" t="s">
        <v>104</v>
      </c>
      <c r="C366" t="s">
        <v>611</v>
      </c>
      <c r="D366">
        <v>1</v>
      </c>
      <c r="E366">
        <v>1700</v>
      </c>
      <c r="F366">
        <v>160</v>
      </c>
      <c r="G366">
        <v>20</v>
      </c>
      <c r="H366" t="s">
        <v>101</v>
      </c>
      <c r="I366" t="s">
        <v>102</v>
      </c>
      <c r="J366" t="s">
        <v>101</v>
      </c>
      <c r="K366" t="s">
        <v>612</v>
      </c>
      <c r="L366" t="s">
        <v>124</v>
      </c>
      <c r="M366" t="s">
        <v>125</v>
      </c>
      <c r="N366">
        <v>4.3999999999999997E-2</v>
      </c>
      <c r="O366">
        <v>2.4E-2</v>
      </c>
      <c r="P366">
        <v>1.4999999999999999E-2</v>
      </c>
    </row>
    <row r="367" spans="1:16" hidden="1">
      <c r="A367" t="s">
        <v>98</v>
      </c>
      <c r="B367" t="s">
        <v>132</v>
      </c>
      <c r="C367" t="s">
        <v>613</v>
      </c>
      <c r="D367">
        <v>2</v>
      </c>
      <c r="E367">
        <v>7500</v>
      </c>
      <c r="F367">
        <v>850</v>
      </c>
      <c r="G367">
        <v>1128</v>
      </c>
      <c r="H367" t="s">
        <v>101</v>
      </c>
      <c r="I367" t="s">
        <v>146</v>
      </c>
      <c r="J367" t="s">
        <v>101</v>
      </c>
      <c r="K367" t="s">
        <v>244</v>
      </c>
      <c r="L367" t="s">
        <v>245</v>
      </c>
      <c r="M367" t="s">
        <v>138</v>
      </c>
      <c r="N367">
        <v>0.17499999999999999</v>
      </c>
      <c r="O367">
        <v>9.5000000000000001E-2</v>
      </c>
      <c r="P367">
        <v>5.8999999999999997E-2</v>
      </c>
    </row>
    <row r="368" spans="1:16">
      <c r="A368" t="s">
        <v>98</v>
      </c>
      <c r="B368" t="s">
        <v>104</v>
      </c>
      <c r="C368" t="s">
        <v>614</v>
      </c>
      <c r="D368">
        <v>1</v>
      </c>
      <c r="E368">
        <v>1700</v>
      </c>
      <c r="F368">
        <v>160</v>
      </c>
      <c r="G368">
        <v>220</v>
      </c>
      <c r="H368" t="s">
        <v>101</v>
      </c>
      <c r="I368" t="s">
        <v>106</v>
      </c>
      <c r="J368" t="s">
        <v>130</v>
      </c>
      <c r="K368" t="s">
        <v>108</v>
      </c>
      <c r="L368" t="s">
        <v>258</v>
      </c>
      <c r="M368" t="s">
        <v>110</v>
      </c>
      <c r="N368">
        <v>4.3999999999999997E-2</v>
      </c>
      <c r="O368">
        <v>2.4E-2</v>
      </c>
      <c r="P368">
        <v>1.4999999999999999E-2</v>
      </c>
    </row>
    <row r="369" spans="1:16">
      <c r="A369" t="s">
        <v>98</v>
      </c>
      <c r="B369" t="s">
        <v>172</v>
      </c>
      <c r="C369" t="s">
        <v>615</v>
      </c>
      <c r="D369">
        <v>1</v>
      </c>
      <c r="E369">
        <v>2000</v>
      </c>
      <c r="F369">
        <v>0</v>
      </c>
      <c r="G369">
        <v>20</v>
      </c>
      <c r="H369" t="s">
        <v>101</v>
      </c>
      <c r="I369" t="s">
        <v>106</v>
      </c>
      <c r="J369" t="s">
        <v>472</v>
      </c>
      <c r="K369" t="s">
        <v>108</v>
      </c>
      <c r="L369" t="s">
        <v>128</v>
      </c>
      <c r="M369" t="s">
        <v>110</v>
      </c>
      <c r="N369">
        <v>2.5999999999999999E-2</v>
      </c>
      <c r="O369">
        <v>1.7000000000000001E-2</v>
      </c>
      <c r="P369">
        <v>1.2E-2</v>
      </c>
    </row>
    <row r="370" spans="1:16" hidden="1">
      <c r="A370" t="s">
        <v>98</v>
      </c>
      <c r="B370" t="s">
        <v>141</v>
      </c>
      <c r="C370" t="s">
        <v>616</v>
      </c>
      <c r="D370">
        <v>4</v>
      </c>
      <c r="E370">
        <v>15000</v>
      </c>
      <c r="F370">
        <v>80</v>
      </c>
      <c r="G370">
        <v>420</v>
      </c>
      <c r="H370" t="s">
        <v>101</v>
      </c>
      <c r="I370" t="s">
        <v>102</v>
      </c>
      <c r="J370" t="s">
        <v>101</v>
      </c>
      <c r="K370" t="s">
        <v>217</v>
      </c>
      <c r="L370" t="s">
        <v>117</v>
      </c>
      <c r="M370" t="s">
        <v>118</v>
      </c>
      <c r="N370">
        <v>0.26600000000000001</v>
      </c>
      <c r="O370">
        <v>0.16300000000000001</v>
      </c>
      <c r="P370">
        <v>0.104</v>
      </c>
    </row>
    <row r="371" spans="1:16">
      <c r="A371" t="s">
        <v>98</v>
      </c>
      <c r="B371" t="s">
        <v>104</v>
      </c>
      <c r="C371" t="s">
        <v>617</v>
      </c>
      <c r="D371">
        <v>1</v>
      </c>
      <c r="E371">
        <v>1700</v>
      </c>
      <c r="F371">
        <v>160</v>
      </c>
      <c r="G371">
        <v>20</v>
      </c>
      <c r="H371" t="s">
        <v>101</v>
      </c>
      <c r="I371" t="s">
        <v>106</v>
      </c>
      <c r="J371" t="s">
        <v>171</v>
      </c>
      <c r="K371" t="s">
        <v>108</v>
      </c>
      <c r="L371" t="s">
        <v>163</v>
      </c>
      <c r="M371" t="s">
        <v>110</v>
      </c>
      <c r="N371">
        <v>4.3999999999999997E-2</v>
      </c>
      <c r="O371">
        <v>2.4E-2</v>
      </c>
      <c r="P371">
        <v>1.4999999999999999E-2</v>
      </c>
    </row>
    <row r="372" spans="1:16">
      <c r="A372" t="s">
        <v>98</v>
      </c>
      <c r="B372" t="s">
        <v>104</v>
      </c>
      <c r="C372" t="s">
        <v>618</v>
      </c>
      <c r="D372">
        <v>1</v>
      </c>
      <c r="E372">
        <v>1700</v>
      </c>
      <c r="F372">
        <v>160</v>
      </c>
      <c r="G372">
        <v>20</v>
      </c>
      <c r="H372" t="s">
        <v>101</v>
      </c>
      <c r="I372" t="s">
        <v>106</v>
      </c>
      <c r="J372" t="s">
        <v>563</v>
      </c>
      <c r="K372" t="s">
        <v>108</v>
      </c>
      <c r="L372" t="s">
        <v>322</v>
      </c>
      <c r="M372" t="s">
        <v>110</v>
      </c>
      <c r="N372">
        <v>4.3999999999999997E-2</v>
      </c>
      <c r="O372">
        <v>2.4E-2</v>
      </c>
      <c r="P372">
        <v>1.4999999999999999E-2</v>
      </c>
    </row>
    <row r="373" spans="1:16" hidden="1">
      <c r="A373" t="s">
        <v>98</v>
      </c>
      <c r="B373" t="s">
        <v>104</v>
      </c>
      <c r="C373" t="s">
        <v>619</v>
      </c>
      <c r="D373">
        <v>1</v>
      </c>
      <c r="E373">
        <v>1700</v>
      </c>
      <c r="F373">
        <v>160</v>
      </c>
      <c r="G373">
        <v>20</v>
      </c>
      <c r="H373" t="s">
        <v>101</v>
      </c>
      <c r="I373" t="s">
        <v>102</v>
      </c>
      <c r="J373" t="s">
        <v>101</v>
      </c>
      <c r="K373" t="s">
        <v>307</v>
      </c>
      <c r="L373" t="s">
        <v>117</v>
      </c>
      <c r="M373" t="s">
        <v>118</v>
      </c>
      <c r="N373">
        <v>4.3999999999999997E-2</v>
      </c>
      <c r="O373">
        <v>2.4E-2</v>
      </c>
      <c r="P373">
        <v>1.4999999999999999E-2</v>
      </c>
    </row>
    <row r="374" spans="1:16">
      <c r="A374" t="s">
        <v>98</v>
      </c>
      <c r="B374" t="s">
        <v>104</v>
      </c>
      <c r="C374" t="s">
        <v>620</v>
      </c>
      <c r="D374">
        <v>1</v>
      </c>
      <c r="E374">
        <v>1700</v>
      </c>
      <c r="F374">
        <v>160</v>
      </c>
      <c r="G374">
        <v>20</v>
      </c>
      <c r="H374" t="s">
        <v>101</v>
      </c>
      <c r="I374" t="s">
        <v>106</v>
      </c>
      <c r="J374" t="s">
        <v>107</v>
      </c>
      <c r="K374" t="s">
        <v>108</v>
      </c>
      <c r="L374" t="s">
        <v>109</v>
      </c>
      <c r="M374" t="s">
        <v>110</v>
      </c>
      <c r="N374">
        <v>4.3999999999999997E-2</v>
      </c>
      <c r="O374">
        <v>2.4E-2</v>
      </c>
      <c r="P374">
        <v>1.4999999999999999E-2</v>
      </c>
    </row>
    <row r="375" spans="1:16" hidden="1">
      <c r="A375" t="s">
        <v>98</v>
      </c>
      <c r="B375" t="s">
        <v>141</v>
      </c>
      <c r="C375" t="s">
        <v>621</v>
      </c>
      <c r="D375">
        <v>4</v>
      </c>
      <c r="E375">
        <v>15000</v>
      </c>
      <c r="F375">
        <v>80</v>
      </c>
      <c r="G375">
        <v>420</v>
      </c>
      <c r="H375" t="s">
        <v>101</v>
      </c>
      <c r="I375" t="s">
        <v>102</v>
      </c>
      <c r="J375" t="s">
        <v>101</v>
      </c>
      <c r="K375" t="s">
        <v>307</v>
      </c>
      <c r="L375" t="s">
        <v>101</v>
      </c>
      <c r="M375" t="s">
        <v>118</v>
      </c>
      <c r="N375">
        <v>0.26600000000000001</v>
      </c>
      <c r="O375">
        <v>0.16300000000000001</v>
      </c>
      <c r="P375">
        <v>0.104</v>
      </c>
    </row>
    <row r="376" spans="1:16" hidden="1">
      <c r="A376" t="s">
        <v>98</v>
      </c>
      <c r="B376" t="s">
        <v>104</v>
      </c>
      <c r="C376" t="s">
        <v>622</v>
      </c>
      <c r="D376">
        <v>1</v>
      </c>
      <c r="E376">
        <v>1700</v>
      </c>
      <c r="F376">
        <v>160</v>
      </c>
      <c r="G376">
        <v>820</v>
      </c>
      <c r="H376" t="s">
        <v>101</v>
      </c>
      <c r="I376" t="s">
        <v>102</v>
      </c>
      <c r="J376" t="s">
        <v>101</v>
      </c>
      <c r="K376" t="s">
        <v>340</v>
      </c>
      <c r="L376" t="s">
        <v>245</v>
      </c>
      <c r="M376" t="s">
        <v>125</v>
      </c>
      <c r="N376">
        <v>4.3999999999999997E-2</v>
      </c>
      <c r="O376">
        <v>2.4E-2</v>
      </c>
      <c r="P376">
        <v>1.4999999999999999E-2</v>
      </c>
    </row>
    <row r="377" spans="1:16" hidden="1">
      <c r="A377" t="s">
        <v>98</v>
      </c>
      <c r="B377" t="s">
        <v>148</v>
      </c>
      <c r="C377" t="s">
        <v>623</v>
      </c>
      <c r="D377">
        <v>2</v>
      </c>
      <c r="E377">
        <v>4000</v>
      </c>
      <c r="F377">
        <v>0</v>
      </c>
      <c r="G377">
        <v>20</v>
      </c>
      <c r="H377" t="s">
        <v>101</v>
      </c>
      <c r="I377" t="s">
        <v>102</v>
      </c>
      <c r="J377" t="s">
        <v>101</v>
      </c>
      <c r="K377" t="s">
        <v>432</v>
      </c>
      <c r="L377" t="s">
        <v>117</v>
      </c>
      <c r="M377" t="s">
        <v>118</v>
      </c>
      <c r="N377">
        <v>5.1999999999999998E-2</v>
      </c>
      <c r="O377">
        <v>3.4000000000000002E-2</v>
      </c>
      <c r="P377">
        <v>2.3E-2</v>
      </c>
    </row>
    <row r="378" spans="1:16">
      <c r="A378" t="s">
        <v>98</v>
      </c>
      <c r="B378" t="s">
        <v>99</v>
      </c>
      <c r="C378" t="s">
        <v>624</v>
      </c>
      <c r="D378">
        <v>2</v>
      </c>
      <c r="E378">
        <v>3750</v>
      </c>
      <c r="F378">
        <v>32</v>
      </c>
      <c r="G378">
        <v>20</v>
      </c>
      <c r="H378" t="s">
        <v>101</v>
      </c>
      <c r="I378" t="s">
        <v>106</v>
      </c>
      <c r="J378" t="s">
        <v>227</v>
      </c>
      <c r="K378" t="s">
        <v>108</v>
      </c>
      <c r="L378" t="s">
        <v>228</v>
      </c>
      <c r="M378" t="s">
        <v>110</v>
      </c>
      <c r="N378">
        <v>0.105</v>
      </c>
      <c r="O378">
        <v>6.2E-2</v>
      </c>
      <c r="P378">
        <v>3.9E-2</v>
      </c>
    </row>
    <row r="379" spans="1:16">
      <c r="A379" t="s">
        <v>98</v>
      </c>
      <c r="B379" t="s">
        <v>99</v>
      </c>
      <c r="C379" t="s">
        <v>625</v>
      </c>
      <c r="D379">
        <v>2</v>
      </c>
      <c r="E379">
        <v>3750</v>
      </c>
      <c r="F379">
        <v>32</v>
      </c>
      <c r="G379">
        <v>20</v>
      </c>
      <c r="H379" t="s">
        <v>101</v>
      </c>
      <c r="I379" t="s">
        <v>106</v>
      </c>
      <c r="J379" t="s">
        <v>227</v>
      </c>
      <c r="K379" t="s">
        <v>108</v>
      </c>
      <c r="L379" t="s">
        <v>228</v>
      </c>
      <c r="M379" t="s">
        <v>110</v>
      </c>
      <c r="N379">
        <v>0.105</v>
      </c>
      <c r="O379">
        <v>6.2E-2</v>
      </c>
      <c r="P379">
        <v>3.9E-2</v>
      </c>
    </row>
    <row r="380" spans="1:16">
      <c r="A380" t="s">
        <v>98</v>
      </c>
      <c r="B380" t="s">
        <v>99</v>
      </c>
      <c r="C380" t="s">
        <v>626</v>
      </c>
      <c r="D380">
        <v>2</v>
      </c>
      <c r="E380">
        <v>3750</v>
      </c>
      <c r="F380">
        <v>32</v>
      </c>
      <c r="G380">
        <v>20</v>
      </c>
      <c r="H380" t="s">
        <v>101</v>
      </c>
      <c r="I380" t="s">
        <v>106</v>
      </c>
      <c r="J380" t="s">
        <v>227</v>
      </c>
      <c r="K380" t="s">
        <v>108</v>
      </c>
      <c r="L380" t="s">
        <v>228</v>
      </c>
      <c r="M380" t="s">
        <v>110</v>
      </c>
      <c r="N380">
        <v>0.105</v>
      </c>
      <c r="O380">
        <v>6.2E-2</v>
      </c>
      <c r="P380">
        <v>3.9E-2</v>
      </c>
    </row>
    <row r="381" spans="1:16">
      <c r="A381" t="s">
        <v>98</v>
      </c>
      <c r="B381" t="s">
        <v>99</v>
      </c>
      <c r="C381" t="s">
        <v>627</v>
      </c>
      <c r="D381">
        <v>2</v>
      </c>
      <c r="E381">
        <v>3750</v>
      </c>
      <c r="F381">
        <v>32</v>
      </c>
      <c r="G381">
        <v>20</v>
      </c>
      <c r="H381" t="s">
        <v>101</v>
      </c>
      <c r="I381" t="s">
        <v>106</v>
      </c>
      <c r="J381" t="s">
        <v>227</v>
      </c>
      <c r="K381" t="s">
        <v>108</v>
      </c>
      <c r="L381" t="s">
        <v>228</v>
      </c>
      <c r="M381" t="s">
        <v>110</v>
      </c>
      <c r="N381">
        <v>0.105</v>
      </c>
      <c r="O381">
        <v>6.2E-2</v>
      </c>
      <c r="P381">
        <v>3.9E-2</v>
      </c>
    </row>
    <row r="382" spans="1:16">
      <c r="A382" t="s">
        <v>98</v>
      </c>
      <c r="B382" t="s">
        <v>99</v>
      </c>
      <c r="C382" t="s">
        <v>628</v>
      </c>
      <c r="D382">
        <v>2</v>
      </c>
      <c r="E382">
        <v>3750</v>
      </c>
      <c r="F382">
        <v>32</v>
      </c>
      <c r="G382">
        <v>20</v>
      </c>
      <c r="H382" t="s">
        <v>101</v>
      </c>
      <c r="I382" t="s">
        <v>106</v>
      </c>
      <c r="J382" t="s">
        <v>227</v>
      </c>
      <c r="K382" t="s">
        <v>108</v>
      </c>
      <c r="L382" t="s">
        <v>228</v>
      </c>
      <c r="M382" t="s">
        <v>110</v>
      </c>
      <c r="N382">
        <v>0.105</v>
      </c>
      <c r="O382">
        <v>6.2E-2</v>
      </c>
      <c r="P382">
        <v>3.9E-2</v>
      </c>
    </row>
    <row r="383" spans="1:16" hidden="1">
      <c r="A383" t="s">
        <v>98</v>
      </c>
      <c r="B383" t="s">
        <v>104</v>
      </c>
      <c r="C383" t="s">
        <v>629</v>
      </c>
      <c r="D383">
        <v>1</v>
      </c>
      <c r="E383">
        <v>1700</v>
      </c>
      <c r="F383">
        <v>160</v>
      </c>
      <c r="G383">
        <v>20</v>
      </c>
      <c r="H383" t="s">
        <v>101</v>
      </c>
      <c r="I383" t="s">
        <v>102</v>
      </c>
      <c r="J383" t="s">
        <v>101</v>
      </c>
      <c r="K383" t="s">
        <v>217</v>
      </c>
      <c r="L383" t="s">
        <v>101</v>
      </c>
      <c r="M383" t="s">
        <v>125</v>
      </c>
      <c r="N383">
        <v>4.3999999999999997E-2</v>
      </c>
      <c r="O383">
        <v>2.4E-2</v>
      </c>
      <c r="P383">
        <v>1.4999999999999999E-2</v>
      </c>
    </row>
    <row r="384" spans="1:16">
      <c r="A384" t="s">
        <v>98</v>
      </c>
      <c r="B384" t="s">
        <v>104</v>
      </c>
      <c r="C384" t="s">
        <v>630</v>
      </c>
      <c r="D384">
        <v>1</v>
      </c>
      <c r="E384">
        <v>1700</v>
      </c>
      <c r="F384">
        <v>160</v>
      </c>
      <c r="G384">
        <v>20</v>
      </c>
      <c r="H384" t="s">
        <v>101</v>
      </c>
      <c r="I384" t="s">
        <v>106</v>
      </c>
      <c r="J384" t="s">
        <v>297</v>
      </c>
      <c r="K384" t="s">
        <v>108</v>
      </c>
      <c r="L384" t="s">
        <v>203</v>
      </c>
      <c r="M384" t="s">
        <v>110</v>
      </c>
      <c r="N384">
        <v>4.3999999999999997E-2</v>
      </c>
      <c r="O384">
        <v>2.4E-2</v>
      </c>
      <c r="P384">
        <v>1.4999999999999999E-2</v>
      </c>
    </row>
    <row r="385" spans="1:16" hidden="1">
      <c r="A385" t="s">
        <v>98</v>
      </c>
      <c r="B385" t="s">
        <v>267</v>
      </c>
      <c r="C385" t="s">
        <v>631</v>
      </c>
      <c r="D385">
        <v>8</v>
      </c>
      <c r="E385">
        <v>15000</v>
      </c>
      <c r="F385">
        <v>160</v>
      </c>
      <c r="G385">
        <v>20</v>
      </c>
      <c r="H385" t="s">
        <v>101</v>
      </c>
      <c r="I385" t="s">
        <v>102</v>
      </c>
      <c r="J385" t="s">
        <v>101</v>
      </c>
      <c r="K385" t="s">
        <v>566</v>
      </c>
      <c r="L385" t="s">
        <v>101</v>
      </c>
      <c r="M385" t="s">
        <v>632</v>
      </c>
      <c r="N385">
        <v>0.42</v>
      </c>
      <c r="O385">
        <v>0.248</v>
      </c>
      <c r="P385">
        <v>0.157</v>
      </c>
    </row>
    <row r="386" spans="1:16">
      <c r="A386" t="s">
        <v>98</v>
      </c>
      <c r="B386" t="s">
        <v>172</v>
      </c>
      <c r="C386" t="s">
        <v>633</v>
      </c>
      <c r="D386">
        <v>1</v>
      </c>
      <c r="E386">
        <v>2000</v>
      </c>
      <c r="F386">
        <v>0</v>
      </c>
      <c r="G386">
        <v>20</v>
      </c>
      <c r="H386" t="s">
        <v>101</v>
      </c>
      <c r="I386" t="s">
        <v>106</v>
      </c>
      <c r="J386" t="s">
        <v>174</v>
      </c>
      <c r="K386" t="s">
        <v>108</v>
      </c>
      <c r="L386" t="s">
        <v>128</v>
      </c>
      <c r="M386" t="s">
        <v>110</v>
      </c>
      <c r="N386">
        <v>2.5999999999999999E-2</v>
      </c>
      <c r="O386">
        <v>1.7000000000000001E-2</v>
      </c>
      <c r="P386">
        <v>1.2E-2</v>
      </c>
    </row>
    <row r="387" spans="1:16" hidden="1">
      <c r="A387" t="s">
        <v>98</v>
      </c>
      <c r="B387" t="s">
        <v>104</v>
      </c>
      <c r="C387" t="s">
        <v>634</v>
      </c>
      <c r="D387">
        <v>1</v>
      </c>
      <c r="E387">
        <v>1700</v>
      </c>
      <c r="F387">
        <v>160</v>
      </c>
      <c r="G387">
        <v>1820</v>
      </c>
      <c r="H387" t="s">
        <v>101</v>
      </c>
      <c r="I387" t="s">
        <v>102</v>
      </c>
      <c r="J387" t="s">
        <v>101</v>
      </c>
      <c r="K387" t="s">
        <v>265</v>
      </c>
      <c r="L387" t="s">
        <v>117</v>
      </c>
      <c r="M387" t="s">
        <v>125</v>
      </c>
      <c r="N387">
        <v>4.3999999999999997E-2</v>
      </c>
      <c r="O387">
        <v>2.4E-2</v>
      </c>
      <c r="P387">
        <v>1.4999999999999999E-2</v>
      </c>
    </row>
    <row r="388" spans="1:16">
      <c r="A388" t="s">
        <v>98</v>
      </c>
      <c r="B388" t="s">
        <v>104</v>
      </c>
      <c r="C388" t="s">
        <v>635</v>
      </c>
      <c r="D388">
        <v>1</v>
      </c>
      <c r="E388">
        <v>1700</v>
      </c>
      <c r="F388">
        <v>160</v>
      </c>
      <c r="G388">
        <v>20</v>
      </c>
      <c r="H388" t="s">
        <v>101</v>
      </c>
      <c r="I388" t="s">
        <v>106</v>
      </c>
      <c r="J388" t="s">
        <v>112</v>
      </c>
      <c r="K388" t="s">
        <v>108</v>
      </c>
      <c r="L388" t="s">
        <v>210</v>
      </c>
      <c r="M388" t="s">
        <v>110</v>
      </c>
      <c r="N388">
        <v>4.3999999999999997E-2</v>
      </c>
      <c r="O388">
        <v>2.4E-2</v>
      </c>
      <c r="P388">
        <v>1.4999999999999999E-2</v>
      </c>
    </row>
    <row r="389" spans="1:16" hidden="1">
      <c r="A389" t="s">
        <v>98</v>
      </c>
      <c r="B389" t="s">
        <v>141</v>
      </c>
      <c r="C389" t="s">
        <v>636</v>
      </c>
      <c r="D389">
        <v>4</v>
      </c>
      <c r="E389">
        <v>15000</v>
      </c>
      <c r="F389">
        <v>80</v>
      </c>
      <c r="G389">
        <v>420</v>
      </c>
      <c r="H389" t="s">
        <v>101</v>
      </c>
      <c r="I389" t="s">
        <v>102</v>
      </c>
      <c r="J389" t="s">
        <v>101</v>
      </c>
      <c r="K389" t="s">
        <v>184</v>
      </c>
      <c r="L389" t="s">
        <v>117</v>
      </c>
      <c r="M389" t="s">
        <v>118</v>
      </c>
      <c r="N389">
        <v>0.26600000000000001</v>
      </c>
      <c r="O389">
        <v>0.16300000000000001</v>
      </c>
      <c r="P389">
        <v>0.104</v>
      </c>
    </row>
    <row r="390" spans="1:16">
      <c r="A390" t="s">
        <v>98</v>
      </c>
      <c r="B390" t="s">
        <v>172</v>
      </c>
      <c r="C390" t="s">
        <v>637</v>
      </c>
      <c r="D390">
        <v>1</v>
      </c>
      <c r="E390">
        <v>2000</v>
      </c>
      <c r="F390">
        <v>0</v>
      </c>
      <c r="G390">
        <v>20</v>
      </c>
      <c r="H390" t="s">
        <v>101</v>
      </c>
      <c r="I390" t="s">
        <v>106</v>
      </c>
      <c r="J390" t="s">
        <v>263</v>
      </c>
      <c r="K390" t="s">
        <v>108</v>
      </c>
      <c r="L390" t="s">
        <v>222</v>
      </c>
      <c r="M390" t="s">
        <v>110</v>
      </c>
      <c r="N390">
        <v>2.5999999999999999E-2</v>
      </c>
      <c r="O390">
        <v>1.7000000000000001E-2</v>
      </c>
      <c r="P390">
        <v>1.2E-2</v>
      </c>
    </row>
    <row r="391" spans="1:16">
      <c r="A391" t="s">
        <v>98</v>
      </c>
      <c r="B391" t="s">
        <v>104</v>
      </c>
      <c r="C391" t="s">
        <v>638</v>
      </c>
      <c r="D391">
        <v>1</v>
      </c>
      <c r="E391">
        <v>1700</v>
      </c>
      <c r="F391">
        <v>160</v>
      </c>
      <c r="G391">
        <v>20</v>
      </c>
      <c r="H391" t="s">
        <v>101</v>
      </c>
      <c r="I391" t="s">
        <v>106</v>
      </c>
      <c r="J391" t="s">
        <v>107</v>
      </c>
      <c r="K391" t="s">
        <v>108</v>
      </c>
      <c r="L391" t="s">
        <v>109</v>
      </c>
      <c r="M391" t="s">
        <v>110</v>
      </c>
      <c r="N391">
        <v>4.3999999999999997E-2</v>
      </c>
      <c r="O391">
        <v>2.4E-2</v>
      </c>
      <c r="P391">
        <v>1.4999999999999999E-2</v>
      </c>
    </row>
    <row r="392" spans="1:16" hidden="1">
      <c r="A392" t="s">
        <v>98</v>
      </c>
      <c r="B392" t="s">
        <v>104</v>
      </c>
      <c r="C392" t="s">
        <v>639</v>
      </c>
      <c r="D392">
        <v>1</v>
      </c>
      <c r="E392">
        <v>1700</v>
      </c>
      <c r="F392">
        <v>160</v>
      </c>
      <c r="G392">
        <v>1220</v>
      </c>
      <c r="H392" t="s">
        <v>101</v>
      </c>
      <c r="I392" t="s">
        <v>102</v>
      </c>
      <c r="J392" t="s">
        <v>101</v>
      </c>
      <c r="K392" t="s">
        <v>340</v>
      </c>
      <c r="L392" t="s">
        <v>245</v>
      </c>
      <c r="M392" t="s">
        <v>125</v>
      </c>
      <c r="N392">
        <v>4.3999999999999997E-2</v>
      </c>
      <c r="O392">
        <v>2.4E-2</v>
      </c>
      <c r="P392">
        <v>1.4999999999999999E-2</v>
      </c>
    </row>
    <row r="393" spans="1:16">
      <c r="A393" t="s">
        <v>98</v>
      </c>
      <c r="B393" t="s">
        <v>104</v>
      </c>
      <c r="C393" t="s">
        <v>640</v>
      </c>
      <c r="D393">
        <v>1</v>
      </c>
      <c r="E393">
        <v>1700</v>
      </c>
      <c r="F393">
        <v>160</v>
      </c>
      <c r="G393">
        <v>20</v>
      </c>
      <c r="H393" t="s">
        <v>101</v>
      </c>
      <c r="I393" t="s">
        <v>106</v>
      </c>
      <c r="J393" t="s">
        <v>112</v>
      </c>
      <c r="K393" t="s">
        <v>108</v>
      </c>
      <c r="L393" t="s">
        <v>222</v>
      </c>
      <c r="M393" t="s">
        <v>110</v>
      </c>
      <c r="N393">
        <v>4.3999999999999997E-2</v>
      </c>
      <c r="O393">
        <v>2.4E-2</v>
      </c>
      <c r="P393">
        <v>1.4999999999999999E-2</v>
      </c>
    </row>
    <row r="394" spans="1:16">
      <c r="A394" t="s">
        <v>98</v>
      </c>
      <c r="B394" t="s">
        <v>104</v>
      </c>
      <c r="C394" t="s">
        <v>641</v>
      </c>
      <c r="D394">
        <v>1</v>
      </c>
      <c r="E394">
        <v>1700</v>
      </c>
      <c r="F394">
        <v>160</v>
      </c>
      <c r="G394">
        <v>20</v>
      </c>
      <c r="H394" t="s">
        <v>101</v>
      </c>
      <c r="I394" t="s">
        <v>106</v>
      </c>
      <c r="J394" t="s">
        <v>251</v>
      </c>
      <c r="K394" t="s">
        <v>108</v>
      </c>
      <c r="L394" t="s">
        <v>258</v>
      </c>
      <c r="M394" t="s">
        <v>110</v>
      </c>
      <c r="N394">
        <v>4.3999999999999997E-2</v>
      </c>
      <c r="O394">
        <v>2.4E-2</v>
      </c>
      <c r="P394">
        <v>1.4999999999999999E-2</v>
      </c>
    </row>
    <row r="395" spans="1:16" hidden="1">
      <c r="A395" t="s">
        <v>98</v>
      </c>
      <c r="B395" t="s">
        <v>99</v>
      </c>
      <c r="C395" t="s">
        <v>642</v>
      </c>
      <c r="D395">
        <v>2</v>
      </c>
      <c r="E395">
        <v>3750</v>
      </c>
      <c r="F395">
        <v>32</v>
      </c>
      <c r="G395">
        <v>20</v>
      </c>
      <c r="H395" t="s">
        <v>101</v>
      </c>
      <c r="I395" t="s">
        <v>102</v>
      </c>
      <c r="J395" t="s">
        <v>101</v>
      </c>
      <c r="K395" t="s">
        <v>482</v>
      </c>
      <c r="L395" t="s">
        <v>101</v>
      </c>
      <c r="M395" t="s">
        <v>151</v>
      </c>
      <c r="N395">
        <v>0.105</v>
      </c>
      <c r="O395">
        <v>6.2E-2</v>
      </c>
      <c r="P395">
        <v>3.9E-2</v>
      </c>
    </row>
    <row r="396" spans="1:16">
      <c r="A396" t="s">
        <v>98</v>
      </c>
      <c r="B396" t="s">
        <v>104</v>
      </c>
      <c r="C396" t="s">
        <v>643</v>
      </c>
      <c r="D396">
        <v>1</v>
      </c>
      <c r="E396">
        <v>1700</v>
      </c>
      <c r="F396">
        <v>160</v>
      </c>
      <c r="G396">
        <v>20</v>
      </c>
      <c r="H396" t="s">
        <v>101</v>
      </c>
      <c r="I396" t="s">
        <v>106</v>
      </c>
      <c r="J396" t="s">
        <v>153</v>
      </c>
      <c r="K396" t="s">
        <v>108</v>
      </c>
      <c r="L396" t="s">
        <v>131</v>
      </c>
      <c r="M396" t="s">
        <v>110</v>
      </c>
      <c r="N396">
        <v>4.3999999999999997E-2</v>
      </c>
      <c r="O396">
        <v>2.4E-2</v>
      </c>
      <c r="P396">
        <v>1.4999999999999999E-2</v>
      </c>
    </row>
    <row r="397" spans="1:16">
      <c r="A397" t="s">
        <v>98</v>
      </c>
      <c r="B397" t="s">
        <v>104</v>
      </c>
      <c r="C397" t="s">
        <v>644</v>
      </c>
      <c r="D397">
        <v>1</v>
      </c>
      <c r="E397">
        <v>1700</v>
      </c>
      <c r="F397">
        <v>160</v>
      </c>
      <c r="G397">
        <v>20</v>
      </c>
      <c r="H397" t="s">
        <v>101</v>
      </c>
      <c r="I397" t="s">
        <v>106</v>
      </c>
      <c r="J397" t="s">
        <v>466</v>
      </c>
      <c r="K397" t="s">
        <v>108</v>
      </c>
      <c r="L397" t="s">
        <v>175</v>
      </c>
      <c r="M397" t="s">
        <v>110</v>
      </c>
      <c r="N397">
        <v>4.3999999999999997E-2</v>
      </c>
      <c r="O397">
        <v>2.4E-2</v>
      </c>
      <c r="P397">
        <v>1.4999999999999999E-2</v>
      </c>
    </row>
    <row r="398" spans="1:16">
      <c r="A398" t="s">
        <v>98</v>
      </c>
      <c r="B398" t="s">
        <v>104</v>
      </c>
      <c r="C398" t="s">
        <v>645</v>
      </c>
      <c r="D398">
        <v>1</v>
      </c>
      <c r="E398">
        <v>1700</v>
      </c>
      <c r="F398">
        <v>160</v>
      </c>
      <c r="G398">
        <v>20</v>
      </c>
      <c r="H398" t="s">
        <v>101</v>
      </c>
      <c r="I398" t="s">
        <v>106</v>
      </c>
      <c r="J398" t="s">
        <v>202</v>
      </c>
      <c r="K398" t="s">
        <v>108</v>
      </c>
      <c r="L398" t="s">
        <v>210</v>
      </c>
      <c r="M398" t="s">
        <v>110</v>
      </c>
      <c r="N398">
        <v>4.3999999999999997E-2</v>
      </c>
      <c r="O398">
        <v>2.4E-2</v>
      </c>
      <c r="P398">
        <v>1.4999999999999999E-2</v>
      </c>
    </row>
    <row r="399" spans="1:16" hidden="1">
      <c r="A399" t="s">
        <v>98</v>
      </c>
      <c r="B399" t="s">
        <v>104</v>
      </c>
      <c r="C399" t="s">
        <v>646</v>
      </c>
      <c r="D399">
        <v>1</v>
      </c>
      <c r="E399">
        <v>1700</v>
      </c>
      <c r="F399">
        <v>160</v>
      </c>
      <c r="G399">
        <v>20</v>
      </c>
      <c r="H399" t="s">
        <v>101</v>
      </c>
      <c r="I399" t="s">
        <v>102</v>
      </c>
      <c r="J399" t="s">
        <v>101</v>
      </c>
      <c r="K399" t="s">
        <v>522</v>
      </c>
      <c r="L399" t="s">
        <v>311</v>
      </c>
      <c r="M399" t="s">
        <v>125</v>
      </c>
      <c r="N399">
        <v>4.3999999999999997E-2</v>
      </c>
      <c r="O399">
        <v>2.4E-2</v>
      </c>
      <c r="P399">
        <v>1.4999999999999999E-2</v>
      </c>
    </row>
    <row r="400" spans="1:16">
      <c r="A400" t="s">
        <v>98</v>
      </c>
      <c r="B400" t="s">
        <v>104</v>
      </c>
      <c r="C400" t="s">
        <v>647</v>
      </c>
      <c r="D400">
        <v>1</v>
      </c>
      <c r="E400">
        <v>1700</v>
      </c>
      <c r="F400">
        <v>160</v>
      </c>
      <c r="G400">
        <v>20</v>
      </c>
      <c r="H400" t="s">
        <v>101</v>
      </c>
      <c r="I400" t="s">
        <v>106</v>
      </c>
      <c r="J400" t="s">
        <v>107</v>
      </c>
      <c r="K400" t="s">
        <v>108</v>
      </c>
      <c r="L400" t="s">
        <v>109</v>
      </c>
      <c r="M400" t="s">
        <v>110</v>
      </c>
      <c r="N400">
        <v>4.3999999999999997E-2</v>
      </c>
      <c r="O400">
        <v>2.4E-2</v>
      </c>
      <c r="P400">
        <v>1.4999999999999999E-2</v>
      </c>
    </row>
    <row r="401" spans="1:16" hidden="1">
      <c r="A401" t="s">
        <v>98</v>
      </c>
      <c r="B401" t="s">
        <v>135</v>
      </c>
      <c r="C401" t="s">
        <v>648</v>
      </c>
      <c r="D401">
        <v>1</v>
      </c>
      <c r="E401">
        <v>3750</v>
      </c>
      <c r="F401">
        <v>4</v>
      </c>
      <c r="G401">
        <v>420</v>
      </c>
      <c r="H401" t="s">
        <v>101</v>
      </c>
      <c r="I401" t="s">
        <v>102</v>
      </c>
      <c r="J401" t="s">
        <v>101</v>
      </c>
      <c r="K401" t="s">
        <v>137</v>
      </c>
      <c r="L401" t="s">
        <v>117</v>
      </c>
      <c r="M401" t="s">
        <v>138</v>
      </c>
      <c r="N401">
        <v>6.7000000000000004E-2</v>
      </c>
      <c r="O401">
        <v>0.04</v>
      </c>
      <c r="P401">
        <v>2.5999999999999999E-2</v>
      </c>
    </row>
    <row r="402" spans="1:16">
      <c r="A402" t="s">
        <v>98</v>
      </c>
      <c r="B402" t="s">
        <v>104</v>
      </c>
      <c r="C402" t="s">
        <v>649</v>
      </c>
      <c r="D402">
        <v>1</v>
      </c>
      <c r="E402">
        <v>1700</v>
      </c>
      <c r="F402">
        <v>160</v>
      </c>
      <c r="G402">
        <v>20</v>
      </c>
      <c r="H402" t="s">
        <v>101</v>
      </c>
      <c r="I402" t="s">
        <v>106</v>
      </c>
      <c r="J402" t="s">
        <v>650</v>
      </c>
      <c r="K402" t="s">
        <v>108</v>
      </c>
      <c r="L402" t="s">
        <v>101</v>
      </c>
      <c r="M402" t="s">
        <v>110</v>
      </c>
      <c r="N402">
        <v>4.3999999999999997E-2</v>
      </c>
      <c r="O402">
        <v>2.4E-2</v>
      </c>
      <c r="P402">
        <v>1.4999999999999999E-2</v>
      </c>
    </row>
    <row r="403" spans="1:16">
      <c r="A403" t="s">
        <v>98</v>
      </c>
      <c r="B403" t="s">
        <v>104</v>
      </c>
      <c r="C403" t="s">
        <v>651</v>
      </c>
      <c r="D403">
        <v>1</v>
      </c>
      <c r="E403">
        <v>1700</v>
      </c>
      <c r="F403">
        <v>160</v>
      </c>
      <c r="G403">
        <v>20</v>
      </c>
      <c r="H403" t="s">
        <v>101</v>
      </c>
      <c r="I403" t="s">
        <v>106</v>
      </c>
      <c r="J403" t="s">
        <v>180</v>
      </c>
      <c r="K403" t="s">
        <v>108</v>
      </c>
      <c r="L403" t="s">
        <v>131</v>
      </c>
      <c r="M403" t="s">
        <v>110</v>
      </c>
      <c r="N403">
        <v>4.3999999999999997E-2</v>
      </c>
      <c r="O403">
        <v>2.4E-2</v>
      </c>
      <c r="P403">
        <v>1.4999999999999999E-2</v>
      </c>
    </row>
    <row r="404" spans="1:16" hidden="1">
      <c r="A404" t="s">
        <v>98</v>
      </c>
      <c r="B404" t="s">
        <v>141</v>
      </c>
      <c r="C404" t="s">
        <v>652</v>
      </c>
      <c r="D404">
        <v>4</v>
      </c>
      <c r="E404">
        <v>15000</v>
      </c>
      <c r="F404">
        <v>80</v>
      </c>
      <c r="G404">
        <v>1420</v>
      </c>
      <c r="H404" t="s">
        <v>101</v>
      </c>
      <c r="I404" t="s">
        <v>102</v>
      </c>
      <c r="J404" t="s">
        <v>101</v>
      </c>
      <c r="K404" t="s">
        <v>150</v>
      </c>
      <c r="L404" t="s">
        <v>117</v>
      </c>
      <c r="M404" t="s">
        <v>151</v>
      </c>
      <c r="N404">
        <v>0.26600000000000001</v>
      </c>
      <c r="O404">
        <v>0.16300000000000001</v>
      </c>
      <c r="P404">
        <v>0.104</v>
      </c>
    </row>
    <row r="405" spans="1:16">
      <c r="A405" t="s">
        <v>98</v>
      </c>
      <c r="B405" t="s">
        <v>157</v>
      </c>
      <c r="C405" t="s">
        <v>653</v>
      </c>
      <c r="D405">
        <v>1</v>
      </c>
      <c r="E405">
        <v>3750</v>
      </c>
      <c r="F405">
        <v>410</v>
      </c>
      <c r="G405">
        <v>20</v>
      </c>
      <c r="H405" t="s">
        <v>101</v>
      </c>
      <c r="I405" t="s">
        <v>106</v>
      </c>
      <c r="J405" t="s">
        <v>230</v>
      </c>
      <c r="K405" t="s">
        <v>108</v>
      </c>
      <c r="L405" t="s">
        <v>101</v>
      </c>
      <c r="M405" t="s">
        <v>110</v>
      </c>
      <c r="N405">
        <v>8.6999999999999994E-2</v>
      </c>
      <c r="O405">
        <v>4.7E-2</v>
      </c>
      <c r="P405">
        <v>2.9000000000000001E-2</v>
      </c>
    </row>
    <row r="406" spans="1:16" hidden="1">
      <c r="A406" t="s">
        <v>98</v>
      </c>
      <c r="B406" t="s">
        <v>104</v>
      </c>
      <c r="C406" t="s">
        <v>654</v>
      </c>
      <c r="D406">
        <v>1</v>
      </c>
      <c r="E406">
        <v>1700</v>
      </c>
      <c r="F406">
        <v>160</v>
      </c>
      <c r="G406">
        <v>220</v>
      </c>
      <c r="H406" t="s">
        <v>101</v>
      </c>
      <c r="I406" t="s">
        <v>102</v>
      </c>
      <c r="J406" t="s">
        <v>101</v>
      </c>
      <c r="K406" t="s">
        <v>446</v>
      </c>
      <c r="L406" t="s">
        <v>101</v>
      </c>
      <c r="M406" t="s">
        <v>125</v>
      </c>
      <c r="N406">
        <v>4.3999999999999997E-2</v>
      </c>
      <c r="O406">
        <v>2.4E-2</v>
      </c>
      <c r="P406">
        <v>1.4999999999999999E-2</v>
      </c>
    </row>
    <row r="407" spans="1:16" hidden="1">
      <c r="A407" t="s">
        <v>98</v>
      </c>
      <c r="B407" t="s">
        <v>104</v>
      </c>
      <c r="C407" t="s">
        <v>655</v>
      </c>
      <c r="D407">
        <v>1</v>
      </c>
      <c r="E407">
        <v>1700</v>
      </c>
      <c r="F407">
        <v>160</v>
      </c>
      <c r="G407">
        <v>20</v>
      </c>
      <c r="H407" t="s">
        <v>101</v>
      </c>
      <c r="I407" t="s">
        <v>102</v>
      </c>
      <c r="J407" t="s">
        <v>101</v>
      </c>
      <c r="K407" t="s">
        <v>482</v>
      </c>
      <c r="L407" t="s">
        <v>261</v>
      </c>
      <c r="M407" t="s">
        <v>151</v>
      </c>
      <c r="N407">
        <v>4.3999999999999997E-2</v>
      </c>
      <c r="O407">
        <v>2.4E-2</v>
      </c>
      <c r="P407">
        <v>1.4999999999999999E-2</v>
      </c>
    </row>
    <row r="408" spans="1:16" hidden="1">
      <c r="A408" t="s">
        <v>98</v>
      </c>
      <c r="B408" t="s">
        <v>157</v>
      </c>
      <c r="C408" t="s">
        <v>656</v>
      </c>
      <c r="D408">
        <v>1</v>
      </c>
      <c r="E408">
        <v>3750</v>
      </c>
      <c r="F408">
        <v>410</v>
      </c>
      <c r="G408">
        <v>30</v>
      </c>
      <c r="H408" t="s">
        <v>101</v>
      </c>
      <c r="I408" t="s">
        <v>146</v>
      </c>
      <c r="J408" t="s">
        <v>101</v>
      </c>
      <c r="K408" t="s">
        <v>101</v>
      </c>
      <c r="L408" t="s">
        <v>101</v>
      </c>
      <c r="M408" t="s">
        <v>138</v>
      </c>
      <c r="N408">
        <v>0.14899999999999999</v>
      </c>
      <c r="O408">
        <v>9.6000000000000002E-2</v>
      </c>
      <c r="P408">
        <v>7.1999999999999995E-2</v>
      </c>
    </row>
    <row r="409" spans="1:16">
      <c r="A409" t="s">
        <v>98</v>
      </c>
      <c r="B409" t="s">
        <v>104</v>
      </c>
      <c r="C409" t="s">
        <v>657</v>
      </c>
      <c r="D409">
        <v>1</v>
      </c>
      <c r="E409">
        <v>1700</v>
      </c>
      <c r="F409">
        <v>160</v>
      </c>
      <c r="G409">
        <v>20</v>
      </c>
      <c r="H409" t="s">
        <v>101</v>
      </c>
      <c r="I409" t="s">
        <v>106</v>
      </c>
      <c r="J409" t="s">
        <v>371</v>
      </c>
      <c r="K409" t="s">
        <v>108</v>
      </c>
      <c r="L409" t="s">
        <v>131</v>
      </c>
      <c r="M409" t="s">
        <v>110</v>
      </c>
      <c r="N409">
        <v>4.3999999999999997E-2</v>
      </c>
      <c r="O409">
        <v>2.4E-2</v>
      </c>
      <c r="P409">
        <v>1.4999999999999999E-2</v>
      </c>
    </row>
    <row r="410" spans="1:16">
      <c r="A410" t="s">
        <v>98</v>
      </c>
      <c r="B410" t="s">
        <v>104</v>
      </c>
      <c r="C410" t="s">
        <v>658</v>
      </c>
      <c r="D410">
        <v>1</v>
      </c>
      <c r="E410">
        <v>1700</v>
      </c>
      <c r="F410">
        <v>160</v>
      </c>
      <c r="G410">
        <v>20</v>
      </c>
      <c r="H410" t="s">
        <v>101</v>
      </c>
      <c r="I410" t="s">
        <v>106</v>
      </c>
      <c r="J410" t="s">
        <v>202</v>
      </c>
      <c r="K410" t="s">
        <v>108</v>
      </c>
      <c r="L410" t="s">
        <v>128</v>
      </c>
      <c r="M410" t="s">
        <v>110</v>
      </c>
      <c r="N410">
        <v>4.3999999999999997E-2</v>
      </c>
      <c r="O410">
        <v>2.4E-2</v>
      </c>
      <c r="P410">
        <v>1.4999999999999999E-2</v>
      </c>
    </row>
    <row r="411" spans="1:16">
      <c r="A411" t="s">
        <v>98</v>
      </c>
      <c r="B411" t="s">
        <v>104</v>
      </c>
      <c r="C411" t="s">
        <v>659</v>
      </c>
      <c r="D411">
        <v>1</v>
      </c>
      <c r="E411">
        <v>1700</v>
      </c>
      <c r="F411">
        <v>160</v>
      </c>
      <c r="G411">
        <v>420</v>
      </c>
      <c r="H411" t="s">
        <v>101</v>
      </c>
      <c r="I411" t="s">
        <v>106</v>
      </c>
      <c r="J411" t="s">
        <v>182</v>
      </c>
      <c r="K411" t="s">
        <v>108</v>
      </c>
      <c r="L411" t="s">
        <v>131</v>
      </c>
      <c r="M411" t="s">
        <v>110</v>
      </c>
      <c r="N411">
        <v>4.3999999999999997E-2</v>
      </c>
      <c r="O411">
        <v>2.4E-2</v>
      </c>
      <c r="P411">
        <v>1.4999999999999999E-2</v>
      </c>
    </row>
    <row r="412" spans="1:16">
      <c r="A412" t="s">
        <v>98</v>
      </c>
      <c r="B412" t="s">
        <v>172</v>
      </c>
      <c r="C412" t="s">
        <v>660</v>
      </c>
      <c r="D412">
        <v>1</v>
      </c>
      <c r="E412">
        <v>2000</v>
      </c>
      <c r="F412">
        <v>0</v>
      </c>
      <c r="G412">
        <v>20</v>
      </c>
      <c r="H412" t="s">
        <v>101</v>
      </c>
      <c r="I412" t="s">
        <v>106</v>
      </c>
      <c r="J412" t="s">
        <v>661</v>
      </c>
      <c r="K412" t="s">
        <v>108</v>
      </c>
      <c r="L412" t="s">
        <v>203</v>
      </c>
      <c r="M412" t="s">
        <v>110</v>
      </c>
      <c r="N412">
        <v>2.5999999999999999E-2</v>
      </c>
      <c r="O412">
        <v>1.7000000000000001E-2</v>
      </c>
      <c r="P412">
        <v>1.2E-2</v>
      </c>
    </row>
    <row r="413" spans="1:16">
      <c r="A413" t="s">
        <v>98</v>
      </c>
      <c r="B413" t="s">
        <v>176</v>
      </c>
      <c r="C413" t="s">
        <v>662</v>
      </c>
      <c r="D413">
        <v>1</v>
      </c>
      <c r="E413">
        <v>615</v>
      </c>
      <c r="F413">
        <v>160</v>
      </c>
      <c r="G413">
        <v>20</v>
      </c>
      <c r="H413" t="s">
        <v>101</v>
      </c>
      <c r="I413" t="s">
        <v>106</v>
      </c>
      <c r="J413" t="s">
        <v>214</v>
      </c>
      <c r="K413" t="s">
        <v>108</v>
      </c>
      <c r="L413" t="s">
        <v>101</v>
      </c>
      <c r="M413" t="s">
        <v>110</v>
      </c>
      <c r="N413">
        <v>0.02</v>
      </c>
      <c r="O413">
        <v>1.2E-2</v>
      </c>
      <c r="P413">
        <v>8.0000000000000002E-3</v>
      </c>
    </row>
    <row r="414" spans="1:16">
      <c r="A414" t="s">
        <v>98</v>
      </c>
      <c r="B414" t="s">
        <v>172</v>
      </c>
      <c r="C414" t="s">
        <v>663</v>
      </c>
      <c r="D414">
        <v>1</v>
      </c>
      <c r="E414">
        <v>2000</v>
      </c>
      <c r="F414">
        <v>0</v>
      </c>
      <c r="G414">
        <v>1220</v>
      </c>
      <c r="H414" t="s">
        <v>101</v>
      </c>
      <c r="I414" t="s">
        <v>106</v>
      </c>
      <c r="J414" t="s">
        <v>182</v>
      </c>
      <c r="K414" t="s">
        <v>108</v>
      </c>
      <c r="L414" t="s">
        <v>258</v>
      </c>
      <c r="M414" t="s">
        <v>110</v>
      </c>
      <c r="N414">
        <v>2.5999999999999999E-2</v>
      </c>
      <c r="O414">
        <v>1.7000000000000001E-2</v>
      </c>
      <c r="P414">
        <v>1.2E-2</v>
      </c>
    </row>
    <row r="415" spans="1:16">
      <c r="A415" t="s">
        <v>98</v>
      </c>
      <c r="B415" t="s">
        <v>104</v>
      </c>
      <c r="C415" t="s">
        <v>664</v>
      </c>
      <c r="D415">
        <v>1</v>
      </c>
      <c r="E415">
        <v>1700</v>
      </c>
      <c r="F415">
        <v>160</v>
      </c>
      <c r="G415">
        <v>20</v>
      </c>
      <c r="H415" t="s">
        <v>101</v>
      </c>
      <c r="I415" t="s">
        <v>106</v>
      </c>
      <c r="J415" t="s">
        <v>490</v>
      </c>
      <c r="K415" t="s">
        <v>108</v>
      </c>
      <c r="L415" t="s">
        <v>322</v>
      </c>
      <c r="M415" t="s">
        <v>110</v>
      </c>
      <c r="N415">
        <v>4.3999999999999997E-2</v>
      </c>
      <c r="O415">
        <v>2.4E-2</v>
      </c>
      <c r="P415">
        <v>1.4999999999999999E-2</v>
      </c>
    </row>
    <row r="416" spans="1:16" hidden="1">
      <c r="A416" t="s">
        <v>98</v>
      </c>
      <c r="B416" t="s">
        <v>135</v>
      </c>
      <c r="C416" t="s">
        <v>665</v>
      </c>
      <c r="D416">
        <v>1</v>
      </c>
      <c r="E416">
        <v>3750</v>
      </c>
      <c r="F416">
        <v>4</v>
      </c>
      <c r="G416">
        <v>420</v>
      </c>
      <c r="H416" t="s">
        <v>101</v>
      </c>
      <c r="I416" t="s">
        <v>102</v>
      </c>
      <c r="J416" t="s">
        <v>101</v>
      </c>
      <c r="K416" t="s">
        <v>137</v>
      </c>
      <c r="L416" t="s">
        <v>117</v>
      </c>
      <c r="M416" t="s">
        <v>138</v>
      </c>
      <c r="N416">
        <v>6.7000000000000004E-2</v>
      </c>
      <c r="O416">
        <v>0.04</v>
      </c>
      <c r="P416">
        <v>2.5999999999999999E-2</v>
      </c>
    </row>
    <row r="417" spans="1:16">
      <c r="A417" t="s">
        <v>98</v>
      </c>
      <c r="B417" t="s">
        <v>104</v>
      </c>
      <c r="C417" t="s">
        <v>666</v>
      </c>
      <c r="D417">
        <v>1</v>
      </c>
      <c r="E417">
        <v>1700</v>
      </c>
      <c r="F417">
        <v>160</v>
      </c>
      <c r="G417">
        <v>20</v>
      </c>
      <c r="H417" t="s">
        <v>101</v>
      </c>
      <c r="I417" t="s">
        <v>106</v>
      </c>
      <c r="J417" t="s">
        <v>251</v>
      </c>
      <c r="K417" t="s">
        <v>108</v>
      </c>
      <c r="L417" t="s">
        <v>252</v>
      </c>
      <c r="M417" t="s">
        <v>110</v>
      </c>
      <c r="N417">
        <v>4.3999999999999997E-2</v>
      </c>
      <c r="O417">
        <v>2.4E-2</v>
      </c>
      <c r="P417">
        <v>1.4999999999999999E-2</v>
      </c>
    </row>
    <row r="418" spans="1:16" hidden="1">
      <c r="A418" t="s">
        <v>98</v>
      </c>
      <c r="B418" t="s">
        <v>141</v>
      </c>
      <c r="C418" t="s">
        <v>667</v>
      </c>
      <c r="D418">
        <v>4</v>
      </c>
      <c r="E418">
        <v>15000</v>
      </c>
      <c r="F418">
        <v>80</v>
      </c>
      <c r="G418">
        <v>420</v>
      </c>
      <c r="H418" t="s">
        <v>101</v>
      </c>
      <c r="I418" t="s">
        <v>102</v>
      </c>
      <c r="J418" t="s">
        <v>101</v>
      </c>
      <c r="K418" t="s">
        <v>169</v>
      </c>
      <c r="L418" t="s">
        <v>101</v>
      </c>
      <c r="M418" t="s">
        <v>118</v>
      </c>
      <c r="N418">
        <v>0.26600000000000001</v>
      </c>
      <c r="O418">
        <v>0.16300000000000001</v>
      </c>
      <c r="P418">
        <v>0.104</v>
      </c>
    </row>
    <row r="419" spans="1:16">
      <c r="A419" t="s">
        <v>98</v>
      </c>
      <c r="B419" t="s">
        <v>104</v>
      </c>
      <c r="C419" t="s">
        <v>668</v>
      </c>
      <c r="D419">
        <v>1</v>
      </c>
      <c r="E419">
        <v>1700</v>
      </c>
      <c r="F419">
        <v>160</v>
      </c>
      <c r="G419">
        <v>820</v>
      </c>
      <c r="H419" t="s">
        <v>101</v>
      </c>
      <c r="I419" t="s">
        <v>106</v>
      </c>
      <c r="J419" t="s">
        <v>153</v>
      </c>
      <c r="K419" t="s">
        <v>108</v>
      </c>
      <c r="L419" t="s">
        <v>154</v>
      </c>
      <c r="M419" t="s">
        <v>110</v>
      </c>
      <c r="N419">
        <v>4.3999999999999997E-2</v>
      </c>
      <c r="O419">
        <v>2.4E-2</v>
      </c>
      <c r="P419">
        <v>1.4999999999999999E-2</v>
      </c>
    </row>
    <row r="420" spans="1:16" hidden="1">
      <c r="A420" t="s">
        <v>98</v>
      </c>
      <c r="B420" t="s">
        <v>99</v>
      </c>
      <c r="C420" t="s">
        <v>669</v>
      </c>
      <c r="D420">
        <v>2</v>
      </c>
      <c r="E420">
        <v>3750</v>
      </c>
      <c r="F420">
        <v>32</v>
      </c>
      <c r="G420">
        <v>220</v>
      </c>
      <c r="H420" t="s">
        <v>101</v>
      </c>
      <c r="I420" t="s">
        <v>102</v>
      </c>
      <c r="J420" t="s">
        <v>101</v>
      </c>
      <c r="K420" t="s">
        <v>101</v>
      </c>
      <c r="L420" t="s">
        <v>101</v>
      </c>
      <c r="M420" t="s">
        <v>270</v>
      </c>
      <c r="N420">
        <v>0.105</v>
      </c>
      <c r="O420">
        <v>6.2E-2</v>
      </c>
      <c r="P420">
        <v>3.9E-2</v>
      </c>
    </row>
    <row r="421" spans="1:16" hidden="1">
      <c r="A421" t="s">
        <v>98</v>
      </c>
      <c r="B421" t="s">
        <v>104</v>
      </c>
      <c r="C421" t="s">
        <v>670</v>
      </c>
      <c r="D421">
        <v>1</v>
      </c>
      <c r="E421">
        <v>1700</v>
      </c>
      <c r="F421">
        <v>160</v>
      </c>
      <c r="G421">
        <v>20</v>
      </c>
      <c r="H421" t="s">
        <v>101</v>
      </c>
      <c r="I421" t="s">
        <v>102</v>
      </c>
      <c r="J421" t="s">
        <v>101</v>
      </c>
      <c r="K421" t="s">
        <v>101</v>
      </c>
      <c r="L421" t="s">
        <v>101</v>
      </c>
      <c r="M421" t="s">
        <v>125</v>
      </c>
      <c r="N421">
        <v>4.3999999999999997E-2</v>
      </c>
      <c r="O421">
        <v>2.4E-2</v>
      </c>
      <c r="P421">
        <v>1.4999999999999999E-2</v>
      </c>
    </row>
    <row r="422" spans="1:16">
      <c r="A422" t="s">
        <v>98</v>
      </c>
      <c r="B422" t="s">
        <v>104</v>
      </c>
      <c r="C422" t="s">
        <v>671</v>
      </c>
      <c r="D422">
        <v>1</v>
      </c>
      <c r="E422">
        <v>1700</v>
      </c>
      <c r="F422">
        <v>160</v>
      </c>
      <c r="G422">
        <v>20</v>
      </c>
      <c r="H422" t="s">
        <v>101</v>
      </c>
      <c r="I422" t="s">
        <v>106</v>
      </c>
      <c r="J422" t="s">
        <v>371</v>
      </c>
      <c r="K422" t="s">
        <v>108</v>
      </c>
      <c r="L422" t="s">
        <v>154</v>
      </c>
      <c r="M422" t="s">
        <v>110</v>
      </c>
      <c r="N422">
        <v>4.3999999999999997E-2</v>
      </c>
      <c r="O422">
        <v>2.4E-2</v>
      </c>
      <c r="P422">
        <v>1.4999999999999999E-2</v>
      </c>
    </row>
    <row r="423" spans="1:16">
      <c r="A423" t="s">
        <v>98</v>
      </c>
      <c r="B423" t="s">
        <v>148</v>
      </c>
      <c r="C423" t="s">
        <v>672</v>
      </c>
      <c r="D423">
        <v>2</v>
      </c>
      <c r="E423">
        <v>4000</v>
      </c>
      <c r="F423">
        <v>0</v>
      </c>
      <c r="G423">
        <v>820</v>
      </c>
      <c r="H423" t="s">
        <v>101</v>
      </c>
      <c r="I423" t="s">
        <v>106</v>
      </c>
      <c r="J423" t="s">
        <v>182</v>
      </c>
      <c r="K423" t="s">
        <v>108</v>
      </c>
      <c r="L423" t="s">
        <v>154</v>
      </c>
      <c r="M423" t="s">
        <v>110</v>
      </c>
      <c r="N423">
        <v>5.1999999999999998E-2</v>
      </c>
      <c r="O423">
        <v>3.4000000000000002E-2</v>
      </c>
      <c r="P423">
        <v>2.3E-2</v>
      </c>
    </row>
    <row r="424" spans="1:16">
      <c r="A424" t="s">
        <v>98</v>
      </c>
      <c r="B424" t="s">
        <v>104</v>
      </c>
      <c r="C424" t="s">
        <v>673</v>
      </c>
      <c r="D424">
        <v>1</v>
      </c>
      <c r="E424">
        <v>1700</v>
      </c>
      <c r="F424">
        <v>160</v>
      </c>
      <c r="G424">
        <v>20</v>
      </c>
      <c r="H424" t="s">
        <v>101</v>
      </c>
      <c r="I424" t="s">
        <v>106</v>
      </c>
      <c r="J424" t="s">
        <v>490</v>
      </c>
      <c r="K424" t="s">
        <v>108</v>
      </c>
      <c r="L424" t="s">
        <v>222</v>
      </c>
      <c r="M424" t="s">
        <v>110</v>
      </c>
      <c r="N424">
        <v>4.3999999999999997E-2</v>
      </c>
      <c r="O424">
        <v>2.4E-2</v>
      </c>
      <c r="P424">
        <v>1.4999999999999999E-2</v>
      </c>
    </row>
    <row r="425" spans="1:16">
      <c r="A425" t="s">
        <v>98</v>
      </c>
      <c r="B425" t="s">
        <v>104</v>
      </c>
      <c r="C425" t="s">
        <v>674</v>
      </c>
      <c r="D425">
        <v>1</v>
      </c>
      <c r="E425">
        <v>1700</v>
      </c>
      <c r="F425">
        <v>160</v>
      </c>
      <c r="G425">
        <v>20</v>
      </c>
      <c r="H425" t="s">
        <v>101</v>
      </c>
      <c r="I425" t="s">
        <v>106</v>
      </c>
      <c r="J425" t="s">
        <v>283</v>
      </c>
      <c r="K425" t="s">
        <v>108</v>
      </c>
      <c r="L425" t="s">
        <v>210</v>
      </c>
      <c r="M425" t="s">
        <v>110</v>
      </c>
      <c r="N425">
        <v>4.3999999999999997E-2</v>
      </c>
      <c r="O425">
        <v>2.4E-2</v>
      </c>
      <c r="P425">
        <v>1.4999999999999999E-2</v>
      </c>
    </row>
    <row r="426" spans="1:16">
      <c r="A426" t="s">
        <v>98</v>
      </c>
      <c r="B426" t="s">
        <v>99</v>
      </c>
      <c r="C426" t="s">
        <v>675</v>
      </c>
      <c r="D426">
        <v>2</v>
      </c>
      <c r="E426">
        <v>3750</v>
      </c>
      <c r="F426">
        <v>32</v>
      </c>
      <c r="G426">
        <v>20</v>
      </c>
      <c r="H426" t="s">
        <v>101</v>
      </c>
      <c r="I426" t="s">
        <v>106</v>
      </c>
      <c r="J426" t="s">
        <v>227</v>
      </c>
      <c r="K426" t="s">
        <v>108</v>
      </c>
      <c r="L426" t="s">
        <v>228</v>
      </c>
      <c r="M426" t="s">
        <v>110</v>
      </c>
      <c r="N426">
        <v>0.105</v>
      </c>
      <c r="O426">
        <v>6.2E-2</v>
      </c>
      <c r="P426">
        <v>3.9E-2</v>
      </c>
    </row>
    <row r="427" spans="1:16">
      <c r="A427" t="s">
        <v>98</v>
      </c>
      <c r="B427" t="s">
        <v>104</v>
      </c>
      <c r="C427" t="s">
        <v>676</v>
      </c>
      <c r="D427">
        <v>1</v>
      </c>
      <c r="E427">
        <v>1700</v>
      </c>
      <c r="F427">
        <v>160</v>
      </c>
      <c r="G427">
        <v>20</v>
      </c>
      <c r="H427" t="s">
        <v>101</v>
      </c>
      <c r="I427" t="s">
        <v>106</v>
      </c>
      <c r="J427" t="s">
        <v>236</v>
      </c>
      <c r="K427" t="s">
        <v>108</v>
      </c>
      <c r="L427" t="s">
        <v>203</v>
      </c>
      <c r="M427" t="s">
        <v>110</v>
      </c>
      <c r="N427">
        <v>4.3999999999999997E-2</v>
      </c>
      <c r="O427">
        <v>2.4E-2</v>
      </c>
      <c r="P427">
        <v>1.4999999999999999E-2</v>
      </c>
    </row>
    <row r="428" spans="1:16">
      <c r="A428" t="s">
        <v>98</v>
      </c>
      <c r="B428" t="s">
        <v>104</v>
      </c>
      <c r="C428" t="s">
        <v>677</v>
      </c>
      <c r="D428">
        <v>1</v>
      </c>
      <c r="E428">
        <v>1700</v>
      </c>
      <c r="F428">
        <v>160</v>
      </c>
      <c r="G428">
        <v>1820</v>
      </c>
      <c r="H428" t="s">
        <v>101</v>
      </c>
      <c r="I428" t="s">
        <v>106</v>
      </c>
      <c r="J428" t="s">
        <v>153</v>
      </c>
      <c r="K428" t="s">
        <v>108</v>
      </c>
      <c r="L428" t="s">
        <v>258</v>
      </c>
      <c r="M428" t="s">
        <v>110</v>
      </c>
      <c r="N428">
        <v>4.3999999999999997E-2</v>
      </c>
      <c r="O428">
        <v>2.4E-2</v>
      </c>
      <c r="P428">
        <v>1.4999999999999999E-2</v>
      </c>
    </row>
    <row r="429" spans="1:16">
      <c r="A429" t="s">
        <v>98</v>
      </c>
      <c r="B429" t="s">
        <v>104</v>
      </c>
      <c r="C429" t="s">
        <v>678</v>
      </c>
      <c r="D429">
        <v>1</v>
      </c>
      <c r="E429">
        <v>1700</v>
      </c>
      <c r="F429">
        <v>160</v>
      </c>
      <c r="G429">
        <v>20</v>
      </c>
      <c r="H429" t="s">
        <v>101</v>
      </c>
      <c r="I429" t="s">
        <v>106</v>
      </c>
      <c r="J429" t="s">
        <v>107</v>
      </c>
      <c r="K429" t="s">
        <v>108</v>
      </c>
      <c r="L429" t="s">
        <v>109</v>
      </c>
      <c r="M429" t="s">
        <v>110</v>
      </c>
      <c r="N429">
        <v>4.3999999999999997E-2</v>
      </c>
      <c r="O429">
        <v>2.4E-2</v>
      </c>
      <c r="P429">
        <v>1.4999999999999999E-2</v>
      </c>
    </row>
    <row r="430" spans="1:16" hidden="1">
      <c r="A430" t="s">
        <v>98</v>
      </c>
      <c r="B430" t="s">
        <v>104</v>
      </c>
      <c r="C430" t="s">
        <v>679</v>
      </c>
      <c r="D430">
        <v>1</v>
      </c>
      <c r="E430">
        <v>1700</v>
      </c>
      <c r="F430">
        <v>160</v>
      </c>
      <c r="G430">
        <v>20</v>
      </c>
      <c r="H430" t="s">
        <v>101</v>
      </c>
      <c r="I430" t="s">
        <v>102</v>
      </c>
      <c r="J430" t="s">
        <v>101</v>
      </c>
      <c r="K430" t="s">
        <v>169</v>
      </c>
      <c r="L430" t="s">
        <v>124</v>
      </c>
      <c r="M430" t="s">
        <v>125</v>
      </c>
      <c r="N430">
        <v>4.3999999999999997E-2</v>
      </c>
      <c r="O430">
        <v>2.4E-2</v>
      </c>
      <c r="P430">
        <v>1.4999999999999999E-2</v>
      </c>
    </row>
    <row r="431" spans="1:16">
      <c r="A431" t="s">
        <v>98</v>
      </c>
      <c r="B431" t="s">
        <v>104</v>
      </c>
      <c r="C431" t="s">
        <v>680</v>
      </c>
      <c r="D431">
        <v>1</v>
      </c>
      <c r="E431">
        <v>1700</v>
      </c>
      <c r="F431">
        <v>160</v>
      </c>
      <c r="G431">
        <v>20</v>
      </c>
      <c r="H431" t="s">
        <v>101</v>
      </c>
      <c r="I431" t="s">
        <v>106</v>
      </c>
      <c r="J431" t="s">
        <v>251</v>
      </c>
      <c r="K431" t="s">
        <v>108</v>
      </c>
      <c r="L431" t="s">
        <v>154</v>
      </c>
      <c r="M431" t="s">
        <v>110</v>
      </c>
      <c r="N431">
        <v>4.3999999999999997E-2</v>
      </c>
      <c r="O431">
        <v>2.4E-2</v>
      </c>
      <c r="P431">
        <v>1.4999999999999999E-2</v>
      </c>
    </row>
    <row r="432" spans="1:16" hidden="1">
      <c r="A432" t="s">
        <v>98</v>
      </c>
      <c r="B432" t="s">
        <v>104</v>
      </c>
      <c r="C432" t="s">
        <v>681</v>
      </c>
      <c r="D432">
        <v>1</v>
      </c>
      <c r="E432">
        <v>1700</v>
      </c>
      <c r="F432">
        <v>160</v>
      </c>
      <c r="G432">
        <v>20</v>
      </c>
      <c r="H432" t="s">
        <v>101</v>
      </c>
      <c r="I432" t="s">
        <v>102</v>
      </c>
      <c r="J432" t="s">
        <v>101</v>
      </c>
      <c r="K432" t="s">
        <v>143</v>
      </c>
      <c r="L432" t="s">
        <v>117</v>
      </c>
      <c r="M432" t="s">
        <v>144</v>
      </c>
      <c r="N432">
        <v>4.3999999999999997E-2</v>
      </c>
      <c r="O432">
        <v>2.4E-2</v>
      </c>
      <c r="P432">
        <v>1.4999999999999999E-2</v>
      </c>
    </row>
    <row r="433" spans="1:16">
      <c r="A433" t="s">
        <v>98</v>
      </c>
      <c r="B433" t="s">
        <v>104</v>
      </c>
      <c r="C433" t="s">
        <v>682</v>
      </c>
      <c r="D433">
        <v>1</v>
      </c>
      <c r="E433">
        <v>1700</v>
      </c>
      <c r="F433">
        <v>160</v>
      </c>
      <c r="G433">
        <v>20</v>
      </c>
      <c r="H433" t="s">
        <v>101</v>
      </c>
      <c r="I433" t="s">
        <v>106</v>
      </c>
      <c r="J433" t="s">
        <v>202</v>
      </c>
      <c r="K433" t="s">
        <v>108</v>
      </c>
      <c r="L433" t="s">
        <v>322</v>
      </c>
      <c r="M433" t="s">
        <v>110</v>
      </c>
      <c r="N433">
        <v>4.3999999999999997E-2</v>
      </c>
      <c r="O433">
        <v>2.4E-2</v>
      </c>
      <c r="P433">
        <v>1.4999999999999999E-2</v>
      </c>
    </row>
    <row r="434" spans="1:16">
      <c r="A434" t="s">
        <v>98</v>
      </c>
      <c r="B434" t="s">
        <v>104</v>
      </c>
      <c r="C434" t="s">
        <v>683</v>
      </c>
      <c r="D434">
        <v>1</v>
      </c>
      <c r="E434">
        <v>1700</v>
      </c>
      <c r="F434">
        <v>160</v>
      </c>
      <c r="G434">
        <v>70</v>
      </c>
      <c r="H434" t="s">
        <v>101</v>
      </c>
      <c r="I434" t="s">
        <v>106</v>
      </c>
      <c r="J434" t="s">
        <v>239</v>
      </c>
      <c r="K434" t="s">
        <v>108</v>
      </c>
      <c r="L434" t="s">
        <v>113</v>
      </c>
      <c r="M434" t="s">
        <v>110</v>
      </c>
      <c r="N434">
        <v>4.3999999999999997E-2</v>
      </c>
      <c r="O434">
        <v>2.4E-2</v>
      </c>
      <c r="P434">
        <v>1.4999999999999999E-2</v>
      </c>
    </row>
    <row r="435" spans="1:16" hidden="1">
      <c r="A435" t="s">
        <v>98</v>
      </c>
      <c r="B435" t="s">
        <v>197</v>
      </c>
      <c r="C435" t="s">
        <v>684</v>
      </c>
      <c r="D435">
        <v>32</v>
      </c>
      <c r="E435">
        <v>60000</v>
      </c>
      <c r="F435">
        <v>640</v>
      </c>
      <c r="G435">
        <v>20</v>
      </c>
      <c r="H435" t="s">
        <v>101</v>
      </c>
      <c r="I435" t="s">
        <v>102</v>
      </c>
      <c r="J435" t="s">
        <v>101</v>
      </c>
      <c r="K435" t="s">
        <v>166</v>
      </c>
      <c r="L435" t="s">
        <v>101</v>
      </c>
      <c r="M435" t="s">
        <v>167</v>
      </c>
      <c r="N435">
        <v>1.68</v>
      </c>
      <c r="O435">
        <v>0.99199999999999999</v>
      </c>
      <c r="P435">
        <v>0.628</v>
      </c>
    </row>
    <row r="436" spans="1:16" hidden="1">
      <c r="A436" t="s">
        <v>98</v>
      </c>
      <c r="B436" t="s">
        <v>164</v>
      </c>
      <c r="C436" t="s">
        <v>685</v>
      </c>
      <c r="D436">
        <v>8</v>
      </c>
      <c r="E436">
        <v>30000</v>
      </c>
      <c r="F436">
        <v>160</v>
      </c>
      <c r="G436">
        <v>15340</v>
      </c>
      <c r="H436" t="s">
        <v>101</v>
      </c>
      <c r="I436" t="s">
        <v>101</v>
      </c>
      <c r="J436" t="s">
        <v>101</v>
      </c>
      <c r="K436" t="s">
        <v>362</v>
      </c>
      <c r="L436" t="s">
        <v>101</v>
      </c>
      <c r="M436" t="s">
        <v>138</v>
      </c>
      <c r="N436">
        <v>0.53200000000000003</v>
      </c>
      <c r="O436">
        <v>0.32400000000000001</v>
      </c>
      <c r="P436">
        <v>0.20899999999999999</v>
      </c>
    </row>
    <row r="437" spans="1:16" hidden="1">
      <c r="A437" t="s">
        <v>98</v>
      </c>
      <c r="B437" t="s">
        <v>114</v>
      </c>
      <c r="C437" t="s">
        <v>686</v>
      </c>
      <c r="D437">
        <v>2</v>
      </c>
      <c r="E437">
        <v>7500</v>
      </c>
      <c r="F437">
        <v>32</v>
      </c>
      <c r="G437">
        <v>20</v>
      </c>
      <c r="H437" t="s">
        <v>101</v>
      </c>
      <c r="I437" t="s">
        <v>146</v>
      </c>
      <c r="J437" t="s">
        <v>101</v>
      </c>
      <c r="K437" t="s">
        <v>244</v>
      </c>
      <c r="L437" t="s">
        <v>101</v>
      </c>
      <c r="M437" t="s">
        <v>138</v>
      </c>
      <c r="N437">
        <v>0.13300000000000001</v>
      </c>
      <c r="O437">
        <v>8.1000000000000003E-2</v>
      </c>
      <c r="P437">
        <v>5.1999999999999998E-2</v>
      </c>
    </row>
    <row r="438" spans="1:16" hidden="1">
      <c r="A438" t="s">
        <v>98</v>
      </c>
      <c r="B438" t="s">
        <v>114</v>
      </c>
      <c r="C438" t="s">
        <v>687</v>
      </c>
      <c r="D438">
        <v>2</v>
      </c>
      <c r="E438">
        <v>7500</v>
      </c>
      <c r="F438">
        <v>32</v>
      </c>
      <c r="G438">
        <v>1020</v>
      </c>
      <c r="H438" t="s">
        <v>101</v>
      </c>
      <c r="I438" t="s">
        <v>102</v>
      </c>
      <c r="J438" t="s">
        <v>101</v>
      </c>
      <c r="K438" t="s">
        <v>265</v>
      </c>
      <c r="L438" t="s">
        <v>117</v>
      </c>
      <c r="M438" t="s">
        <v>103</v>
      </c>
      <c r="N438">
        <v>0.13300000000000001</v>
      </c>
      <c r="O438">
        <v>8.1000000000000003E-2</v>
      </c>
      <c r="P438">
        <v>5.1999999999999998E-2</v>
      </c>
    </row>
    <row r="439" spans="1:16">
      <c r="A439" t="s">
        <v>98</v>
      </c>
      <c r="B439" t="s">
        <v>104</v>
      </c>
      <c r="C439" t="s">
        <v>688</v>
      </c>
      <c r="D439">
        <v>1</v>
      </c>
      <c r="E439">
        <v>1700</v>
      </c>
      <c r="F439">
        <v>160</v>
      </c>
      <c r="G439">
        <v>20</v>
      </c>
      <c r="H439" t="s">
        <v>101</v>
      </c>
      <c r="I439" t="s">
        <v>106</v>
      </c>
      <c r="J439" t="s">
        <v>107</v>
      </c>
      <c r="K439" t="s">
        <v>108</v>
      </c>
      <c r="L439" t="s">
        <v>109</v>
      </c>
      <c r="M439" t="s">
        <v>110</v>
      </c>
      <c r="N439">
        <v>4.3999999999999997E-2</v>
      </c>
      <c r="O439">
        <v>2.4E-2</v>
      </c>
      <c r="P439">
        <v>1.4999999999999999E-2</v>
      </c>
    </row>
    <row r="440" spans="1:16">
      <c r="A440" t="s">
        <v>98</v>
      </c>
      <c r="B440" t="s">
        <v>104</v>
      </c>
      <c r="C440" t="s">
        <v>689</v>
      </c>
      <c r="D440">
        <v>1</v>
      </c>
      <c r="E440">
        <v>1700</v>
      </c>
      <c r="F440">
        <v>160</v>
      </c>
      <c r="G440">
        <v>20</v>
      </c>
      <c r="H440" t="s">
        <v>101</v>
      </c>
      <c r="I440" t="s">
        <v>106</v>
      </c>
      <c r="J440" t="s">
        <v>563</v>
      </c>
      <c r="K440" t="s">
        <v>108</v>
      </c>
      <c r="L440" t="s">
        <v>128</v>
      </c>
      <c r="M440" t="s">
        <v>110</v>
      </c>
      <c r="N440">
        <v>4.3999999999999997E-2</v>
      </c>
      <c r="O440">
        <v>2.4E-2</v>
      </c>
      <c r="P440">
        <v>1.4999999999999999E-2</v>
      </c>
    </row>
    <row r="441" spans="1:16">
      <c r="A441" t="s">
        <v>98</v>
      </c>
      <c r="B441" t="s">
        <v>172</v>
      </c>
      <c r="C441" t="s">
        <v>690</v>
      </c>
      <c r="D441">
        <v>1</v>
      </c>
      <c r="E441">
        <v>2000</v>
      </c>
      <c r="F441">
        <v>0</v>
      </c>
      <c r="G441">
        <v>20</v>
      </c>
      <c r="H441" t="s">
        <v>101</v>
      </c>
      <c r="I441" t="s">
        <v>106</v>
      </c>
      <c r="J441" t="s">
        <v>107</v>
      </c>
      <c r="K441" t="s">
        <v>108</v>
      </c>
      <c r="L441" t="s">
        <v>233</v>
      </c>
      <c r="M441" t="s">
        <v>110</v>
      </c>
      <c r="N441">
        <v>2.5999999999999999E-2</v>
      </c>
      <c r="O441">
        <v>1.7000000000000001E-2</v>
      </c>
      <c r="P441">
        <v>1.2E-2</v>
      </c>
    </row>
    <row r="442" spans="1:16">
      <c r="A442" t="s">
        <v>98</v>
      </c>
      <c r="B442" t="s">
        <v>172</v>
      </c>
      <c r="C442" t="s">
        <v>691</v>
      </c>
      <c r="D442">
        <v>1</v>
      </c>
      <c r="E442">
        <v>2000</v>
      </c>
      <c r="F442">
        <v>0</v>
      </c>
      <c r="G442">
        <v>420</v>
      </c>
      <c r="H442" t="s">
        <v>101</v>
      </c>
      <c r="I442" t="s">
        <v>106</v>
      </c>
      <c r="J442" t="s">
        <v>153</v>
      </c>
      <c r="K442" t="s">
        <v>108</v>
      </c>
      <c r="L442" t="s">
        <v>117</v>
      </c>
      <c r="M442" t="s">
        <v>110</v>
      </c>
      <c r="N442">
        <v>2.5999999999999999E-2</v>
      </c>
      <c r="O442">
        <v>1.7000000000000001E-2</v>
      </c>
      <c r="P442">
        <v>1.2E-2</v>
      </c>
    </row>
    <row r="443" spans="1:16">
      <c r="A443" t="s">
        <v>98</v>
      </c>
      <c r="B443" t="s">
        <v>104</v>
      </c>
      <c r="C443" t="s">
        <v>692</v>
      </c>
      <c r="D443">
        <v>1</v>
      </c>
      <c r="E443">
        <v>1700</v>
      </c>
      <c r="F443">
        <v>160</v>
      </c>
      <c r="G443">
        <v>20</v>
      </c>
      <c r="H443" t="s">
        <v>101</v>
      </c>
      <c r="I443" t="s">
        <v>106</v>
      </c>
      <c r="J443" t="s">
        <v>490</v>
      </c>
      <c r="K443" t="s">
        <v>108</v>
      </c>
      <c r="L443" t="s">
        <v>203</v>
      </c>
      <c r="M443" t="s">
        <v>110</v>
      </c>
      <c r="N443">
        <v>4.3999999999999997E-2</v>
      </c>
      <c r="O443">
        <v>2.4E-2</v>
      </c>
      <c r="P443">
        <v>1.4999999999999999E-2</v>
      </c>
    </row>
    <row r="444" spans="1:16">
      <c r="A444" t="s">
        <v>98</v>
      </c>
      <c r="B444" t="s">
        <v>104</v>
      </c>
      <c r="C444" t="s">
        <v>693</v>
      </c>
      <c r="D444">
        <v>1</v>
      </c>
      <c r="E444">
        <v>1700</v>
      </c>
      <c r="F444">
        <v>160</v>
      </c>
      <c r="G444">
        <v>70</v>
      </c>
      <c r="H444" t="s">
        <v>101</v>
      </c>
      <c r="I444" t="s">
        <v>106</v>
      </c>
      <c r="J444" t="s">
        <v>239</v>
      </c>
      <c r="K444" t="s">
        <v>108</v>
      </c>
      <c r="L444" t="s">
        <v>113</v>
      </c>
      <c r="M444" t="s">
        <v>110</v>
      </c>
      <c r="N444">
        <v>4.3999999999999997E-2</v>
      </c>
      <c r="O444">
        <v>2.4E-2</v>
      </c>
      <c r="P444">
        <v>1.4999999999999999E-2</v>
      </c>
    </row>
    <row r="445" spans="1:16" hidden="1">
      <c r="A445" t="s">
        <v>98</v>
      </c>
      <c r="B445" t="s">
        <v>141</v>
      </c>
      <c r="C445" t="s">
        <v>694</v>
      </c>
      <c r="D445">
        <v>4</v>
      </c>
      <c r="E445">
        <v>15000</v>
      </c>
      <c r="F445">
        <v>80</v>
      </c>
      <c r="G445">
        <v>820</v>
      </c>
      <c r="H445" t="s">
        <v>101</v>
      </c>
      <c r="I445" t="s">
        <v>102</v>
      </c>
      <c r="J445" t="s">
        <v>101</v>
      </c>
      <c r="K445" t="s">
        <v>307</v>
      </c>
      <c r="L445" t="s">
        <v>117</v>
      </c>
      <c r="M445" t="s">
        <v>118</v>
      </c>
      <c r="N445">
        <v>0.26600000000000001</v>
      </c>
      <c r="O445">
        <v>0.16300000000000001</v>
      </c>
      <c r="P445">
        <v>0.104</v>
      </c>
    </row>
    <row r="446" spans="1:16">
      <c r="A446" t="s">
        <v>98</v>
      </c>
      <c r="B446" t="s">
        <v>104</v>
      </c>
      <c r="C446" t="s">
        <v>695</v>
      </c>
      <c r="D446">
        <v>1</v>
      </c>
      <c r="E446">
        <v>1700</v>
      </c>
      <c r="F446">
        <v>160</v>
      </c>
      <c r="G446">
        <v>820</v>
      </c>
      <c r="H446" t="s">
        <v>101</v>
      </c>
      <c r="I446" t="s">
        <v>106</v>
      </c>
      <c r="J446" t="s">
        <v>153</v>
      </c>
      <c r="K446" t="s">
        <v>108</v>
      </c>
      <c r="L446" t="s">
        <v>258</v>
      </c>
      <c r="M446" t="s">
        <v>110</v>
      </c>
      <c r="N446">
        <v>4.3999999999999997E-2</v>
      </c>
      <c r="O446">
        <v>2.4E-2</v>
      </c>
      <c r="P446">
        <v>1.4999999999999999E-2</v>
      </c>
    </row>
    <row r="447" spans="1:16" hidden="1">
      <c r="A447" t="s">
        <v>98</v>
      </c>
      <c r="B447" t="s">
        <v>588</v>
      </c>
      <c r="C447" t="s">
        <v>696</v>
      </c>
      <c r="D447">
        <v>4</v>
      </c>
      <c r="E447">
        <v>7500</v>
      </c>
      <c r="F447">
        <v>80</v>
      </c>
      <c r="G447">
        <v>20</v>
      </c>
      <c r="H447" t="s">
        <v>101</v>
      </c>
      <c r="I447" t="s">
        <v>102</v>
      </c>
      <c r="J447" t="s">
        <v>101</v>
      </c>
      <c r="K447" t="s">
        <v>195</v>
      </c>
      <c r="L447" t="s">
        <v>101</v>
      </c>
      <c r="M447" t="s">
        <v>110</v>
      </c>
      <c r="N447">
        <v>0.21</v>
      </c>
      <c r="O447">
        <v>0.125</v>
      </c>
      <c r="P447">
        <v>7.9000000000000001E-2</v>
      </c>
    </row>
    <row r="448" spans="1:16">
      <c r="A448" t="s">
        <v>98</v>
      </c>
      <c r="B448" t="s">
        <v>172</v>
      </c>
      <c r="C448" t="s">
        <v>697</v>
      </c>
      <c r="D448">
        <v>1</v>
      </c>
      <c r="E448">
        <v>2000</v>
      </c>
      <c r="F448">
        <v>0</v>
      </c>
      <c r="G448">
        <v>620</v>
      </c>
      <c r="H448" t="s">
        <v>101</v>
      </c>
      <c r="I448" t="s">
        <v>106</v>
      </c>
      <c r="J448" t="s">
        <v>189</v>
      </c>
      <c r="K448" t="s">
        <v>108</v>
      </c>
      <c r="L448" t="s">
        <v>154</v>
      </c>
      <c r="M448" t="s">
        <v>110</v>
      </c>
      <c r="N448">
        <v>2.5999999999999999E-2</v>
      </c>
      <c r="O448">
        <v>1.7000000000000001E-2</v>
      </c>
      <c r="P448">
        <v>1.2E-2</v>
      </c>
    </row>
    <row r="449" spans="1:16" hidden="1">
      <c r="A449" t="s">
        <v>98</v>
      </c>
      <c r="B449" t="s">
        <v>141</v>
      </c>
      <c r="C449" t="s">
        <v>698</v>
      </c>
      <c r="D449">
        <v>4</v>
      </c>
      <c r="E449">
        <v>15000</v>
      </c>
      <c r="F449">
        <v>80</v>
      </c>
      <c r="G449">
        <v>1820</v>
      </c>
      <c r="H449" t="s">
        <v>101</v>
      </c>
      <c r="I449" t="s">
        <v>102</v>
      </c>
      <c r="J449" t="s">
        <v>101</v>
      </c>
      <c r="K449" t="s">
        <v>522</v>
      </c>
      <c r="L449" t="s">
        <v>101</v>
      </c>
      <c r="M449" t="s">
        <v>274</v>
      </c>
      <c r="N449">
        <v>0.26600000000000001</v>
      </c>
      <c r="O449">
        <v>0.16300000000000001</v>
      </c>
      <c r="P449">
        <v>0.104</v>
      </c>
    </row>
    <row r="450" spans="1:16" hidden="1">
      <c r="A450" t="s">
        <v>98</v>
      </c>
      <c r="B450" t="s">
        <v>99</v>
      </c>
      <c r="C450" t="s">
        <v>699</v>
      </c>
      <c r="D450">
        <v>2</v>
      </c>
      <c r="E450">
        <v>3750</v>
      </c>
      <c r="F450">
        <v>32</v>
      </c>
      <c r="G450">
        <v>20</v>
      </c>
      <c r="H450" t="s">
        <v>101</v>
      </c>
      <c r="I450" t="s">
        <v>102</v>
      </c>
      <c r="J450" t="s">
        <v>101</v>
      </c>
      <c r="K450" t="s">
        <v>101</v>
      </c>
      <c r="L450" t="s">
        <v>101</v>
      </c>
      <c r="M450" t="s">
        <v>103</v>
      </c>
      <c r="N450">
        <v>0.105</v>
      </c>
      <c r="O450">
        <v>6.2E-2</v>
      </c>
      <c r="P450">
        <v>3.9E-2</v>
      </c>
    </row>
    <row r="451" spans="1:16" hidden="1">
      <c r="A451" t="s">
        <v>98</v>
      </c>
      <c r="B451" t="s">
        <v>164</v>
      </c>
      <c r="C451" t="s">
        <v>700</v>
      </c>
      <c r="D451">
        <v>8</v>
      </c>
      <c r="E451">
        <v>30000</v>
      </c>
      <c r="F451">
        <v>160</v>
      </c>
      <c r="G451">
        <v>1844</v>
      </c>
      <c r="H451" t="s">
        <v>101</v>
      </c>
      <c r="I451" t="s">
        <v>102</v>
      </c>
      <c r="J451" t="s">
        <v>101</v>
      </c>
      <c r="K451" t="s">
        <v>383</v>
      </c>
      <c r="L451" t="s">
        <v>245</v>
      </c>
      <c r="M451" t="s">
        <v>384</v>
      </c>
      <c r="N451">
        <v>0.53200000000000003</v>
      </c>
      <c r="O451">
        <v>0.32400000000000001</v>
      </c>
      <c r="P451">
        <v>0.20899999999999999</v>
      </c>
    </row>
    <row r="452" spans="1:16">
      <c r="A452" t="s">
        <v>98</v>
      </c>
      <c r="B452" t="s">
        <v>172</v>
      </c>
      <c r="C452" t="s">
        <v>701</v>
      </c>
      <c r="D452">
        <v>1</v>
      </c>
      <c r="E452">
        <v>2000</v>
      </c>
      <c r="F452">
        <v>0</v>
      </c>
      <c r="G452">
        <v>820</v>
      </c>
      <c r="H452" t="s">
        <v>101</v>
      </c>
      <c r="I452" t="s">
        <v>106</v>
      </c>
      <c r="J452" t="s">
        <v>182</v>
      </c>
      <c r="K452" t="s">
        <v>108</v>
      </c>
      <c r="L452" t="s">
        <v>258</v>
      </c>
      <c r="M452" t="s">
        <v>110</v>
      </c>
      <c r="N452">
        <v>2.5999999999999999E-2</v>
      </c>
      <c r="O452">
        <v>1.7000000000000001E-2</v>
      </c>
      <c r="P452">
        <v>1.2E-2</v>
      </c>
    </row>
    <row r="453" spans="1:16" hidden="1">
      <c r="A453" t="s">
        <v>98</v>
      </c>
      <c r="B453" t="s">
        <v>104</v>
      </c>
      <c r="C453" t="s">
        <v>702</v>
      </c>
      <c r="D453">
        <v>1</v>
      </c>
      <c r="E453">
        <v>1700</v>
      </c>
      <c r="F453">
        <v>160</v>
      </c>
      <c r="G453">
        <v>20</v>
      </c>
      <c r="H453" t="s">
        <v>101</v>
      </c>
      <c r="I453" t="s">
        <v>102</v>
      </c>
      <c r="J453" t="s">
        <v>101</v>
      </c>
      <c r="K453" t="s">
        <v>123</v>
      </c>
      <c r="L453" t="s">
        <v>311</v>
      </c>
      <c r="M453" t="s">
        <v>125</v>
      </c>
      <c r="N453">
        <v>4.3999999999999997E-2</v>
      </c>
      <c r="O453">
        <v>2.4E-2</v>
      </c>
      <c r="P453">
        <v>1.4999999999999999E-2</v>
      </c>
    </row>
    <row r="454" spans="1:16">
      <c r="A454" t="s">
        <v>98</v>
      </c>
      <c r="B454" t="s">
        <v>104</v>
      </c>
      <c r="C454" t="s">
        <v>703</v>
      </c>
      <c r="D454">
        <v>1</v>
      </c>
      <c r="E454">
        <v>1700</v>
      </c>
      <c r="F454">
        <v>160</v>
      </c>
      <c r="G454">
        <v>220</v>
      </c>
      <c r="H454" t="s">
        <v>101</v>
      </c>
      <c r="I454" t="s">
        <v>106</v>
      </c>
      <c r="J454" t="s">
        <v>130</v>
      </c>
      <c r="K454" t="s">
        <v>108</v>
      </c>
      <c r="L454" t="s">
        <v>131</v>
      </c>
      <c r="M454" t="s">
        <v>110</v>
      </c>
      <c r="N454">
        <v>4.3999999999999997E-2</v>
      </c>
      <c r="O454">
        <v>2.4E-2</v>
      </c>
      <c r="P454">
        <v>1.4999999999999999E-2</v>
      </c>
    </row>
    <row r="455" spans="1:16" hidden="1">
      <c r="A455" t="s">
        <v>98</v>
      </c>
      <c r="B455" t="s">
        <v>104</v>
      </c>
      <c r="C455" t="s">
        <v>704</v>
      </c>
      <c r="D455">
        <v>1</v>
      </c>
      <c r="E455">
        <v>1700</v>
      </c>
      <c r="F455">
        <v>160</v>
      </c>
      <c r="G455">
        <v>70</v>
      </c>
      <c r="H455" t="s">
        <v>101</v>
      </c>
      <c r="I455" t="s">
        <v>102</v>
      </c>
      <c r="J455" t="s">
        <v>101</v>
      </c>
      <c r="K455" t="s">
        <v>220</v>
      </c>
      <c r="L455" t="s">
        <v>101</v>
      </c>
      <c r="M455" t="s">
        <v>125</v>
      </c>
      <c r="N455">
        <v>4.3999999999999997E-2</v>
      </c>
      <c r="O455">
        <v>2.4E-2</v>
      </c>
      <c r="P455">
        <v>1.4999999999999999E-2</v>
      </c>
    </row>
    <row r="456" spans="1:16">
      <c r="A456" t="s">
        <v>98</v>
      </c>
      <c r="B456" t="s">
        <v>104</v>
      </c>
      <c r="C456" t="s">
        <v>705</v>
      </c>
      <c r="D456">
        <v>1</v>
      </c>
      <c r="E456">
        <v>1700</v>
      </c>
      <c r="F456">
        <v>160</v>
      </c>
      <c r="G456">
        <v>20</v>
      </c>
      <c r="H456" t="s">
        <v>101</v>
      </c>
      <c r="I456" t="s">
        <v>106</v>
      </c>
      <c r="J456" t="s">
        <v>283</v>
      </c>
      <c r="K456" t="s">
        <v>108</v>
      </c>
      <c r="L456" t="s">
        <v>203</v>
      </c>
      <c r="M456" t="s">
        <v>110</v>
      </c>
      <c r="N456">
        <v>4.3999999999999997E-2</v>
      </c>
      <c r="O456">
        <v>2.4E-2</v>
      </c>
      <c r="P456">
        <v>1.4999999999999999E-2</v>
      </c>
    </row>
    <row r="457" spans="1:16">
      <c r="A457" t="s">
        <v>98</v>
      </c>
      <c r="B457" t="s">
        <v>104</v>
      </c>
      <c r="C457" t="s">
        <v>706</v>
      </c>
      <c r="D457">
        <v>1</v>
      </c>
      <c r="E457">
        <v>1700</v>
      </c>
      <c r="F457">
        <v>160</v>
      </c>
      <c r="G457">
        <v>20</v>
      </c>
      <c r="H457" t="s">
        <v>101</v>
      </c>
      <c r="I457" t="s">
        <v>106</v>
      </c>
      <c r="J457" t="s">
        <v>371</v>
      </c>
      <c r="K457" t="s">
        <v>108</v>
      </c>
      <c r="L457" t="s">
        <v>154</v>
      </c>
      <c r="M457" t="s">
        <v>110</v>
      </c>
      <c r="N457">
        <v>4.3999999999999997E-2</v>
      </c>
      <c r="O457">
        <v>2.4E-2</v>
      </c>
      <c r="P457">
        <v>1.4999999999999999E-2</v>
      </c>
    </row>
    <row r="458" spans="1:16" hidden="1">
      <c r="A458" t="s">
        <v>98</v>
      </c>
      <c r="B458" t="s">
        <v>104</v>
      </c>
      <c r="C458" t="s">
        <v>707</v>
      </c>
      <c r="D458">
        <v>1</v>
      </c>
      <c r="E458">
        <v>1700</v>
      </c>
      <c r="F458">
        <v>160</v>
      </c>
      <c r="G458">
        <v>20</v>
      </c>
      <c r="H458" t="s">
        <v>101</v>
      </c>
      <c r="I458" t="s">
        <v>102</v>
      </c>
      <c r="J458" t="s">
        <v>101</v>
      </c>
      <c r="K458" t="s">
        <v>184</v>
      </c>
      <c r="L458" t="s">
        <v>311</v>
      </c>
      <c r="M458" t="s">
        <v>125</v>
      </c>
      <c r="N458">
        <v>4.3999999999999997E-2</v>
      </c>
      <c r="O458">
        <v>2.4E-2</v>
      </c>
      <c r="P458">
        <v>1.4999999999999999E-2</v>
      </c>
    </row>
    <row r="459" spans="1:16">
      <c r="A459" t="s">
        <v>98</v>
      </c>
      <c r="B459" t="s">
        <v>172</v>
      </c>
      <c r="C459" t="s">
        <v>708</v>
      </c>
      <c r="D459">
        <v>1</v>
      </c>
      <c r="E459">
        <v>2000</v>
      </c>
      <c r="F459">
        <v>0</v>
      </c>
      <c r="G459">
        <v>20</v>
      </c>
      <c r="H459" t="s">
        <v>101</v>
      </c>
      <c r="I459" t="s">
        <v>106</v>
      </c>
      <c r="J459" t="s">
        <v>472</v>
      </c>
      <c r="K459" t="s">
        <v>108</v>
      </c>
      <c r="L459" t="s">
        <v>222</v>
      </c>
      <c r="M459" t="s">
        <v>110</v>
      </c>
      <c r="N459">
        <v>2.5999999999999999E-2</v>
      </c>
      <c r="O459">
        <v>1.7000000000000001E-2</v>
      </c>
      <c r="P459">
        <v>1.2E-2</v>
      </c>
    </row>
    <row r="460" spans="1:16" hidden="1">
      <c r="A460" t="s">
        <v>98</v>
      </c>
      <c r="B460" t="s">
        <v>164</v>
      </c>
      <c r="C460" t="s">
        <v>709</v>
      </c>
      <c r="D460">
        <v>8</v>
      </c>
      <c r="E460">
        <v>30000</v>
      </c>
      <c r="F460">
        <v>160</v>
      </c>
      <c r="G460">
        <v>3492</v>
      </c>
      <c r="H460" t="s">
        <v>101</v>
      </c>
      <c r="I460" t="s">
        <v>102</v>
      </c>
      <c r="J460" t="s">
        <v>101</v>
      </c>
      <c r="K460" t="s">
        <v>207</v>
      </c>
      <c r="L460" t="s">
        <v>117</v>
      </c>
      <c r="M460" t="s">
        <v>134</v>
      </c>
      <c r="N460">
        <v>0.53200000000000003</v>
      </c>
      <c r="O460">
        <v>0.32400000000000001</v>
      </c>
      <c r="P460">
        <v>0.20899999999999999</v>
      </c>
    </row>
    <row r="461" spans="1:16">
      <c r="A461" t="s">
        <v>98</v>
      </c>
      <c r="B461" t="s">
        <v>104</v>
      </c>
      <c r="C461" t="s">
        <v>710</v>
      </c>
      <c r="D461">
        <v>1</v>
      </c>
      <c r="E461">
        <v>1700</v>
      </c>
      <c r="F461">
        <v>160</v>
      </c>
      <c r="G461">
        <v>20</v>
      </c>
      <c r="H461" t="s">
        <v>101</v>
      </c>
      <c r="I461" t="s">
        <v>106</v>
      </c>
      <c r="J461" t="s">
        <v>297</v>
      </c>
      <c r="K461" t="s">
        <v>108</v>
      </c>
      <c r="L461" t="s">
        <v>210</v>
      </c>
      <c r="M461" t="s">
        <v>110</v>
      </c>
      <c r="N461">
        <v>4.3999999999999997E-2</v>
      </c>
      <c r="O461">
        <v>2.4E-2</v>
      </c>
      <c r="P461">
        <v>1.4999999999999999E-2</v>
      </c>
    </row>
    <row r="462" spans="1:16">
      <c r="A462" t="s">
        <v>98</v>
      </c>
      <c r="B462" t="s">
        <v>172</v>
      </c>
      <c r="C462" t="s">
        <v>711</v>
      </c>
      <c r="D462">
        <v>1</v>
      </c>
      <c r="E462">
        <v>2000</v>
      </c>
      <c r="F462">
        <v>0</v>
      </c>
      <c r="G462">
        <v>220</v>
      </c>
      <c r="H462" t="s">
        <v>101</v>
      </c>
      <c r="I462" t="s">
        <v>106</v>
      </c>
      <c r="J462" t="s">
        <v>189</v>
      </c>
      <c r="K462" t="s">
        <v>108</v>
      </c>
      <c r="L462" t="s">
        <v>131</v>
      </c>
      <c r="M462" t="s">
        <v>110</v>
      </c>
      <c r="N462">
        <v>2.5999999999999999E-2</v>
      </c>
      <c r="O462">
        <v>1.7000000000000001E-2</v>
      </c>
      <c r="P462">
        <v>1.2E-2</v>
      </c>
    </row>
    <row r="463" spans="1:16" hidden="1">
      <c r="A463" t="s">
        <v>98</v>
      </c>
      <c r="B463" t="s">
        <v>141</v>
      </c>
      <c r="C463" t="s">
        <v>712</v>
      </c>
      <c r="D463">
        <v>4</v>
      </c>
      <c r="E463">
        <v>15000</v>
      </c>
      <c r="F463">
        <v>80</v>
      </c>
      <c r="G463">
        <v>820</v>
      </c>
      <c r="H463" t="s">
        <v>101</v>
      </c>
      <c r="I463" t="s">
        <v>102</v>
      </c>
      <c r="J463" t="s">
        <v>101</v>
      </c>
      <c r="K463" t="s">
        <v>522</v>
      </c>
      <c r="L463" t="s">
        <v>101</v>
      </c>
      <c r="M463" t="s">
        <v>274</v>
      </c>
      <c r="N463">
        <v>0.26600000000000001</v>
      </c>
      <c r="O463">
        <v>0.16300000000000001</v>
      </c>
      <c r="P463">
        <v>0.104</v>
      </c>
    </row>
    <row r="464" spans="1:16">
      <c r="A464" t="s">
        <v>98</v>
      </c>
      <c r="B464" t="s">
        <v>104</v>
      </c>
      <c r="C464" t="s">
        <v>713</v>
      </c>
      <c r="D464">
        <v>1</v>
      </c>
      <c r="E464">
        <v>1700</v>
      </c>
      <c r="F464">
        <v>160</v>
      </c>
      <c r="G464">
        <v>20</v>
      </c>
      <c r="H464" t="s">
        <v>101</v>
      </c>
      <c r="I464" t="s">
        <v>106</v>
      </c>
      <c r="J464" t="s">
        <v>350</v>
      </c>
      <c r="K464" t="s">
        <v>108</v>
      </c>
      <c r="L464" t="s">
        <v>222</v>
      </c>
      <c r="M464" t="s">
        <v>110</v>
      </c>
      <c r="N464">
        <v>4.3999999999999997E-2</v>
      </c>
      <c r="O464">
        <v>2.4E-2</v>
      </c>
      <c r="P464">
        <v>1.4999999999999999E-2</v>
      </c>
    </row>
    <row r="465" spans="1:16">
      <c r="A465" t="s">
        <v>98</v>
      </c>
      <c r="B465" t="s">
        <v>104</v>
      </c>
      <c r="C465" t="s">
        <v>714</v>
      </c>
      <c r="D465">
        <v>1</v>
      </c>
      <c r="E465">
        <v>1700</v>
      </c>
      <c r="F465">
        <v>160</v>
      </c>
      <c r="G465">
        <v>820</v>
      </c>
      <c r="H465" t="s">
        <v>101</v>
      </c>
      <c r="I465" t="s">
        <v>106</v>
      </c>
      <c r="J465" t="s">
        <v>153</v>
      </c>
      <c r="K465" t="s">
        <v>108</v>
      </c>
      <c r="L465" t="s">
        <v>154</v>
      </c>
      <c r="M465" t="s">
        <v>110</v>
      </c>
      <c r="N465">
        <v>4.3999999999999997E-2</v>
      </c>
      <c r="O465">
        <v>2.4E-2</v>
      </c>
      <c r="P465">
        <v>1.4999999999999999E-2</v>
      </c>
    </row>
    <row r="466" spans="1:16">
      <c r="A466" t="s">
        <v>98</v>
      </c>
      <c r="B466" t="s">
        <v>135</v>
      </c>
      <c r="C466" t="s">
        <v>715</v>
      </c>
      <c r="D466">
        <v>1</v>
      </c>
      <c r="E466">
        <v>3750</v>
      </c>
      <c r="F466">
        <v>4</v>
      </c>
      <c r="G466">
        <v>520</v>
      </c>
      <c r="H466" t="s">
        <v>101</v>
      </c>
      <c r="I466" t="s">
        <v>106</v>
      </c>
      <c r="J466" t="s">
        <v>130</v>
      </c>
      <c r="K466" t="s">
        <v>108</v>
      </c>
      <c r="L466" t="s">
        <v>154</v>
      </c>
      <c r="M466" t="s">
        <v>110</v>
      </c>
      <c r="N466">
        <v>6.7000000000000004E-2</v>
      </c>
      <c r="O466">
        <v>0.04</v>
      </c>
      <c r="P466">
        <v>2.5999999999999999E-2</v>
      </c>
    </row>
    <row r="467" spans="1:16" hidden="1">
      <c r="A467" t="s">
        <v>98</v>
      </c>
      <c r="B467" t="s">
        <v>172</v>
      </c>
      <c r="C467" t="s">
        <v>716</v>
      </c>
      <c r="D467">
        <v>1</v>
      </c>
      <c r="E467">
        <v>2000</v>
      </c>
      <c r="F467">
        <v>0</v>
      </c>
      <c r="G467">
        <v>20</v>
      </c>
      <c r="H467" t="s">
        <v>101</v>
      </c>
      <c r="I467" t="s">
        <v>102</v>
      </c>
      <c r="J467" t="s">
        <v>101</v>
      </c>
      <c r="K467" t="s">
        <v>273</v>
      </c>
      <c r="L467" t="s">
        <v>101</v>
      </c>
      <c r="M467" t="s">
        <v>125</v>
      </c>
      <c r="N467">
        <v>2.5999999999999999E-2</v>
      </c>
      <c r="O467">
        <v>1.7000000000000001E-2</v>
      </c>
      <c r="P467">
        <v>1.2E-2</v>
      </c>
    </row>
    <row r="468" spans="1:16" hidden="1">
      <c r="A468" t="s">
        <v>98</v>
      </c>
      <c r="B468" t="s">
        <v>267</v>
      </c>
      <c r="C468" t="s">
        <v>717</v>
      </c>
      <c r="D468">
        <v>8</v>
      </c>
      <c r="E468">
        <v>15000</v>
      </c>
      <c r="F468">
        <v>160</v>
      </c>
      <c r="G468">
        <v>20</v>
      </c>
      <c r="H468" t="s">
        <v>101</v>
      </c>
      <c r="I468" t="s">
        <v>102</v>
      </c>
      <c r="J468" t="s">
        <v>101</v>
      </c>
      <c r="K468" t="s">
        <v>566</v>
      </c>
      <c r="L468" t="s">
        <v>101</v>
      </c>
      <c r="M468" t="s">
        <v>632</v>
      </c>
      <c r="N468">
        <v>0.42</v>
      </c>
      <c r="O468">
        <v>0.248</v>
      </c>
      <c r="P468">
        <v>0.157</v>
      </c>
    </row>
    <row r="469" spans="1:16">
      <c r="A469" t="s">
        <v>98</v>
      </c>
      <c r="B469" t="s">
        <v>104</v>
      </c>
      <c r="C469" t="s">
        <v>718</v>
      </c>
      <c r="D469">
        <v>1</v>
      </c>
      <c r="E469">
        <v>1700</v>
      </c>
      <c r="F469">
        <v>160</v>
      </c>
      <c r="G469">
        <v>20</v>
      </c>
      <c r="H469" t="s">
        <v>101</v>
      </c>
      <c r="I469" t="s">
        <v>106</v>
      </c>
      <c r="J469" t="s">
        <v>466</v>
      </c>
      <c r="K469" t="s">
        <v>108</v>
      </c>
      <c r="L469" t="s">
        <v>222</v>
      </c>
      <c r="M469" t="s">
        <v>110</v>
      </c>
      <c r="N469">
        <v>4.3999999999999997E-2</v>
      </c>
      <c r="O469">
        <v>2.4E-2</v>
      </c>
      <c r="P469">
        <v>1.4999999999999999E-2</v>
      </c>
    </row>
    <row r="470" spans="1:16" hidden="1">
      <c r="A470" t="s">
        <v>98</v>
      </c>
      <c r="B470" t="s">
        <v>141</v>
      </c>
      <c r="C470" t="s">
        <v>719</v>
      </c>
      <c r="D470">
        <v>4</v>
      </c>
      <c r="E470">
        <v>15000</v>
      </c>
      <c r="F470">
        <v>80</v>
      </c>
      <c r="G470">
        <v>420</v>
      </c>
      <c r="H470" t="s">
        <v>101</v>
      </c>
      <c r="I470" t="s">
        <v>102</v>
      </c>
      <c r="J470" t="s">
        <v>101</v>
      </c>
      <c r="K470" t="s">
        <v>143</v>
      </c>
      <c r="L470" t="s">
        <v>117</v>
      </c>
      <c r="M470" t="s">
        <v>144</v>
      </c>
      <c r="N470">
        <v>0.26600000000000001</v>
      </c>
      <c r="O470">
        <v>0.16300000000000001</v>
      </c>
      <c r="P470">
        <v>0.104</v>
      </c>
    </row>
    <row r="471" spans="1:16">
      <c r="A471" t="s">
        <v>98</v>
      </c>
      <c r="B471" t="s">
        <v>172</v>
      </c>
      <c r="C471" t="s">
        <v>720</v>
      </c>
      <c r="D471">
        <v>1</v>
      </c>
      <c r="E471">
        <v>2000</v>
      </c>
      <c r="F471">
        <v>0</v>
      </c>
      <c r="G471">
        <v>20</v>
      </c>
      <c r="H471" t="s">
        <v>101</v>
      </c>
      <c r="I471" t="s">
        <v>106</v>
      </c>
      <c r="J471" t="s">
        <v>174</v>
      </c>
      <c r="K471" t="s">
        <v>108</v>
      </c>
      <c r="L471" t="s">
        <v>210</v>
      </c>
      <c r="M471" t="s">
        <v>110</v>
      </c>
      <c r="N471">
        <v>2.5999999999999999E-2</v>
      </c>
      <c r="O471">
        <v>1.7000000000000001E-2</v>
      </c>
      <c r="P471">
        <v>1.2E-2</v>
      </c>
    </row>
    <row r="472" spans="1:16" hidden="1">
      <c r="A472" t="s">
        <v>98</v>
      </c>
      <c r="B472" t="s">
        <v>104</v>
      </c>
      <c r="C472" t="s">
        <v>721</v>
      </c>
      <c r="D472">
        <v>1</v>
      </c>
      <c r="E472">
        <v>1700</v>
      </c>
      <c r="F472">
        <v>160</v>
      </c>
      <c r="G472">
        <v>820</v>
      </c>
      <c r="H472" t="s">
        <v>101</v>
      </c>
      <c r="I472" t="s">
        <v>102</v>
      </c>
      <c r="J472" t="s">
        <v>101</v>
      </c>
      <c r="K472" t="s">
        <v>265</v>
      </c>
      <c r="L472" t="s">
        <v>117</v>
      </c>
      <c r="M472" t="s">
        <v>125</v>
      </c>
      <c r="N472">
        <v>4.3999999999999997E-2</v>
      </c>
      <c r="O472">
        <v>2.4E-2</v>
      </c>
      <c r="P472">
        <v>1.4999999999999999E-2</v>
      </c>
    </row>
    <row r="473" spans="1:16" hidden="1">
      <c r="A473" t="s">
        <v>98</v>
      </c>
      <c r="B473" t="s">
        <v>172</v>
      </c>
      <c r="C473" t="s">
        <v>722</v>
      </c>
      <c r="D473">
        <v>1</v>
      </c>
      <c r="E473">
        <v>2000</v>
      </c>
      <c r="F473">
        <v>0</v>
      </c>
      <c r="G473">
        <v>20</v>
      </c>
      <c r="H473" t="s">
        <v>101</v>
      </c>
      <c r="I473" t="s">
        <v>102</v>
      </c>
      <c r="J473" t="s">
        <v>101</v>
      </c>
      <c r="K473" t="s">
        <v>310</v>
      </c>
      <c r="L473" t="s">
        <v>124</v>
      </c>
      <c r="M473" t="s">
        <v>125</v>
      </c>
      <c r="N473">
        <v>2.5999999999999999E-2</v>
      </c>
      <c r="O473">
        <v>1.7000000000000001E-2</v>
      </c>
      <c r="P473">
        <v>1.2E-2</v>
      </c>
    </row>
    <row r="474" spans="1:16" hidden="1">
      <c r="A474" t="s">
        <v>98</v>
      </c>
      <c r="B474" t="s">
        <v>588</v>
      </c>
      <c r="C474" t="s">
        <v>723</v>
      </c>
      <c r="D474">
        <v>4</v>
      </c>
      <c r="E474">
        <v>7500</v>
      </c>
      <c r="F474">
        <v>80</v>
      </c>
      <c r="G474">
        <v>130</v>
      </c>
      <c r="H474" t="s">
        <v>101</v>
      </c>
      <c r="I474" t="s">
        <v>102</v>
      </c>
      <c r="J474" t="s">
        <v>101</v>
      </c>
      <c r="K474" t="s">
        <v>195</v>
      </c>
      <c r="L474" t="s">
        <v>101</v>
      </c>
      <c r="M474" t="s">
        <v>110</v>
      </c>
      <c r="N474">
        <v>0.21</v>
      </c>
      <c r="O474">
        <v>0.125</v>
      </c>
      <c r="P474">
        <v>7.9000000000000001E-2</v>
      </c>
    </row>
    <row r="475" spans="1:16">
      <c r="A475" t="s">
        <v>98</v>
      </c>
      <c r="B475" t="s">
        <v>104</v>
      </c>
      <c r="C475" t="s">
        <v>724</v>
      </c>
      <c r="D475">
        <v>1</v>
      </c>
      <c r="E475">
        <v>1700</v>
      </c>
      <c r="F475">
        <v>160</v>
      </c>
      <c r="G475">
        <v>20</v>
      </c>
      <c r="H475" t="s">
        <v>101</v>
      </c>
      <c r="I475" t="s">
        <v>106</v>
      </c>
      <c r="J475" t="s">
        <v>609</v>
      </c>
      <c r="K475" t="s">
        <v>108</v>
      </c>
      <c r="L475" t="s">
        <v>203</v>
      </c>
      <c r="M475" t="s">
        <v>110</v>
      </c>
      <c r="N475">
        <v>4.3999999999999997E-2</v>
      </c>
      <c r="O475">
        <v>2.4E-2</v>
      </c>
      <c r="P475">
        <v>1.4999999999999999E-2</v>
      </c>
    </row>
    <row r="476" spans="1:16" hidden="1">
      <c r="A476" t="s">
        <v>98</v>
      </c>
      <c r="B476" t="s">
        <v>104</v>
      </c>
      <c r="C476" t="s">
        <v>725</v>
      </c>
      <c r="D476">
        <v>1</v>
      </c>
      <c r="E476">
        <v>1700</v>
      </c>
      <c r="F476">
        <v>160</v>
      </c>
      <c r="G476">
        <v>20</v>
      </c>
      <c r="H476" t="s">
        <v>101</v>
      </c>
      <c r="I476" t="s">
        <v>102</v>
      </c>
      <c r="J476" t="s">
        <v>101</v>
      </c>
      <c r="K476" t="s">
        <v>482</v>
      </c>
      <c r="L476" t="s">
        <v>261</v>
      </c>
      <c r="M476" t="s">
        <v>151</v>
      </c>
      <c r="N476">
        <v>4.3999999999999997E-2</v>
      </c>
      <c r="O476">
        <v>2.4E-2</v>
      </c>
      <c r="P476">
        <v>1.4999999999999999E-2</v>
      </c>
    </row>
    <row r="477" spans="1:16">
      <c r="A477" t="s">
        <v>98</v>
      </c>
      <c r="B477" t="s">
        <v>172</v>
      </c>
      <c r="C477" t="s">
        <v>726</v>
      </c>
      <c r="D477">
        <v>1</v>
      </c>
      <c r="E477">
        <v>2000</v>
      </c>
      <c r="F477">
        <v>0</v>
      </c>
      <c r="G477">
        <v>420</v>
      </c>
      <c r="H477" t="s">
        <v>101</v>
      </c>
      <c r="I477" t="s">
        <v>106</v>
      </c>
      <c r="J477" t="s">
        <v>153</v>
      </c>
      <c r="K477" t="s">
        <v>108</v>
      </c>
      <c r="L477" t="s">
        <v>117</v>
      </c>
      <c r="M477" t="s">
        <v>110</v>
      </c>
      <c r="N477">
        <v>2.5999999999999999E-2</v>
      </c>
      <c r="O477">
        <v>1.7000000000000001E-2</v>
      </c>
      <c r="P477">
        <v>1.2E-2</v>
      </c>
    </row>
    <row r="478" spans="1:16">
      <c r="A478" t="s">
        <v>98</v>
      </c>
      <c r="B478" t="s">
        <v>104</v>
      </c>
      <c r="C478" t="s">
        <v>727</v>
      </c>
      <c r="D478">
        <v>1</v>
      </c>
      <c r="E478">
        <v>1700</v>
      </c>
      <c r="F478">
        <v>160</v>
      </c>
      <c r="G478">
        <v>70</v>
      </c>
      <c r="H478" t="s">
        <v>101</v>
      </c>
      <c r="I478" t="s">
        <v>106</v>
      </c>
      <c r="J478" t="s">
        <v>239</v>
      </c>
      <c r="K478" t="s">
        <v>108</v>
      </c>
      <c r="L478" t="s">
        <v>280</v>
      </c>
      <c r="M478" t="s">
        <v>110</v>
      </c>
      <c r="N478">
        <v>4.3999999999999997E-2</v>
      </c>
      <c r="O478">
        <v>2.4E-2</v>
      </c>
      <c r="P478">
        <v>1.4999999999999999E-2</v>
      </c>
    </row>
    <row r="479" spans="1:16">
      <c r="A479" t="s">
        <v>98</v>
      </c>
      <c r="B479" t="s">
        <v>99</v>
      </c>
      <c r="C479" t="s">
        <v>728</v>
      </c>
      <c r="D479">
        <v>2</v>
      </c>
      <c r="E479">
        <v>3750</v>
      </c>
      <c r="F479">
        <v>32</v>
      </c>
      <c r="G479">
        <v>20</v>
      </c>
      <c r="H479" t="s">
        <v>101</v>
      </c>
      <c r="I479" t="s">
        <v>106</v>
      </c>
      <c r="J479" t="s">
        <v>227</v>
      </c>
      <c r="K479" t="s">
        <v>108</v>
      </c>
      <c r="L479" t="s">
        <v>228</v>
      </c>
      <c r="M479" t="s">
        <v>110</v>
      </c>
      <c r="N479">
        <v>0.105</v>
      </c>
      <c r="O479">
        <v>6.2E-2</v>
      </c>
      <c r="P479">
        <v>3.9E-2</v>
      </c>
    </row>
    <row r="480" spans="1:16">
      <c r="A480" t="s">
        <v>98</v>
      </c>
      <c r="B480" t="s">
        <v>176</v>
      </c>
      <c r="C480" t="s">
        <v>729</v>
      </c>
      <c r="D480">
        <v>1</v>
      </c>
      <c r="E480">
        <v>615</v>
      </c>
      <c r="F480">
        <v>160</v>
      </c>
      <c r="G480">
        <v>8</v>
      </c>
      <c r="H480" t="s">
        <v>101</v>
      </c>
      <c r="I480" t="s">
        <v>106</v>
      </c>
      <c r="J480" t="s">
        <v>455</v>
      </c>
      <c r="K480" t="s">
        <v>108</v>
      </c>
      <c r="L480" t="s">
        <v>101</v>
      </c>
      <c r="M480" t="s">
        <v>138</v>
      </c>
      <c r="N480">
        <v>0.02</v>
      </c>
      <c r="O480">
        <v>1.2E-2</v>
      </c>
      <c r="P480">
        <v>8.0000000000000002E-3</v>
      </c>
    </row>
    <row r="481" spans="1:16" hidden="1">
      <c r="A481" t="s">
        <v>98</v>
      </c>
      <c r="B481" t="s">
        <v>148</v>
      </c>
      <c r="C481" t="s">
        <v>730</v>
      </c>
      <c r="D481">
        <v>2</v>
      </c>
      <c r="E481">
        <v>4000</v>
      </c>
      <c r="F481">
        <v>0</v>
      </c>
      <c r="G481">
        <v>20</v>
      </c>
      <c r="H481" t="s">
        <v>101</v>
      </c>
      <c r="I481" t="s">
        <v>146</v>
      </c>
      <c r="J481" t="s">
        <v>101</v>
      </c>
      <c r="K481" t="s">
        <v>101</v>
      </c>
      <c r="L481" t="s">
        <v>101</v>
      </c>
      <c r="M481" t="s">
        <v>138</v>
      </c>
      <c r="N481">
        <v>5.1999999999999998E-2</v>
      </c>
      <c r="O481">
        <v>3.4000000000000002E-2</v>
      </c>
      <c r="P481">
        <v>2.3E-2</v>
      </c>
    </row>
    <row r="482" spans="1:16" hidden="1">
      <c r="A482" t="s">
        <v>98</v>
      </c>
      <c r="B482" t="s">
        <v>135</v>
      </c>
      <c r="C482" t="s">
        <v>731</v>
      </c>
      <c r="D482">
        <v>1</v>
      </c>
      <c r="E482">
        <v>3750</v>
      </c>
      <c r="F482">
        <v>4</v>
      </c>
      <c r="G482">
        <v>220</v>
      </c>
      <c r="H482" t="s">
        <v>101</v>
      </c>
      <c r="I482" t="s">
        <v>102</v>
      </c>
      <c r="J482" t="s">
        <v>101</v>
      </c>
      <c r="K482" t="s">
        <v>140</v>
      </c>
      <c r="L482" t="s">
        <v>101</v>
      </c>
      <c r="M482" t="s">
        <v>138</v>
      </c>
      <c r="N482">
        <v>6.7000000000000004E-2</v>
      </c>
      <c r="O482">
        <v>0.04</v>
      </c>
      <c r="P482">
        <v>2.5999999999999999E-2</v>
      </c>
    </row>
    <row r="483" spans="1:16">
      <c r="A483" t="s">
        <v>98</v>
      </c>
      <c r="B483" t="s">
        <v>104</v>
      </c>
      <c r="C483" t="s">
        <v>732</v>
      </c>
      <c r="D483">
        <v>1</v>
      </c>
      <c r="E483">
        <v>1700</v>
      </c>
      <c r="F483">
        <v>160</v>
      </c>
      <c r="G483">
        <v>20</v>
      </c>
      <c r="H483" t="s">
        <v>101</v>
      </c>
      <c r="I483" t="s">
        <v>106</v>
      </c>
      <c r="J483" t="s">
        <v>297</v>
      </c>
      <c r="K483" t="s">
        <v>108</v>
      </c>
      <c r="L483" t="s">
        <v>175</v>
      </c>
      <c r="M483" t="s">
        <v>110</v>
      </c>
      <c r="N483">
        <v>4.3999999999999997E-2</v>
      </c>
      <c r="O483">
        <v>2.4E-2</v>
      </c>
      <c r="P483">
        <v>1.4999999999999999E-2</v>
      </c>
    </row>
    <row r="484" spans="1:16">
      <c r="A484" t="s">
        <v>98</v>
      </c>
      <c r="B484" t="s">
        <v>172</v>
      </c>
      <c r="C484" t="s">
        <v>733</v>
      </c>
      <c r="D484">
        <v>1</v>
      </c>
      <c r="E484">
        <v>2000</v>
      </c>
      <c r="F484">
        <v>0</v>
      </c>
      <c r="G484">
        <v>220</v>
      </c>
      <c r="H484" t="s">
        <v>101</v>
      </c>
      <c r="I484" t="s">
        <v>106</v>
      </c>
      <c r="J484" t="s">
        <v>189</v>
      </c>
      <c r="K484" t="s">
        <v>108</v>
      </c>
      <c r="L484" t="s">
        <v>154</v>
      </c>
      <c r="M484" t="s">
        <v>110</v>
      </c>
      <c r="N484">
        <v>2.5999999999999999E-2</v>
      </c>
      <c r="O484">
        <v>1.7000000000000001E-2</v>
      </c>
      <c r="P484">
        <v>1.2E-2</v>
      </c>
    </row>
    <row r="485" spans="1:16">
      <c r="A485" t="s">
        <v>98</v>
      </c>
      <c r="B485" t="s">
        <v>104</v>
      </c>
      <c r="C485" t="s">
        <v>734</v>
      </c>
      <c r="D485">
        <v>1</v>
      </c>
      <c r="E485">
        <v>1700</v>
      </c>
      <c r="F485">
        <v>160</v>
      </c>
      <c r="G485">
        <v>70</v>
      </c>
      <c r="H485" t="s">
        <v>101</v>
      </c>
      <c r="I485" t="s">
        <v>106</v>
      </c>
      <c r="J485" t="s">
        <v>239</v>
      </c>
      <c r="K485" t="s">
        <v>108</v>
      </c>
      <c r="L485" t="s">
        <v>231</v>
      </c>
      <c r="M485" t="s">
        <v>110</v>
      </c>
      <c r="N485">
        <v>4.3999999999999997E-2</v>
      </c>
      <c r="O485">
        <v>2.4E-2</v>
      </c>
      <c r="P485">
        <v>1.4999999999999999E-2</v>
      </c>
    </row>
    <row r="486" spans="1:16" hidden="1">
      <c r="A486" t="s">
        <v>98</v>
      </c>
      <c r="B486" t="s">
        <v>99</v>
      </c>
      <c r="C486" t="s">
        <v>735</v>
      </c>
      <c r="D486">
        <v>2</v>
      </c>
      <c r="E486">
        <v>3750</v>
      </c>
      <c r="F486">
        <v>32</v>
      </c>
      <c r="G486">
        <v>20</v>
      </c>
      <c r="H486" t="s">
        <v>101</v>
      </c>
      <c r="I486" t="s">
        <v>102</v>
      </c>
      <c r="J486" t="s">
        <v>101</v>
      </c>
      <c r="K486" t="s">
        <v>482</v>
      </c>
      <c r="L486" t="s">
        <v>101</v>
      </c>
      <c r="M486" t="s">
        <v>151</v>
      </c>
      <c r="N486">
        <v>0.105</v>
      </c>
      <c r="O486">
        <v>6.2E-2</v>
      </c>
      <c r="P486">
        <v>3.9E-2</v>
      </c>
    </row>
    <row r="487" spans="1:16" hidden="1">
      <c r="A487" t="s">
        <v>98</v>
      </c>
      <c r="B487" t="s">
        <v>141</v>
      </c>
      <c r="C487" t="s">
        <v>736</v>
      </c>
      <c r="D487">
        <v>4</v>
      </c>
      <c r="E487">
        <v>15000</v>
      </c>
      <c r="F487">
        <v>80</v>
      </c>
      <c r="G487">
        <v>820</v>
      </c>
      <c r="H487" t="s">
        <v>101</v>
      </c>
      <c r="I487" t="s">
        <v>102</v>
      </c>
      <c r="J487" t="s">
        <v>101</v>
      </c>
      <c r="K487" t="s">
        <v>123</v>
      </c>
      <c r="L487" t="s">
        <v>101</v>
      </c>
      <c r="M487" t="s">
        <v>303</v>
      </c>
      <c r="N487">
        <v>0.26600000000000001</v>
      </c>
      <c r="O487">
        <v>0.16300000000000001</v>
      </c>
      <c r="P487">
        <v>0.104</v>
      </c>
    </row>
    <row r="488" spans="1:16" hidden="1">
      <c r="A488" t="s">
        <v>98</v>
      </c>
      <c r="B488" t="s">
        <v>141</v>
      </c>
      <c r="C488" t="s">
        <v>737</v>
      </c>
      <c r="D488">
        <v>4</v>
      </c>
      <c r="E488">
        <v>15000</v>
      </c>
      <c r="F488">
        <v>80</v>
      </c>
      <c r="G488">
        <v>420</v>
      </c>
      <c r="H488" t="s">
        <v>101</v>
      </c>
      <c r="I488" t="s">
        <v>102</v>
      </c>
      <c r="J488" t="s">
        <v>101</v>
      </c>
      <c r="K488" t="s">
        <v>273</v>
      </c>
      <c r="L488" t="s">
        <v>101</v>
      </c>
      <c r="M488" t="s">
        <v>274</v>
      </c>
      <c r="N488">
        <v>0.26600000000000001</v>
      </c>
      <c r="O488">
        <v>0.16300000000000001</v>
      </c>
      <c r="P488">
        <v>0.104</v>
      </c>
    </row>
    <row r="489" spans="1:16" hidden="1">
      <c r="A489" t="s">
        <v>98</v>
      </c>
      <c r="B489" t="s">
        <v>104</v>
      </c>
      <c r="C489" t="s">
        <v>738</v>
      </c>
      <c r="D489">
        <v>1</v>
      </c>
      <c r="E489">
        <v>1700</v>
      </c>
      <c r="F489">
        <v>160</v>
      </c>
      <c r="G489">
        <v>20</v>
      </c>
      <c r="H489" t="s">
        <v>101</v>
      </c>
      <c r="I489" t="s">
        <v>102</v>
      </c>
      <c r="J489" t="s">
        <v>101</v>
      </c>
      <c r="K489" t="s">
        <v>166</v>
      </c>
      <c r="L489" t="s">
        <v>101</v>
      </c>
      <c r="M489" t="s">
        <v>125</v>
      </c>
      <c r="N489">
        <v>4.3999999999999997E-2</v>
      </c>
      <c r="O489">
        <v>2.4E-2</v>
      </c>
      <c r="P489">
        <v>1.4999999999999999E-2</v>
      </c>
    </row>
    <row r="490" spans="1:16">
      <c r="A490" t="s">
        <v>98</v>
      </c>
      <c r="B490" t="s">
        <v>104</v>
      </c>
      <c r="C490" t="s">
        <v>739</v>
      </c>
      <c r="D490">
        <v>1</v>
      </c>
      <c r="E490">
        <v>1700</v>
      </c>
      <c r="F490">
        <v>160</v>
      </c>
      <c r="G490">
        <v>420</v>
      </c>
      <c r="H490" t="s">
        <v>101</v>
      </c>
      <c r="I490" t="s">
        <v>106</v>
      </c>
      <c r="J490" t="s">
        <v>153</v>
      </c>
      <c r="K490" t="s">
        <v>108</v>
      </c>
      <c r="L490" t="s">
        <v>154</v>
      </c>
      <c r="M490" t="s">
        <v>110</v>
      </c>
      <c r="N490">
        <v>4.3999999999999997E-2</v>
      </c>
      <c r="O490">
        <v>2.4E-2</v>
      </c>
      <c r="P490">
        <v>1.4999999999999999E-2</v>
      </c>
    </row>
    <row r="491" spans="1:16">
      <c r="A491" t="s">
        <v>98</v>
      </c>
      <c r="B491" t="s">
        <v>172</v>
      </c>
      <c r="C491" t="s">
        <v>740</v>
      </c>
      <c r="D491">
        <v>1</v>
      </c>
      <c r="E491">
        <v>2000</v>
      </c>
      <c r="F491">
        <v>0</v>
      </c>
      <c r="G491">
        <v>20</v>
      </c>
      <c r="H491" t="s">
        <v>101</v>
      </c>
      <c r="I491" t="s">
        <v>106</v>
      </c>
      <c r="J491" t="s">
        <v>661</v>
      </c>
      <c r="K491" t="s">
        <v>108</v>
      </c>
      <c r="L491" t="s">
        <v>210</v>
      </c>
      <c r="M491" t="s">
        <v>110</v>
      </c>
      <c r="N491">
        <v>2.5999999999999999E-2</v>
      </c>
      <c r="O491">
        <v>1.7000000000000001E-2</v>
      </c>
      <c r="P491">
        <v>1.2E-2</v>
      </c>
    </row>
    <row r="492" spans="1:16" hidden="1">
      <c r="A492" t="s">
        <v>98</v>
      </c>
      <c r="B492" t="s">
        <v>104</v>
      </c>
      <c r="C492" t="s">
        <v>741</v>
      </c>
      <c r="D492">
        <v>1</v>
      </c>
      <c r="E492">
        <v>1700</v>
      </c>
      <c r="F492">
        <v>160</v>
      </c>
      <c r="G492">
        <v>20</v>
      </c>
      <c r="H492" t="s">
        <v>101</v>
      </c>
      <c r="I492" t="s">
        <v>102</v>
      </c>
      <c r="J492" t="s">
        <v>101</v>
      </c>
      <c r="K492" t="s">
        <v>742</v>
      </c>
      <c r="L492" t="s">
        <v>124</v>
      </c>
      <c r="M492" t="s">
        <v>125</v>
      </c>
      <c r="N492">
        <v>4.3999999999999997E-2</v>
      </c>
      <c r="O492">
        <v>2.4E-2</v>
      </c>
      <c r="P492">
        <v>1.4999999999999999E-2</v>
      </c>
    </row>
    <row r="493" spans="1:16">
      <c r="A493" t="s">
        <v>98</v>
      </c>
      <c r="B493" t="s">
        <v>172</v>
      </c>
      <c r="C493" t="s">
        <v>743</v>
      </c>
      <c r="D493">
        <v>1</v>
      </c>
      <c r="E493">
        <v>2000</v>
      </c>
      <c r="F493">
        <v>0</v>
      </c>
      <c r="G493">
        <v>420</v>
      </c>
      <c r="H493" t="s">
        <v>101</v>
      </c>
      <c r="I493" t="s">
        <v>106</v>
      </c>
      <c r="J493" t="s">
        <v>153</v>
      </c>
      <c r="K493" t="s">
        <v>108</v>
      </c>
      <c r="L493" t="s">
        <v>117</v>
      </c>
      <c r="M493" t="s">
        <v>110</v>
      </c>
      <c r="N493">
        <v>2.5999999999999999E-2</v>
      </c>
      <c r="O493">
        <v>1.7000000000000001E-2</v>
      </c>
      <c r="P493">
        <v>1.2E-2</v>
      </c>
    </row>
    <row r="494" spans="1:16" hidden="1">
      <c r="A494" t="s">
        <v>98</v>
      </c>
      <c r="B494" t="s">
        <v>104</v>
      </c>
      <c r="C494" t="s">
        <v>744</v>
      </c>
      <c r="D494">
        <v>1</v>
      </c>
      <c r="E494">
        <v>1700</v>
      </c>
      <c r="F494">
        <v>160</v>
      </c>
      <c r="G494">
        <v>20</v>
      </c>
      <c r="H494" t="s">
        <v>101</v>
      </c>
      <c r="I494" t="s">
        <v>102</v>
      </c>
      <c r="J494" t="s">
        <v>101</v>
      </c>
      <c r="K494" t="s">
        <v>101</v>
      </c>
      <c r="L494" t="s">
        <v>101</v>
      </c>
      <c r="M494" t="s">
        <v>134</v>
      </c>
      <c r="N494">
        <v>4.3999999999999997E-2</v>
      </c>
      <c r="O494">
        <v>2.4E-2</v>
      </c>
      <c r="P494">
        <v>1.4999999999999999E-2</v>
      </c>
    </row>
    <row r="495" spans="1:16">
      <c r="A495" t="s">
        <v>98</v>
      </c>
      <c r="B495" t="s">
        <v>104</v>
      </c>
      <c r="C495" t="s">
        <v>745</v>
      </c>
      <c r="D495">
        <v>1</v>
      </c>
      <c r="E495">
        <v>1700</v>
      </c>
      <c r="F495">
        <v>160</v>
      </c>
      <c r="G495">
        <v>820</v>
      </c>
      <c r="H495" t="s">
        <v>101</v>
      </c>
      <c r="I495" t="s">
        <v>106</v>
      </c>
      <c r="J495" t="s">
        <v>153</v>
      </c>
      <c r="K495" t="s">
        <v>108</v>
      </c>
      <c r="L495" t="s">
        <v>258</v>
      </c>
      <c r="M495" t="s">
        <v>110</v>
      </c>
      <c r="N495">
        <v>4.3999999999999997E-2</v>
      </c>
      <c r="O495">
        <v>2.4E-2</v>
      </c>
      <c r="P495">
        <v>1.4999999999999999E-2</v>
      </c>
    </row>
    <row r="496" spans="1:16">
      <c r="A496" t="s">
        <v>98</v>
      </c>
      <c r="B496" t="s">
        <v>104</v>
      </c>
      <c r="C496" t="s">
        <v>746</v>
      </c>
      <c r="D496">
        <v>1</v>
      </c>
      <c r="E496">
        <v>1700</v>
      </c>
      <c r="F496">
        <v>160</v>
      </c>
      <c r="G496">
        <v>20</v>
      </c>
      <c r="H496" t="s">
        <v>101</v>
      </c>
      <c r="I496" t="s">
        <v>106</v>
      </c>
      <c r="J496" t="s">
        <v>747</v>
      </c>
      <c r="K496" t="s">
        <v>108</v>
      </c>
      <c r="L496" t="s">
        <v>121</v>
      </c>
      <c r="M496" t="s">
        <v>110</v>
      </c>
      <c r="N496">
        <v>4.3999999999999997E-2</v>
      </c>
      <c r="O496">
        <v>2.4E-2</v>
      </c>
      <c r="P496">
        <v>1.4999999999999999E-2</v>
      </c>
    </row>
    <row r="497" spans="1:16">
      <c r="A497" t="s">
        <v>98</v>
      </c>
      <c r="B497" t="s">
        <v>104</v>
      </c>
      <c r="C497" t="s">
        <v>748</v>
      </c>
      <c r="D497">
        <v>1</v>
      </c>
      <c r="E497">
        <v>1700</v>
      </c>
      <c r="F497">
        <v>160</v>
      </c>
      <c r="G497">
        <v>20</v>
      </c>
      <c r="H497" t="s">
        <v>101</v>
      </c>
      <c r="I497" t="s">
        <v>106</v>
      </c>
      <c r="J497" t="s">
        <v>749</v>
      </c>
      <c r="K497" t="s">
        <v>108</v>
      </c>
      <c r="L497" t="s">
        <v>192</v>
      </c>
      <c r="M497" t="s">
        <v>110</v>
      </c>
      <c r="N497">
        <v>4.3999999999999997E-2</v>
      </c>
      <c r="O497">
        <v>2.4E-2</v>
      </c>
      <c r="P497">
        <v>1.4999999999999999E-2</v>
      </c>
    </row>
    <row r="498" spans="1:16">
      <c r="A498" t="s">
        <v>98</v>
      </c>
      <c r="B498" t="s">
        <v>104</v>
      </c>
      <c r="C498" t="s">
        <v>750</v>
      </c>
      <c r="D498">
        <v>1</v>
      </c>
      <c r="E498">
        <v>1700</v>
      </c>
      <c r="F498">
        <v>160</v>
      </c>
      <c r="G498">
        <v>20</v>
      </c>
      <c r="H498" t="s">
        <v>101</v>
      </c>
      <c r="I498" t="s">
        <v>106</v>
      </c>
      <c r="J498" t="s">
        <v>749</v>
      </c>
      <c r="K498" t="s">
        <v>108</v>
      </c>
      <c r="L498" t="s">
        <v>434</v>
      </c>
      <c r="M498" t="s">
        <v>110</v>
      </c>
      <c r="N498">
        <v>4.3999999999999997E-2</v>
      </c>
      <c r="O498">
        <v>2.4E-2</v>
      </c>
      <c r="P498">
        <v>1.4999999999999999E-2</v>
      </c>
    </row>
    <row r="499" spans="1:16">
      <c r="A499" t="s">
        <v>98</v>
      </c>
      <c r="B499" t="s">
        <v>135</v>
      </c>
      <c r="C499" t="s">
        <v>751</v>
      </c>
      <c r="D499">
        <v>1</v>
      </c>
      <c r="E499">
        <v>3750</v>
      </c>
      <c r="F499">
        <v>4</v>
      </c>
      <c r="G499">
        <v>20</v>
      </c>
      <c r="H499" t="s">
        <v>101</v>
      </c>
      <c r="I499" t="s">
        <v>106</v>
      </c>
      <c r="J499" t="s">
        <v>752</v>
      </c>
      <c r="K499" t="s">
        <v>108</v>
      </c>
      <c r="L499" t="s">
        <v>394</v>
      </c>
      <c r="M499" t="s">
        <v>110</v>
      </c>
      <c r="N499">
        <v>6.7000000000000004E-2</v>
      </c>
      <c r="O499">
        <v>0.04</v>
      </c>
      <c r="P499">
        <v>2.5999999999999999E-2</v>
      </c>
    </row>
    <row r="500" spans="1:16" hidden="1">
      <c r="A500" t="s">
        <v>98</v>
      </c>
      <c r="B500" t="s">
        <v>135</v>
      </c>
      <c r="C500" t="s">
        <v>753</v>
      </c>
      <c r="D500">
        <v>1</v>
      </c>
      <c r="E500">
        <v>3750</v>
      </c>
      <c r="F500">
        <v>4</v>
      </c>
      <c r="G500">
        <v>20</v>
      </c>
      <c r="H500" t="s">
        <v>101</v>
      </c>
      <c r="I500" t="s">
        <v>102</v>
      </c>
      <c r="J500" t="s">
        <v>101</v>
      </c>
      <c r="K500" t="s">
        <v>754</v>
      </c>
      <c r="L500" t="s">
        <v>261</v>
      </c>
      <c r="M500" t="s">
        <v>125</v>
      </c>
      <c r="N500">
        <v>6.7000000000000004E-2</v>
      </c>
      <c r="O500">
        <v>0.04</v>
      </c>
      <c r="P500">
        <v>2.5999999999999999E-2</v>
      </c>
    </row>
    <row r="501" spans="1:16">
      <c r="A501" t="s">
        <v>98</v>
      </c>
      <c r="B501" t="s">
        <v>172</v>
      </c>
      <c r="C501" t="s">
        <v>755</v>
      </c>
      <c r="D501">
        <v>1</v>
      </c>
      <c r="E501">
        <v>2000</v>
      </c>
      <c r="F501">
        <v>0</v>
      </c>
      <c r="G501">
        <v>20</v>
      </c>
      <c r="H501" t="s">
        <v>101</v>
      </c>
      <c r="I501" t="s">
        <v>106</v>
      </c>
      <c r="J501" t="s">
        <v>756</v>
      </c>
      <c r="K501" t="s">
        <v>108</v>
      </c>
      <c r="L501" t="s">
        <v>434</v>
      </c>
      <c r="M501" t="s">
        <v>110</v>
      </c>
      <c r="N501">
        <v>2.5999999999999999E-2</v>
      </c>
      <c r="O501">
        <v>1.7000000000000001E-2</v>
      </c>
      <c r="P501">
        <v>1.2E-2</v>
      </c>
    </row>
    <row r="502" spans="1:16">
      <c r="A502" t="s">
        <v>98</v>
      </c>
      <c r="B502" t="s">
        <v>172</v>
      </c>
      <c r="C502" t="s">
        <v>757</v>
      </c>
      <c r="D502">
        <v>1</v>
      </c>
      <c r="E502">
        <v>2000</v>
      </c>
      <c r="F502">
        <v>0</v>
      </c>
      <c r="G502">
        <v>20</v>
      </c>
      <c r="H502" t="s">
        <v>101</v>
      </c>
      <c r="I502" t="s">
        <v>106</v>
      </c>
      <c r="J502" t="s">
        <v>756</v>
      </c>
      <c r="K502" t="s">
        <v>108</v>
      </c>
      <c r="L502" t="s">
        <v>192</v>
      </c>
      <c r="M502" t="s">
        <v>110</v>
      </c>
      <c r="N502">
        <v>2.5999999999999999E-2</v>
      </c>
      <c r="O502">
        <v>1.7000000000000001E-2</v>
      </c>
      <c r="P502">
        <v>1.2E-2</v>
      </c>
    </row>
    <row r="503" spans="1:16">
      <c r="A503" t="s">
        <v>98</v>
      </c>
      <c r="B503" t="s">
        <v>172</v>
      </c>
      <c r="C503" t="s">
        <v>758</v>
      </c>
      <c r="D503">
        <v>1</v>
      </c>
      <c r="E503">
        <v>2000</v>
      </c>
      <c r="F503">
        <v>0</v>
      </c>
      <c r="G503">
        <v>20</v>
      </c>
      <c r="H503" t="s">
        <v>101</v>
      </c>
      <c r="I503" t="s">
        <v>106</v>
      </c>
      <c r="J503" t="s">
        <v>756</v>
      </c>
      <c r="K503" t="s">
        <v>108</v>
      </c>
      <c r="L503" t="s">
        <v>434</v>
      </c>
      <c r="M503" t="s">
        <v>110</v>
      </c>
      <c r="N503">
        <v>2.5999999999999999E-2</v>
      </c>
      <c r="O503">
        <v>1.7000000000000001E-2</v>
      </c>
      <c r="P503">
        <v>1.2E-2</v>
      </c>
    </row>
    <row r="504" spans="1:16">
      <c r="A504" t="s">
        <v>98</v>
      </c>
      <c r="B504" t="s">
        <v>172</v>
      </c>
      <c r="C504" t="s">
        <v>759</v>
      </c>
      <c r="D504">
        <v>1</v>
      </c>
      <c r="E504">
        <v>2000</v>
      </c>
      <c r="F504">
        <v>0</v>
      </c>
      <c r="G504">
        <v>20</v>
      </c>
      <c r="H504" t="s">
        <v>101</v>
      </c>
      <c r="I504" t="s">
        <v>106</v>
      </c>
      <c r="J504" t="s">
        <v>756</v>
      </c>
      <c r="K504" t="s">
        <v>108</v>
      </c>
      <c r="L504" t="s">
        <v>192</v>
      </c>
      <c r="M504" t="s">
        <v>110</v>
      </c>
      <c r="N504">
        <v>2.5999999999999999E-2</v>
      </c>
      <c r="O504">
        <v>1.7000000000000001E-2</v>
      </c>
      <c r="P504">
        <v>1.2E-2</v>
      </c>
    </row>
    <row r="505" spans="1:16">
      <c r="A505" t="s">
        <v>98</v>
      </c>
      <c r="B505" t="s">
        <v>104</v>
      </c>
      <c r="C505" t="s">
        <v>760</v>
      </c>
      <c r="D505">
        <v>1</v>
      </c>
      <c r="E505">
        <v>1700</v>
      </c>
      <c r="F505">
        <v>160</v>
      </c>
      <c r="G505">
        <v>20</v>
      </c>
      <c r="H505" t="s">
        <v>101</v>
      </c>
      <c r="I505" t="s">
        <v>106</v>
      </c>
      <c r="J505" t="s">
        <v>756</v>
      </c>
      <c r="K505" t="s">
        <v>108</v>
      </c>
      <c r="L505" t="s">
        <v>261</v>
      </c>
      <c r="M505" t="s">
        <v>110</v>
      </c>
      <c r="N505">
        <v>4.3999999999999997E-2</v>
      </c>
      <c r="O505">
        <v>2.4E-2</v>
      </c>
      <c r="P505">
        <v>1.4999999999999999E-2</v>
      </c>
    </row>
    <row r="506" spans="1:16">
      <c r="A506" t="s">
        <v>98</v>
      </c>
      <c r="B506" t="s">
        <v>148</v>
      </c>
      <c r="C506" t="s">
        <v>761</v>
      </c>
      <c r="D506">
        <v>2</v>
      </c>
      <c r="E506">
        <v>4000</v>
      </c>
      <c r="F506">
        <v>0</v>
      </c>
      <c r="G506">
        <v>820</v>
      </c>
      <c r="H506" t="s">
        <v>101</v>
      </c>
      <c r="I506" t="s">
        <v>106</v>
      </c>
      <c r="J506" t="s">
        <v>182</v>
      </c>
      <c r="K506" t="s">
        <v>108</v>
      </c>
      <c r="L506" t="s">
        <v>245</v>
      </c>
      <c r="M506" t="s">
        <v>110</v>
      </c>
      <c r="N506">
        <v>5.1999999999999998E-2</v>
      </c>
      <c r="O506">
        <v>3.4000000000000002E-2</v>
      </c>
      <c r="P506">
        <v>2.3E-2</v>
      </c>
    </row>
    <row r="507" spans="1:16">
      <c r="A507" t="s">
        <v>98</v>
      </c>
      <c r="B507" t="s">
        <v>148</v>
      </c>
      <c r="C507" t="s">
        <v>762</v>
      </c>
      <c r="D507">
        <v>2</v>
      </c>
      <c r="E507">
        <v>4000</v>
      </c>
      <c r="F507">
        <v>0</v>
      </c>
      <c r="G507">
        <v>420</v>
      </c>
      <c r="H507" t="s">
        <v>101</v>
      </c>
      <c r="I507" t="s">
        <v>106</v>
      </c>
      <c r="J507" t="s">
        <v>182</v>
      </c>
      <c r="K507" t="s">
        <v>108</v>
      </c>
      <c r="L507" t="s">
        <v>245</v>
      </c>
      <c r="M507" t="s">
        <v>110</v>
      </c>
      <c r="N507">
        <v>5.1999999999999998E-2</v>
      </c>
      <c r="O507">
        <v>3.4000000000000002E-2</v>
      </c>
      <c r="P507">
        <v>2.3E-2</v>
      </c>
    </row>
    <row r="508" spans="1:16">
      <c r="A508" t="s">
        <v>98</v>
      </c>
      <c r="B508" t="s">
        <v>148</v>
      </c>
      <c r="C508" t="s">
        <v>763</v>
      </c>
      <c r="D508">
        <v>2</v>
      </c>
      <c r="E508">
        <v>4000</v>
      </c>
      <c r="F508">
        <v>0</v>
      </c>
      <c r="G508">
        <v>420</v>
      </c>
      <c r="H508" t="s">
        <v>101</v>
      </c>
      <c r="I508" t="s">
        <v>106</v>
      </c>
      <c r="J508" t="s">
        <v>182</v>
      </c>
      <c r="K508" t="s">
        <v>108</v>
      </c>
      <c r="L508" t="s">
        <v>245</v>
      </c>
      <c r="M508" t="s">
        <v>110</v>
      </c>
      <c r="N508">
        <v>5.1999999999999998E-2</v>
      </c>
      <c r="O508">
        <v>3.4000000000000002E-2</v>
      </c>
      <c r="P508">
        <v>2.3E-2</v>
      </c>
    </row>
    <row r="509" spans="1:16">
      <c r="A509" t="s">
        <v>98</v>
      </c>
      <c r="B509" t="s">
        <v>176</v>
      </c>
      <c r="C509" t="s">
        <v>764</v>
      </c>
      <c r="D509">
        <v>1</v>
      </c>
      <c r="E509">
        <v>615</v>
      </c>
      <c r="F509">
        <v>160</v>
      </c>
      <c r="G509">
        <v>20</v>
      </c>
      <c r="H509" t="s">
        <v>101</v>
      </c>
      <c r="I509" t="s">
        <v>106</v>
      </c>
      <c r="J509" t="s">
        <v>214</v>
      </c>
      <c r="K509" t="s">
        <v>108</v>
      </c>
      <c r="L509" t="s">
        <v>101</v>
      </c>
      <c r="M509" t="s">
        <v>110</v>
      </c>
      <c r="N509">
        <v>0.02</v>
      </c>
      <c r="O509">
        <v>1.2E-2</v>
      </c>
      <c r="P509">
        <v>8.0000000000000002E-3</v>
      </c>
    </row>
    <row r="510" spans="1:16" hidden="1">
      <c r="A510" t="s">
        <v>98</v>
      </c>
      <c r="B510" t="s">
        <v>172</v>
      </c>
      <c r="C510" t="s">
        <v>765</v>
      </c>
      <c r="D510">
        <v>1</v>
      </c>
      <c r="E510">
        <v>2000</v>
      </c>
      <c r="F510">
        <v>0</v>
      </c>
      <c r="G510">
        <v>20</v>
      </c>
      <c r="H510" t="s">
        <v>101</v>
      </c>
      <c r="I510" t="s">
        <v>102</v>
      </c>
      <c r="J510" t="s">
        <v>101</v>
      </c>
      <c r="K510" t="s">
        <v>766</v>
      </c>
      <c r="L510" t="s">
        <v>261</v>
      </c>
      <c r="M510" t="s">
        <v>125</v>
      </c>
      <c r="N510">
        <v>2.5999999999999999E-2</v>
      </c>
      <c r="O510">
        <v>1.7000000000000001E-2</v>
      </c>
      <c r="P510">
        <v>1.2E-2</v>
      </c>
    </row>
    <row r="511" spans="1:16" hidden="1">
      <c r="A511" t="s">
        <v>98</v>
      </c>
      <c r="B511" t="s">
        <v>267</v>
      </c>
      <c r="C511" t="s">
        <v>767</v>
      </c>
      <c r="D511">
        <v>8</v>
      </c>
      <c r="E511">
        <v>15000</v>
      </c>
      <c r="F511">
        <v>160</v>
      </c>
      <c r="G511">
        <v>20</v>
      </c>
      <c r="H511" t="s">
        <v>101</v>
      </c>
      <c r="I511" t="s">
        <v>102</v>
      </c>
      <c r="J511" t="s">
        <v>101</v>
      </c>
      <c r="K511" t="s">
        <v>566</v>
      </c>
      <c r="L511" t="s">
        <v>101</v>
      </c>
      <c r="M511" t="s">
        <v>632</v>
      </c>
      <c r="N511">
        <v>0.42</v>
      </c>
      <c r="O511">
        <v>0.248</v>
      </c>
      <c r="P511">
        <v>0.157</v>
      </c>
    </row>
    <row r="512" spans="1:16" hidden="1">
      <c r="A512" t="s">
        <v>98</v>
      </c>
      <c r="B512" t="s">
        <v>176</v>
      </c>
      <c r="C512" t="s">
        <v>768</v>
      </c>
      <c r="D512">
        <v>1</v>
      </c>
      <c r="E512">
        <v>615</v>
      </c>
      <c r="F512">
        <v>160</v>
      </c>
      <c r="G512">
        <v>8</v>
      </c>
      <c r="H512" t="s">
        <v>101</v>
      </c>
      <c r="I512" t="s">
        <v>101</v>
      </c>
      <c r="J512" t="s">
        <v>101</v>
      </c>
      <c r="K512" t="s">
        <v>101</v>
      </c>
      <c r="L512" t="s">
        <v>101</v>
      </c>
      <c r="M512" t="s">
        <v>138</v>
      </c>
      <c r="N512">
        <v>0.02</v>
      </c>
      <c r="O512">
        <v>1.2E-2</v>
      </c>
      <c r="P512">
        <v>8.0000000000000002E-3</v>
      </c>
    </row>
    <row r="513" spans="1:16" hidden="1">
      <c r="A513" t="s">
        <v>98</v>
      </c>
      <c r="B513" t="s">
        <v>99</v>
      </c>
      <c r="C513" t="s">
        <v>769</v>
      </c>
      <c r="D513">
        <v>2</v>
      </c>
      <c r="E513">
        <v>3750</v>
      </c>
      <c r="F513">
        <v>32</v>
      </c>
      <c r="G513">
        <v>20</v>
      </c>
      <c r="H513" t="s">
        <v>101</v>
      </c>
      <c r="I513" t="s">
        <v>102</v>
      </c>
      <c r="J513" t="s">
        <v>101</v>
      </c>
      <c r="K513" t="s">
        <v>770</v>
      </c>
      <c r="L513" t="s">
        <v>101</v>
      </c>
      <c r="M513" t="s">
        <v>406</v>
      </c>
      <c r="N513">
        <v>0.105</v>
      </c>
      <c r="O513">
        <v>6.2E-2</v>
      </c>
      <c r="P513">
        <v>3.9E-2</v>
      </c>
    </row>
    <row r="514" spans="1:16" hidden="1">
      <c r="A514" t="s">
        <v>98</v>
      </c>
      <c r="B514" t="s">
        <v>148</v>
      </c>
      <c r="C514" t="s">
        <v>771</v>
      </c>
      <c r="D514">
        <v>2</v>
      </c>
      <c r="E514">
        <v>4000</v>
      </c>
      <c r="F514">
        <v>0</v>
      </c>
      <c r="G514">
        <v>20</v>
      </c>
      <c r="H514" t="s">
        <v>101</v>
      </c>
      <c r="I514" t="s">
        <v>146</v>
      </c>
      <c r="J514" t="s">
        <v>101</v>
      </c>
      <c r="K514" t="s">
        <v>199</v>
      </c>
      <c r="L514" t="s">
        <v>101</v>
      </c>
      <c r="M514" t="s">
        <v>138</v>
      </c>
      <c r="N514">
        <v>5.1999999999999998E-2</v>
      </c>
      <c r="O514">
        <v>3.4000000000000002E-2</v>
      </c>
      <c r="P514">
        <v>2.3E-2</v>
      </c>
    </row>
    <row r="515" spans="1:16" hidden="1">
      <c r="A515" t="s">
        <v>98</v>
      </c>
      <c r="B515" t="s">
        <v>172</v>
      </c>
      <c r="C515" t="s">
        <v>772</v>
      </c>
      <c r="D515">
        <v>1</v>
      </c>
      <c r="E515">
        <v>2000</v>
      </c>
      <c r="F515">
        <v>0</v>
      </c>
      <c r="G515">
        <v>20</v>
      </c>
      <c r="H515" t="s">
        <v>101</v>
      </c>
      <c r="I515" t="s">
        <v>102</v>
      </c>
      <c r="J515" t="s">
        <v>101</v>
      </c>
      <c r="K515" t="s">
        <v>773</v>
      </c>
      <c r="L515" t="s">
        <v>311</v>
      </c>
      <c r="M515" t="s">
        <v>125</v>
      </c>
      <c r="N515">
        <v>2.5999999999999999E-2</v>
      </c>
      <c r="O515">
        <v>1.7000000000000001E-2</v>
      </c>
      <c r="P515">
        <v>1.2E-2</v>
      </c>
    </row>
    <row r="516" spans="1:16" hidden="1">
      <c r="A516" t="s">
        <v>98</v>
      </c>
      <c r="B516" t="s">
        <v>172</v>
      </c>
      <c r="C516" t="s">
        <v>774</v>
      </c>
      <c r="D516">
        <v>1</v>
      </c>
      <c r="E516">
        <v>2000</v>
      </c>
      <c r="F516">
        <v>0</v>
      </c>
      <c r="G516">
        <v>20</v>
      </c>
      <c r="H516" t="s">
        <v>101</v>
      </c>
      <c r="I516" t="s">
        <v>102</v>
      </c>
      <c r="J516" t="s">
        <v>101</v>
      </c>
      <c r="K516" t="s">
        <v>358</v>
      </c>
      <c r="L516" t="s">
        <v>311</v>
      </c>
      <c r="M516" t="s">
        <v>125</v>
      </c>
      <c r="N516">
        <v>2.5999999999999999E-2</v>
      </c>
      <c r="O516">
        <v>1.7000000000000001E-2</v>
      </c>
      <c r="P516">
        <v>1.2E-2</v>
      </c>
    </row>
    <row r="517" spans="1:16" hidden="1">
      <c r="A517" t="s">
        <v>98</v>
      </c>
      <c r="B517" t="s">
        <v>135</v>
      </c>
      <c r="C517" t="s">
        <v>775</v>
      </c>
      <c r="D517">
        <v>1</v>
      </c>
      <c r="E517">
        <v>3750</v>
      </c>
      <c r="F517">
        <v>4</v>
      </c>
      <c r="G517">
        <v>20</v>
      </c>
      <c r="H517" t="s">
        <v>101</v>
      </c>
      <c r="I517" t="s">
        <v>102</v>
      </c>
      <c r="J517" t="s">
        <v>101</v>
      </c>
      <c r="K517" t="s">
        <v>754</v>
      </c>
      <c r="L517" t="s">
        <v>261</v>
      </c>
      <c r="M517" t="s">
        <v>125</v>
      </c>
      <c r="N517">
        <v>6.7000000000000004E-2</v>
      </c>
      <c r="O517">
        <v>0.04</v>
      </c>
      <c r="P517">
        <v>2.5999999999999999E-2</v>
      </c>
    </row>
    <row r="518" spans="1:16">
      <c r="A518" t="s">
        <v>98</v>
      </c>
      <c r="B518" t="s">
        <v>172</v>
      </c>
      <c r="C518" t="s">
        <v>776</v>
      </c>
      <c r="D518">
        <v>1</v>
      </c>
      <c r="E518">
        <v>2000</v>
      </c>
      <c r="F518">
        <v>0</v>
      </c>
      <c r="G518">
        <v>20</v>
      </c>
      <c r="H518" t="s">
        <v>101</v>
      </c>
      <c r="I518" t="s">
        <v>106</v>
      </c>
      <c r="J518" t="s">
        <v>490</v>
      </c>
      <c r="K518" t="s">
        <v>108</v>
      </c>
      <c r="L518" t="s">
        <v>311</v>
      </c>
      <c r="M518" t="s">
        <v>110</v>
      </c>
      <c r="N518">
        <v>2.5999999999999999E-2</v>
      </c>
      <c r="O518">
        <v>1.7000000000000001E-2</v>
      </c>
      <c r="P518">
        <v>1.2E-2</v>
      </c>
    </row>
    <row r="519" spans="1:16">
      <c r="A519" t="s">
        <v>98</v>
      </c>
      <c r="B519" t="s">
        <v>172</v>
      </c>
      <c r="C519" t="s">
        <v>777</v>
      </c>
      <c r="D519">
        <v>1</v>
      </c>
      <c r="E519">
        <v>2000</v>
      </c>
      <c r="F519">
        <v>0</v>
      </c>
      <c r="G519">
        <v>20</v>
      </c>
      <c r="H519" t="s">
        <v>101</v>
      </c>
      <c r="I519" t="s">
        <v>106</v>
      </c>
      <c r="J519" t="s">
        <v>778</v>
      </c>
      <c r="K519" t="s">
        <v>108</v>
      </c>
      <c r="L519" t="s">
        <v>210</v>
      </c>
      <c r="M519" t="s">
        <v>110</v>
      </c>
      <c r="N519">
        <v>2.5999999999999999E-2</v>
      </c>
      <c r="O519">
        <v>1.7000000000000001E-2</v>
      </c>
      <c r="P519">
        <v>1.2E-2</v>
      </c>
    </row>
    <row r="520" spans="1:16" hidden="1">
      <c r="A520" t="s">
        <v>98</v>
      </c>
      <c r="B520" t="s">
        <v>148</v>
      </c>
      <c r="C520" t="s">
        <v>779</v>
      </c>
      <c r="D520">
        <v>2</v>
      </c>
      <c r="E520">
        <v>4000</v>
      </c>
      <c r="F520">
        <v>0</v>
      </c>
      <c r="G520">
        <v>120</v>
      </c>
      <c r="H520" t="s">
        <v>101</v>
      </c>
      <c r="I520" t="s">
        <v>101</v>
      </c>
      <c r="J520" t="s">
        <v>101</v>
      </c>
      <c r="K520" t="s">
        <v>101</v>
      </c>
      <c r="L520" t="s">
        <v>101</v>
      </c>
      <c r="M520" t="s">
        <v>138</v>
      </c>
      <c r="N520">
        <v>5.1999999999999998E-2</v>
      </c>
      <c r="O520">
        <v>3.4000000000000002E-2</v>
      </c>
      <c r="P520">
        <v>2.3E-2</v>
      </c>
    </row>
    <row r="521" spans="1:16">
      <c r="A521" t="s">
        <v>98</v>
      </c>
      <c r="B521" t="s">
        <v>172</v>
      </c>
      <c r="C521" t="s">
        <v>780</v>
      </c>
      <c r="D521">
        <v>1</v>
      </c>
      <c r="E521">
        <v>2000</v>
      </c>
      <c r="F521">
        <v>0</v>
      </c>
      <c r="G521">
        <v>20</v>
      </c>
      <c r="H521" t="s">
        <v>101</v>
      </c>
      <c r="I521" t="s">
        <v>106</v>
      </c>
      <c r="J521" t="s">
        <v>781</v>
      </c>
      <c r="K521" t="s">
        <v>108</v>
      </c>
      <c r="L521" t="s">
        <v>782</v>
      </c>
      <c r="M521" t="s">
        <v>110</v>
      </c>
      <c r="N521">
        <v>2.5999999999999999E-2</v>
      </c>
      <c r="O521">
        <v>1.7000000000000001E-2</v>
      </c>
      <c r="P521">
        <v>1.2E-2</v>
      </c>
    </row>
    <row r="522" spans="1:16">
      <c r="A522" t="s">
        <v>98</v>
      </c>
      <c r="B522" t="s">
        <v>172</v>
      </c>
      <c r="C522" t="s">
        <v>783</v>
      </c>
      <c r="D522">
        <v>1</v>
      </c>
      <c r="E522">
        <v>2000</v>
      </c>
      <c r="F522">
        <v>0</v>
      </c>
      <c r="G522">
        <v>20</v>
      </c>
      <c r="H522" t="s">
        <v>101</v>
      </c>
      <c r="I522" t="s">
        <v>106</v>
      </c>
      <c r="J522" t="s">
        <v>781</v>
      </c>
      <c r="K522" t="s">
        <v>108</v>
      </c>
      <c r="L522" t="s">
        <v>782</v>
      </c>
      <c r="M522" t="s">
        <v>110</v>
      </c>
      <c r="N522">
        <v>2.5999999999999999E-2</v>
      </c>
      <c r="O522">
        <v>1.7000000000000001E-2</v>
      </c>
      <c r="P522">
        <v>1.2E-2</v>
      </c>
    </row>
    <row r="523" spans="1:16" hidden="1">
      <c r="A523" t="s">
        <v>98</v>
      </c>
      <c r="B523" t="s">
        <v>148</v>
      </c>
      <c r="C523" t="s">
        <v>784</v>
      </c>
      <c r="D523">
        <v>2</v>
      </c>
      <c r="E523">
        <v>4000</v>
      </c>
      <c r="F523">
        <v>0</v>
      </c>
      <c r="G523">
        <v>120</v>
      </c>
      <c r="H523" t="s">
        <v>101</v>
      </c>
      <c r="I523" t="s">
        <v>102</v>
      </c>
      <c r="J523" t="s">
        <v>101</v>
      </c>
      <c r="K523" t="s">
        <v>785</v>
      </c>
      <c r="L523" t="s">
        <v>101</v>
      </c>
      <c r="M523" t="s">
        <v>138</v>
      </c>
      <c r="N523">
        <v>5.1999999999999998E-2</v>
      </c>
      <c r="O523">
        <v>3.4000000000000002E-2</v>
      </c>
      <c r="P523">
        <v>2.3E-2</v>
      </c>
    </row>
    <row r="524" spans="1:16">
      <c r="A524" t="s">
        <v>98</v>
      </c>
      <c r="B524" t="s">
        <v>172</v>
      </c>
      <c r="C524" t="s">
        <v>786</v>
      </c>
      <c r="D524">
        <v>1</v>
      </c>
      <c r="E524">
        <v>2000</v>
      </c>
      <c r="F524">
        <v>0</v>
      </c>
      <c r="G524">
        <v>20</v>
      </c>
      <c r="H524" t="s">
        <v>101</v>
      </c>
      <c r="I524" t="s">
        <v>106</v>
      </c>
      <c r="J524" t="s">
        <v>305</v>
      </c>
      <c r="K524" t="s">
        <v>108</v>
      </c>
      <c r="L524" t="s">
        <v>261</v>
      </c>
      <c r="M524" t="s">
        <v>110</v>
      </c>
      <c r="N524">
        <v>2.5999999999999999E-2</v>
      </c>
      <c r="O524">
        <v>1.7000000000000001E-2</v>
      </c>
      <c r="P524">
        <v>1.2E-2</v>
      </c>
    </row>
    <row r="525" spans="1:16">
      <c r="A525" t="s">
        <v>98</v>
      </c>
      <c r="B525" t="s">
        <v>172</v>
      </c>
      <c r="C525" t="s">
        <v>787</v>
      </c>
      <c r="D525">
        <v>1</v>
      </c>
      <c r="E525">
        <v>2000</v>
      </c>
      <c r="F525">
        <v>0</v>
      </c>
      <c r="G525">
        <v>20</v>
      </c>
      <c r="H525" t="s">
        <v>101</v>
      </c>
      <c r="I525" t="s">
        <v>106</v>
      </c>
      <c r="J525" t="s">
        <v>749</v>
      </c>
      <c r="K525" t="s">
        <v>108</v>
      </c>
      <c r="L525" t="s">
        <v>261</v>
      </c>
      <c r="M525" t="s">
        <v>110</v>
      </c>
      <c r="N525">
        <v>2.5999999999999999E-2</v>
      </c>
      <c r="O525">
        <v>1.7000000000000001E-2</v>
      </c>
      <c r="P525">
        <v>1.2E-2</v>
      </c>
    </row>
    <row r="526" spans="1:16" hidden="1">
      <c r="A526" t="s">
        <v>98</v>
      </c>
      <c r="B526" t="s">
        <v>172</v>
      </c>
      <c r="C526" t="s">
        <v>788</v>
      </c>
      <c r="D526">
        <v>1</v>
      </c>
      <c r="E526">
        <v>2000</v>
      </c>
      <c r="F526">
        <v>0</v>
      </c>
      <c r="G526">
        <v>20</v>
      </c>
      <c r="H526" t="s">
        <v>101</v>
      </c>
      <c r="I526" t="s">
        <v>102</v>
      </c>
      <c r="J526" t="s">
        <v>101</v>
      </c>
      <c r="K526" t="s">
        <v>789</v>
      </c>
      <c r="L526" t="s">
        <v>311</v>
      </c>
      <c r="M526" t="s">
        <v>125</v>
      </c>
      <c r="N526">
        <v>2.5999999999999999E-2</v>
      </c>
      <c r="O526">
        <v>1.7000000000000001E-2</v>
      </c>
      <c r="P526">
        <v>1.2E-2</v>
      </c>
    </row>
    <row r="527" spans="1:16" hidden="1">
      <c r="A527" t="s">
        <v>98</v>
      </c>
      <c r="B527" t="s">
        <v>172</v>
      </c>
      <c r="C527" t="s">
        <v>790</v>
      </c>
      <c r="D527">
        <v>1</v>
      </c>
      <c r="E527">
        <v>2000</v>
      </c>
      <c r="F527">
        <v>0</v>
      </c>
      <c r="G527">
        <v>20</v>
      </c>
      <c r="H527" t="s">
        <v>101</v>
      </c>
      <c r="I527" t="s">
        <v>102</v>
      </c>
      <c r="J527" t="s">
        <v>101</v>
      </c>
      <c r="K527" t="s">
        <v>789</v>
      </c>
      <c r="L527" t="s">
        <v>124</v>
      </c>
      <c r="M527" t="s">
        <v>125</v>
      </c>
      <c r="N527">
        <v>2.5999999999999999E-2</v>
      </c>
      <c r="O527">
        <v>1.7000000000000001E-2</v>
      </c>
      <c r="P527">
        <v>1.2E-2</v>
      </c>
    </row>
    <row r="528" spans="1:16" hidden="1">
      <c r="A528" t="s">
        <v>98</v>
      </c>
      <c r="B528" t="s">
        <v>791</v>
      </c>
      <c r="C528" t="s">
        <v>792</v>
      </c>
      <c r="D528">
        <v>4</v>
      </c>
      <c r="E528">
        <v>15000</v>
      </c>
      <c r="F528">
        <v>1690</v>
      </c>
      <c r="G528">
        <v>20</v>
      </c>
      <c r="H528" t="s">
        <v>101</v>
      </c>
      <c r="I528" t="s">
        <v>146</v>
      </c>
      <c r="J528" t="s">
        <v>101</v>
      </c>
      <c r="K528" t="s">
        <v>793</v>
      </c>
      <c r="L528" t="s">
        <v>101</v>
      </c>
      <c r="M528" t="s">
        <v>138</v>
      </c>
      <c r="N528">
        <v>0.35</v>
      </c>
      <c r="O528">
        <v>0.191</v>
      </c>
      <c r="P528">
        <v>0.11700000000000001</v>
      </c>
    </row>
    <row r="529" spans="1:16" hidden="1">
      <c r="A529" t="s">
        <v>98</v>
      </c>
      <c r="B529" t="s">
        <v>104</v>
      </c>
      <c r="C529" t="s">
        <v>794</v>
      </c>
      <c r="D529">
        <v>1</v>
      </c>
      <c r="E529">
        <v>1700</v>
      </c>
      <c r="F529">
        <v>160</v>
      </c>
      <c r="G529">
        <v>20</v>
      </c>
      <c r="H529" t="s">
        <v>101</v>
      </c>
      <c r="I529" t="s">
        <v>102</v>
      </c>
      <c r="J529" t="s">
        <v>101</v>
      </c>
      <c r="K529" t="s">
        <v>307</v>
      </c>
      <c r="L529" t="s">
        <v>311</v>
      </c>
      <c r="M529" t="s">
        <v>125</v>
      </c>
      <c r="N529">
        <v>4.3999999999999997E-2</v>
      </c>
      <c r="O529">
        <v>2.4E-2</v>
      </c>
      <c r="P529">
        <v>1.4999999999999999E-2</v>
      </c>
    </row>
    <row r="530" spans="1:16" hidden="1">
      <c r="A530" t="s">
        <v>98</v>
      </c>
      <c r="B530" t="s">
        <v>135</v>
      </c>
      <c r="C530" t="s">
        <v>795</v>
      </c>
      <c r="D530">
        <v>1</v>
      </c>
      <c r="E530">
        <v>3750</v>
      </c>
      <c r="F530">
        <v>4</v>
      </c>
      <c r="G530">
        <v>20</v>
      </c>
      <c r="H530" t="s">
        <v>101</v>
      </c>
      <c r="I530" t="s">
        <v>102</v>
      </c>
      <c r="J530" t="s">
        <v>101</v>
      </c>
      <c r="K530" t="s">
        <v>754</v>
      </c>
      <c r="L530" t="s">
        <v>261</v>
      </c>
      <c r="M530" t="s">
        <v>125</v>
      </c>
      <c r="N530">
        <v>6.7000000000000004E-2</v>
      </c>
      <c r="O530">
        <v>0.04</v>
      </c>
      <c r="P530">
        <v>2.5999999999999999E-2</v>
      </c>
    </row>
    <row r="531" spans="1:16">
      <c r="A531" t="s">
        <v>98</v>
      </c>
      <c r="B531" t="s">
        <v>135</v>
      </c>
      <c r="C531" t="s">
        <v>796</v>
      </c>
      <c r="D531">
        <v>1</v>
      </c>
      <c r="E531">
        <v>3750</v>
      </c>
      <c r="F531">
        <v>4</v>
      </c>
      <c r="G531">
        <v>20</v>
      </c>
      <c r="H531" t="s">
        <v>101</v>
      </c>
      <c r="I531" t="s">
        <v>106</v>
      </c>
      <c r="J531" t="s">
        <v>752</v>
      </c>
      <c r="K531" t="s">
        <v>108</v>
      </c>
      <c r="L531" t="s">
        <v>394</v>
      </c>
      <c r="M531" t="s">
        <v>110</v>
      </c>
      <c r="N531">
        <v>6.7000000000000004E-2</v>
      </c>
      <c r="O531">
        <v>0.04</v>
      </c>
      <c r="P531">
        <v>2.5999999999999999E-2</v>
      </c>
    </row>
    <row r="532" spans="1:16">
      <c r="A532" t="s">
        <v>98</v>
      </c>
      <c r="B532" t="s">
        <v>135</v>
      </c>
      <c r="C532" t="s">
        <v>797</v>
      </c>
      <c r="D532">
        <v>1</v>
      </c>
      <c r="E532">
        <v>3750</v>
      </c>
      <c r="F532">
        <v>4</v>
      </c>
      <c r="G532">
        <v>20</v>
      </c>
      <c r="H532" t="s">
        <v>101</v>
      </c>
      <c r="I532" t="s">
        <v>106</v>
      </c>
      <c r="J532" t="s">
        <v>752</v>
      </c>
      <c r="K532" t="s">
        <v>108</v>
      </c>
      <c r="L532" t="s">
        <v>434</v>
      </c>
      <c r="M532" t="s">
        <v>110</v>
      </c>
      <c r="N532">
        <v>6.7000000000000004E-2</v>
      </c>
      <c r="O532">
        <v>0.04</v>
      </c>
      <c r="P532">
        <v>2.5999999999999999E-2</v>
      </c>
    </row>
    <row r="533" spans="1:16" hidden="1">
      <c r="A533" t="s">
        <v>98</v>
      </c>
      <c r="B533" t="s">
        <v>135</v>
      </c>
      <c r="C533" t="s">
        <v>798</v>
      </c>
      <c r="D533">
        <v>1</v>
      </c>
      <c r="E533">
        <v>3750</v>
      </c>
      <c r="F533">
        <v>4</v>
      </c>
      <c r="G533">
        <v>20</v>
      </c>
      <c r="H533" t="s">
        <v>101</v>
      </c>
      <c r="I533" t="s">
        <v>102</v>
      </c>
      <c r="J533" t="s">
        <v>101</v>
      </c>
      <c r="K533" t="s">
        <v>754</v>
      </c>
      <c r="L533" t="s">
        <v>261</v>
      </c>
      <c r="M533" t="s">
        <v>125</v>
      </c>
      <c r="N533">
        <v>6.7000000000000004E-2</v>
      </c>
      <c r="O533">
        <v>0.04</v>
      </c>
      <c r="P533">
        <v>2.5999999999999999E-2</v>
      </c>
    </row>
    <row r="534" spans="1:16">
      <c r="A534" t="s">
        <v>98</v>
      </c>
      <c r="B534" t="s">
        <v>135</v>
      </c>
      <c r="C534" t="s">
        <v>799</v>
      </c>
      <c r="D534">
        <v>1</v>
      </c>
      <c r="E534">
        <v>3750</v>
      </c>
      <c r="F534">
        <v>4</v>
      </c>
      <c r="G534">
        <v>20</v>
      </c>
      <c r="H534" t="s">
        <v>101</v>
      </c>
      <c r="I534" t="s">
        <v>106</v>
      </c>
      <c r="J534" t="s">
        <v>752</v>
      </c>
      <c r="K534" t="s">
        <v>108</v>
      </c>
      <c r="L534" t="s">
        <v>434</v>
      </c>
      <c r="M534" t="s">
        <v>110</v>
      </c>
      <c r="N534">
        <v>6.7000000000000004E-2</v>
      </c>
      <c r="O534">
        <v>0.04</v>
      </c>
      <c r="P534">
        <v>2.5999999999999999E-2</v>
      </c>
    </row>
    <row r="535" spans="1:16" hidden="1">
      <c r="A535" t="s">
        <v>98</v>
      </c>
      <c r="B535" t="s">
        <v>135</v>
      </c>
      <c r="C535" t="s">
        <v>800</v>
      </c>
      <c r="D535">
        <v>1</v>
      </c>
      <c r="E535">
        <v>3750</v>
      </c>
      <c r="F535">
        <v>4</v>
      </c>
      <c r="G535">
        <v>20</v>
      </c>
      <c r="H535" t="s">
        <v>101</v>
      </c>
      <c r="I535" t="s">
        <v>102</v>
      </c>
      <c r="J535" t="s">
        <v>101</v>
      </c>
      <c r="K535" t="s">
        <v>754</v>
      </c>
      <c r="L535" t="s">
        <v>261</v>
      </c>
      <c r="M535" t="s">
        <v>125</v>
      </c>
      <c r="N535">
        <v>6.7000000000000004E-2</v>
      </c>
      <c r="O535">
        <v>0.04</v>
      </c>
      <c r="P535">
        <v>2.5999999999999999E-2</v>
      </c>
    </row>
    <row r="536" spans="1:16" hidden="1">
      <c r="A536" t="s">
        <v>98</v>
      </c>
      <c r="B536" t="s">
        <v>135</v>
      </c>
      <c r="C536" t="s">
        <v>801</v>
      </c>
      <c r="D536">
        <v>1</v>
      </c>
      <c r="E536">
        <v>3750</v>
      </c>
      <c r="F536">
        <v>4</v>
      </c>
      <c r="G536">
        <v>20</v>
      </c>
      <c r="H536" t="s">
        <v>101</v>
      </c>
      <c r="I536" t="s">
        <v>102</v>
      </c>
      <c r="J536" t="s">
        <v>101</v>
      </c>
      <c r="K536" t="s">
        <v>754</v>
      </c>
      <c r="L536" t="s">
        <v>261</v>
      </c>
      <c r="M536" t="s">
        <v>125</v>
      </c>
      <c r="N536">
        <v>6.7000000000000004E-2</v>
      </c>
      <c r="O536">
        <v>0.04</v>
      </c>
      <c r="P536">
        <v>2.5999999999999999E-2</v>
      </c>
    </row>
    <row r="537" spans="1:16">
      <c r="A537" t="s">
        <v>98</v>
      </c>
      <c r="B537" t="s">
        <v>172</v>
      </c>
      <c r="C537" t="s">
        <v>802</v>
      </c>
      <c r="D537">
        <v>1</v>
      </c>
      <c r="E537">
        <v>2000</v>
      </c>
      <c r="F537">
        <v>0</v>
      </c>
      <c r="G537">
        <v>20</v>
      </c>
      <c r="H537" t="s">
        <v>101</v>
      </c>
      <c r="I537" t="s">
        <v>106</v>
      </c>
      <c r="J537" t="s">
        <v>563</v>
      </c>
      <c r="K537" t="s">
        <v>108</v>
      </c>
      <c r="L537" t="s">
        <v>311</v>
      </c>
      <c r="M537" t="s">
        <v>110</v>
      </c>
      <c r="N537">
        <v>2.5999999999999999E-2</v>
      </c>
      <c r="O537">
        <v>1.7000000000000001E-2</v>
      </c>
      <c r="P537">
        <v>1.2E-2</v>
      </c>
    </row>
    <row r="538" spans="1:16">
      <c r="A538" t="s">
        <v>98</v>
      </c>
      <c r="B538" t="s">
        <v>104</v>
      </c>
      <c r="C538" t="s">
        <v>803</v>
      </c>
      <c r="D538">
        <v>1</v>
      </c>
      <c r="E538">
        <v>1700</v>
      </c>
      <c r="F538">
        <v>160</v>
      </c>
      <c r="G538">
        <v>20</v>
      </c>
      <c r="H538" t="s">
        <v>101</v>
      </c>
      <c r="I538" t="s">
        <v>106</v>
      </c>
      <c r="J538" t="s">
        <v>248</v>
      </c>
      <c r="K538" t="s">
        <v>108</v>
      </c>
      <c r="L538" t="s">
        <v>311</v>
      </c>
      <c r="M538" t="s">
        <v>110</v>
      </c>
      <c r="N538">
        <v>4.3999999999999997E-2</v>
      </c>
      <c r="O538">
        <v>2.4E-2</v>
      </c>
      <c r="P538">
        <v>1.4999999999999999E-2</v>
      </c>
    </row>
    <row r="539" spans="1:16" hidden="1">
      <c r="A539" t="s">
        <v>98</v>
      </c>
      <c r="B539" t="s">
        <v>104</v>
      </c>
      <c r="C539" t="s">
        <v>804</v>
      </c>
      <c r="D539">
        <v>1</v>
      </c>
      <c r="E539">
        <v>1700</v>
      </c>
      <c r="F539">
        <v>160</v>
      </c>
      <c r="G539">
        <v>20</v>
      </c>
      <c r="H539" t="s">
        <v>101</v>
      </c>
      <c r="I539" t="s">
        <v>102</v>
      </c>
      <c r="J539" t="s">
        <v>101</v>
      </c>
      <c r="K539" t="s">
        <v>273</v>
      </c>
      <c r="L539" t="s">
        <v>311</v>
      </c>
      <c r="M539" t="s">
        <v>125</v>
      </c>
      <c r="N539">
        <v>4.3999999999999997E-2</v>
      </c>
      <c r="O539">
        <v>2.4E-2</v>
      </c>
      <c r="P539">
        <v>1.4999999999999999E-2</v>
      </c>
    </row>
    <row r="540" spans="1:16" hidden="1">
      <c r="A540" t="s">
        <v>98</v>
      </c>
      <c r="B540" t="s">
        <v>172</v>
      </c>
      <c r="C540" t="s">
        <v>805</v>
      </c>
      <c r="D540">
        <v>1</v>
      </c>
      <c r="E540">
        <v>2000</v>
      </c>
      <c r="F540">
        <v>0</v>
      </c>
      <c r="G540">
        <v>20</v>
      </c>
      <c r="H540" t="s">
        <v>101</v>
      </c>
      <c r="I540" t="s">
        <v>102</v>
      </c>
      <c r="J540" t="s">
        <v>101</v>
      </c>
      <c r="K540" t="s">
        <v>116</v>
      </c>
      <c r="L540" t="s">
        <v>311</v>
      </c>
      <c r="M540" t="s">
        <v>125</v>
      </c>
      <c r="N540">
        <v>2.5999999999999999E-2</v>
      </c>
      <c r="O540">
        <v>1.7000000000000001E-2</v>
      </c>
      <c r="P540">
        <v>1.2E-2</v>
      </c>
    </row>
    <row r="541" spans="1:16" hidden="1">
      <c r="A541" t="s">
        <v>98</v>
      </c>
      <c r="B541" t="s">
        <v>104</v>
      </c>
      <c r="C541" t="s">
        <v>806</v>
      </c>
      <c r="D541">
        <v>1</v>
      </c>
      <c r="E541">
        <v>1700</v>
      </c>
      <c r="F541">
        <v>160</v>
      </c>
      <c r="G541">
        <v>20</v>
      </c>
      <c r="H541" t="s">
        <v>101</v>
      </c>
      <c r="I541" t="s">
        <v>102</v>
      </c>
      <c r="J541" t="s">
        <v>101</v>
      </c>
      <c r="K541" t="s">
        <v>742</v>
      </c>
      <c r="L541" t="s">
        <v>311</v>
      </c>
      <c r="M541" t="s">
        <v>125</v>
      </c>
      <c r="N541">
        <v>4.3999999999999997E-2</v>
      </c>
      <c r="O541">
        <v>2.4E-2</v>
      </c>
      <c r="P541">
        <v>1.4999999999999999E-2</v>
      </c>
    </row>
    <row r="542" spans="1:16" hidden="1">
      <c r="A542" t="s">
        <v>98</v>
      </c>
      <c r="B542" t="s">
        <v>267</v>
      </c>
      <c r="C542" t="s">
        <v>807</v>
      </c>
      <c r="D542">
        <v>8</v>
      </c>
      <c r="E542">
        <v>15000</v>
      </c>
      <c r="F542">
        <v>160</v>
      </c>
      <c r="G542">
        <v>20</v>
      </c>
      <c r="H542" t="s">
        <v>101</v>
      </c>
      <c r="I542" t="s">
        <v>102</v>
      </c>
      <c r="J542" t="s">
        <v>101</v>
      </c>
      <c r="K542" t="s">
        <v>269</v>
      </c>
      <c r="L542" t="s">
        <v>101</v>
      </c>
      <c r="M542" t="s">
        <v>270</v>
      </c>
      <c r="N542">
        <v>0.42</v>
      </c>
      <c r="O542">
        <v>0.248</v>
      </c>
      <c r="P542">
        <v>0.157</v>
      </c>
    </row>
    <row r="543" spans="1:16" hidden="1">
      <c r="A543" t="s">
        <v>98</v>
      </c>
      <c r="B543" t="s">
        <v>267</v>
      </c>
      <c r="C543" t="s">
        <v>808</v>
      </c>
      <c r="D543">
        <v>8</v>
      </c>
      <c r="E543">
        <v>15000</v>
      </c>
      <c r="F543">
        <v>160</v>
      </c>
      <c r="G543">
        <v>20</v>
      </c>
      <c r="H543" t="s">
        <v>101</v>
      </c>
      <c r="I543" t="s">
        <v>102</v>
      </c>
      <c r="J543" t="s">
        <v>101</v>
      </c>
      <c r="K543" t="s">
        <v>269</v>
      </c>
      <c r="L543" t="s">
        <v>101</v>
      </c>
      <c r="M543" t="s">
        <v>270</v>
      </c>
      <c r="N543">
        <v>0.42</v>
      </c>
      <c r="O543">
        <v>0.248</v>
      </c>
      <c r="P543">
        <v>0.157</v>
      </c>
    </row>
    <row r="544" spans="1:16" hidden="1">
      <c r="A544" t="s">
        <v>98</v>
      </c>
      <c r="B544" t="s">
        <v>809</v>
      </c>
      <c r="C544" t="s">
        <v>810</v>
      </c>
      <c r="D544">
        <v>4</v>
      </c>
      <c r="E544">
        <v>30500</v>
      </c>
      <c r="F544">
        <v>720</v>
      </c>
      <c r="G544">
        <v>20</v>
      </c>
      <c r="H544" t="s">
        <v>101</v>
      </c>
      <c r="I544" t="s">
        <v>102</v>
      </c>
      <c r="J544" t="s">
        <v>101</v>
      </c>
      <c r="K544" t="s">
        <v>785</v>
      </c>
      <c r="L544" t="s">
        <v>101</v>
      </c>
      <c r="M544" t="s">
        <v>138</v>
      </c>
      <c r="N544">
        <v>0.85299999999999998</v>
      </c>
      <c r="O544">
        <v>0.35499999999999998</v>
      </c>
      <c r="P544">
        <v>0.21199999999999999</v>
      </c>
    </row>
    <row r="545" spans="1:16" hidden="1">
      <c r="A545" t="s">
        <v>98</v>
      </c>
      <c r="B545" t="s">
        <v>809</v>
      </c>
      <c r="C545" t="s">
        <v>811</v>
      </c>
      <c r="D545">
        <v>4</v>
      </c>
      <c r="E545">
        <v>30500</v>
      </c>
      <c r="F545">
        <v>720</v>
      </c>
      <c r="G545">
        <v>20</v>
      </c>
      <c r="H545" t="s">
        <v>101</v>
      </c>
      <c r="I545" t="s">
        <v>102</v>
      </c>
      <c r="J545" t="s">
        <v>101</v>
      </c>
      <c r="K545" t="s">
        <v>785</v>
      </c>
      <c r="L545" t="s">
        <v>101</v>
      </c>
      <c r="M545" t="s">
        <v>138</v>
      </c>
      <c r="N545">
        <v>0.85299999999999998</v>
      </c>
      <c r="O545">
        <v>0.35499999999999998</v>
      </c>
      <c r="P545">
        <v>0.21199999999999999</v>
      </c>
    </row>
    <row r="546" spans="1:16" hidden="1">
      <c r="A546" t="s">
        <v>98</v>
      </c>
      <c r="B546" t="s">
        <v>809</v>
      </c>
      <c r="C546" t="s">
        <v>812</v>
      </c>
      <c r="D546">
        <v>4</v>
      </c>
      <c r="E546">
        <v>30500</v>
      </c>
      <c r="F546">
        <v>720</v>
      </c>
      <c r="G546">
        <v>20</v>
      </c>
      <c r="H546" t="s">
        <v>101</v>
      </c>
      <c r="I546" t="s">
        <v>102</v>
      </c>
      <c r="J546" t="s">
        <v>101</v>
      </c>
      <c r="K546" t="s">
        <v>785</v>
      </c>
      <c r="L546" t="s">
        <v>101</v>
      </c>
      <c r="M546" t="s">
        <v>138</v>
      </c>
      <c r="N546">
        <v>0.85299999999999998</v>
      </c>
      <c r="O546">
        <v>0.35499999999999998</v>
      </c>
      <c r="P546">
        <v>0.21199999999999999</v>
      </c>
    </row>
    <row r="547" spans="1:16" hidden="1">
      <c r="A547" t="s">
        <v>98</v>
      </c>
      <c r="B547" t="s">
        <v>809</v>
      </c>
      <c r="C547" t="s">
        <v>813</v>
      </c>
      <c r="D547">
        <v>4</v>
      </c>
      <c r="E547">
        <v>30500</v>
      </c>
      <c r="F547">
        <v>720</v>
      </c>
      <c r="G547">
        <v>20</v>
      </c>
      <c r="H547" t="s">
        <v>101</v>
      </c>
      <c r="I547" t="s">
        <v>102</v>
      </c>
      <c r="J547" t="s">
        <v>101</v>
      </c>
      <c r="K547" t="s">
        <v>785</v>
      </c>
      <c r="L547" t="s">
        <v>101</v>
      </c>
      <c r="M547" t="s">
        <v>138</v>
      </c>
      <c r="N547">
        <v>0.85299999999999998</v>
      </c>
      <c r="O547">
        <v>0.35499999999999998</v>
      </c>
      <c r="P547">
        <v>0.21199999999999999</v>
      </c>
    </row>
    <row r="548" spans="1:16" hidden="1">
      <c r="A548" t="s">
        <v>98</v>
      </c>
      <c r="B548" t="s">
        <v>148</v>
      </c>
      <c r="C548" t="s">
        <v>814</v>
      </c>
      <c r="D548">
        <v>2</v>
      </c>
      <c r="E548">
        <v>4000</v>
      </c>
      <c r="F548">
        <v>0</v>
      </c>
      <c r="G548">
        <v>20</v>
      </c>
      <c r="H548" t="s">
        <v>101</v>
      </c>
      <c r="I548" t="s">
        <v>101</v>
      </c>
      <c r="J548" t="s">
        <v>101</v>
      </c>
      <c r="K548" t="s">
        <v>785</v>
      </c>
      <c r="L548" t="s">
        <v>101</v>
      </c>
      <c r="M548" t="s">
        <v>110</v>
      </c>
      <c r="N548">
        <v>5.1999999999999998E-2</v>
      </c>
      <c r="O548">
        <v>3.4000000000000002E-2</v>
      </c>
      <c r="P548">
        <v>2.3E-2</v>
      </c>
    </row>
    <row r="549" spans="1:16">
      <c r="A549" t="s">
        <v>98</v>
      </c>
      <c r="B549" t="s">
        <v>176</v>
      </c>
      <c r="C549" t="s">
        <v>815</v>
      </c>
      <c r="D549">
        <v>1</v>
      </c>
      <c r="E549">
        <v>615</v>
      </c>
      <c r="F549">
        <v>160</v>
      </c>
      <c r="G549">
        <v>20</v>
      </c>
      <c r="H549" t="s">
        <v>101</v>
      </c>
      <c r="I549" t="s">
        <v>106</v>
      </c>
      <c r="J549" t="s">
        <v>214</v>
      </c>
      <c r="K549" t="s">
        <v>108</v>
      </c>
      <c r="L549" t="s">
        <v>101</v>
      </c>
      <c r="M549" t="s">
        <v>110</v>
      </c>
      <c r="N549">
        <v>0.02</v>
      </c>
      <c r="O549">
        <v>1.2E-2</v>
      </c>
      <c r="P549">
        <v>8.0000000000000002E-3</v>
      </c>
    </row>
    <row r="550" spans="1:16" hidden="1">
      <c r="A550" t="s">
        <v>98</v>
      </c>
      <c r="B550" t="s">
        <v>141</v>
      </c>
      <c r="C550" t="s">
        <v>816</v>
      </c>
      <c r="D550">
        <v>4</v>
      </c>
      <c r="E550">
        <v>15000</v>
      </c>
      <c r="F550">
        <v>80</v>
      </c>
      <c r="G550">
        <v>2078</v>
      </c>
      <c r="H550" t="s">
        <v>101</v>
      </c>
      <c r="I550" t="s">
        <v>101</v>
      </c>
      <c r="J550" t="s">
        <v>101</v>
      </c>
      <c r="K550" t="s">
        <v>101</v>
      </c>
      <c r="L550" t="s">
        <v>101</v>
      </c>
      <c r="M550" t="s">
        <v>110</v>
      </c>
      <c r="N550">
        <v>0.51800000000000002</v>
      </c>
      <c r="O550">
        <v>0.33200000000000002</v>
      </c>
      <c r="P550">
        <v>0.255</v>
      </c>
    </row>
    <row r="551" spans="1:16" hidden="1">
      <c r="A551" t="s">
        <v>98</v>
      </c>
      <c r="B551" t="s">
        <v>148</v>
      </c>
      <c r="C551" t="s">
        <v>817</v>
      </c>
      <c r="D551">
        <v>2</v>
      </c>
      <c r="E551">
        <v>4000</v>
      </c>
      <c r="F551">
        <v>0</v>
      </c>
      <c r="G551">
        <v>20</v>
      </c>
      <c r="H551" t="s">
        <v>101</v>
      </c>
      <c r="I551" t="s">
        <v>101</v>
      </c>
      <c r="J551" t="s">
        <v>101</v>
      </c>
      <c r="K551" t="s">
        <v>785</v>
      </c>
      <c r="L551" t="s">
        <v>101</v>
      </c>
      <c r="M551" t="s">
        <v>110</v>
      </c>
      <c r="N551">
        <v>5.1999999999999998E-2</v>
      </c>
      <c r="O551">
        <v>3.4000000000000002E-2</v>
      </c>
      <c r="P551">
        <v>2.3E-2</v>
      </c>
    </row>
    <row r="552" spans="1:16" hidden="1">
      <c r="A552" t="s">
        <v>98</v>
      </c>
      <c r="B552" t="s">
        <v>114</v>
      </c>
      <c r="C552" t="s">
        <v>818</v>
      </c>
      <c r="D552">
        <v>2</v>
      </c>
      <c r="E552">
        <v>7500</v>
      </c>
      <c r="F552">
        <v>32</v>
      </c>
      <c r="G552">
        <v>420</v>
      </c>
      <c r="H552" t="s">
        <v>101</v>
      </c>
      <c r="I552" t="s">
        <v>102</v>
      </c>
      <c r="J552" t="s">
        <v>101</v>
      </c>
      <c r="K552" t="s">
        <v>773</v>
      </c>
      <c r="L552" t="s">
        <v>117</v>
      </c>
      <c r="M552" t="s">
        <v>118</v>
      </c>
      <c r="N552">
        <v>0.13300000000000001</v>
      </c>
      <c r="O552">
        <v>8.1000000000000003E-2</v>
      </c>
      <c r="P552">
        <v>5.1999999999999998E-2</v>
      </c>
    </row>
    <row r="553" spans="1:16" hidden="1">
      <c r="A553" t="s">
        <v>98</v>
      </c>
      <c r="B553" t="s">
        <v>114</v>
      </c>
      <c r="C553" t="s">
        <v>819</v>
      </c>
      <c r="D553">
        <v>2</v>
      </c>
      <c r="E553">
        <v>7500</v>
      </c>
      <c r="F553">
        <v>32</v>
      </c>
      <c r="G553">
        <v>420</v>
      </c>
      <c r="H553" t="s">
        <v>101</v>
      </c>
      <c r="I553" t="s">
        <v>102</v>
      </c>
      <c r="J553" t="s">
        <v>101</v>
      </c>
      <c r="K553" t="s">
        <v>773</v>
      </c>
      <c r="L553" t="s">
        <v>117</v>
      </c>
      <c r="M553" t="s">
        <v>118</v>
      </c>
      <c r="N553">
        <v>0.13300000000000001</v>
      </c>
      <c r="O553">
        <v>8.1000000000000003E-2</v>
      </c>
      <c r="P553">
        <v>5.1999999999999998E-2</v>
      </c>
    </row>
    <row r="554" spans="1:16" hidden="1">
      <c r="A554" t="s">
        <v>98</v>
      </c>
      <c r="B554" t="s">
        <v>114</v>
      </c>
      <c r="C554" t="s">
        <v>820</v>
      </c>
      <c r="D554">
        <v>2</v>
      </c>
      <c r="E554">
        <v>7500</v>
      </c>
      <c r="F554">
        <v>32</v>
      </c>
      <c r="G554">
        <v>420</v>
      </c>
      <c r="H554" t="s">
        <v>101</v>
      </c>
      <c r="I554" t="s">
        <v>102</v>
      </c>
      <c r="J554" t="s">
        <v>101</v>
      </c>
      <c r="K554" t="s">
        <v>773</v>
      </c>
      <c r="L554" t="s">
        <v>117</v>
      </c>
      <c r="M554" t="s">
        <v>118</v>
      </c>
      <c r="N554">
        <v>0.13300000000000001</v>
      </c>
      <c r="O554">
        <v>8.1000000000000003E-2</v>
      </c>
      <c r="P554">
        <v>5.1999999999999998E-2</v>
      </c>
    </row>
    <row r="555" spans="1:16" hidden="1">
      <c r="A555" t="s">
        <v>98</v>
      </c>
      <c r="B555" t="s">
        <v>148</v>
      </c>
      <c r="C555" t="s">
        <v>821</v>
      </c>
      <c r="D555">
        <v>2</v>
      </c>
      <c r="E555">
        <v>4000</v>
      </c>
      <c r="F555">
        <v>0</v>
      </c>
      <c r="G555">
        <v>20</v>
      </c>
      <c r="H555" t="s">
        <v>101</v>
      </c>
      <c r="I555" t="s">
        <v>102</v>
      </c>
      <c r="J555" t="s">
        <v>101</v>
      </c>
      <c r="K555" t="s">
        <v>773</v>
      </c>
      <c r="L555" t="s">
        <v>117</v>
      </c>
      <c r="M555" t="s">
        <v>118</v>
      </c>
      <c r="N555">
        <v>5.1999999999999998E-2</v>
      </c>
      <c r="O555">
        <v>3.4000000000000002E-2</v>
      </c>
      <c r="P555">
        <v>2.3E-2</v>
      </c>
    </row>
    <row r="556" spans="1:16" hidden="1">
      <c r="A556" t="s">
        <v>98</v>
      </c>
      <c r="B556" t="s">
        <v>114</v>
      </c>
      <c r="C556" t="s">
        <v>822</v>
      </c>
      <c r="D556">
        <v>2</v>
      </c>
      <c r="E556">
        <v>7500</v>
      </c>
      <c r="F556">
        <v>32</v>
      </c>
      <c r="G556">
        <v>820</v>
      </c>
      <c r="H556" t="s">
        <v>101</v>
      </c>
      <c r="I556" t="s">
        <v>102</v>
      </c>
      <c r="J556" t="s">
        <v>101</v>
      </c>
      <c r="K556" t="s">
        <v>773</v>
      </c>
      <c r="L556" t="s">
        <v>117</v>
      </c>
      <c r="M556" t="s">
        <v>118</v>
      </c>
      <c r="N556">
        <v>0.13300000000000001</v>
      </c>
      <c r="O556">
        <v>8.1000000000000003E-2</v>
      </c>
      <c r="P556">
        <v>5.1999999999999998E-2</v>
      </c>
    </row>
    <row r="557" spans="1:16">
      <c r="A557" t="s">
        <v>98</v>
      </c>
      <c r="B557" t="s">
        <v>157</v>
      </c>
      <c r="C557" t="s">
        <v>823</v>
      </c>
      <c r="D557">
        <v>1</v>
      </c>
      <c r="E557">
        <v>3750</v>
      </c>
      <c r="F557">
        <v>410</v>
      </c>
      <c r="G557">
        <v>20</v>
      </c>
      <c r="H557" t="s">
        <v>101</v>
      </c>
      <c r="I557" t="s">
        <v>106</v>
      </c>
      <c r="J557" t="s">
        <v>386</v>
      </c>
      <c r="K557" t="s">
        <v>108</v>
      </c>
      <c r="L557" t="s">
        <v>782</v>
      </c>
      <c r="M557" t="s">
        <v>110</v>
      </c>
      <c r="N557">
        <v>8.6999999999999994E-2</v>
      </c>
      <c r="O557">
        <v>4.7E-2</v>
      </c>
      <c r="P557">
        <v>2.9000000000000001E-2</v>
      </c>
    </row>
    <row r="558" spans="1:16" hidden="1">
      <c r="A558" t="s">
        <v>98</v>
      </c>
      <c r="B558" t="s">
        <v>148</v>
      </c>
      <c r="C558" t="s">
        <v>824</v>
      </c>
      <c r="D558">
        <v>2</v>
      </c>
      <c r="E558">
        <v>4000</v>
      </c>
      <c r="F558">
        <v>0</v>
      </c>
      <c r="G558">
        <v>20</v>
      </c>
      <c r="H558" t="s">
        <v>101</v>
      </c>
      <c r="I558" t="s">
        <v>101</v>
      </c>
      <c r="J558" t="s">
        <v>101</v>
      </c>
      <c r="K558" t="s">
        <v>785</v>
      </c>
      <c r="L558" t="s">
        <v>101</v>
      </c>
      <c r="M558" t="s">
        <v>110</v>
      </c>
      <c r="N558">
        <v>5.1999999999999998E-2</v>
      </c>
      <c r="O558">
        <v>3.4000000000000002E-2</v>
      </c>
      <c r="P558">
        <v>2.3E-2</v>
      </c>
    </row>
    <row r="559" spans="1:16">
      <c r="A559" t="s">
        <v>98</v>
      </c>
      <c r="B559" t="s">
        <v>172</v>
      </c>
      <c r="C559" t="s">
        <v>825</v>
      </c>
      <c r="D559">
        <v>1</v>
      </c>
      <c r="E559">
        <v>2000</v>
      </c>
      <c r="F559">
        <v>0</v>
      </c>
      <c r="G559">
        <v>20</v>
      </c>
      <c r="H559" t="s">
        <v>101</v>
      </c>
      <c r="I559" t="s">
        <v>106</v>
      </c>
      <c r="J559" t="s">
        <v>107</v>
      </c>
      <c r="K559" t="s">
        <v>108</v>
      </c>
      <c r="L559" t="s">
        <v>109</v>
      </c>
      <c r="M559" t="s">
        <v>110</v>
      </c>
      <c r="N559">
        <v>2.5999999999999999E-2</v>
      </c>
      <c r="O559">
        <v>1.7000000000000001E-2</v>
      </c>
      <c r="P559">
        <v>1.2E-2</v>
      </c>
    </row>
    <row r="560" spans="1:16">
      <c r="A560" t="s">
        <v>98</v>
      </c>
      <c r="B560" t="s">
        <v>104</v>
      </c>
      <c r="C560" t="s">
        <v>826</v>
      </c>
      <c r="D560">
        <v>1</v>
      </c>
      <c r="E560">
        <v>1700</v>
      </c>
      <c r="F560">
        <v>160</v>
      </c>
      <c r="G560">
        <v>20</v>
      </c>
      <c r="H560" t="s">
        <v>101</v>
      </c>
      <c r="I560" t="s">
        <v>106</v>
      </c>
      <c r="J560" t="s">
        <v>112</v>
      </c>
      <c r="K560" t="s">
        <v>108</v>
      </c>
      <c r="L560" t="s">
        <v>280</v>
      </c>
      <c r="M560" t="s">
        <v>110</v>
      </c>
      <c r="N560">
        <v>4.3999999999999997E-2</v>
      </c>
      <c r="O560">
        <v>2.4E-2</v>
      </c>
      <c r="P560">
        <v>1.4999999999999999E-2</v>
      </c>
    </row>
    <row r="561" spans="1:16">
      <c r="A561" t="s">
        <v>98</v>
      </c>
      <c r="B561" t="s">
        <v>172</v>
      </c>
      <c r="C561" t="s">
        <v>827</v>
      </c>
      <c r="D561">
        <v>1</v>
      </c>
      <c r="E561">
        <v>2000</v>
      </c>
      <c r="F561">
        <v>0</v>
      </c>
      <c r="G561">
        <v>20</v>
      </c>
      <c r="H561" t="s">
        <v>101</v>
      </c>
      <c r="I561" t="s">
        <v>106</v>
      </c>
      <c r="J561" t="s">
        <v>386</v>
      </c>
      <c r="K561" t="s">
        <v>108</v>
      </c>
      <c r="L561" t="s">
        <v>828</v>
      </c>
      <c r="M561" t="s">
        <v>110</v>
      </c>
      <c r="N561">
        <v>2.5999999999999999E-2</v>
      </c>
      <c r="O561">
        <v>1.7000000000000001E-2</v>
      </c>
      <c r="P561">
        <v>1.2E-2</v>
      </c>
    </row>
    <row r="562" spans="1:16">
      <c r="A562" t="s">
        <v>98</v>
      </c>
      <c r="B562" t="s">
        <v>172</v>
      </c>
      <c r="C562" t="s">
        <v>829</v>
      </c>
      <c r="D562">
        <v>1</v>
      </c>
      <c r="E562">
        <v>2000</v>
      </c>
      <c r="F562">
        <v>0</v>
      </c>
      <c r="G562">
        <v>20</v>
      </c>
      <c r="H562" t="s">
        <v>101</v>
      </c>
      <c r="I562" t="s">
        <v>106</v>
      </c>
      <c r="J562" t="s">
        <v>386</v>
      </c>
      <c r="K562" t="s">
        <v>108</v>
      </c>
      <c r="L562" t="s">
        <v>828</v>
      </c>
      <c r="M562" t="s">
        <v>110</v>
      </c>
      <c r="N562">
        <v>2.5999999999999999E-2</v>
      </c>
      <c r="O562">
        <v>1.7000000000000001E-2</v>
      </c>
      <c r="P562">
        <v>1.2E-2</v>
      </c>
    </row>
    <row r="563" spans="1:16" hidden="1">
      <c r="A563" t="s">
        <v>98</v>
      </c>
      <c r="B563" t="s">
        <v>275</v>
      </c>
      <c r="C563" t="s">
        <v>830</v>
      </c>
      <c r="D563">
        <v>16</v>
      </c>
      <c r="E563">
        <v>30000</v>
      </c>
      <c r="F563">
        <v>320</v>
      </c>
      <c r="G563">
        <v>20</v>
      </c>
      <c r="H563" t="s">
        <v>101</v>
      </c>
      <c r="I563" t="s">
        <v>102</v>
      </c>
      <c r="J563" t="s">
        <v>101</v>
      </c>
      <c r="K563" t="s">
        <v>205</v>
      </c>
      <c r="L563" t="s">
        <v>101</v>
      </c>
      <c r="M563" t="s">
        <v>118</v>
      </c>
      <c r="N563">
        <v>0.84</v>
      </c>
      <c r="O563">
        <v>0.497</v>
      </c>
      <c r="P563">
        <v>0.314</v>
      </c>
    </row>
    <row r="564" spans="1:16" hidden="1">
      <c r="A564" t="s">
        <v>98</v>
      </c>
      <c r="B564" t="s">
        <v>104</v>
      </c>
      <c r="C564" t="s">
        <v>831</v>
      </c>
      <c r="D564">
        <v>1</v>
      </c>
      <c r="E564">
        <v>1700</v>
      </c>
      <c r="F564">
        <v>160</v>
      </c>
      <c r="G564">
        <v>20</v>
      </c>
      <c r="H564" t="s">
        <v>101</v>
      </c>
      <c r="I564" t="s">
        <v>102</v>
      </c>
      <c r="J564" t="s">
        <v>101</v>
      </c>
      <c r="K564" t="s">
        <v>143</v>
      </c>
      <c r="L564" t="s">
        <v>311</v>
      </c>
      <c r="M564" t="s">
        <v>125</v>
      </c>
      <c r="N564">
        <v>4.3999999999999997E-2</v>
      </c>
      <c r="O564">
        <v>2.4E-2</v>
      </c>
      <c r="P564">
        <v>1.4999999999999999E-2</v>
      </c>
    </row>
    <row r="565" spans="1:16" hidden="1">
      <c r="A565" t="s">
        <v>98</v>
      </c>
      <c r="B565" t="s">
        <v>99</v>
      </c>
      <c r="C565" t="s">
        <v>832</v>
      </c>
      <c r="D565">
        <v>2</v>
      </c>
      <c r="E565">
        <v>3750</v>
      </c>
      <c r="F565">
        <v>32</v>
      </c>
      <c r="G565">
        <v>20</v>
      </c>
      <c r="H565" t="s">
        <v>101</v>
      </c>
      <c r="I565" t="s">
        <v>102</v>
      </c>
      <c r="J565" t="s">
        <v>101</v>
      </c>
      <c r="K565" t="s">
        <v>566</v>
      </c>
      <c r="L565" t="s">
        <v>261</v>
      </c>
      <c r="M565" t="s">
        <v>125</v>
      </c>
      <c r="N565">
        <v>0.105</v>
      </c>
      <c r="O565">
        <v>6.2E-2</v>
      </c>
      <c r="P565">
        <v>3.9E-2</v>
      </c>
    </row>
    <row r="566" spans="1:16" hidden="1">
      <c r="A566" t="s">
        <v>98</v>
      </c>
      <c r="B566" t="s">
        <v>212</v>
      </c>
      <c r="C566" t="s">
        <v>833</v>
      </c>
      <c r="D566">
        <v>1</v>
      </c>
      <c r="E566">
        <v>1000</v>
      </c>
      <c r="F566">
        <v>0</v>
      </c>
      <c r="G566">
        <v>8</v>
      </c>
      <c r="H566" t="s">
        <v>101</v>
      </c>
      <c r="I566" t="s">
        <v>101</v>
      </c>
      <c r="J566" t="s">
        <v>101</v>
      </c>
      <c r="K566" t="s">
        <v>108</v>
      </c>
      <c r="L566" t="s">
        <v>101</v>
      </c>
      <c r="M566" t="s">
        <v>110</v>
      </c>
      <c r="N566">
        <v>1.2999999999999999E-2</v>
      </c>
      <c r="O566">
        <v>8.9999999999999993E-3</v>
      </c>
      <c r="P566">
        <v>6.0000000000000001E-3</v>
      </c>
    </row>
    <row r="567" spans="1:16">
      <c r="A567" t="s">
        <v>98</v>
      </c>
      <c r="B567" t="s">
        <v>172</v>
      </c>
      <c r="C567" t="s">
        <v>834</v>
      </c>
      <c r="D567">
        <v>1</v>
      </c>
      <c r="E567">
        <v>2000</v>
      </c>
      <c r="F567">
        <v>0</v>
      </c>
      <c r="G567">
        <v>20</v>
      </c>
      <c r="H567" t="s">
        <v>101</v>
      </c>
      <c r="I567" t="s">
        <v>106</v>
      </c>
      <c r="J567" t="s">
        <v>835</v>
      </c>
      <c r="K567" t="s">
        <v>108</v>
      </c>
      <c r="L567" t="s">
        <v>836</v>
      </c>
      <c r="M567" t="s">
        <v>110</v>
      </c>
      <c r="N567">
        <v>2.5999999999999999E-2</v>
      </c>
      <c r="O567">
        <v>1.7000000000000001E-2</v>
      </c>
      <c r="P567">
        <v>1.2E-2</v>
      </c>
    </row>
    <row r="568" spans="1:16">
      <c r="A568" t="s">
        <v>98</v>
      </c>
      <c r="B568" t="s">
        <v>172</v>
      </c>
      <c r="C568" t="s">
        <v>837</v>
      </c>
      <c r="D568">
        <v>1</v>
      </c>
      <c r="E568">
        <v>2000</v>
      </c>
      <c r="F568">
        <v>0</v>
      </c>
      <c r="G568">
        <v>20</v>
      </c>
      <c r="H568" t="s">
        <v>101</v>
      </c>
      <c r="I568" t="s">
        <v>106</v>
      </c>
      <c r="J568" t="s">
        <v>835</v>
      </c>
      <c r="K568" t="s">
        <v>108</v>
      </c>
      <c r="L568" t="s">
        <v>836</v>
      </c>
      <c r="M568" t="s">
        <v>110</v>
      </c>
      <c r="N568">
        <v>2.5999999999999999E-2</v>
      </c>
      <c r="O568">
        <v>1.7000000000000001E-2</v>
      </c>
      <c r="P568">
        <v>1.2E-2</v>
      </c>
    </row>
    <row r="569" spans="1:16">
      <c r="A569" t="s">
        <v>98</v>
      </c>
      <c r="B569" t="s">
        <v>172</v>
      </c>
      <c r="C569" t="s">
        <v>838</v>
      </c>
      <c r="D569">
        <v>1</v>
      </c>
      <c r="E569">
        <v>2000</v>
      </c>
      <c r="F569">
        <v>0</v>
      </c>
      <c r="G569">
        <v>20</v>
      </c>
      <c r="H569" t="s">
        <v>101</v>
      </c>
      <c r="I569" t="s">
        <v>106</v>
      </c>
      <c r="J569" t="s">
        <v>180</v>
      </c>
      <c r="K569" t="s">
        <v>108</v>
      </c>
      <c r="L569" t="s">
        <v>154</v>
      </c>
      <c r="M569" t="s">
        <v>110</v>
      </c>
      <c r="N569">
        <v>2.5999999999999999E-2</v>
      </c>
      <c r="O569">
        <v>1.7000000000000001E-2</v>
      </c>
      <c r="P569">
        <v>1.2E-2</v>
      </c>
    </row>
    <row r="570" spans="1:16">
      <c r="A570" t="s">
        <v>98</v>
      </c>
      <c r="B570" t="s">
        <v>172</v>
      </c>
      <c r="C570" t="s">
        <v>839</v>
      </c>
      <c r="D570">
        <v>1</v>
      </c>
      <c r="E570">
        <v>2000</v>
      </c>
      <c r="F570">
        <v>0</v>
      </c>
      <c r="G570">
        <v>20</v>
      </c>
      <c r="H570" t="s">
        <v>101</v>
      </c>
      <c r="I570" t="s">
        <v>106</v>
      </c>
      <c r="J570" t="s">
        <v>180</v>
      </c>
      <c r="K570" t="s">
        <v>108</v>
      </c>
      <c r="L570" t="s">
        <v>154</v>
      </c>
      <c r="M570" t="s">
        <v>110</v>
      </c>
      <c r="N570">
        <v>2.5999999999999999E-2</v>
      </c>
      <c r="O570">
        <v>1.7000000000000001E-2</v>
      </c>
      <c r="P570">
        <v>1.2E-2</v>
      </c>
    </row>
    <row r="571" spans="1:16">
      <c r="A571" t="s">
        <v>98</v>
      </c>
      <c r="B571" t="s">
        <v>172</v>
      </c>
      <c r="C571" t="s">
        <v>840</v>
      </c>
      <c r="D571">
        <v>1</v>
      </c>
      <c r="E571">
        <v>2000</v>
      </c>
      <c r="F571">
        <v>0</v>
      </c>
      <c r="G571">
        <v>20</v>
      </c>
      <c r="H571" t="s">
        <v>101</v>
      </c>
      <c r="I571" t="s">
        <v>106</v>
      </c>
      <c r="J571" t="s">
        <v>180</v>
      </c>
      <c r="K571" t="s">
        <v>108</v>
      </c>
      <c r="L571" t="s">
        <v>154</v>
      </c>
      <c r="M571" t="s">
        <v>110</v>
      </c>
      <c r="N571">
        <v>2.5999999999999999E-2</v>
      </c>
      <c r="O571">
        <v>1.7000000000000001E-2</v>
      </c>
      <c r="P571">
        <v>1.2E-2</v>
      </c>
    </row>
    <row r="572" spans="1:16" hidden="1">
      <c r="A572" t="s">
        <v>98</v>
      </c>
      <c r="B572" t="s">
        <v>267</v>
      </c>
      <c r="C572" t="s">
        <v>841</v>
      </c>
      <c r="D572">
        <v>8</v>
      </c>
      <c r="E572">
        <v>15000</v>
      </c>
      <c r="F572">
        <v>160</v>
      </c>
      <c r="G572">
        <v>20</v>
      </c>
      <c r="H572" t="s">
        <v>101</v>
      </c>
      <c r="I572" t="s">
        <v>102</v>
      </c>
      <c r="J572" t="s">
        <v>101</v>
      </c>
      <c r="K572" t="s">
        <v>770</v>
      </c>
      <c r="L572" t="s">
        <v>101</v>
      </c>
      <c r="M572" t="s">
        <v>406</v>
      </c>
      <c r="N572">
        <v>0.42</v>
      </c>
      <c r="O572">
        <v>0.248</v>
      </c>
      <c r="P572">
        <v>0.157</v>
      </c>
    </row>
    <row r="573" spans="1:16" hidden="1">
      <c r="A573" t="s">
        <v>98</v>
      </c>
      <c r="B573" t="s">
        <v>267</v>
      </c>
      <c r="C573" t="s">
        <v>842</v>
      </c>
      <c r="D573">
        <v>8</v>
      </c>
      <c r="E573">
        <v>15000</v>
      </c>
      <c r="F573">
        <v>160</v>
      </c>
      <c r="G573">
        <v>20</v>
      </c>
      <c r="H573" t="s">
        <v>101</v>
      </c>
      <c r="I573" t="s">
        <v>102</v>
      </c>
      <c r="J573" t="s">
        <v>101</v>
      </c>
      <c r="K573" t="s">
        <v>770</v>
      </c>
      <c r="L573" t="s">
        <v>101</v>
      </c>
      <c r="M573" t="s">
        <v>406</v>
      </c>
      <c r="N573">
        <v>0.42</v>
      </c>
      <c r="O573">
        <v>0.248</v>
      </c>
      <c r="P573">
        <v>0.157</v>
      </c>
    </row>
    <row r="574" spans="1:16" hidden="1">
      <c r="A574" t="s">
        <v>98</v>
      </c>
      <c r="B574" t="s">
        <v>267</v>
      </c>
      <c r="C574" t="s">
        <v>843</v>
      </c>
      <c r="D574">
        <v>8</v>
      </c>
      <c r="E574">
        <v>15000</v>
      </c>
      <c r="F574">
        <v>160</v>
      </c>
      <c r="G574">
        <v>20</v>
      </c>
      <c r="H574" t="s">
        <v>101</v>
      </c>
      <c r="I574" t="s">
        <v>102</v>
      </c>
      <c r="J574" t="s">
        <v>101</v>
      </c>
      <c r="K574" t="s">
        <v>770</v>
      </c>
      <c r="L574" t="s">
        <v>101</v>
      </c>
      <c r="M574" t="s">
        <v>406</v>
      </c>
      <c r="N574">
        <v>0.42</v>
      </c>
      <c r="O574">
        <v>0.248</v>
      </c>
      <c r="P574">
        <v>0.157</v>
      </c>
    </row>
    <row r="575" spans="1:16">
      <c r="A575" t="s">
        <v>98</v>
      </c>
      <c r="B575" t="s">
        <v>172</v>
      </c>
      <c r="C575" t="s">
        <v>844</v>
      </c>
      <c r="D575">
        <v>1</v>
      </c>
      <c r="E575">
        <v>2000</v>
      </c>
      <c r="F575">
        <v>0</v>
      </c>
      <c r="G575">
        <v>20</v>
      </c>
      <c r="H575" t="s">
        <v>101</v>
      </c>
      <c r="I575" t="s">
        <v>106</v>
      </c>
      <c r="J575" t="s">
        <v>845</v>
      </c>
      <c r="K575" t="s">
        <v>108</v>
      </c>
      <c r="L575" t="s">
        <v>203</v>
      </c>
      <c r="M575" t="s">
        <v>110</v>
      </c>
      <c r="N575">
        <v>2.5999999999999999E-2</v>
      </c>
      <c r="O575">
        <v>1.7000000000000001E-2</v>
      </c>
      <c r="P575">
        <v>1.2E-2</v>
      </c>
    </row>
    <row r="576" spans="1:16" hidden="1">
      <c r="A576" t="s">
        <v>98</v>
      </c>
      <c r="B576" t="s">
        <v>99</v>
      </c>
      <c r="C576" t="s">
        <v>846</v>
      </c>
      <c r="D576">
        <v>2</v>
      </c>
      <c r="E576">
        <v>3750</v>
      </c>
      <c r="F576">
        <v>32</v>
      </c>
      <c r="G576">
        <v>20</v>
      </c>
      <c r="H576" t="s">
        <v>101</v>
      </c>
      <c r="I576" t="s">
        <v>102</v>
      </c>
      <c r="J576" t="s">
        <v>101</v>
      </c>
      <c r="K576" t="s">
        <v>123</v>
      </c>
      <c r="L576" t="s">
        <v>124</v>
      </c>
      <c r="M576" t="s">
        <v>303</v>
      </c>
      <c r="N576">
        <v>0.105</v>
      </c>
      <c r="O576">
        <v>6.2E-2</v>
      </c>
      <c r="P576">
        <v>3.9E-2</v>
      </c>
    </row>
    <row r="577" spans="1:16" hidden="1">
      <c r="A577" t="s">
        <v>98</v>
      </c>
      <c r="B577" t="s">
        <v>99</v>
      </c>
      <c r="C577" t="s">
        <v>847</v>
      </c>
      <c r="D577">
        <v>2</v>
      </c>
      <c r="E577">
        <v>3750</v>
      </c>
      <c r="F577">
        <v>32</v>
      </c>
      <c r="G577">
        <v>20</v>
      </c>
      <c r="H577" t="s">
        <v>101</v>
      </c>
      <c r="I577" t="s">
        <v>102</v>
      </c>
      <c r="J577" t="s">
        <v>101</v>
      </c>
      <c r="K577" t="s">
        <v>123</v>
      </c>
      <c r="L577" t="s">
        <v>124</v>
      </c>
      <c r="M577" t="s">
        <v>303</v>
      </c>
      <c r="N577">
        <v>0.105</v>
      </c>
      <c r="O577">
        <v>6.2E-2</v>
      </c>
      <c r="P577">
        <v>3.9E-2</v>
      </c>
    </row>
    <row r="578" spans="1:16" hidden="1">
      <c r="A578" t="s">
        <v>98</v>
      </c>
      <c r="B578" t="s">
        <v>99</v>
      </c>
      <c r="C578" t="s">
        <v>848</v>
      </c>
      <c r="D578">
        <v>2</v>
      </c>
      <c r="E578">
        <v>3750</v>
      </c>
      <c r="F578">
        <v>32</v>
      </c>
      <c r="G578">
        <v>20</v>
      </c>
      <c r="H578" t="s">
        <v>101</v>
      </c>
      <c r="I578" t="s">
        <v>102</v>
      </c>
      <c r="J578" t="s">
        <v>101</v>
      </c>
      <c r="K578" t="s">
        <v>143</v>
      </c>
      <c r="L578" t="s">
        <v>101</v>
      </c>
      <c r="M578" t="s">
        <v>144</v>
      </c>
      <c r="N578">
        <v>0.105</v>
      </c>
      <c r="O578">
        <v>6.2E-2</v>
      </c>
      <c r="P578">
        <v>3.9E-2</v>
      </c>
    </row>
    <row r="579" spans="1:16" hidden="1">
      <c r="A579" t="s">
        <v>98</v>
      </c>
      <c r="B579" t="s">
        <v>99</v>
      </c>
      <c r="C579" t="s">
        <v>849</v>
      </c>
      <c r="D579">
        <v>2</v>
      </c>
      <c r="E579">
        <v>3750</v>
      </c>
      <c r="F579">
        <v>32</v>
      </c>
      <c r="G579">
        <v>20</v>
      </c>
      <c r="H579" t="s">
        <v>101</v>
      </c>
      <c r="I579" t="s">
        <v>102</v>
      </c>
      <c r="J579" t="s">
        <v>101</v>
      </c>
      <c r="K579" t="s">
        <v>143</v>
      </c>
      <c r="L579" t="s">
        <v>101</v>
      </c>
      <c r="M579" t="s">
        <v>144</v>
      </c>
      <c r="N579">
        <v>0.105</v>
      </c>
      <c r="O579">
        <v>6.2E-2</v>
      </c>
      <c r="P579">
        <v>3.9E-2</v>
      </c>
    </row>
    <row r="580" spans="1:16" hidden="1">
      <c r="A580" t="s">
        <v>98</v>
      </c>
      <c r="B580" t="s">
        <v>99</v>
      </c>
      <c r="C580" t="s">
        <v>850</v>
      </c>
      <c r="D580">
        <v>2</v>
      </c>
      <c r="E580">
        <v>3750</v>
      </c>
      <c r="F580">
        <v>32</v>
      </c>
      <c r="G580">
        <v>20</v>
      </c>
      <c r="H580" t="s">
        <v>101</v>
      </c>
      <c r="I580" t="s">
        <v>102</v>
      </c>
      <c r="J580" t="s">
        <v>101</v>
      </c>
      <c r="K580" t="s">
        <v>143</v>
      </c>
      <c r="L580" t="s">
        <v>101</v>
      </c>
      <c r="M580" t="s">
        <v>144</v>
      </c>
      <c r="N580">
        <v>0.105</v>
      </c>
      <c r="O580">
        <v>6.2E-2</v>
      </c>
      <c r="P580">
        <v>3.9E-2</v>
      </c>
    </row>
    <row r="581" spans="1:16" hidden="1">
      <c r="A581" t="s">
        <v>98</v>
      </c>
      <c r="B581" t="s">
        <v>99</v>
      </c>
      <c r="C581" t="s">
        <v>851</v>
      </c>
      <c r="D581">
        <v>2</v>
      </c>
      <c r="E581">
        <v>3750</v>
      </c>
      <c r="F581">
        <v>32</v>
      </c>
      <c r="G581">
        <v>20</v>
      </c>
      <c r="H581" t="s">
        <v>101</v>
      </c>
      <c r="I581" t="s">
        <v>102</v>
      </c>
      <c r="J581" t="s">
        <v>101</v>
      </c>
      <c r="K581" t="s">
        <v>143</v>
      </c>
      <c r="L581" t="s">
        <v>101</v>
      </c>
      <c r="M581" t="s">
        <v>144</v>
      </c>
      <c r="N581">
        <v>0.105</v>
      </c>
      <c r="O581">
        <v>6.2E-2</v>
      </c>
      <c r="P581">
        <v>3.9E-2</v>
      </c>
    </row>
    <row r="582" spans="1:16" hidden="1">
      <c r="A582" t="s">
        <v>98</v>
      </c>
      <c r="B582" t="s">
        <v>99</v>
      </c>
      <c r="C582" t="s">
        <v>852</v>
      </c>
      <c r="D582">
        <v>2</v>
      </c>
      <c r="E582">
        <v>3750</v>
      </c>
      <c r="F582">
        <v>32</v>
      </c>
      <c r="G582">
        <v>20</v>
      </c>
      <c r="H582" t="s">
        <v>101</v>
      </c>
      <c r="I582" t="s">
        <v>102</v>
      </c>
      <c r="J582" t="s">
        <v>101</v>
      </c>
      <c r="K582" t="s">
        <v>217</v>
      </c>
      <c r="L582" t="s">
        <v>101</v>
      </c>
      <c r="M582" t="s">
        <v>118</v>
      </c>
      <c r="N582">
        <v>0.105</v>
      </c>
      <c r="O582">
        <v>6.2E-2</v>
      </c>
      <c r="P582">
        <v>3.9E-2</v>
      </c>
    </row>
    <row r="583" spans="1:16" hidden="1">
      <c r="A583" t="s">
        <v>98</v>
      </c>
      <c r="B583" t="s">
        <v>99</v>
      </c>
      <c r="C583" t="s">
        <v>853</v>
      </c>
      <c r="D583">
        <v>2</v>
      </c>
      <c r="E583">
        <v>3750</v>
      </c>
      <c r="F583">
        <v>32</v>
      </c>
      <c r="G583">
        <v>20</v>
      </c>
      <c r="H583" t="s">
        <v>101</v>
      </c>
      <c r="I583" t="s">
        <v>102</v>
      </c>
      <c r="J583" t="s">
        <v>101</v>
      </c>
      <c r="K583" t="s">
        <v>217</v>
      </c>
      <c r="L583" t="s">
        <v>101</v>
      </c>
      <c r="M583" t="s">
        <v>118</v>
      </c>
      <c r="N583">
        <v>0.105</v>
      </c>
      <c r="O583">
        <v>6.2E-2</v>
      </c>
      <c r="P583">
        <v>3.9E-2</v>
      </c>
    </row>
    <row r="584" spans="1:16" hidden="1">
      <c r="A584" t="s">
        <v>98</v>
      </c>
      <c r="B584" t="s">
        <v>99</v>
      </c>
      <c r="C584" t="s">
        <v>854</v>
      </c>
      <c r="D584">
        <v>2</v>
      </c>
      <c r="E584">
        <v>3750</v>
      </c>
      <c r="F584">
        <v>32</v>
      </c>
      <c r="G584">
        <v>20</v>
      </c>
      <c r="H584" t="s">
        <v>101</v>
      </c>
      <c r="I584" t="s">
        <v>102</v>
      </c>
      <c r="J584" t="s">
        <v>101</v>
      </c>
      <c r="K584" t="s">
        <v>217</v>
      </c>
      <c r="L584" t="s">
        <v>101</v>
      </c>
      <c r="M584" t="s">
        <v>118</v>
      </c>
      <c r="N584">
        <v>0.105</v>
      </c>
      <c r="O584">
        <v>6.2E-2</v>
      </c>
      <c r="P584">
        <v>3.9E-2</v>
      </c>
    </row>
    <row r="585" spans="1:16" hidden="1">
      <c r="A585" t="s">
        <v>98</v>
      </c>
      <c r="B585" t="s">
        <v>99</v>
      </c>
      <c r="C585" t="s">
        <v>855</v>
      </c>
      <c r="D585">
        <v>2</v>
      </c>
      <c r="E585">
        <v>3750</v>
      </c>
      <c r="F585">
        <v>32</v>
      </c>
      <c r="G585">
        <v>20</v>
      </c>
      <c r="H585" t="s">
        <v>101</v>
      </c>
      <c r="I585" t="s">
        <v>102</v>
      </c>
      <c r="J585" t="s">
        <v>101</v>
      </c>
      <c r="K585" t="s">
        <v>217</v>
      </c>
      <c r="L585" t="s">
        <v>101</v>
      </c>
      <c r="M585" t="s">
        <v>118</v>
      </c>
      <c r="N585">
        <v>0.105</v>
      </c>
      <c r="O585">
        <v>6.2E-2</v>
      </c>
      <c r="P585">
        <v>3.9E-2</v>
      </c>
    </row>
    <row r="586" spans="1:16" hidden="1">
      <c r="A586" t="s">
        <v>98</v>
      </c>
      <c r="B586" t="s">
        <v>99</v>
      </c>
      <c r="C586" t="s">
        <v>856</v>
      </c>
      <c r="D586">
        <v>2</v>
      </c>
      <c r="E586">
        <v>3750</v>
      </c>
      <c r="F586">
        <v>32</v>
      </c>
      <c r="G586">
        <v>20</v>
      </c>
      <c r="H586" t="s">
        <v>101</v>
      </c>
      <c r="I586" t="s">
        <v>102</v>
      </c>
      <c r="J586" t="s">
        <v>101</v>
      </c>
      <c r="K586" t="s">
        <v>184</v>
      </c>
      <c r="L586" t="s">
        <v>124</v>
      </c>
      <c r="M586" t="s">
        <v>118</v>
      </c>
      <c r="N586">
        <v>0.105</v>
      </c>
      <c r="O586">
        <v>6.2E-2</v>
      </c>
      <c r="P586">
        <v>3.9E-2</v>
      </c>
    </row>
    <row r="587" spans="1:16" hidden="1">
      <c r="A587" t="s">
        <v>98</v>
      </c>
      <c r="B587" t="s">
        <v>99</v>
      </c>
      <c r="C587" t="s">
        <v>857</v>
      </c>
      <c r="D587">
        <v>2</v>
      </c>
      <c r="E587">
        <v>3750</v>
      </c>
      <c r="F587">
        <v>32</v>
      </c>
      <c r="G587">
        <v>20</v>
      </c>
      <c r="H587" t="s">
        <v>101</v>
      </c>
      <c r="I587" t="s">
        <v>102</v>
      </c>
      <c r="J587" t="s">
        <v>101</v>
      </c>
      <c r="K587" t="s">
        <v>184</v>
      </c>
      <c r="L587" t="s">
        <v>124</v>
      </c>
      <c r="M587" t="s">
        <v>118</v>
      </c>
      <c r="N587">
        <v>0.105</v>
      </c>
      <c r="O587">
        <v>6.2E-2</v>
      </c>
      <c r="P587">
        <v>3.9E-2</v>
      </c>
    </row>
    <row r="588" spans="1:16" hidden="1">
      <c r="A588" t="s">
        <v>98</v>
      </c>
      <c r="B588" t="s">
        <v>99</v>
      </c>
      <c r="C588" t="s">
        <v>858</v>
      </c>
      <c r="D588">
        <v>2</v>
      </c>
      <c r="E588">
        <v>3750</v>
      </c>
      <c r="F588">
        <v>32</v>
      </c>
      <c r="G588">
        <v>20</v>
      </c>
      <c r="H588" t="s">
        <v>101</v>
      </c>
      <c r="I588" t="s">
        <v>102</v>
      </c>
      <c r="J588" t="s">
        <v>101</v>
      </c>
      <c r="K588" t="s">
        <v>184</v>
      </c>
      <c r="L588" t="s">
        <v>124</v>
      </c>
      <c r="M588" t="s">
        <v>118</v>
      </c>
      <c r="N588">
        <v>0.105</v>
      </c>
      <c r="O588">
        <v>6.2E-2</v>
      </c>
      <c r="P588">
        <v>3.9E-2</v>
      </c>
    </row>
    <row r="589" spans="1:16" hidden="1">
      <c r="A589" t="s">
        <v>98</v>
      </c>
      <c r="B589" t="s">
        <v>99</v>
      </c>
      <c r="C589" t="s">
        <v>859</v>
      </c>
      <c r="D589">
        <v>2</v>
      </c>
      <c r="E589">
        <v>3750</v>
      </c>
      <c r="F589">
        <v>32</v>
      </c>
      <c r="G589">
        <v>20</v>
      </c>
      <c r="H589" t="s">
        <v>101</v>
      </c>
      <c r="I589" t="s">
        <v>102</v>
      </c>
      <c r="J589" t="s">
        <v>101</v>
      </c>
      <c r="K589" t="s">
        <v>184</v>
      </c>
      <c r="L589" t="s">
        <v>124</v>
      </c>
      <c r="M589" t="s">
        <v>118</v>
      </c>
      <c r="N589">
        <v>0.105</v>
      </c>
      <c r="O589">
        <v>6.2E-2</v>
      </c>
      <c r="P589">
        <v>3.9E-2</v>
      </c>
    </row>
    <row r="590" spans="1:16" hidden="1">
      <c r="A590" t="s">
        <v>98</v>
      </c>
      <c r="B590" t="s">
        <v>99</v>
      </c>
      <c r="C590" t="s">
        <v>860</v>
      </c>
      <c r="D590">
        <v>2</v>
      </c>
      <c r="E590">
        <v>3750</v>
      </c>
      <c r="F590">
        <v>32</v>
      </c>
      <c r="G590">
        <v>20</v>
      </c>
      <c r="H590" t="s">
        <v>101</v>
      </c>
      <c r="I590" t="s">
        <v>102</v>
      </c>
      <c r="J590" t="s">
        <v>101</v>
      </c>
      <c r="K590" t="s">
        <v>184</v>
      </c>
      <c r="L590" t="s">
        <v>101</v>
      </c>
      <c r="M590" t="s">
        <v>118</v>
      </c>
      <c r="N590">
        <v>0.105</v>
      </c>
      <c r="O590">
        <v>6.2E-2</v>
      </c>
      <c r="P590">
        <v>3.9E-2</v>
      </c>
    </row>
    <row r="591" spans="1:16" hidden="1">
      <c r="A591" t="s">
        <v>98</v>
      </c>
      <c r="B591" t="s">
        <v>99</v>
      </c>
      <c r="C591" t="s">
        <v>861</v>
      </c>
      <c r="D591">
        <v>2</v>
      </c>
      <c r="E591">
        <v>3750</v>
      </c>
      <c r="F591">
        <v>32</v>
      </c>
      <c r="G591">
        <v>20</v>
      </c>
      <c r="H591" t="s">
        <v>101</v>
      </c>
      <c r="I591" t="s">
        <v>102</v>
      </c>
      <c r="J591" t="s">
        <v>101</v>
      </c>
      <c r="K591" t="s">
        <v>184</v>
      </c>
      <c r="L591" t="s">
        <v>101</v>
      </c>
      <c r="M591" t="s">
        <v>118</v>
      </c>
      <c r="N591">
        <v>0.105</v>
      </c>
      <c r="O591">
        <v>6.2E-2</v>
      </c>
      <c r="P591">
        <v>3.9E-2</v>
      </c>
    </row>
    <row r="592" spans="1:16" hidden="1">
      <c r="A592" t="s">
        <v>98</v>
      </c>
      <c r="B592" t="s">
        <v>99</v>
      </c>
      <c r="C592" t="s">
        <v>862</v>
      </c>
      <c r="D592">
        <v>2</v>
      </c>
      <c r="E592">
        <v>3750</v>
      </c>
      <c r="F592">
        <v>32</v>
      </c>
      <c r="G592">
        <v>20</v>
      </c>
      <c r="H592" t="s">
        <v>101</v>
      </c>
      <c r="I592" t="s">
        <v>102</v>
      </c>
      <c r="J592" t="s">
        <v>101</v>
      </c>
      <c r="K592" t="s">
        <v>273</v>
      </c>
      <c r="L592" t="s">
        <v>101</v>
      </c>
      <c r="M592" t="s">
        <v>274</v>
      </c>
      <c r="N592">
        <v>0.105</v>
      </c>
      <c r="O592">
        <v>6.2E-2</v>
      </c>
      <c r="P592">
        <v>3.9E-2</v>
      </c>
    </row>
    <row r="593" spans="1:16">
      <c r="A593" t="s">
        <v>98</v>
      </c>
      <c r="B593" t="s">
        <v>172</v>
      </c>
      <c r="C593" t="s">
        <v>863</v>
      </c>
      <c r="D593">
        <v>1</v>
      </c>
      <c r="E593">
        <v>2000</v>
      </c>
      <c r="F593">
        <v>0</v>
      </c>
      <c r="G593">
        <v>20</v>
      </c>
      <c r="H593" t="s">
        <v>101</v>
      </c>
      <c r="I593" t="s">
        <v>106</v>
      </c>
      <c r="J593" t="s">
        <v>845</v>
      </c>
      <c r="K593" t="s">
        <v>108</v>
      </c>
      <c r="L593" t="s">
        <v>222</v>
      </c>
      <c r="M593" t="s">
        <v>110</v>
      </c>
      <c r="N593">
        <v>2.5999999999999999E-2</v>
      </c>
      <c r="O593">
        <v>1.7000000000000001E-2</v>
      </c>
      <c r="P593">
        <v>1.2E-2</v>
      </c>
    </row>
    <row r="594" spans="1:16" hidden="1">
      <c r="A594" t="s">
        <v>98</v>
      </c>
      <c r="B594" t="s">
        <v>99</v>
      </c>
      <c r="C594" t="s">
        <v>864</v>
      </c>
      <c r="D594">
        <v>2</v>
      </c>
      <c r="E594">
        <v>3750</v>
      </c>
      <c r="F594">
        <v>32</v>
      </c>
      <c r="G594">
        <v>20</v>
      </c>
      <c r="H594" t="s">
        <v>101</v>
      </c>
      <c r="I594" t="s">
        <v>102</v>
      </c>
      <c r="J594" t="s">
        <v>101</v>
      </c>
      <c r="K594" t="s">
        <v>273</v>
      </c>
      <c r="L594" t="s">
        <v>101</v>
      </c>
      <c r="M594" t="s">
        <v>274</v>
      </c>
      <c r="N594">
        <v>0.105</v>
      </c>
      <c r="O594">
        <v>6.2E-2</v>
      </c>
      <c r="P594">
        <v>3.9E-2</v>
      </c>
    </row>
    <row r="595" spans="1:16">
      <c r="A595" t="s">
        <v>98</v>
      </c>
      <c r="B595" t="s">
        <v>172</v>
      </c>
      <c r="C595" t="s">
        <v>865</v>
      </c>
      <c r="D595">
        <v>1</v>
      </c>
      <c r="E595">
        <v>2000</v>
      </c>
      <c r="F595">
        <v>0</v>
      </c>
      <c r="G595">
        <v>20</v>
      </c>
      <c r="H595" t="s">
        <v>101</v>
      </c>
      <c r="I595" t="s">
        <v>106</v>
      </c>
      <c r="J595" t="s">
        <v>845</v>
      </c>
      <c r="K595" t="s">
        <v>108</v>
      </c>
      <c r="L595" t="s">
        <v>175</v>
      </c>
      <c r="M595" t="s">
        <v>110</v>
      </c>
      <c r="N595">
        <v>2.5999999999999999E-2</v>
      </c>
      <c r="O595">
        <v>1.7000000000000001E-2</v>
      </c>
      <c r="P595">
        <v>1.2E-2</v>
      </c>
    </row>
    <row r="596" spans="1:16" hidden="1">
      <c r="A596" t="s">
        <v>98</v>
      </c>
      <c r="B596" t="s">
        <v>172</v>
      </c>
      <c r="C596" t="s">
        <v>866</v>
      </c>
      <c r="D596">
        <v>1</v>
      </c>
      <c r="E596">
        <v>2000</v>
      </c>
      <c r="F596">
        <v>0</v>
      </c>
      <c r="G596">
        <v>20</v>
      </c>
      <c r="H596" t="s">
        <v>101</v>
      </c>
      <c r="I596" t="s">
        <v>102</v>
      </c>
      <c r="J596" t="s">
        <v>101</v>
      </c>
      <c r="K596" t="s">
        <v>773</v>
      </c>
      <c r="L596" t="s">
        <v>124</v>
      </c>
      <c r="M596" t="s">
        <v>125</v>
      </c>
      <c r="N596">
        <v>2.5999999999999999E-2</v>
      </c>
      <c r="O596">
        <v>1.7000000000000001E-2</v>
      </c>
      <c r="P596">
        <v>1.2E-2</v>
      </c>
    </row>
    <row r="597" spans="1:16" hidden="1">
      <c r="A597" t="s">
        <v>98</v>
      </c>
      <c r="B597" t="s">
        <v>99</v>
      </c>
      <c r="C597" t="s">
        <v>867</v>
      </c>
      <c r="D597">
        <v>2</v>
      </c>
      <c r="E597">
        <v>3750</v>
      </c>
      <c r="F597">
        <v>32</v>
      </c>
      <c r="G597">
        <v>20</v>
      </c>
      <c r="H597" t="s">
        <v>101</v>
      </c>
      <c r="I597" t="s">
        <v>102</v>
      </c>
      <c r="J597" t="s">
        <v>101</v>
      </c>
      <c r="K597" t="s">
        <v>773</v>
      </c>
      <c r="L597" t="s">
        <v>124</v>
      </c>
      <c r="M597" t="s">
        <v>118</v>
      </c>
      <c r="N597">
        <v>0.105</v>
      </c>
      <c r="O597">
        <v>6.2E-2</v>
      </c>
      <c r="P597">
        <v>3.9E-2</v>
      </c>
    </row>
    <row r="598" spans="1:16" hidden="1">
      <c r="A598" t="s">
        <v>98</v>
      </c>
      <c r="B598" t="s">
        <v>99</v>
      </c>
      <c r="C598" t="s">
        <v>868</v>
      </c>
      <c r="D598">
        <v>2</v>
      </c>
      <c r="E598">
        <v>3750</v>
      </c>
      <c r="F598">
        <v>32</v>
      </c>
      <c r="G598">
        <v>20</v>
      </c>
      <c r="H598" t="s">
        <v>101</v>
      </c>
      <c r="I598" t="s">
        <v>102</v>
      </c>
      <c r="J598" t="s">
        <v>101</v>
      </c>
      <c r="K598" t="s">
        <v>773</v>
      </c>
      <c r="L598" t="s">
        <v>124</v>
      </c>
      <c r="M598" t="s">
        <v>118</v>
      </c>
      <c r="N598">
        <v>0.105</v>
      </c>
      <c r="O598">
        <v>6.2E-2</v>
      </c>
      <c r="P598">
        <v>3.9E-2</v>
      </c>
    </row>
    <row r="599" spans="1:16" hidden="1">
      <c r="A599" t="s">
        <v>98</v>
      </c>
      <c r="B599" t="s">
        <v>99</v>
      </c>
      <c r="C599" t="s">
        <v>869</v>
      </c>
      <c r="D599">
        <v>2</v>
      </c>
      <c r="E599">
        <v>3750</v>
      </c>
      <c r="F599">
        <v>32</v>
      </c>
      <c r="G599">
        <v>20</v>
      </c>
      <c r="H599" t="s">
        <v>101</v>
      </c>
      <c r="I599" t="s">
        <v>102</v>
      </c>
      <c r="J599" t="s">
        <v>101</v>
      </c>
      <c r="K599" t="s">
        <v>766</v>
      </c>
      <c r="L599" t="s">
        <v>101</v>
      </c>
      <c r="M599" t="s">
        <v>103</v>
      </c>
      <c r="N599">
        <v>0.105</v>
      </c>
      <c r="O599">
        <v>6.2E-2</v>
      </c>
      <c r="P599">
        <v>3.9E-2</v>
      </c>
    </row>
    <row r="600" spans="1:16" hidden="1">
      <c r="A600" t="s">
        <v>98</v>
      </c>
      <c r="B600" t="s">
        <v>99</v>
      </c>
      <c r="C600" t="s">
        <v>870</v>
      </c>
      <c r="D600">
        <v>2</v>
      </c>
      <c r="E600">
        <v>3750</v>
      </c>
      <c r="F600">
        <v>32</v>
      </c>
      <c r="G600">
        <v>20</v>
      </c>
      <c r="H600" t="s">
        <v>101</v>
      </c>
      <c r="I600" t="s">
        <v>102</v>
      </c>
      <c r="J600" t="s">
        <v>101</v>
      </c>
      <c r="K600" t="s">
        <v>156</v>
      </c>
      <c r="L600" t="s">
        <v>124</v>
      </c>
      <c r="M600" t="s">
        <v>118</v>
      </c>
      <c r="N600">
        <v>0.105</v>
      </c>
      <c r="O600">
        <v>6.2E-2</v>
      </c>
      <c r="P600">
        <v>3.9E-2</v>
      </c>
    </row>
    <row r="601" spans="1:16" hidden="1">
      <c r="A601" t="s">
        <v>98</v>
      </c>
      <c r="B601" t="s">
        <v>99</v>
      </c>
      <c r="C601" t="s">
        <v>871</v>
      </c>
      <c r="D601">
        <v>2</v>
      </c>
      <c r="E601">
        <v>3750</v>
      </c>
      <c r="F601">
        <v>32</v>
      </c>
      <c r="G601">
        <v>20</v>
      </c>
      <c r="H601" t="s">
        <v>101</v>
      </c>
      <c r="I601" t="s">
        <v>102</v>
      </c>
      <c r="J601" t="s">
        <v>101</v>
      </c>
      <c r="K601" t="s">
        <v>156</v>
      </c>
      <c r="L601" t="s">
        <v>124</v>
      </c>
      <c r="M601" t="s">
        <v>118</v>
      </c>
      <c r="N601">
        <v>0.105</v>
      </c>
      <c r="O601">
        <v>6.2E-2</v>
      </c>
      <c r="P601">
        <v>3.9E-2</v>
      </c>
    </row>
    <row r="602" spans="1:16" hidden="1">
      <c r="A602" t="s">
        <v>98</v>
      </c>
      <c r="B602" t="s">
        <v>99</v>
      </c>
      <c r="C602" t="s">
        <v>872</v>
      </c>
      <c r="D602">
        <v>2</v>
      </c>
      <c r="E602">
        <v>3750</v>
      </c>
      <c r="F602">
        <v>32</v>
      </c>
      <c r="G602">
        <v>20</v>
      </c>
      <c r="H602" t="s">
        <v>101</v>
      </c>
      <c r="I602" t="s">
        <v>102</v>
      </c>
      <c r="J602" t="s">
        <v>101</v>
      </c>
      <c r="K602" t="s">
        <v>766</v>
      </c>
      <c r="L602" t="s">
        <v>101</v>
      </c>
      <c r="M602" t="s">
        <v>103</v>
      </c>
      <c r="N602">
        <v>0.105</v>
      </c>
      <c r="O602">
        <v>6.2E-2</v>
      </c>
      <c r="P602">
        <v>3.9E-2</v>
      </c>
    </row>
    <row r="603" spans="1:16" hidden="1">
      <c r="A603" t="s">
        <v>98</v>
      </c>
      <c r="B603" t="s">
        <v>99</v>
      </c>
      <c r="C603" t="s">
        <v>873</v>
      </c>
      <c r="D603">
        <v>2</v>
      </c>
      <c r="E603">
        <v>3750</v>
      </c>
      <c r="F603">
        <v>32</v>
      </c>
      <c r="G603">
        <v>20</v>
      </c>
      <c r="H603" t="s">
        <v>101</v>
      </c>
      <c r="I603" t="s">
        <v>102</v>
      </c>
      <c r="J603" t="s">
        <v>101</v>
      </c>
      <c r="K603" t="s">
        <v>766</v>
      </c>
      <c r="L603" t="s">
        <v>101</v>
      </c>
      <c r="M603" t="s">
        <v>103</v>
      </c>
      <c r="N603">
        <v>0.105</v>
      </c>
      <c r="O603">
        <v>6.2E-2</v>
      </c>
      <c r="P603">
        <v>3.9E-2</v>
      </c>
    </row>
    <row r="604" spans="1:16" hidden="1">
      <c r="A604" t="s">
        <v>98</v>
      </c>
      <c r="B604" t="s">
        <v>99</v>
      </c>
      <c r="C604" t="s">
        <v>874</v>
      </c>
      <c r="D604">
        <v>2</v>
      </c>
      <c r="E604">
        <v>3750</v>
      </c>
      <c r="F604">
        <v>32</v>
      </c>
      <c r="G604">
        <v>20</v>
      </c>
      <c r="H604" t="s">
        <v>101</v>
      </c>
      <c r="I604" t="s">
        <v>102</v>
      </c>
      <c r="J604" t="s">
        <v>101</v>
      </c>
      <c r="K604" t="s">
        <v>766</v>
      </c>
      <c r="L604" t="s">
        <v>101</v>
      </c>
      <c r="M604" t="s">
        <v>103</v>
      </c>
      <c r="N604">
        <v>0.105</v>
      </c>
      <c r="O604">
        <v>6.2E-2</v>
      </c>
      <c r="P604">
        <v>3.9E-2</v>
      </c>
    </row>
    <row r="605" spans="1:16">
      <c r="A605" t="s">
        <v>98</v>
      </c>
      <c r="B605" t="s">
        <v>104</v>
      </c>
      <c r="C605" t="s">
        <v>875</v>
      </c>
      <c r="D605">
        <v>1</v>
      </c>
      <c r="E605">
        <v>1700</v>
      </c>
      <c r="F605">
        <v>160</v>
      </c>
      <c r="G605">
        <v>20</v>
      </c>
      <c r="H605" t="s">
        <v>101</v>
      </c>
      <c r="I605" t="s">
        <v>106</v>
      </c>
      <c r="J605" t="s">
        <v>350</v>
      </c>
      <c r="K605" t="s">
        <v>108</v>
      </c>
      <c r="L605" t="s">
        <v>322</v>
      </c>
      <c r="M605" t="s">
        <v>110</v>
      </c>
      <c r="N605">
        <v>4.3999999999999997E-2</v>
      </c>
      <c r="O605">
        <v>2.4E-2</v>
      </c>
      <c r="P605">
        <v>1.4999999999999999E-2</v>
      </c>
    </row>
    <row r="606" spans="1:16" hidden="1">
      <c r="A606" t="s">
        <v>98</v>
      </c>
      <c r="B606" t="s">
        <v>99</v>
      </c>
      <c r="C606" t="s">
        <v>876</v>
      </c>
      <c r="D606">
        <v>2</v>
      </c>
      <c r="E606">
        <v>3750</v>
      </c>
      <c r="F606">
        <v>32</v>
      </c>
      <c r="G606">
        <v>20</v>
      </c>
      <c r="H606" t="s">
        <v>101</v>
      </c>
      <c r="I606" t="s">
        <v>102</v>
      </c>
      <c r="J606" t="s">
        <v>101</v>
      </c>
      <c r="K606" t="s">
        <v>773</v>
      </c>
      <c r="L606" t="s">
        <v>101</v>
      </c>
      <c r="M606" t="s">
        <v>118</v>
      </c>
      <c r="N606">
        <v>0.105</v>
      </c>
      <c r="O606">
        <v>6.2E-2</v>
      </c>
      <c r="P606">
        <v>3.9E-2</v>
      </c>
    </row>
    <row r="607" spans="1:16" hidden="1">
      <c r="A607" t="s">
        <v>98</v>
      </c>
      <c r="B607" t="s">
        <v>99</v>
      </c>
      <c r="C607" t="s">
        <v>877</v>
      </c>
      <c r="D607">
        <v>2</v>
      </c>
      <c r="E607">
        <v>3750</v>
      </c>
      <c r="F607">
        <v>32</v>
      </c>
      <c r="G607">
        <v>20</v>
      </c>
      <c r="H607" t="s">
        <v>101</v>
      </c>
      <c r="I607" t="s">
        <v>102</v>
      </c>
      <c r="J607" t="s">
        <v>101</v>
      </c>
      <c r="K607" t="s">
        <v>123</v>
      </c>
      <c r="L607" t="s">
        <v>101</v>
      </c>
      <c r="M607" t="s">
        <v>303</v>
      </c>
      <c r="N607">
        <v>0.105</v>
      </c>
      <c r="O607">
        <v>6.2E-2</v>
      </c>
      <c r="P607">
        <v>3.9E-2</v>
      </c>
    </row>
    <row r="608" spans="1:16" hidden="1">
      <c r="A608" t="s">
        <v>98</v>
      </c>
      <c r="B608" t="s">
        <v>99</v>
      </c>
      <c r="C608" t="s">
        <v>878</v>
      </c>
      <c r="D608">
        <v>2</v>
      </c>
      <c r="E608">
        <v>3750</v>
      </c>
      <c r="F608">
        <v>32</v>
      </c>
      <c r="G608">
        <v>20</v>
      </c>
      <c r="H608" t="s">
        <v>101</v>
      </c>
      <c r="I608" t="s">
        <v>102</v>
      </c>
      <c r="J608" t="s">
        <v>101</v>
      </c>
      <c r="K608" t="s">
        <v>123</v>
      </c>
      <c r="L608" t="s">
        <v>101</v>
      </c>
      <c r="M608" t="s">
        <v>303</v>
      </c>
      <c r="N608">
        <v>0.105</v>
      </c>
      <c r="O608">
        <v>6.2E-2</v>
      </c>
      <c r="P608">
        <v>3.9E-2</v>
      </c>
    </row>
    <row r="609" spans="1:16" hidden="1">
      <c r="A609" t="s">
        <v>98</v>
      </c>
      <c r="B609" t="s">
        <v>99</v>
      </c>
      <c r="C609" t="s">
        <v>879</v>
      </c>
      <c r="D609">
        <v>2</v>
      </c>
      <c r="E609">
        <v>3750</v>
      </c>
      <c r="F609">
        <v>32</v>
      </c>
      <c r="G609">
        <v>20</v>
      </c>
      <c r="H609" t="s">
        <v>101</v>
      </c>
      <c r="I609" t="s">
        <v>102</v>
      </c>
      <c r="J609" t="s">
        <v>101</v>
      </c>
      <c r="K609" t="s">
        <v>612</v>
      </c>
      <c r="L609" t="s">
        <v>124</v>
      </c>
      <c r="M609" t="s">
        <v>118</v>
      </c>
      <c r="N609">
        <v>0.105</v>
      </c>
      <c r="O609">
        <v>6.2E-2</v>
      </c>
      <c r="P609">
        <v>3.9E-2</v>
      </c>
    </row>
    <row r="610" spans="1:16" hidden="1">
      <c r="A610" t="s">
        <v>98</v>
      </c>
      <c r="B610" t="s">
        <v>99</v>
      </c>
      <c r="C610" t="s">
        <v>880</v>
      </c>
      <c r="D610">
        <v>2</v>
      </c>
      <c r="E610">
        <v>3750</v>
      </c>
      <c r="F610">
        <v>32</v>
      </c>
      <c r="G610">
        <v>20</v>
      </c>
      <c r="H610" t="s">
        <v>101</v>
      </c>
      <c r="I610" t="s">
        <v>102</v>
      </c>
      <c r="J610" t="s">
        <v>101</v>
      </c>
      <c r="K610" t="s">
        <v>612</v>
      </c>
      <c r="L610" t="s">
        <v>124</v>
      </c>
      <c r="M610" t="s">
        <v>118</v>
      </c>
      <c r="N610">
        <v>0.105</v>
      </c>
      <c r="O610">
        <v>6.2E-2</v>
      </c>
      <c r="P610">
        <v>3.9E-2</v>
      </c>
    </row>
    <row r="611" spans="1:16" hidden="1">
      <c r="A611" t="s">
        <v>98</v>
      </c>
      <c r="B611" t="s">
        <v>99</v>
      </c>
      <c r="C611" t="s">
        <v>881</v>
      </c>
      <c r="D611">
        <v>2</v>
      </c>
      <c r="E611">
        <v>3750</v>
      </c>
      <c r="F611">
        <v>32</v>
      </c>
      <c r="G611">
        <v>20</v>
      </c>
      <c r="H611" t="s">
        <v>101</v>
      </c>
      <c r="I611" t="s">
        <v>102</v>
      </c>
      <c r="J611" t="s">
        <v>101</v>
      </c>
      <c r="K611" t="s">
        <v>612</v>
      </c>
      <c r="L611" t="s">
        <v>124</v>
      </c>
      <c r="M611" t="s">
        <v>118</v>
      </c>
      <c r="N611">
        <v>0.105</v>
      </c>
      <c r="O611">
        <v>6.2E-2</v>
      </c>
      <c r="P611">
        <v>3.9E-2</v>
      </c>
    </row>
    <row r="612" spans="1:16" hidden="1">
      <c r="A612" t="s">
        <v>98</v>
      </c>
      <c r="B612" t="s">
        <v>99</v>
      </c>
      <c r="C612" t="s">
        <v>882</v>
      </c>
      <c r="D612">
        <v>2</v>
      </c>
      <c r="E612">
        <v>3750</v>
      </c>
      <c r="F612">
        <v>32</v>
      </c>
      <c r="G612">
        <v>20</v>
      </c>
      <c r="H612" t="s">
        <v>101</v>
      </c>
      <c r="I612" t="s">
        <v>102</v>
      </c>
      <c r="J612" t="s">
        <v>101</v>
      </c>
      <c r="K612" t="s">
        <v>140</v>
      </c>
      <c r="L612" t="s">
        <v>101</v>
      </c>
      <c r="M612" t="s">
        <v>138</v>
      </c>
      <c r="N612">
        <v>0.105</v>
      </c>
      <c r="O612">
        <v>6.2E-2</v>
      </c>
      <c r="P612">
        <v>3.9E-2</v>
      </c>
    </row>
    <row r="613" spans="1:16" hidden="1">
      <c r="A613" t="s">
        <v>98</v>
      </c>
      <c r="B613" t="s">
        <v>99</v>
      </c>
      <c r="C613" t="s">
        <v>883</v>
      </c>
      <c r="D613">
        <v>2</v>
      </c>
      <c r="E613">
        <v>3750</v>
      </c>
      <c r="F613">
        <v>32</v>
      </c>
      <c r="G613">
        <v>20</v>
      </c>
      <c r="H613" t="s">
        <v>101</v>
      </c>
      <c r="I613" t="s">
        <v>102</v>
      </c>
      <c r="J613" t="s">
        <v>101</v>
      </c>
      <c r="K613" t="s">
        <v>140</v>
      </c>
      <c r="L613" t="s">
        <v>101</v>
      </c>
      <c r="M613" t="s">
        <v>138</v>
      </c>
      <c r="N613">
        <v>0.105</v>
      </c>
      <c r="O613">
        <v>6.2E-2</v>
      </c>
      <c r="P613">
        <v>3.9E-2</v>
      </c>
    </row>
    <row r="614" spans="1:16" hidden="1">
      <c r="A614" t="s">
        <v>98</v>
      </c>
      <c r="B614" t="s">
        <v>99</v>
      </c>
      <c r="C614" t="s">
        <v>884</v>
      </c>
      <c r="D614">
        <v>2</v>
      </c>
      <c r="E614">
        <v>3750</v>
      </c>
      <c r="F614">
        <v>32</v>
      </c>
      <c r="G614">
        <v>20</v>
      </c>
      <c r="H614" t="s">
        <v>101</v>
      </c>
      <c r="I614" t="s">
        <v>102</v>
      </c>
      <c r="J614" t="s">
        <v>101</v>
      </c>
      <c r="K614" t="s">
        <v>273</v>
      </c>
      <c r="L614" t="s">
        <v>101</v>
      </c>
      <c r="M614" t="s">
        <v>274</v>
      </c>
      <c r="N614">
        <v>0.105</v>
      </c>
      <c r="O614">
        <v>6.2E-2</v>
      </c>
      <c r="P614">
        <v>3.9E-2</v>
      </c>
    </row>
    <row r="615" spans="1:16" hidden="1">
      <c r="A615" t="s">
        <v>98</v>
      </c>
      <c r="B615" t="s">
        <v>99</v>
      </c>
      <c r="C615" t="s">
        <v>885</v>
      </c>
      <c r="D615">
        <v>2</v>
      </c>
      <c r="E615">
        <v>3750</v>
      </c>
      <c r="F615">
        <v>32</v>
      </c>
      <c r="G615">
        <v>20</v>
      </c>
      <c r="H615" t="s">
        <v>101</v>
      </c>
      <c r="I615" t="s">
        <v>102</v>
      </c>
      <c r="J615" t="s">
        <v>101</v>
      </c>
      <c r="K615" t="s">
        <v>217</v>
      </c>
      <c r="L615" t="s">
        <v>124</v>
      </c>
      <c r="M615" t="s">
        <v>118</v>
      </c>
      <c r="N615">
        <v>0.105</v>
      </c>
      <c r="O615">
        <v>6.2E-2</v>
      </c>
      <c r="P615">
        <v>3.9E-2</v>
      </c>
    </row>
    <row r="616" spans="1:16" hidden="1">
      <c r="A616" t="s">
        <v>98</v>
      </c>
      <c r="B616" t="s">
        <v>99</v>
      </c>
      <c r="C616" t="s">
        <v>886</v>
      </c>
      <c r="D616">
        <v>2</v>
      </c>
      <c r="E616">
        <v>3750</v>
      </c>
      <c r="F616">
        <v>32</v>
      </c>
      <c r="G616">
        <v>20</v>
      </c>
      <c r="H616" t="s">
        <v>101</v>
      </c>
      <c r="I616" t="s">
        <v>102</v>
      </c>
      <c r="J616" t="s">
        <v>101</v>
      </c>
      <c r="K616" t="s">
        <v>217</v>
      </c>
      <c r="L616" t="s">
        <v>124</v>
      </c>
      <c r="M616" t="s">
        <v>118</v>
      </c>
      <c r="N616">
        <v>0.105</v>
      </c>
      <c r="O616">
        <v>6.2E-2</v>
      </c>
      <c r="P616">
        <v>3.9E-2</v>
      </c>
    </row>
    <row r="617" spans="1:16" hidden="1">
      <c r="A617" t="s">
        <v>98</v>
      </c>
      <c r="B617" t="s">
        <v>99</v>
      </c>
      <c r="C617" t="s">
        <v>887</v>
      </c>
      <c r="D617">
        <v>2</v>
      </c>
      <c r="E617">
        <v>3750</v>
      </c>
      <c r="F617">
        <v>32</v>
      </c>
      <c r="G617">
        <v>20</v>
      </c>
      <c r="H617" t="s">
        <v>101</v>
      </c>
      <c r="I617" t="s">
        <v>102</v>
      </c>
      <c r="J617" t="s">
        <v>101</v>
      </c>
      <c r="K617" t="s">
        <v>273</v>
      </c>
      <c r="L617" t="s">
        <v>124</v>
      </c>
      <c r="M617" t="s">
        <v>274</v>
      </c>
      <c r="N617">
        <v>0.105</v>
      </c>
      <c r="O617">
        <v>6.2E-2</v>
      </c>
      <c r="P617">
        <v>3.9E-2</v>
      </c>
    </row>
    <row r="618" spans="1:16" hidden="1">
      <c r="A618" t="s">
        <v>98</v>
      </c>
      <c r="B618" t="s">
        <v>99</v>
      </c>
      <c r="C618" t="s">
        <v>888</v>
      </c>
      <c r="D618">
        <v>2</v>
      </c>
      <c r="E618">
        <v>3750</v>
      </c>
      <c r="F618">
        <v>32</v>
      </c>
      <c r="G618">
        <v>20</v>
      </c>
      <c r="H618" t="s">
        <v>101</v>
      </c>
      <c r="I618" t="s">
        <v>102</v>
      </c>
      <c r="J618" t="s">
        <v>101</v>
      </c>
      <c r="K618" t="s">
        <v>273</v>
      </c>
      <c r="L618" t="s">
        <v>124</v>
      </c>
      <c r="M618" t="s">
        <v>274</v>
      </c>
      <c r="N618">
        <v>0.105</v>
      </c>
      <c r="O618">
        <v>6.2E-2</v>
      </c>
      <c r="P618">
        <v>3.9E-2</v>
      </c>
    </row>
    <row r="619" spans="1:16" hidden="1">
      <c r="A619" t="s">
        <v>98</v>
      </c>
      <c r="B619" t="s">
        <v>99</v>
      </c>
      <c r="C619" t="s">
        <v>889</v>
      </c>
      <c r="D619">
        <v>2</v>
      </c>
      <c r="E619">
        <v>3750</v>
      </c>
      <c r="F619">
        <v>32</v>
      </c>
      <c r="G619">
        <v>20</v>
      </c>
      <c r="H619" t="s">
        <v>101</v>
      </c>
      <c r="I619" t="s">
        <v>102</v>
      </c>
      <c r="J619" t="s">
        <v>101</v>
      </c>
      <c r="K619" t="s">
        <v>143</v>
      </c>
      <c r="L619" t="s">
        <v>124</v>
      </c>
      <c r="M619" t="s">
        <v>144</v>
      </c>
      <c r="N619">
        <v>0.105</v>
      </c>
      <c r="O619">
        <v>6.2E-2</v>
      </c>
      <c r="P619">
        <v>3.9E-2</v>
      </c>
    </row>
    <row r="620" spans="1:16" hidden="1">
      <c r="A620" t="s">
        <v>98</v>
      </c>
      <c r="B620" t="s">
        <v>99</v>
      </c>
      <c r="C620" t="s">
        <v>890</v>
      </c>
      <c r="D620">
        <v>2</v>
      </c>
      <c r="E620">
        <v>3750</v>
      </c>
      <c r="F620">
        <v>32</v>
      </c>
      <c r="G620">
        <v>20</v>
      </c>
      <c r="H620" t="s">
        <v>101</v>
      </c>
      <c r="I620" t="s">
        <v>102</v>
      </c>
      <c r="J620" t="s">
        <v>101</v>
      </c>
      <c r="K620" t="s">
        <v>143</v>
      </c>
      <c r="L620" t="s">
        <v>124</v>
      </c>
      <c r="M620" t="s">
        <v>144</v>
      </c>
      <c r="N620">
        <v>0.105</v>
      </c>
      <c r="O620">
        <v>6.2E-2</v>
      </c>
      <c r="P620">
        <v>3.9E-2</v>
      </c>
    </row>
    <row r="621" spans="1:16" hidden="1">
      <c r="A621" t="s">
        <v>98</v>
      </c>
      <c r="B621" t="s">
        <v>99</v>
      </c>
      <c r="C621" t="s">
        <v>891</v>
      </c>
      <c r="D621">
        <v>2</v>
      </c>
      <c r="E621">
        <v>3750</v>
      </c>
      <c r="F621">
        <v>32</v>
      </c>
      <c r="G621">
        <v>20</v>
      </c>
      <c r="H621" t="s">
        <v>101</v>
      </c>
      <c r="I621" t="s">
        <v>102</v>
      </c>
      <c r="J621" t="s">
        <v>101</v>
      </c>
      <c r="K621" t="s">
        <v>143</v>
      </c>
      <c r="L621" t="s">
        <v>124</v>
      </c>
      <c r="M621" t="s">
        <v>144</v>
      </c>
      <c r="N621">
        <v>0.105</v>
      </c>
      <c r="O621">
        <v>6.2E-2</v>
      </c>
      <c r="P621">
        <v>3.9E-2</v>
      </c>
    </row>
    <row r="622" spans="1:16" hidden="1">
      <c r="A622" t="s">
        <v>98</v>
      </c>
      <c r="B622" t="s">
        <v>114</v>
      </c>
      <c r="C622" t="s">
        <v>892</v>
      </c>
      <c r="D622">
        <v>2</v>
      </c>
      <c r="E622">
        <v>7500</v>
      </c>
      <c r="F622">
        <v>32</v>
      </c>
      <c r="G622">
        <v>420</v>
      </c>
      <c r="H622" t="s">
        <v>101</v>
      </c>
      <c r="I622" t="s">
        <v>102</v>
      </c>
      <c r="J622" t="s">
        <v>101</v>
      </c>
      <c r="K622" t="s">
        <v>789</v>
      </c>
      <c r="L622" t="s">
        <v>117</v>
      </c>
      <c r="M622" t="s">
        <v>274</v>
      </c>
      <c r="N622">
        <v>0.13300000000000001</v>
      </c>
      <c r="O622">
        <v>8.1000000000000003E-2</v>
      </c>
      <c r="P622">
        <v>5.1999999999999998E-2</v>
      </c>
    </row>
    <row r="623" spans="1:16" hidden="1">
      <c r="A623" t="s">
        <v>98</v>
      </c>
      <c r="B623" t="s">
        <v>114</v>
      </c>
      <c r="C623" t="s">
        <v>893</v>
      </c>
      <c r="D623">
        <v>2</v>
      </c>
      <c r="E623">
        <v>7500</v>
      </c>
      <c r="F623">
        <v>32</v>
      </c>
      <c r="G623">
        <v>1420</v>
      </c>
      <c r="H623" t="s">
        <v>101</v>
      </c>
      <c r="I623" t="s">
        <v>102</v>
      </c>
      <c r="J623" t="s">
        <v>101</v>
      </c>
      <c r="K623" t="s">
        <v>789</v>
      </c>
      <c r="L623" t="s">
        <v>117</v>
      </c>
      <c r="M623" t="s">
        <v>274</v>
      </c>
      <c r="N623">
        <v>0.13300000000000001</v>
      </c>
      <c r="O623">
        <v>8.1000000000000003E-2</v>
      </c>
      <c r="P623">
        <v>5.1999999999999998E-2</v>
      </c>
    </row>
    <row r="624" spans="1:16" hidden="1">
      <c r="A624" t="s">
        <v>98</v>
      </c>
      <c r="B624" t="s">
        <v>114</v>
      </c>
      <c r="C624" t="s">
        <v>894</v>
      </c>
      <c r="D624">
        <v>2</v>
      </c>
      <c r="E624">
        <v>7500</v>
      </c>
      <c r="F624">
        <v>32</v>
      </c>
      <c r="G624">
        <v>420</v>
      </c>
      <c r="H624" t="s">
        <v>101</v>
      </c>
      <c r="I624" t="s">
        <v>102</v>
      </c>
      <c r="J624" t="s">
        <v>101</v>
      </c>
      <c r="K624" t="s">
        <v>789</v>
      </c>
      <c r="L624" t="s">
        <v>117</v>
      </c>
      <c r="M624" t="s">
        <v>274</v>
      </c>
      <c r="N624">
        <v>0.13300000000000001</v>
      </c>
      <c r="O624">
        <v>8.1000000000000003E-2</v>
      </c>
      <c r="P624">
        <v>5.1999999999999998E-2</v>
      </c>
    </row>
    <row r="625" spans="1:16" hidden="1">
      <c r="A625" t="s">
        <v>98</v>
      </c>
      <c r="B625" t="s">
        <v>148</v>
      </c>
      <c r="C625" t="s">
        <v>895</v>
      </c>
      <c r="D625">
        <v>2</v>
      </c>
      <c r="E625">
        <v>4000</v>
      </c>
      <c r="F625">
        <v>0</v>
      </c>
      <c r="G625">
        <v>20</v>
      </c>
      <c r="H625" t="s">
        <v>101</v>
      </c>
      <c r="I625" t="s">
        <v>102</v>
      </c>
      <c r="J625" t="s">
        <v>101</v>
      </c>
      <c r="K625" t="s">
        <v>789</v>
      </c>
      <c r="L625" t="s">
        <v>117</v>
      </c>
      <c r="M625" t="s">
        <v>274</v>
      </c>
      <c r="N625">
        <v>5.1999999999999998E-2</v>
      </c>
      <c r="O625">
        <v>3.4000000000000002E-2</v>
      </c>
      <c r="P625">
        <v>2.3E-2</v>
      </c>
    </row>
    <row r="626" spans="1:16" hidden="1">
      <c r="A626" t="s">
        <v>98</v>
      </c>
      <c r="B626" t="s">
        <v>114</v>
      </c>
      <c r="C626" t="s">
        <v>896</v>
      </c>
      <c r="D626">
        <v>2</v>
      </c>
      <c r="E626">
        <v>7500</v>
      </c>
      <c r="F626">
        <v>32</v>
      </c>
      <c r="G626">
        <v>420</v>
      </c>
      <c r="H626" t="s">
        <v>101</v>
      </c>
      <c r="I626" t="s">
        <v>102</v>
      </c>
      <c r="J626" t="s">
        <v>101</v>
      </c>
      <c r="K626" t="s">
        <v>789</v>
      </c>
      <c r="L626" t="s">
        <v>117</v>
      </c>
      <c r="M626" t="s">
        <v>274</v>
      </c>
      <c r="N626">
        <v>0.13300000000000001</v>
      </c>
      <c r="O626">
        <v>8.1000000000000003E-2</v>
      </c>
      <c r="P626">
        <v>5.1999999999999998E-2</v>
      </c>
    </row>
    <row r="627" spans="1:16" hidden="1">
      <c r="A627" t="s">
        <v>98</v>
      </c>
      <c r="B627" t="s">
        <v>99</v>
      </c>
      <c r="C627" t="s">
        <v>897</v>
      </c>
      <c r="D627">
        <v>2</v>
      </c>
      <c r="E627">
        <v>3750</v>
      </c>
      <c r="F627">
        <v>32</v>
      </c>
      <c r="G627">
        <v>20</v>
      </c>
      <c r="H627" t="s">
        <v>101</v>
      </c>
      <c r="I627" t="s">
        <v>102</v>
      </c>
      <c r="J627" t="s">
        <v>101</v>
      </c>
      <c r="K627" t="s">
        <v>116</v>
      </c>
      <c r="L627" t="s">
        <v>124</v>
      </c>
      <c r="M627" t="s">
        <v>118</v>
      </c>
      <c r="N627">
        <v>0.105</v>
      </c>
      <c r="O627">
        <v>6.2E-2</v>
      </c>
      <c r="P627">
        <v>3.9E-2</v>
      </c>
    </row>
    <row r="628" spans="1:16" hidden="1">
      <c r="A628" t="s">
        <v>98</v>
      </c>
      <c r="B628" t="s">
        <v>114</v>
      </c>
      <c r="C628" t="s">
        <v>898</v>
      </c>
      <c r="D628">
        <v>2</v>
      </c>
      <c r="E628">
        <v>7500</v>
      </c>
      <c r="F628">
        <v>32</v>
      </c>
      <c r="G628">
        <v>20</v>
      </c>
      <c r="H628" t="s">
        <v>101</v>
      </c>
      <c r="I628" t="s">
        <v>102</v>
      </c>
      <c r="J628" t="s">
        <v>101</v>
      </c>
      <c r="K628" t="s">
        <v>789</v>
      </c>
      <c r="L628" t="s">
        <v>124</v>
      </c>
      <c r="M628" t="s">
        <v>274</v>
      </c>
      <c r="N628">
        <v>0.13300000000000001</v>
      </c>
      <c r="O628">
        <v>8.1000000000000003E-2</v>
      </c>
      <c r="P628">
        <v>5.1999999999999998E-2</v>
      </c>
    </row>
    <row r="629" spans="1:16" hidden="1">
      <c r="A629" t="s">
        <v>98</v>
      </c>
      <c r="B629" t="s">
        <v>114</v>
      </c>
      <c r="C629" t="s">
        <v>899</v>
      </c>
      <c r="D629">
        <v>2</v>
      </c>
      <c r="E629">
        <v>7500</v>
      </c>
      <c r="F629">
        <v>32</v>
      </c>
      <c r="G629">
        <v>20</v>
      </c>
      <c r="H629" t="s">
        <v>101</v>
      </c>
      <c r="I629" t="s">
        <v>102</v>
      </c>
      <c r="J629" t="s">
        <v>101</v>
      </c>
      <c r="K629" t="s">
        <v>789</v>
      </c>
      <c r="L629" t="s">
        <v>101</v>
      </c>
      <c r="M629" t="s">
        <v>274</v>
      </c>
      <c r="N629">
        <v>0.13300000000000001</v>
      </c>
      <c r="O629">
        <v>8.1000000000000003E-2</v>
      </c>
      <c r="P629">
        <v>5.1999999999999998E-2</v>
      </c>
    </row>
    <row r="630" spans="1:16" hidden="1">
      <c r="A630" t="s">
        <v>98</v>
      </c>
      <c r="B630" t="s">
        <v>114</v>
      </c>
      <c r="C630" t="s">
        <v>900</v>
      </c>
      <c r="D630">
        <v>2</v>
      </c>
      <c r="E630">
        <v>7500</v>
      </c>
      <c r="F630">
        <v>32</v>
      </c>
      <c r="G630">
        <v>20</v>
      </c>
      <c r="H630" t="s">
        <v>101</v>
      </c>
      <c r="I630" t="s">
        <v>102</v>
      </c>
      <c r="J630" t="s">
        <v>101</v>
      </c>
      <c r="K630" t="s">
        <v>789</v>
      </c>
      <c r="L630" t="s">
        <v>124</v>
      </c>
      <c r="M630" t="s">
        <v>274</v>
      </c>
      <c r="N630">
        <v>0.13300000000000001</v>
      </c>
      <c r="O630">
        <v>8.1000000000000003E-2</v>
      </c>
      <c r="P630">
        <v>5.1999999999999998E-2</v>
      </c>
    </row>
    <row r="631" spans="1:16" hidden="1">
      <c r="A631" t="s">
        <v>98</v>
      </c>
      <c r="B631" t="s">
        <v>114</v>
      </c>
      <c r="C631" t="s">
        <v>901</v>
      </c>
      <c r="D631">
        <v>2</v>
      </c>
      <c r="E631">
        <v>7500</v>
      </c>
      <c r="F631">
        <v>32</v>
      </c>
      <c r="G631">
        <v>20</v>
      </c>
      <c r="H631" t="s">
        <v>101</v>
      </c>
      <c r="I631" t="s">
        <v>102</v>
      </c>
      <c r="J631" t="s">
        <v>101</v>
      </c>
      <c r="K631" t="s">
        <v>789</v>
      </c>
      <c r="L631" t="s">
        <v>101</v>
      </c>
      <c r="M631" t="s">
        <v>274</v>
      </c>
      <c r="N631">
        <v>0.13300000000000001</v>
      </c>
      <c r="O631">
        <v>8.1000000000000003E-2</v>
      </c>
      <c r="P631">
        <v>5.1999999999999998E-2</v>
      </c>
    </row>
    <row r="632" spans="1:16" hidden="1">
      <c r="A632" t="s">
        <v>98</v>
      </c>
      <c r="B632" t="s">
        <v>99</v>
      </c>
      <c r="C632" t="s">
        <v>902</v>
      </c>
      <c r="D632">
        <v>2</v>
      </c>
      <c r="E632">
        <v>3750</v>
      </c>
      <c r="F632">
        <v>32</v>
      </c>
      <c r="G632">
        <v>20</v>
      </c>
      <c r="H632" t="s">
        <v>101</v>
      </c>
      <c r="I632" t="s">
        <v>102</v>
      </c>
      <c r="J632" t="s">
        <v>101</v>
      </c>
      <c r="K632" t="s">
        <v>150</v>
      </c>
      <c r="L632" t="s">
        <v>124</v>
      </c>
      <c r="M632" t="s">
        <v>151</v>
      </c>
      <c r="N632">
        <v>0.105</v>
      </c>
      <c r="O632">
        <v>6.2E-2</v>
      </c>
      <c r="P632">
        <v>3.9E-2</v>
      </c>
    </row>
    <row r="633" spans="1:16" hidden="1">
      <c r="A633" t="s">
        <v>98</v>
      </c>
      <c r="B633" t="s">
        <v>99</v>
      </c>
      <c r="C633" t="s">
        <v>903</v>
      </c>
      <c r="D633">
        <v>2</v>
      </c>
      <c r="E633">
        <v>3750</v>
      </c>
      <c r="F633">
        <v>32</v>
      </c>
      <c r="G633">
        <v>20</v>
      </c>
      <c r="H633" t="s">
        <v>101</v>
      </c>
      <c r="I633" t="s">
        <v>102</v>
      </c>
      <c r="J633" t="s">
        <v>101</v>
      </c>
      <c r="K633" t="s">
        <v>116</v>
      </c>
      <c r="L633" t="s">
        <v>124</v>
      </c>
      <c r="M633" t="s">
        <v>118</v>
      </c>
      <c r="N633">
        <v>0.105</v>
      </c>
      <c r="O633">
        <v>6.2E-2</v>
      </c>
      <c r="P633">
        <v>3.9E-2</v>
      </c>
    </row>
    <row r="634" spans="1:16" hidden="1">
      <c r="A634" t="s">
        <v>98</v>
      </c>
      <c r="B634" t="s">
        <v>99</v>
      </c>
      <c r="C634" t="s">
        <v>904</v>
      </c>
      <c r="D634">
        <v>2</v>
      </c>
      <c r="E634">
        <v>3750</v>
      </c>
      <c r="F634">
        <v>32</v>
      </c>
      <c r="G634">
        <v>20</v>
      </c>
      <c r="H634" t="s">
        <v>101</v>
      </c>
      <c r="I634" t="s">
        <v>102</v>
      </c>
      <c r="J634" t="s">
        <v>101</v>
      </c>
      <c r="K634" t="s">
        <v>150</v>
      </c>
      <c r="L634" t="s">
        <v>124</v>
      </c>
      <c r="M634" t="s">
        <v>151</v>
      </c>
      <c r="N634">
        <v>0.105</v>
      </c>
      <c r="O634">
        <v>6.2E-2</v>
      </c>
      <c r="P634">
        <v>3.9E-2</v>
      </c>
    </row>
    <row r="635" spans="1:16" hidden="1">
      <c r="A635" t="s">
        <v>98</v>
      </c>
      <c r="B635" t="s">
        <v>99</v>
      </c>
      <c r="C635" t="s">
        <v>905</v>
      </c>
      <c r="D635">
        <v>2</v>
      </c>
      <c r="E635">
        <v>3750</v>
      </c>
      <c r="F635">
        <v>32</v>
      </c>
      <c r="G635">
        <v>20</v>
      </c>
      <c r="H635" t="s">
        <v>101</v>
      </c>
      <c r="I635" t="s">
        <v>102</v>
      </c>
      <c r="J635" t="s">
        <v>101</v>
      </c>
      <c r="K635" t="s">
        <v>116</v>
      </c>
      <c r="L635" t="s">
        <v>101</v>
      </c>
      <c r="M635" t="s">
        <v>118</v>
      </c>
      <c r="N635">
        <v>0.105</v>
      </c>
      <c r="O635">
        <v>6.2E-2</v>
      </c>
      <c r="P635">
        <v>3.9E-2</v>
      </c>
    </row>
    <row r="636" spans="1:16" hidden="1">
      <c r="A636" t="s">
        <v>98</v>
      </c>
      <c r="B636" t="s">
        <v>99</v>
      </c>
      <c r="C636" t="s">
        <v>906</v>
      </c>
      <c r="D636">
        <v>2</v>
      </c>
      <c r="E636">
        <v>3750</v>
      </c>
      <c r="F636">
        <v>32</v>
      </c>
      <c r="G636">
        <v>20</v>
      </c>
      <c r="H636" t="s">
        <v>101</v>
      </c>
      <c r="I636" t="s">
        <v>102</v>
      </c>
      <c r="J636" t="s">
        <v>101</v>
      </c>
      <c r="K636" t="s">
        <v>116</v>
      </c>
      <c r="L636" t="s">
        <v>101</v>
      </c>
      <c r="M636" t="s">
        <v>118</v>
      </c>
      <c r="N636">
        <v>0.105</v>
      </c>
      <c r="O636">
        <v>6.2E-2</v>
      </c>
      <c r="P636">
        <v>3.9E-2</v>
      </c>
    </row>
    <row r="637" spans="1:16" hidden="1">
      <c r="A637" t="s">
        <v>98</v>
      </c>
      <c r="B637" t="s">
        <v>172</v>
      </c>
      <c r="C637" t="s">
        <v>907</v>
      </c>
      <c r="D637">
        <v>1</v>
      </c>
      <c r="E637">
        <v>2000</v>
      </c>
      <c r="F637">
        <v>0</v>
      </c>
      <c r="G637">
        <v>20</v>
      </c>
      <c r="H637" t="s">
        <v>101</v>
      </c>
      <c r="I637" t="s">
        <v>101</v>
      </c>
      <c r="J637" t="s">
        <v>101</v>
      </c>
      <c r="K637" t="s">
        <v>101</v>
      </c>
      <c r="L637" t="s">
        <v>101</v>
      </c>
      <c r="M637" t="s">
        <v>110</v>
      </c>
      <c r="N637">
        <v>2.5999999999999999E-2</v>
      </c>
      <c r="O637">
        <v>1.7000000000000001E-2</v>
      </c>
      <c r="P637">
        <v>1.2E-2</v>
      </c>
    </row>
    <row r="638" spans="1:16">
      <c r="A638" t="s">
        <v>98</v>
      </c>
      <c r="B638" t="s">
        <v>172</v>
      </c>
      <c r="C638" t="s">
        <v>908</v>
      </c>
      <c r="D638">
        <v>1</v>
      </c>
      <c r="E638">
        <v>2000</v>
      </c>
      <c r="F638">
        <v>0</v>
      </c>
      <c r="G638">
        <v>20</v>
      </c>
      <c r="H638" t="s">
        <v>101</v>
      </c>
      <c r="I638" t="s">
        <v>106</v>
      </c>
      <c r="J638" t="s">
        <v>749</v>
      </c>
      <c r="K638" t="s">
        <v>108</v>
      </c>
      <c r="L638" t="s">
        <v>394</v>
      </c>
      <c r="M638" t="s">
        <v>110</v>
      </c>
      <c r="N638">
        <v>2.5999999999999999E-2</v>
      </c>
      <c r="O638">
        <v>1.7000000000000001E-2</v>
      </c>
      <c r="P638">
        <v>1.2E-2</v>
      </c>
    </row>
    <row r="639" spans="1:16" hidden="1">
      <c r="A639" t="s">
        <v>98</v>
      </c>
      <c r="B639" t="s">
        <v>99</v>
      </c>
      <c r="C639" t="s">
        <v>909</v>
      </c>
      <c r="D639">
        <v>2</v>
      </c>
      <c r="E639">
        <v>3750</v>
      </c>
      <c r="F639">
        <v>32</v>
      </c>
      <c r="G639">
        <v>20</v>
      </c>
      <c r="H639" t="s">
        <v>101</v>
      </c>
      <c r="I639" t="s">
        <v>102</v>
      </c>
      <c r="J639" t="s">
        <v>101</v>
      </c>
      <c r="K639" t="s">
        <v>150</v>
      </c>
      <c r="L639" t="s">
        <v>124</v>
      </c>
      <c r="M639" t="s">
        <v>151</v>
      </c>
      <c r="N639">
        <v>0.105</v>
      </c>
      <c r="O639">
        <v>6.2E-2</v>
      </c>
      <c r="P639">
        <v>3.9E-2</v>
      </c>
    </row>
    <row r="640" spans="1:16">
      <c r="A640" t="s">
        <v>98</v>
      </c>
      <c r="B640" t="s">
        <v>135</v>
      </c>
      <c r="C640" t="s">
        <v>910</v>
      </c>
      <c r="D640">
        <v>1</v>
      </c>
      <c r="E640">
        <v>3750</v>
      </c>
      <c r="F640">
        <v>4</v>
      </c>
      <c r="G640">
        <v>20</v>
      </c>
      <c r="H640" t="s">
        <v>101</v>
      </c>
      <c r="I640" t="s">
        <v>106</v>
      </c>
      <c r="J640" t="s">
        <v>752</v>
      </c>
      <c r="K640" t="s">
        <v>108</v>
      </c>
      <c r="L640" t="s">
        <v>394</v>
      </c>
      <c r="M640" t="s">
        <v>110</v>
      </c>
      <c r="N640">
        <v>6.7000000000000004E-2</v>
      </c>
      <c r="O640">
        <v>0.04</v>
      </c>
      <c r="P640">
        <v>2.5999999999999999E-2</v>
      </c>
    </row>
    <row r="641" spans="1:16" hidden="1">
      <c r="A641" t="s">
        <v>98</v>
      </c>
      <c r="B641" t="s">
        <v>99</v>
      </c>
      <c r="C641" t="s">
        <v>911</v>
      </c>
      <c r="D641">
        <v>2</v>
      </c>
      <c r="E641">
        <v>3750</v>
      </c>
      <c r="F641">
        <v>32</v>
      </c>
      <c r="G641">
        <v>20</v>
      </c>
      <c r="H641" t="s">
        <v>101</v>
      </c>
      <c r="I641" t="s">
        <v>102</v>
      </c>
      <c r="J641" t="s">
        <v>101</v>
      </c>
      <c r="K641" t="s">
        <v>137</v>
      </c>
      <c r="L641" t="s">
        <v>101</v>
      </c>
      <c r="M641" t="s">
        <v>138</v>
      </c>
      <c r="N641">
        <v>0.105</v>
      </c>
      <c r="O641">
        <v>6.2E-2</v>
      </c>
      <c r="P641">
        <v>3.9E-2</v>
      </c>
    </row>
    <row r="642" spans="1:16" hidden="1">
      <c r="A642" t="s">
        <v>98</v>
      </c>
      <c r="B642" t="s">
        <v>172</v>
      </c>
      <c r="C642" t="s">
        <v>912</v>
      </c>
      <c r="D642">
        <v>1</v>
      </c>
      <c r="E642">
        <v>2000</v>
      </c>
      <c r="F642">
        <v>0</v>
      </c>
      <c r="G642">
        <v>20</v>
      </c>
      <c r="H642" t="s">
        <v>101</v>
      </c>
      <c r="I642" t="s">
        <v>102</v>
      </c>
      <c r="J642" t="s">
        <v>101</v>
      </c>
      <c r="K642" t="s">
        <v>522</v>
      </c>
      <c r="L642" t="s">
        <v>124</v>
      </c>
      <c r="M642" t="s">
        <v>274</v>
      </c>
      <c r="N642">
        <v>2.5999999999999999E-2</v>
      </c>
      <c r="O642">
        <v>1.7000000000000001E-2</v>
      </c>
      <c r="P642">
        <v>1.2E-2</v>
      </c>
    </row>
    <row r="643" spans="1:16" hidden="1">
      <c r="A643" t="s">
        <v>98</v>
      </c>
      <c r="B643" t="s">
        <v>172</v>
      </c>
      <c r="C643" t="s">
        <v>913</v>
      </c>
      <c r="D643">
        <v>1</v>
      </c>
      <c r="E643">
        <v>2000</v>
      </c>
      <c r="F643">
        <v>0</v>
      </c>
      <c r="G643">
        <v>20</v>
      </c>
      <c r="H643" t="s">
        <v>101</v>
      </c>
      <c r="I643" t="s">
        <v>102</v>
      </c>
      <c r="J643" t="s">
        <v>101</v>
      </c>
      <c r="K643" t="s">
        <v>522</v>
      </c>
      <c r="L643" t="s">
        <v>101</v>
      </c>
      <c r="M643" t="s">
        <v>274</v>
      </c>
      <c r="N643">
        <v>2.5999999999999999E-2</v>
      </c>
      <c r="O643">
        <v>1.7000000000000001E-2</v>
      </c>
      <c r="P643">
        <v>1.2E-2</v>
      </c>
    </row>
    <row r="644" spans="1:16" hidden="1">
      <c r="A644" t="s">
        <v>98</v>
      </c>
      <c r="B644" t="s">
        <v>172</v>
      </c>
      <c r="C644" t="s">
        <v>914</v>
      </c>
      <c r="D644">
        <v>1</v>
      </c>
      <c r="E644">
        <v>2000</v>
      </c>
      <c r="F644">
        <v>0</v>
      </c>
      <c r="G644">
        <v>20</v>
      </c>
      <c r="H644" t="s">
        <v>101</v>
      </c>
      <c r="I644" t="s">
        <v>102</v>
      </c>
      <c r="J644" t="s">
        <v>101</v>
      </c>
      <c r="K644" t="s">
        <v>522</v>
      </c>
      <c r="L644" t="s">
        <v>101</v>
      </c>
      <c r="M644" t="s">
        <v>274</v>
      </c>
      <c r="N644">
        <v>2.5999999999999999E-2</v>
      </c>
      <c r="O644">
        <v>1.7000000000000001E-2</v>
      </c>
      <c r="P644">
        <v>1.2E-2</v>
      </c>
    </row>
    <row r="645" spans="1:16" hidden="1">
      <c r="A645" t="s">
        <v>98</v>
      </c>
      <c r="B645" t="s">
        <v>99</v>
      </c>
      <c r="C645" t="s">
        <v>915</v>
      </c>
      <c r="D645">
        <v>2</v>
      </c>
      <c r="E645">
        <v>3750</v>
      </c>
      <c r="F645">
        <v>32</v>
      </c>
      <c r="G645">
        <v>20</v>
      </c>
      <c r="H645" t="s">
        <v>101</v>
      </c>
      <c r="I645" t="s">
        <v>102</v>
      </c>
      <c r="J645" t="s">
        <v>101</v>
      </c>
      <c r="K645" t="s">
        <v>156</v>
      </c>
      <c r="L645" t="s">
        <v>101</v>
      </c>
      <c r="M645" t="s">
        <v>118</v>
      </c>
      <c r="N645">
        <v>0.105</v>
      </c>
      <c r="O645">
        <v>6.2E-2</v>
      </c>
      <c r="P645">
        <v>3.9E-2</v>
      </c>
    </row>
    <row r="646" spans="1:16" hidden="1">
      <c r="A646" t="s">
        <v>98</v>
      </c>
      <c r="B646" t="s">
        <v>99</v>
      </c>
      <c r="C646" t="s">
        <v>916</v>
      </c>
      <c r="D646">
        <v>2</v>
      </c>
      <c r="E646">
        <v>3750</v>
      </c>
      <c r="F646">
        <v>32</v>
      </c>
      <c r="G646">
        <v>20</v>
      </c>
      <c r="H646" t="s">
        <v>101</v>
      </c>
      <c r="I646" t="s">
        <v>102</v>
      </c>
      <c r="J646" t="s">
        <v>101</v>
      </c>
      <c r="K646" t="s">
        <v>137</v>
      </c>
      <c r="L646" t="s">
        <v>101</v>
      </c>
      <c r="M646" t="s">
        <v>138</v>
      </c>
      <c r="N646">
        <v>0.105</v>
      </c>
      <c r="O646">
        <v>6.2E-2</v>
      </c>
      <c r="P646">
        <v>3.9E-2</v>
      </c>
    </row>
    <row r="647" spans="1:16" hidden="1">
      <c r="A647" t="s">
        <v>98</v>
      </c>
      <c r="B647" t="s">
        <v>99</v>
      </c>
      <c r="C647" t="s">
        <v>917</v>
      </c>
      <c r="D647">
        <v>2</v>
      </c>
      <c r="E647">
        <v>3750</v>
      </c>
      <c r="F647">
        <v>32</v>
      </c>
      <c r="G647">
        <v>20</v>
      </c>
      <c r="H647" t="s">
        <v>101</v>
      </c>
      <c r="I647" t="s">
        <v>102</v>
      </c>
      <c r="J647" t="s">
        <v>101</v>
      </c>
      <c r="K647" t="s">
        <v>207</v>
      </c>
      <c r="L647" t="s">
        <v>101</v>
      </c>
      <c r="M647" t="s">
        <v>134</v>
      </c>
      <c r="N647">
        <v>0.105</v>
      </c>
      <c r="O647">
        <v>6.2E-2</v>
      </c>
      <c r="P647">
        <v>3.9E-2</v>
      </c>
    </row>
    <row r="648" spans="1:16" hidden="1">
      <c r="A648" t="s">
        <v>98</v>
      </c>
      <c r="B648" t="s">
        <v>99</v>
      </c>
      <c r="C648" t="s">
        <v>918</v>
      </c>
      <c r="D648">
        <v>2</v>
      </c>
      <c r="E648">
        <v>3750</v>
      </c>
      <c r="F648">
        <v>32</v>
      </c>
      <c r="G648">
        <v>20</v>
      </c>
      <c r="H648" t="s">
        <v>101</v>
      </c>
      <c r="I648" t="s">
        <v>102</v>
      </c>
      <c r="J648" t="s">
        <v>101</v>
      </c>
      <c r="K648" t="s">
        <v>207</v>
      </c>
      <c r="L648" t="s">
        <v>101</v>
      </c>
      <c r="M648" t="s">
        <v>134</v>
      </c>
      <c r="N648">
        <v>0.105</v>
      </c>
      <c r="O648">
        <v>6.2E-2</v>
      </c>
      <c r="P648">
        <v>3.9E-2</v>
      </c>
    </row>
    <row r="649" spans="1:16" hidden="1">
      <c r="A649" t="s">
        <v>98</v>
      </c>
      <c r="B649" t="s">
        <v>172</v>
      </c>
      <c r="C649" t="s">
        <v>919</v>
      </c>
      <c r="D649">
        <v>1</v>
      </c>
      <c r="E649">
        <v>2000</v>
      </c>
      <c r="F649">
        <v>0</v>
      </c>
      <c r="G649">
        <v>20</v>
      </c>
      <c r="H649" t="s">
        <v>101</v>
      </c>
      <c r="I649" t="s">
        <v>102</v>
      </c>
      <c r="J649" t="s">
        <v>101</v>
      </c>
      <c r="K649" t="s">
        <v>522</v>
      </c>
      <c r="L649" t="s">
        <v>124</v>
      </c>
      <c r="M649" t="s">
        <v>274</v>
      </c>
      <c r="N649">
        <v>2.5999999999999999E-2</v>
      </c>
      <c r="O649">
        <v>1.7000000000000001E-2</v>
      </c>
      <c r="P649">
        <v>1.2E-2</v>
      </c>
    </row>
    <row r="650" spans="1:16" hidden="1">
      <c r="A650" t="s">
        <v>98</v>
      </c>
      <c r="B650" t="s">
        <v>99</v>
      </c>
      <c r="C650" t="s">
        <v>920</v>
      </c>
      <c r="D650">
        <v>2</v>
      </c>
      <c r="E650">
        <v>3750</v>
      </c>
      <c r="F650">
        <v>32</v>
      </c>
      <c r="G650">
        <v>20</v>
      </c>
      <c r="H650" t="s">
        <v>101</v>
      </c>
      <c r="I650" t="s">
        <v>102</v>
      </c>
      <c r="J650" t="s">
        <v>101</v>
      </c>
      <c r="K650" t="s">
        <v>207</v>
      </c>
      <c r="L650" t="s">
        <v>101</v>
      </c>
      <c r="M650" t="s">
        <v>134</v>
      </c>
      <c r="N650">
        <v>0.105</v>
      </c>
      <c r="O650">
        <v>6.2E-2</v>
      </c>
      <c r="P650">
        <v>3.9E-2</v>
      </c>
    </row>
    <row r="651" spans="1:16" hidden="1">
      <c r="A651" t="s">
        <v>98</v>
      </c>
      <c r="B651" t="s">
        <v>99</v>
      </c>
      <c r="C651" t="s">
        <v>921</v>
      </c>
      <c r="D651">
        <v>2</v>
      </c>
      <c r="E651">
        <v>3750</v>
      </c>
      <c r="F651">
        <v>32</v>
      </c>
      <c r="G651">
        <v>20</v>
      </c>
      <c r="H651" t="s">
        <v>101</v>
      </c>
      <c r="I651" t="s">
        <v>102</v>
      </c>
      <c r="J651" t="s">
        <v>101</v>
      </c>
      <c r="K651" t="s">
        <v>156</v>
      </c>
      <c r="L651" t="s">
        <v>101</v>
      </c>
      <c r="M651" t="s">
        <v>118</v>
      </c>
      <c r="N651">
        <v>0.105</v>
      </c>
      <c r="O651">
        <v>6.2E-2</v>
      </c>
      <c r="P651">
        <v>3.9E-2</v>
      </c>
    </row>
    <row r="652" spans="1:16" hidden="1">
      <c r="A652" t="s">
        <v>98</v>
      </c>
      <c r="B652" t="s">
        <v>99</v>
      </c>
      <c r="C652" t="s">
        <v>922</v>
      </c>
      <c r="D652">
        <v>2</v>
      </c>
      <c r="E652">
        <v>3750</v>
      </c>
      <c r="F652">
        <v>32</v>
      </c>
      <c r="G652">
        <v>20</v>
      </c>
      <c r="H652" t="s">
        <v>101</v>
      </c>
      <c r="I652" t="s">
        <v>102</v>
      </c>
      <c r="J652" t="s">
        <v>101</v>
      </c>
      <c r="K652" t="s">
        <v>923</v>
      </c>
      <c r="L652" t="s">
        <v>101</v>
      </c>
      <c r="M652" t="s">
        <v>103</v>
      </c>
      <c r="N652">
        <v>0.105</v>
      </c>
      <c r="O652">
        <v>6.2E-2</v>
      </c>
      <c r="P652">
        <v>3.9E-2</v>
      </c>
    </row>
    <row r="653" spans="1:16" hidden="1">
      <c r="A653" t="s">
        <v>98</v>
      </c>
      <c r="B653" t="s">
        <v>99</v>
      </c>
      <c r="C653" t="s">
        <v>924</v>
      </c>
      <c r="D653">
        <v>2</v>
      </c>
      <c r="E653">
        <v>3750</v>
      </c>
      <c r="F653">
        <v>32</v>
      </c>
      <c r="G653">
        <v>20</v>
      </c>
      <c r="H653" t="s">
        <v>101</v>
      </c>
      <c r="I653" t="s">
        <v>102</v>
      </c>
      <c r="J653" t="s">
        <v>101</v>
      </c>
      <c r="K653" t="s">
        <v>156</v>
      </c>
      <c r="L653" t="s">
        <v>101</v>
      </c>
      <c r="M653" t="s">
        <v>118</v>
      </c>
      <c r="N653">
        <v>0.105</v>
      </c>
      <c r="O653">
        <v>6.2E-2</v>
      </c>
      <c r="P653">
        <v>3.9E-2</v>
      </c>
    </row>
    <row r="654" spans="1:16" hidden="1">
      <c r="A654" t="s">
        <v>98</v>
      </c>
      <c r="B654" t="s">
        <v>99</v>
      </c>
      <c r="C654" t="s">
        <v>925</v>
      </c>
      <c r="D654">
        <v>2</v>
      </c>
      <c r="E654">
        <v>3750</v>
      </c>
      <c r="F654">
        <v>32</v>
      </c>
      <c r="G654">
        <v>20</v>
      </c>
      <c r="H654" t="s">
        <v>101</v>
      </c>
      <c r="I654" t="s">
        <v>102</v>
      </c>
      <c r="J654" t="s">
        <v>101</v>
      </c>
      <c r="K654" t="s">
        <v>307</v>
      </c>
      <c r="L654" t="s">
        <v>124</v>
      </c>
      <c r="M654" t="s">
        <v>118</v>
      </c>
      <c r="N654">
        <v>0.105</v>
      </c>
      <c r="O654">
        <v>6.2E-2</v>
      </c>
      <c r="P654">
        <v>3.9E-2</v>
      </c>
    </row>
    <row r="655" spans="1:16" hidden="1">
      <c r="A655" t="s">
        <v>98</v>
      </c>
      <c r="B655" t="s">
        <v>99</v>
      </c>
      <c r="C655" t="s">
        <v>926</v>
      </c>
      <c r="D655">
        <v>2</v>
      </c>
      <c r="E655">
        <v>3750</v>
      </c>
      <c r="F655">
        <v>32</v>
      </c>
      <c r="G655">
        <v>20</v>
      </c>
      <c r="H655" t="s">
        <v>101</v>
      </c>
      <c r="I655" t="s">
        <v>102</v>
      </c>
      <c r="J655" t="s">
        <v>101</v>
      </c>
      <c r="K655" t="s">
        <v>156</v>
      </c>
      <c r="L655" t="s">
        <v>101</v>
      </c>
      <c r="M655" t="s">
        <v>118</v>
      </c>
      <c r="N655">
        <v>0.105</v>
      </c>
      <c r="O655">
        <v>6.2E-2</v>
      </c>
      <c r="P655">
        <v>3.9E-2</v>
      </c>
    </row>
    <row r="656" spans="1:16" hidden="1">
      <c r="A656" t="s">
        <v>98</v>
      </c>
      <c r="B656" t="s">
        <v>99</v>
      </c>
      <c r="C656" t="s">
        <v>927</v>
      </c>
      <c r="D656">
        <v>2</v>
      </c>
      <c r="E656">
        <v>3750</v>
      </c>
      <c r="F656">
        <v>32</v>
      </c>
      <c r="G656">
        <v>20</v>
      </c>
      <c r="H656" t="s">
        <v>101</v>
      </c>
      <c r="I656" t="s">
        <v>102</v>
      </c>
      <c r="J656" t="s">
        <v>101</v>
      </c>
      <c r="K656" t="s">
        <v>307</v>
      </c>
      <c r="L656" t="s">
        <v>101</v>
      </c>
      <c r="M656" t="s">
        <v>118</v>
      </c>
      <c r="N656">
        <v>0.105</v>
      </c>
      <c r="O656">
        <v>6.2E-2</v>
      </c>
      <c r="P656">
        <v>3.9E-2</v>
      </c>
    </row>
    <row r="657" spans="1:16" hidden="1">
      <c r="A657" t="s">
        <v>98</v>
      </c>
      <c r="B657" t="s">
        <v>99</v>
      </c>
      <c r="C657" t="s">
        <v>928</v>
      </c>
      <c r="D657">
        <v>2</v>
      </c>
      <c r="E657">
        <v>3750</v>
      </c>
      <c r="F657">
        <v>32</v>
      </c>
      <c r="G657">
        <v>20</v>
      </c>
      <c r="H657" t="s">
        <v>101</v>
      </c>
      <c r="I657" t="s">
        <v>102</v>
      </c>
      <c r="J657" t="s">
        <v>101</v>
      </c>
      <c r="K657" t="s">
        <v>754</v>
      </c>
      <c r="L657" t="s">
        <v>101</v>
      </c>
      <c r="M657" t="s">
        <v>103</v>
      </c>
      <c r="N657">
        <v>0.105</v>
      </c>
      <c r="O657">
        <v>6.2E-2</v>
      </c>
      <c r="P657">
        <v>3.9E-2</v>
      </c>
    </row>
    <row r="658" spans="1:16" hidden="1">
      <c r="A658" t="s">
        <v>98</v>
      </c>
      <c r="B658" t="s">
        <v>99</v>
      </c>
      <c r="C658" t="s">
        <v>929</v>
      </c>
      <c r="D658">
        <v>2</v>
      </c>
      <c r="E658">
        <v>3750</v>
      </c>
      <c r="F658">
        <v>32</v>
      </c>
      <c r="G658">
        <v>20</v>
      </c>
      <c r="H658" t="s">
        <v>101</v>
      </c>
      <c r="I658" t="s">
        <v>102</v>
      </c>
      <c r="J658" t="s">
        <v>101</v>
      </c>
      <c r="K658" t="s">
        <v>156</v>
      </c>
      <c r="L658" t="s">
        <v>101</v>
      </c>
      <c r="M658" t="s">
        <v>118</v>
      </c>
      <c r="N658">
        <v>0.105</v>
      </c>
      <c r="O658">
        <v>6.2E-2</v>
      </c>
      <c r="P658">
        <v>3.9E-2</v>
      </c>
    </row>
    <row r="659" spans="1:16" hidden="1">
      <c r="A659" t="s">
        <v>98</v>
      </c>
      <c r="B659" t="s">
        <v>99</v>
      </c>
      <c r="C659" t="s">
        <v>930</v>
      </c>
      <c r="D659">
        <v>2</v>
      </c>
      <c r="E659">
        <v>3750</v>
      </c>
      <c r="F659">
        <v>32</v>
      </c>
      <c r="G659">
        <v>20</v>
      </c>
      <c r="H659" t="s">
        <v>101</v>
      </c>
      <c r="I659" t="s">
        <v>102</v>
      </c>
      <c r="J659" t="s">
        <v>101</v>
      </c>
      <c r="K659" t="s">
        <v>156</v>
      </c>
      <c r="L659" t="s">
        <v>101</v>
      </c>
      <c r="M659" t="s">
        <v>118</v>
      </c>
      <c r="N659">
        <v>0.105</v>
      </c>
      <c r="O659">
        <v>6.2E-2</v>
      </c>
      <c r="P659">
        <v>3.9E-2</v>
      </c>
    </row>
    <row r="660" spans="1:16" hidden="1">
      <c r="A660" t="s">
        <v>98</v>
      </c>
      <c r="B660" t="s">
        <v>99</v>
      </c>
      <c r="C660" t="s">
        <v>931</v>
      </c>
      <c r="D660">
        <v>2</v>
      </c>
      <c r="E660">
        <v>3750</v>
      </c>
      <c r="F660">
        <v>32</v>
      </c>
      <c r="G660">
        <v>20</v>
      </c>
      <c r="H660" t="s">
        <v>101</v>
      </c>
      <c r="I660" t="s">
        <v>102</v>
      </c>
      <c r="J660" t="s">
        <v>101</v>
      </c>
      <c r="K660" t="s">
        <v>307</v>
      </c>
      <c r="L660" t="s">
        <v>124</v>
      </c>
      <c r="M660" t="s">
        <v>118</v>
      </c>
      <c r="N660">
        <v>0.105</v>
      </c>
      <c r="O660">
        <v>6.2E-2</v>
      </c>
      <c r="P660">
        <v>3.9E-2</v>
      </c>
    </row>
    <row r="661" spans="1:16" hidden="1">
      <c r="A661" t="s">
        <v>98</v>
      </c>
      <c r="B661" t="s">
        <v>99</v>
      </c>
      <c r="C661" t="s">
        <v>932</v>
      </c>
      <c r="D661">
        <v>2</v>
      </c>
      <c r="E661">
        <v>3750</v>
      </c>
      <c r="F661">
        <v>32</v>
      </c>
      <c r="G661">
        <v>20</v>
      </c>
      <c r="H661" t="s">
        <v>101</v>
      </c>
      <c r="I661" t="s">
        <v>102</v>
      </c>
      <c r="J661" t="s">
        <v>101</v>
      </c>
      <c r="K661" t="s">
        <v>156</v>
      </c>
      <c r="L661" t="s">
        <v>101</v>
      </c>
      <c r="M661" t="s">
        <v>118</v>
      </c>
      <c r="N661">
        <v>0.105</v>
      </c>
      <c r="O661">
        <v>6.2E-2</v>
      </c>
      <c r="P661">
        <v>3.9E-2</v>
      </c>
    </row>
    <row r="662" spans="1:16" hidden="1">
      <c r="A662" t="s">
        <v>98</v>
      </c>
      <c r="B662" t="s">
        <v>99</v>
      </c>
      <c r="C662" t="s">
        <v>933</v>
      </c>
      <c r="D662">
        <v>2</v>
      </c>
      <c r="E662">
        <v>3750</v>
      </c>
      <c r="F662">
        <v>32</v>
      </c>
      <c r="G662">
        <v>20</v>
      </c>
      <c r="H662" t="s">
        <v>101</v>
      </c>
      <c r="I662" t="s">
        <v>102</v>
      </c>
      <c r="J662" t="s">
        <v>101</v>
      </c>
      <c r="K662" t="s">
        <v>923</v>
      </c>
      <c r="L662" t="s">
        <v>101</v>
      </c>
      <c r="M662" t="s">
        <v>103</v>
      </c>
      <c r="N662">
        <v>0.105</v>
      </c>
      <c r="O662">
        <v>6.2E-2</v>
      </c>
      <c r="P662">
        <v>3.9E-2</v>
      </c>
    </row>
    <row r="663" spans="1:16" hidden="1">
      <c r="A663" t="s">
        <v>98</v>
      </c>
      <c r="B663" t="s">
        <v>99</v>
      </c>
      <c r="C663" t="s">
        <v>934</v>
      </c>
      <c r="D663">
        <v>2</v>
      </c>
      <c r="E663">
        <v>3750</v>
      </c>
      <c r="F663">
        <v>32</v>
      </c>
      <c r="G663">
        <v>20</v>
      </c>
      <c r="H663" t="s">
        <v>101</v>
      </c>
      <c r="I663" t="s">
        <v>102</v>
      </c>
      <c r="J663" t="s">
        <v>101</v>
      </c>
      <c r="K663" t="s">
        <v>156</v>
      </c>
      <c r="L663" t="s">
        <v>101</v>
      </c>
      <c r="M663" t="s">
        <v>118</v>
      </c>
      <c r="N663">
        <v>0.105</v>
      </c>
      <c r="O663">
        <v>6.2E-2</v>
      </c>
      <c r="P663">
        <v>3.9E-2</v>
      </c>
    </row>
    <row r="664" spans="1:16" hidden="1">
      <c r="A664" t="s">
        <v>98</v>
      </c>
      <c r="B664" t="s">
        <v>99</v>
      </c>
      <c r="C664" t="s">
        <v>935</v>
      </c>
      <c r="D664">
        <v>2</v>
      </c>
      <c r="E664">
        <v>3750</v>
      </c>
      <c r="F664">
        <v>32</v>
      </c>
      <c r="G664">
        <v>20</v>
      </c>
      <c r="H664" t="s">
        <v>101</v>
      </c>
      <c r="I664" t="s">
        <v>102</v>
      </c>
      <c r="J664" t="s">
        <v>101</v>
      </c>
      <c r="K664" t="s">
        <v>156</v>
      </c>
      <c r="L664" t="s">
        <v>101</v>
      </c>
      <c r="M664" t="s">
        <v>118</v>
      </c>
      <c r="N664">
        <v>0.105</v>
      </c>
      <c r="O664">
        <v>6.2E-2</v>
      </c>
      <c r="P664">
        <v>3.9E-2</v>
      </c>
    </row>
    <row r="665" spans="1:16" hidden="1">
      <c r="A665" t="s">
        <v>98</v>
      </c>
      <c r="B665" t="s">
        <v>99</v>
      </c>
      <c r="C665" t="s">
        <v>936</v>
      </c>
      <c r="D665">
        <v>2</v>
      </c>
      <c r="E665">
        <v>3750</v>
      </c>
      <c r="F665">
        <v>32</v>
      </c>
      <c r="G665">
        <v>20</v>
      </c>
      <c r="H665" t="s">
        <v>101</v>
      </c>
      <c r="I665" t="s">
        <v>102</v>
      </c>
      <c r="J665" t="s">
        <v>101</v>
      </c>
      <c r="K665" t="s">
        <v>156</v>
      </c>
      <c r="L665" t="s">
        <v>101</v>
      </c>
      <c r="M665" t="s">
        <v>118</v>
      </c>
      <c r="N665">
        <v>0.105</v>
      </c>
      <c r="O665">
        <v>6.2E-2</v>
      </c>
      <c r="P665">
        <v>3.9E-2</v>
      </c>
    </row>
    <row r="666" spans="1:16" hidden="1">
      <c r="A666" t="s">
        <v>98</v>
      </c>
      <c r="B666" t="s">
        <v>99</v>
      </c>
      <c r="C666" t="s">
        <v>937</v>
      </c>
      <c r="D666">
        <v>2</v>
      </c>
      <c r="E666">
        <v>3750</v>
      </c>
      <c r="F666">
        <v>32</v>
      </c>
      <c r="G666">
        <v>20</v>
      </c>
      <c r="H666" t="s">
        <v>101</v>
      </c>
      <c r="I666" t="s">
        <v>102</v>
      </c>
      <c r="J666" t="s">
        <v>101</v>
      </c>
      <c r="K666" t="s">
        <v>169</v>
      </c>
      <c r="L666" t="s">
        <v>101</v>
      </c>
      <c r="M666" t="s">
        <v>118</v>
      </c>
      <c r="N666">
        <v>0.105</v>
      </c>
      <c r="O666">
        <v>6.2E-2</v>
      </c>
      <c r="P666">
        <v>3.9E-2</v>
      </c>
    </row>
    <row r="667" spans="1:16" hidden="1">
      <c r="A667" t="s">
        <v>98</v>
      </c>
      <c r="B667" t="s">
        <v>99</v>
      </c>
      <c r="C667" t="s">
        <v>938</v>
      </c>
      <c r="D667">
        <v>2</v>
      </c>
      <c r="E667">
        <v>3750</v>
      </c>
      <c r="F667">
        <v>32</v>
      </c>
      <c r="G667">
        <v>20</v>
      </c>
      <c r="H667" t="s">
        <v>101</v>
      </c>
      <c r="I667" t="s">
        <v>102</v>
      </c>
      <c r="J667" t="s">
        <v>101</v>
      </c>
      <c r="K667" t="s">
        <v>169</v>
      </c>
      <c r="L667" t="s">
        <v>101</v>
      </c>
      <c r="M667" t="s">
        <v>118</v>
      </c>
      <c r="N667">
        <v>0.105</v>
      </c>
      <c r="O667">
        <v>6.2E-2</v>
      </c>
      <c r="P667">
        <v>3.9E-2</v>
      </c>
    </row>
    <row r="668" spans="1:16" hidden="1">
      <c r="A668" t="s">
        <v>98</v>
      </c>
      <c r="B668" t="s">
        <v>99</v>
      </c>
      <c r="C668" t="s">
        <v>939</v>
      </c>
      <c r="D668">
        <v>2</v>
      </c>
      <c r="E668">
        <v>3750</v>
      </c>
      <c r="F668">
        <v>32</v>
      </c>
      <c r="G668">
        <v>20</v>
      </c>
      <c r="H668" t="s">
        <v>101</v>
      </c>
      <c r="I668" t="s">
        <v>102</v>
      </c>
      <c r="J668" t="s">
        <v>101</v>
      </c>
      <c r="K668" t="s">
        <v>169</v>
      </c>
      <c r="L668" t="s">
        <v>124</v>
      </c>
      <c r="M668" t="s">
        <v>118</v>
      </c>
      <c r="N668">
        <v>0.105</v>
      </c>
      <c r="O668">
        <v>6.2E-2</v>
      </c>
      <c r="P668">
        <v>3.9E-2</v>
      </c>
    </row>
    <row r="669" spans="1:16" hidden="1">
      <c r="A669" t="s">
        <v>98</v>
      </c>
      <c r="B669" t="s">
        <v>99</v>
      </c>
      <c r="C669" t="s">
        <v>940</v>
      </c>
      <c r="D669">
        <v>2</v>
      </c>
      <c r="E669">
        <v>3750</v>
      </c>
      <c r="F669">
        <v>32</v>
      </c>
      <c r="G669">
        <v>20</v>
      </c>
      <c r="H669" t="s">
        <v>101</v>
      </c>
      <c r="I669" t="s">
        <v>102</v>
      </c>
      <c r="J669" t="s">
        <v>101</v>
      </c>
      <c r="K669" t="s">
        <v>358</v>
      </c>
      <c r="L669" t="s">
        <v>124</v>
      </c>
      <c r="M669" t="s">
        <v>118</v>
      </c>
      <c r="N669">
        <v>0.105</v>
      </c>
      <c r="O669">
        <v>6.2E-2</v>
      </c>
      <c r="P669">
        <v>3.9E-2</v>
      </c>
    </row>
    <row r="670" spans="1:16" hidden="1">
      <c r="A670" t="s">
        <v>98</v>
      </c>
      <c r="B670" t="s">
        <v>99</v>
      </c>
      <c r="C670" t="s">
        <v>941</v>
      </c>
      <c r="D670">
        <v>2</v>
      </c>
      <c r="E670">
        <v>3750</v>
      </c>
      <c r="F670">
        <v>32</v>
      </c>
      <c r="G670">
        <v>20</v>
      </c>
      <c r="H670" t="s">
        <v>101</v>
      </c>
      <c r="I670" t="s">
        <v>102</v>
      </c>
      <c r="J670" t="s">
        <v>101</v>
      </c>
      <c r="K670" t="s">
        <v>169</v>
      </c>
      <c r="L670" t="s">
        <v>124</v>
      </c>
      <c r="M670" t="s">
        <v>118</v>
      </c>
      <c r="N670">
        <v>0.105</v>
      </c>
      <c r="O670">
        <v>6.2E-2</v>
      </c>
      <c r="P670">
        <v>3.9E-2</v>
      </c>
    </row>
    <row r="671" spans="1:16" hidden="1">
      <c r="A671" t="s">
        <v>98</v>
      </c>
      <c r="B671" t="s">
        <v>99</v>
      </c>
      <c r="C671" t="s">
        <v>942</v>
      </c>
      <c r="D671">
        <v>2</v>
      </c>
      <c r="E671">
        <v>3750</v>
      </c>
      <c r="F671">
        <v>32</v>
      </c>
      <c r="G671">
        <v>20</v>
      </c>
      <c r="H671" t="s">
        <v>101</v>
      </c>
      <c r="I671" t="s">
        <v>102</v>
      </c>
      <c r="J671" t="s">
        <v>101</v>
      </c>
      <c r="K671" t="s">
        <v>358</v>
      </c>
      <c r="L671" t="s">
        <v>124</v>
      </c>
      <c r="M671" t="s">
        <v>118</v>
      </c>
      <c r="N671">
        <v>0.105</v>
      </c>
      <c r="O671">
        <v>6.2E-2</v>
      </c>
      <c r="P671">
        <v>3.9E-2</v>
      </c>
    </row>
    <row r="672" spans="1:16" hidden="1">
      <c r="A672" t="s">
        <v>98</v>
      </c>
      <c r="B672" t="s">
        <v>99</v>
      </c>
      <c r="C672" t="s">
        <v>943</v>
      </c>
      <c r="D672">
        <v>2</v>
      </c>
      <c r="E672">
        <v>3750</v>
      </c>
      <c r="F672">
        <v>32</v>
      </c>
      <c r="G672">
        <v>20</v>
      </c>
      <c r="H672" t="s">
        <v>101</v>
      </c>
      <c r="I672" t="s">
        <v>102</v>
      </c>
      <c r="J672" t="s">
        <v>101</v>
      </c>
      <c r="K672" t="s">
        <v>150</v>
      </c>
      <c r="L672" t="s">
        <v>124</v>
      </c>
      <c r="M672" t="s">
        <v>151</v>
      </c>
      <c r="N672">
        <v>0.105</v>
      </c>
      <c r="O672">
        <v>6.2E-2</v>
      </c>
      <c r="P672">
        <v>3.9E-2</v>
      </c>
    </row>
    <row r="673" spans="1:16" hidden="1">
      <c r="A673" t="s">
        <v>98</v>
      </c>
      <c r="B673" t="s">
        <v>99</v>
      </c>
      <c r="C673" t="s">
        <v>944</v>
      </c>
      <c r="D673">
        <v>2</v>
      </c>
      <c r="E673">
        <v>3750</v>
      </c>
      <c r="F673">
        <v>32</v>
      </c>
      <c r="G673">
        <v>20</v>
      </c>
      <c r="H673" t="s">
        <v>101</v>
      </c>
      <c r="I673" t="s">
        <v>102</v>
      </c>
      <c r="J673" t="s">
        <v>101</v>
      </c>
      <c r="K673" t="s">
        <v>358</v>
      </c>
      <c r="L673" t="s">
        <v>101</v>
      </c>
      <c r="M673" t="s">
        <v>118</v>
      </c>
      <c r="N673">
        <v>0.105</v>
      </c>
      <c r="O673">
        <v>6.2E-2</v>
      </c>
      <c r="P673">
        <v>3.9E-2</v>
      </c>
    </row>
    <row r="674" spans="1:16" hidden="1">
      <c r="A674" t="s">
        <v>98</v>
      </c>
      <c r="B674" t="s">
        <v>99</v>
      </c>
      <c r="C674" t="s">
        <v>945</v>
      </c>
      <c r="D674">
        <v>2</v>
      </c>
      <c r="E674">
        <v>3750</v>
      </c>
      <c r="F674">
        <v>32</v>
      </c>
      <c r="G674">
        <v>20</v>
      </c>
      <c r="H674" t="s">
        <v>101</v>
      </c>
      <c r="I674" t="s">
        <v>102</v>
      </c>
      <c r="J674" t="s">
        <v>101</v>
      </c>
      <c r="K674" t="s">
        <v>150</v>
      </c>
      <c r="L674" t="s">
        <v>124</v>
      </c>
      <c r="M674" t="s">
        <v>151</v>
      </c>
      <c r="N674">
        <v>0.105</v>
      </c>
      <c r="O674">
        <v>6.2E-2</v>
      </c>
      <c r="P674">
        <v>3.9E-2</v>
      </c>
    </row>
    <row r="675" spans="1:16" hidden="1">
      <c r="A675" t="s">
        <v>98</v>
      </c>
      <c r="B675" t="s">
        <v>99</v>
      </c>
      <c r="C675" t="s">
        <v>946</v>
      </c>
      <c r="D675">
        <v>2</v>
      </c>
      <c r="E675">
        <v>3750</v>
      </c>
      <c r="F675">
        <v>32</v>
      </c>
      <c r="G675">
        <v>20</v>
      </c>
      <c r="H675" t="s">
        <v>101</v>
      </c>
      <c r="I675" t="s">
        <v>102</v>
      </c>
      <c r="J675" t="s">
        <v>101</v>
      </c>
      <c r="K675" t="s">
        <v>358</v>
      </c>
      <c r="L675" t="s">
        <v>101</v>
      </c>
      <c r="M675" t="s">
        <v>118</v>
      </c>
      <c r="N675">
        <v>0.105</v>
      </c>
      <c r="O675">
        <v>6.2E-2</v>
      </c>
      <c r="P675">
        <v>3.9E-2</v>
      </c>
    </row>
    <row r="676" spans="1:16" hidden="1">
      <c r="A676" t="s">
        <v>98</v>
      </c>
      <c r="B676" t="s">
        <v>99</v>
      </c>
      <c r="C676" t="s">
        <v>947</v>
      </c>
      <c r="D676">
        <v>2</v>
      </c>
      <c r="E676">
        <v>3750</v>
      </c>
      <c r="F676">
        <v>32</v>
      </c>
      <c r="G676">
        <v>20</v>
      </c>
      <c r="H676" t="s">
        <v>101</v>
      </c>
      <c r="I676" t="s">
        <v>102</v>
      </c>
      <c r="J676" t="s">
        <v>101</v>
      </c>
      <c r="K676" t="s">
        <v>307</v>
      </c>
      <c r="L676" t="s">
        <v>101</v>
      </c>
      <c r="M676" t="s">
        <v>118</v>
      </c>
      <c r="N676">
        <v>0.105</v>
      </c>
      <c r="O676">
        <v>6.2E-2</v>
      </c>
      <c r="P676">
        <v>3.9E-2</v>
      </c>
    </row>
    <row r="677" spans="1:16" hidden="1">
      <c r="A677" t="s">
        <v>98</v>
      </c>
      <c r="B677" t="s">
        <v>99</v>
      </c>
      <c r="C677" t="s">
        <v>948</v>
      </c>
      <c r="D677">
        <v>2</v>
      </c>
      <c r="E677">
        <v>3750</v>
      </c>
      <c r="F677">
        <v>32</v>
      </c>
      <c r="G677">
        <v>20</v>
      </c>
      <c r="H677" t="s">
        <v>101</v>
      </c>
      <c r="I677" t="s">
        <v>102</v>
      </c>
      <c r="J677" t="s">
        <v>101</v>
      </c>
      <c r="K677" t="s">
        <v>307</v>
      </c>
      <c r="L677" t="s">
        <v>101</v>
      </c>
      <c r="M677" t="s">
        <v>118</v>
      </c>
      <c r="N677">
        <v>0.105</v>
      </c>
      <c r="O677">
        <v>6.2E-2</v>
      </c>
      <c r="P677">
        <v>3.9E-2</v>
      </c>
    </row>
    <row r="678" spans="1:16" hidden="1">
      <c r="A678" t="s">
        <v>98</v>
      </c>
      <c r="B678" t="s">
        <v>99</v>
      </c>
      <c r="C678" t="s">
        <v>949</v>
      </c>
      <c r="D678">
        <v>2</v>
      </c>
      <c r="E678">
        <v>3750</v>
      </c>
      <c r="F678">
        <v>32</v>
      </c>
      <c r="G678">
        <v>20</v>
      </c>
      <c r="H678" t="s">
        <v>101</v>
      </c>
      <c r="I678" t="s">
        <v>102</v>
      </c>
      <c r="J678" t="s">
        <v>101</v>
      </c>
      <c r="K678" t="s">
        <v>307</v>
      </c>
      <c r="L678" t="s">
        <v>101</v>
      </c>
      <c r="M678" t="s">
        <v>118</v>
      </c>
      <c r="N678">
        <v>0.105</v>
      </c>
      <c r="O678">
        <v>6.2E-2</v>
      </c>
      <c r="P678">
        <v>3.9E-2</v>
      </c>
    </row>
    <row r="679" spans="1:16" hidden="1">
      <c r="A679" t="s">
        <v>98</v>
      </c>
      <c r="B679" t="s">
        <v>99</v>
      </c>
      <c r="C679" t="s">
        <v>950</v>
      </c>
      <c r="D679">
        <v>2</v>
      </c>
      <c r="E679">
        <v>3750</v>
      </c>
      <c r="F679">
        <v>32</v>
      </c>
      <c r="G679">
        <v>20</v>
      </c>
      <c r="H679" t="s">
        <v>101</v>
      </c>
      <c r="I679" t="s">
        <v>102</v>
      </c>
      <c r="J679" t="s">
        <v>101</v>
      </c>
      <c r="K679" t="s">
        <v>207</v>
      </c>
      <c r="L679" t="s">
        <v>101</v>
      </c>
      <c r="M679" t="s">
        <v>134</v>
      </c>
      <c r="N679">
        <v>0.105</v>
      </c>
      <c r="O679">
        <v>6.2E-2</v>
      </c>
      <c r="P679">
        <v>3.9E-2</v>
      </c>
    </row>
    <row r="680" spans="1:16" hidden="1">
      <c r="A680" t="s">
        <v>98</v>
      </c>
      <c r="B680" t="s">
        <v>99</v>
      </c>
      <c r="C680" t="s">
        <v>951</v>
      </c>
      <c r="D680">
        <v>2</v>
      </c>
      <c r="E680">
        <v>3750</v>
      </c>
      <c r="F680">
        <v>32</v>
      </c>
      <c r="G680">
        <v>20</v>
      </c>
      <c r="H680" t="s">
        <v>101</v>
      </c>
      <c r="I680" t="s">
        <v>102</v>
      </c>
      <c r="J680" t="s">
        <v>101</v>
      </c>
      <c r="K680" t="s">
        <v>207</v>
      </c>
      <c r="L680" t="s">
        <v>101</v>
      </c>
      <c r="M680" t="s">
        <v>134</v>
      </c>
      <c r="N680">
        <v>0.105</v>
      </c>
      <c r="O680">
        <v>6.2E-2</v>
      </c>
      <c r="P680">
        <v>3.9E-2</v>
      </c>
    </row>
    <row r="681" spans="1:16" hidden="1">
      <c r="A681" t="s">
        <v>98</v>
      </c>
      <c r="B681" t="s">
        <v>99</v>
      </c>
      <c r="C681" t="s">
        <v>952</v>
      </c>
      <c r="D681">
        <v>2</v>
      </c>
      <c r="E681">
        <v>3750</v>
      </c>
      <c r="F681">
        <v>32</v>
      </c>
      <c r="G681">
        <v>20</v>
      </c>
      <c r="H681" t="s">
        <v>101</v>
      </c>
      <c r="I681" t="s">
        <v>102</v>
      </c>
      <c r="J681" t="s">
        <v>101</v>
      </c>
      <c r="K681" t="s">
        <v>207</v>
      </c>
      <c r="L681" t="s">
        <v>101</v>
      </c>
      <c r="M681" t="s">
        <v>134</v>
      </c>
      <c r="N681">
        <v>0.105</v>
      </c>
      <c r="O681">
        <v>6.2E-2</v>
      </c>
      <c r="P681">
        <v>3.9E-2</v>
      </c>
    </row>
    <row r="682" spans="1:16" hidden="1">
      <c r="A682" t="s">
        <v>98</v>
      </c>
      <c r="B682" t="s">
        <v>99</v>
      </c>
      <c r="C682" t="s">
        <v>953</v>
      </c>
      <c r="D682">
        <v>2</v>
      </c>
      <c r="E682">
        <v>3750</v>
      </c>
      <c r="F682">
        <v>32</v>
      </c>
      <c r="G682">
        <v>20</v>
      </c>
      <c r="H682" t="s">
        <v>101</v>
      </c>
      <c r="I682" t="s">
        <v>102</v>
      </c>
      <c r="J682" t="s">
        <v>101</v>
      </c>
      <c r="K682" t="s">
        <v>418</v>
      </c>
      <c r="L682" t="s">
        <v>101</v>
      </c>
      <c r="M682" t="s">
        <v>151</v>
      </c>
      <c r="N682">
        <v>0.105</v>
      </c>
      <c r="O682">
        <v>6.2E-2</v>
      </c>
      <c r="P682">
        <v>3.9E-2</v>
      </c>
    </row>
    <row r="683" spans="1:16" hidden="1">
      <c r="A683" t="s">
        <v>98</v>
      </c>
      <c r="B683" t="s">
        <v>99</v>
      </c>
      <c r="C683" t="s">
        <v>954</v>
      </c>
      <c r="D683">
        <v>2</v>
      </c>
      <c r="E683">
        <v>3750</v>
      </c>
      <c r="F683">
        <v>32</v>
      </c>
      <c r="G683">
        <v>20</v>
      </c>
      <c r="H683" t="s">
        <v>101</v>
      </c>
      <c r="I683" t="s">
        <v>102</v>
      </c>
      <c r="J683" t="s">
        <v>101</v>
      </c>
      <c r="K683" t="s">
        <v>418</v>
      </c>
      <c r="L683" t="s">
        <v>101</v>
      </c>
      <c r="M683" t="s">
        <v>151</v>
      </c>
      <c r="N683">
        <v>0.105</v>
      </c>
      <c r="O683">
        <v>6.2E-2</v>
      </c>
      <c r="P683">
        <v>3.9E-2</v>
      </c>
    </row>
    <row r="684" spans="1:16" hidden="1">
      <c r="A684" t="s">
        <v>98</v>
      </c>
      <c r="B684" t="s">
        <v>99</v>
      </c>
      <c r="C684" t="s">
        <v>955</v>
      </c>
      <c r="D684">
        <v>2</v>
      </c>
      <c r="E684">
        <v>3750</v>
      </c>
      <c r="F684">
        <v>32</v>
      </c>
      <c r="G684">
        <v>20</v>
      </c>
      <c r="H684" t="s">
        <v>101</v>
      </c>
      <c r="I684" t="s">
        <v>102</v>
      </c>
      <c r="J684" t="s">
        <v>101</v>
      </c>
      <c r="K684" t="s">
        <v>166</v>
      </c>
      <c r="L684" t="s">
        <v>124</v>
      </c>
      <c r="M684" t="s">
        <v>167</v>
      </c>
      <c r="N684">
        <v>0.105</v>
      </c>
      <c r="O684">
        <v>6.2E-2</v>
      </c>
      <c r="P684">
        <v>3.9E-2</v>
      </c>
    </row>
    <row r="685" spans="1:16" hidden="1">
      <c r="A685" t="s">
        <v>98</v>
      </c>
      <c r="B685" t="s">
        <v>99</v>
      </c>
      <c r="C685" t="s">
        <v>956</v>
      </c>
      <c r="D685">
        <v>2</v>
      </c>
      <c r="E685">
        <v>3750</v>
      </c>
      <c r="F685">
        <v>32</v>
      </c>
      <c r="G685">
        <v>20</v>
      </c>
      <c r="H685" t="s">
        <v>101</v>
      </c>
      <c r="I685" t="s">
        <v>102</v>
      </c>
      <c r="J685" t="s">
        <v>101</v>
      </c>
      <c r="K685" t="s">
        <v>150</v>
      </c>
      <c r="L685" t="s">
        <v>101</v>
      </c>
      <c r="M685" t="s">
        <v>151</v>
      </c>
      <c r="N685">
        <v>0.105</v>
      </c>
      <c r="O685">
        <v>6.2E-2</v>
      </c>
      <c r="P685">
        <v>3.9E-2</v>
      </c>
    </row>
    <row r="686" spans="1:16" hidden="1">
      <c r="A686" t="s">
        <v>98</v>
      </c>
      <c r="B686" t="s">
        <v>99</v>
      </c>
      <c r="C686" t="s">
        <v>957</v>
      </c>
      <c r="D686">
        <v>2</v>
      </c>
      <c r="E686">
        <v>3750</v>
      </c>
      <c r="F686">
        <v>32</v>
      </c>
      <c r="G686">
        <v>20</v>
      </c>
      <c r="H686" t="s">
        <v>101</v>
      </c>
      <c r="I686" t="s">
        <v>102</v>
      </c>
      <c r="J686" t="s">
        <v>101</v>
      </c>
      <c r="K686" t="s">
        <v>150</v>
      </c>
      <c r="L686" t="s">
        <v>101</v>
      </c>
      <c r="M686" t="s">
        <v>151</v>
      </c>
      <c r="N686">
        <v>0.105</v>
      </c>
      <c r="O686">
        <v>6.2E-2</v>
      </c>
      <c r="P686">
        <v>3.9E-2</v>
      </c>
    </row>
    <row r="687" spans="1:16" hidden="1">
      <c r="A687" t="s">
        <v>98</v>
      </c>
      <c r="B687" t="s">
        <v>99</v>
      </c>
      <c r="C687" t="s">
        <v>958</v>
      </c>
      <c r="D687">
        <v>2</v>
      </c>
      <c r="E687">
        <v>3750</v>
      </c>
      <c r="F687">
        <v>32</v>
      </c>
      <c r="G687">
        <v>20</v>
      </c>
      <c r="H687" t="s">
        <v>101</v>
      </c>
      <c r="I687" t="s">
        <v>102</v>
      </c>
      <c r="J687" t="s">
        <v>101</v>
      </c>
      <c r="K687" t="s">
        <v>166</v>
      </c>
      <c r="L687" t="s">
        <v>124</v>
      </c>
      <c r="M687" t="s">
        <v>167</v>
      </c>
      <c r="N687">
        <v>0.105</v>
      </c>
      <c r="O687">
        <v>6.2E-2</v>
      </c>
      <c r="P687">
        <v>3.9E-2</v>
      </c>
    </row>
    <row r="688" spans="1:16" hidden="1">
      <c r="A688" t="s">
        <v>98</v>
      </c>
      <c r="B688" t="s">
        <v>99</v>
      </c>
      <c r="C688" t="s">
        <v>959</v>
      </c>
      <c r="D688">
        <v>2</v>
      </c>
      <c r="E688">
        <v>3750</v>
      </c>
      <c r="F688">
        <v>32</v>
      </c>
      <c r="G688">
        <v>20</v>
      </c>
      <c r="H688" t="s">
        <v>101</v>
      </c>
      <c r="I688" t="s">
        <v>102</v>
      </c>
      <c r="J688" t="s">
        <v>101</v>
      </c>
      <c r="K688" t="s">
        <v>166</v>
      </c>
      <c r="L688" t="s">
        <v>124</v>
      </c>
      <c r="M688" t="s">
        <v>167</v>
      </c>
      <c r="N688">
        <v>0.105</v>
      </c>
      <c r="O688">
        <v>6.2E-2</v>
      </c>
      <c r="P688">
        <v>3.9E-2</v>
      </c>
    </row>
    <row r="689" spans="1:16">
      <c r="A689" t="s">
        <v>98</v>
      </c>
      <c r="B689" t="s">
        <v>172</v>
      </c>
      <c r="C689" t="s">
        <v>960</v>
      </c>
      <c r="D689">
        <v>1</v>
      </c>
      <c r="E689">
        <v>2000</v>
      </c>
      <c r="F689">
        <v>0</v>
      </c>
      <c r="G689">
        <v>20</v>
      </c>
      <c r="H689" t="s">
        <v>101</v>
      </c>
      <c r="I689" t="s">
        <v>106</v>
      </c>
      <c r="J689" t="s">
        <v>749</v>
      </c>
      <c r="K689" t="s">
        <v>108</v>
      </c>
      <c r="L689" t="s">
        <v>261</v>
      </c>
      <c r="M689" t="s">
        <v>110</v>
      </c>
      <c r="N689">
        <v>2.5999999999999999E-2</v>
      </c>
      <c r="O689">
        <v>1.7000000000000001E-2</v>
      </c>
      <c r="P689">
        <v>1.2E-2</v>
      </c>
    </row>
    <row r="690" spans="1:16">
      <c r="A690" t="s">
        <v>98</v>
      </c>
      <c r="B690" t="s">
        <v>172</v>
      </c>
      <c r="C690" t="s">
        <v>961</v>
      </c>
      <c r="D690">
        <v>1</v>
      </c>
      <c r="E690">
        <v>2000</v>
      </c>
      <c r="F690">
        <v>0</v>
      </c>
      <c r="G690">
        <v>20</v>
      </c>
      <c r="H690" t="s">
        <v>101</v>
      </c>
      <c r="I690" t="s">
        <v>106</v>
      </c>
      <c r="J690" t="s">
        <v>756</v>
      </c>
      <c r="K690" t="s">
        <v>108</v>
      </c>
      <c r="L690" t="s">
        <v>261</v>
      </c>
      <c r="M690" t="s">
        <v>110</v>
      </c>
      <c r="N690">
        <v>2.5999999999999999E-2</v>
      </c>
      <c r="O690">
        <v>1.7000000000000001E-2</v>
      </c>
      <c r="P690">
        <v>1.2E-2</v>
      </c>
    </row>
    <row r="691" spans="1:16">
      <c r="A691" t="s">
        <v>98</v>
      </c>
      <c r="B691" t="s">
        <v>172</v>
      </c>
      <c r="C691" t="s">
        <v>962</v>
      </c>
      <c r="D691">
        <v>1</v>
      </c>
      <c r="E691">
        <v>2000</v>
      </c>
      <c r="F691">
        <v>0</v>
      </c>
      <c r="G691">
        <v>20</v>
      </c>
      <c r="H691" t="s">
        <v>101</v>
      </c>
      <c r="I691" t="s">
        <v>106</v>
      </c>
      <c r="J691" t="s">
        <v>107</v>
      </c>
      <c r="K691" t="s">
        <v>108</v>
      </c>
      <c r="L691" t="s">
        <v>233</v>
      </c>
      <c r="M691" t="s">
        <v>110</v>
      </c>
      <c r="N691">
        <v>2.5999999999999999E-2</v>
      </c>
      <c r="O691">
        <v>1.7000000000000001E-2</v>
      </c>
      <c r="P691">
        <v>1.2E-2</v>
      </c>
    </row>
    <row r="692" spans="1:16" hidden="1">
      <c r="A692" t="s">
        <v>98</v>
      </c>
      <c r="B692" t="s">
        <v>99</v>
      </c>
      <c r="C692" t="s">
        <v>963</v>
      </c>
      <c r="D692">
        <v>2</v>
      </c>
      <c r="E692">
        <v>3750</v>
      </c>
      <c r="F692">
        <v>32</v>
      </c>
      <c r="G692">
        <v>20</v>
      </c>
      <c r="H692" t="s">
        <v>101</v>
      </c>
      <c r="I692" t="s">
        <v>102</v>
      </c>
      <c r="J692" t="s">
        <v>101</v>
      </c>
      <c r="K692" t="s">
        <v>166</v>
      </c>
      <c r="L692" t="s">
        <v>124</v>
      </c>
      <c r="M692" t="s">
        <v>167</v>
      </c>
      <c r="N692">
        <v>0.105</v>
      </c>
      <c r="O692">
        <v>6.2E-2</v>
      </c>
      <c r="P692">
        <v>3.9E-2</v>
      </c>
    </row>
    <row r="693" spans="1:16" hidden="1">
      <c r="A693" t="s">
        <v>98</v>
      </c>
      <c r="B693" t="s">
        <v>99</v>
      </c>
      <c r="C693" t="s">
        <v>964</v>
      </c>
      <c r="D693">
        <v>2</v>
      </c>
      <c r="E693">
        <v>3750</v>
      </c>
      <c r="F693">
        <v>32</v>
      </c>
      <c r="G693">
        <v>20</v>
      </c>
      <c r="H693" t="s">
        <v>101</v>
      </c>
      <c r="I693" t="s">
        <v>102</v>
      </c>
      <c r="J693" t="s">
        <v>101</v>
      </c>
      <c r="K693" t="s">
        <v>166</v>
      </c>
      <c r="L693" t="s">
        <v>124</v>
      </c>
      <c r="M693" t="s">
        <v>167</v>
      </c>
      <c r="N693">
        <v>0.105</v>
      </c>
      <c r="O693">
        <v>6.2E-2</v>
      </c>
      <c r="P693">
        <v>3.9E-2</v>
      </c>
    </row>
    <row r="694" spans="1:16" hidden="1">
      <c r="A694" t="s">
        <v>98</v>
      </c>
      <c r="B694" t="s">
        <v>99</v>
      </c>
      <c r="C694" t="s">
        <v>965</v>
      </c>
      <c r="D694">
        <v>2</v>
      </c>
      <c r="E694">
        <v>3750</v>
      </c>
      <c r="F694">
        <v>32</v>
      </c>
      <c r="G694">
        <v>20</v>
      </c>
      <c r="H694" t="s">
        <v>101</v>
      </c>
      <c r="I694" t="s">
        <v>102</v>
      </c>
      <c r="J694" t="s">
        <v>101</v>
      </c>
      <c r="K694" t="s">
        <v>150</v>
      </c>
      <c r="L694" t="s">
        <v>101</v>
      </c>
      <c r="M694" t="s">
        <v>151</v>
      </c>
      <c r="N694">
        <v>0.105</v>
      </c>
      <c r="O694">
        <v>6.2E-2</v>
      </c>
      <c r="P694">
        <v>3.9E-2</v>
      </c>
    </row>
    <row r="695" spans="1:16" hidden="1">
      <c r="A695" t="s">
        <v>98</v>
      </c>
      <c r="B695" t="s">
        <v>99</v>
      </c>
      <c r="C695" t="s">
        <v>966</v>
      </c>
      <c r="D695">
        <v>2</v>
      </c>
      <c r="E695">
        <v>3750</v>
      </c>
      <c r="F695">
        <v>32</v>
      </c>
      <c r="G695">
        <v>20</v>
      </c>
      <c r="H695" t="s">
        <v>101</v>
      </c>
      <c r="I695" t="s">
        <v>102</v>
      </c>
      <c r="J695" t="s">
        <v>101</v>
      </c>
      <c r="K695" t="s">
        <v>150</v>
      </c>
      <c r="L695" t="s">
        <v>101</v>
      </c>
      <c r="M695" t="s">
        <v>151</v>
      </c>
      <c r="N695">
        <v>0.105</v>
      </c>
      <c r="O695">
        <v>6.2E-2</v>
      </c>
      <c r="P695">
        <v>3.9E-2</v>
      </c>
    </row>
    <row r="696" spans="1:16" hidden="1">
      <c r="A696" t="s">
        <v>98</v>
      </c>
      <c r="B696" t="s">
        <v>99</v>
      </c>
      <c r="C696" t="s">
        <v>967</v>
      </c>
      <c r="D696">
        <v>2</v>
      </c>
      <c r="E696">
        <v>3750</v>
      </c>
      <c r="F696">
        <v>32</v>
      </c>
      <c r="G696">
        <v>20</v>
      </c>
      <c r="H696" t="s">
        <v>101</v>
      </c>
      <c r="I696" t="s">
        <v>102</v>
      </c>
      <c r="J696" t="s">
        <v>101</v>
      </c>
      <c r="K696" t="s">
        <v>166</v>
      </c>
      <c r="L696" t="s">
        <v>101</v>
      </c>
      <c r="M696" t="s">
        <v>167</v>
      </c>
      <c r="N696">
        <v>0.105</v>
      </c>
      <c r="O696">
        <v>6.2E-2</v>
      </c>
      <c r="P696">
        <v>3.9E-2</v>
      </c>
    </row>
    <row r="697" spans="1:16" hidden="1">
      <c r="A697" t="s">
        <v>98</v>
      </c>
      <c r="B697" t="s">
        <v>99</v>
      </c>
      <c r="C697" t="s">
        <v>968</v>
      </c>
      <c r="D697">
        <v>2</v>
      </c>
      <c r="E697">
        <v>3750</v>
      </c>
      <c r="F697">
        <v>32</v>
      </c>
      <c r="G697">
        <v>20</v>
      </c>
      <c r="H697" t="s">
        <v>101</v>
      </c>
      <c r="I697" t="s">
        <v>102</v>
      </c>
      <c r="J697" t="s">
        <v>101</v>
      </c>
      <c r="K697" t="s">
        <v>166</v>
      </c>
      <c r="L697" t="s">
        <v>101</v>
      </c>
      <c r="M697" t="s">
        <v>167</v>
      </c>
      <c r="N697">
        <v>0.105</v>
      </c>
      <c r="O697">
        <v>6.2E-2</v>
      </c>
      <c r="P697">
        <v>3.9E-2</v>
      </c>
    </row>
    <row r="698" spans="1:16" hidden="1">
      <c r="A698" t="s">
        <v>98</v>
      </c>
      <c r="B698" t="s">
        <v>99</v>
      </c>
      <c r="C698" t="s">
        <v>969</v>
      </c>
      <c r="D698">
        <v>2</v>
      </c>
      <c r="E698">
        <v>3750</v>
      </c>
      <c r="F698">
        <v>32</v>
      </c>
      <c r="G698">
        <v>20</v>
      </c>
      <c r="H698" t="s">
        <v>101</v>
      </c>
      <c r="I698" t="s">
        <v>102</v>
      </c>
      <c r="J698" t="s">
        <v>101</v>
      </c>
      <c r="K698" t="s">
        <v>166</v>
      </c>
      <c r="L698" t="s">
        <v>101</v>
      </c>
      <c r="M698" t="s">
        <v>167</v>
      </c>
      <c r="N698">
        <v>0.105</v>
      </c>
      <c r="O698">
        <v>6.2E-2</v>
      </c>
      <c r="P698">
        <v>3.9E-2</v>
      </c>
    </row>
    <row r="699" spans="1:16" hidden="1">
      <c r="A699" t="s">
        <v>98</v>
      </c>
      <c r="B699" t="s">
        <v>99</v>
      </c>
      <c r="C699" t="s">
        <v>970</v>
      </c>
      <c r="D699">
        <v>2</v>
      </c>
      <c r="E699">
        <v>3750</v>
      </c>
      <c r="F699">
        <v>32</v>
      </c>
      <c r="G699">
        <v>20</v>
      </c>
      <c r="H699" t="s">
        <v>101</v>
      </c>
      <c r="I699" t="s">
        <v>102</v>
      </c>
      <c r="J699" t="s">
        <v>101</v>
      </c>
      <c r="K699" t="s">
        <v>166</v>
      </c>
      <c r="L699" t="s">
        <v>101</v>
      </c>
      <c r="M699" t="s">
        <v>167</v>
      </c>
      <c r="N699">
        <v>0.105</v>
      </c>
      <c r="O699">
        <v>6.2E-2</v>
      </c>
      <c r="P699">
        <v>3.9E-2</v>
      </c>
    </row>
    <row r="700" spans="1:16">
      <c r="A700" t="s">
        <v>98</v>
      </c>
      <c r="B700" t="s">
        <v>99</v>
      </c>
      <c r="C700" t="s">
        <v>971</v>
      </c>
      <c r="D700">
        <v>2</v>
      </c>
      <c r="E700">
        <v>3750</v>
      </c>
      <c r="F700">
        <v>32</v>
      </c>
      <c r="G700">
        <v>20</v>
      </c>
      <c r="H700" t="s">
        <v>101</v>
      </c>
      <c r="I700" t="s">
        <v>106</v>
      </c>
      <c r="J700" t="s">
        <v>563</v>
      </c>
      <c r="K700" t="s">
        <v>108</v>
      </c>
      <c r="L700" t="s">
        <v>101</v>
      </c>
      <c r="M700" t="s">
        <v>118</v>
      </c>
      <c r="N700">
        <v>0.105</v>
      </c>
      <c r="O700">
        <v>6.2E-2</v>
      </c>
      <c r="P700">
        <v>3.9E-2</v>
      </c>
    </row>
    <row r="701" spans="1:16">
      <c r="A701" t="s">
        <v>98</v>
      </c>
      <c r="B701" t="s">
        <v>99</v>
      </c>
      <c r="C701" t="s">
        <v>972</v>
      </c>
      <c r="D701">
        <v>2</v>
      </c>
      <c r="E701">
        <v>3750</v>
      </c>
      <c r="F701">
        <v>32</v>
      </c>
      <c r="G701">
        <v>20</v>
      </c>
      <c r="H701" t="s">
        <v>101</v>
      </c>
      <c r="I701" t="s">
        <v>106</v>
      </c>
      <c r="J701" t="s">
        <v>563</v>
      </c>
      <c r="K701" t="s">
        <v>108</v>
      </c>
      <c r="L701" t="s">
        <v>101</v>
      </c>
      <c r="M701" t="s">
        <v>118</v>
      </c>
      <c r="N701">
        <v>0.105</v>
      </c>
      <c r="O701">
        <v>6.2E-2</v>
      </c>
      <c r="P701">
        <v>3.9E-2</v>
      </c>
    </row>
    <row r="702" spans="1:16" hidden="1">
      <c r="A702" t="s">
        <v>98</v>
      </c>
      <c r="B702" t="s">
        <v>99</v>
      </c>
      <c r="C702" t="s">
        <v>973</v>
      </c>
      <c r="D702">
        <v>2</v>
      </c>
      <c r="E702">
        <v>3750</v>
      </c>
      <c r="F702">
        <v>32</v>
      </c>
      <c r="G702">
        <v>20</v>
      </c>
      <c r="H702" t="s">
        <v>101</v>
      </c>
      <c r="I702" t="s">
        <v>102</v>
      </c>
      <c r="J702" t="s">
        <v>101</v>
      </c>
      <c r="K702" t="s">
        <v>612</v>
      </c>
      <c r="L702" t="s">
        <v>101</v>
      </c>
      <c r="M702" t="s">
        <v>118</v>
      </c>
      <c r="N702">
        <v>0.105</v>
      </c>
      <c r="O702">
        <v>6.2E-2</v>
      </c>
      <c r="P702">
        <v>3.9E-2</v>
      </c>
    </row>
    <row r="703" spans="1:16">
      <c r="A703" t="s">
        <v>98</v>
      </c>
      <c r="B703" t="s">
        <v>148</v>
      </c>
      <c r="C703" t="s">
        <v>974</v>
      </c>
      <c r="D703">
        <v>2</v>
      </c>
      <c r="E703">
        <v>4000</v>
      </c>
      <c r="F703">
        <v>0</v>
      </c>
      <c r="G703">
        <v>20</v>
      </c>
      <c r="H703" t="s">
        <v>101</v>
      </c>
      <c r="I703" t="s">
        <v>106</v>
      </c>
      <c r="J703" t="s">
        <v>180</v>
      </c>
      <c r="K703" t="s">
        <v>108</v>
      </c>
      <c r="L703" t="s">
        <v>113</v>
      </c>
      <c r="M703" t="s">
        <v>110</v>
      </c>
      <c r="N703">
        <v>5.1999999999999998E-2</v>
      </c>
      <c r="O703">
        <v>3.4000000000000002E-2</v>
      </c>
      <c r="P703">
        <v>2.3E-2</v>
      </c>
    </row>
    <row r="704" spans="1:16">
      <c r="A704" t="s">
        <v>98</v>
      </c>
      <c r="B704" t="s">
        <v>172</v>
      </c>
      <c r="C704" t="s">
        <v>975</v>
      </c>
      <c r="D704">
        <v>1</v>
      </c>
      <c r="E704">
        <v>2000</v>
      </c>
      <c r="F704">
        <v>0</v>
      </c>
      <c r="G704">
        <v>20</v>
      </c>
      <c r="H704" t="s">
        <v>101</v>
      </c>
      <c r="I704" t="s">
        <v>106</v>
      </c>
      <c r="J704" t="s">
        <v>756</v>
      </c>
      <c r="K704" t="s">
        <v>108</v>
      </c>
      <c r="L704" t="s">
        <v>394</v>
      </c>
      <c r="M704" t="s">
        <v>110</v>
      </c>
      <c r="N704">
        <v>2.5999999999999999E-2</v>
      </c>
      <c r="O704">
        <v>1.7000000000000001E-2</v>
      </c>
      <c r="P704">
        <v>1.2E-2</v>
      </c>
    </row>
    <row r="705" spans="1:16">
      <c r="A705" t="s">
        <v>98</v>
      </c>
      <c r="B705" t="s">
        <v>172</v>
      </c>
      <c r="C705" t="s">
        <v>976</v>
      </c>
      <c r="D705">
        <v>1</v>
      </c>
      <c r="E705">
        <v>2000</v>
      </c>
      <c r="F705">
        <v>0</v>
      </c>
      <c r="G705">
        <v>20</v>
      </c>
      <c r="H705" t="s">
        <v>101</v>
      </c>
      <c r="I705" t="s">
        <v>106</v>
      </c>
      <c r="J705" t="s">
        <v>756</v>
      </c>
      <c r="K705" t="s">
        <v>108</v>
      </c>
      <c r="L705" t="s">
        <v>394</v>
      </c>
      <c r="M705" t="s">
        <v>110</v>
      </c>
      <c r="N705">
        <v>2.5999999999999999E-2</v>
      </c>
      <c r="O705">
        <v>1.7000000000000001E-2</v>
      </c>
      <c r="P705">
        <v>1.2E-2</v>
      </c>
    </row>
    <row r="706" spans="1:16" hidden="1">
      <c r="A706" t="s">
        <v>98</v>
      </c>
      <c r="B706" t="s">
        <v>267</v>
      </c>
      <c r="C706" t="s">
        <v>977</v>
      </c>
      <c r="D706">
        <v>8</v>
      </c>
      <c r="E706">
        <v>15000</v>
      </c>
      <c r="F706">
        <v>160</v>
      </c>
      <c r="G706">
        <v>20</v>
      </c>
      <c r="H706" t="s">
        <v>101</v>
      </c>
      <c r="I706" t="s">
        <v>102</v>
      </c>
      <c r="J706" t="s">
        <v>101</v>
      </c>
      <c r="K706" t="s">
        <v>978</v>
      </c>
      <c r="L706" t="s">
        <v>101</v>
      </c>
      <c r="M706" t="s">
        <v>406</v>
      </c>
      <c r="N706">
        <v>0.42</v>
      </c>
      <c r="O706">
        <v>0.248</v>
      </c>
      <c r="P706">
        <v>0.157</v>
      </c>
    </row>
    <row r="707" spans="1:16" hidden="1">
      <c r="A707" t="s">
        <v>98</v>
      </c>
      <c r="B707" t="s">
        <v>267</v>
      </c>
      <c r="C707" t="s">
        <v>979</v>
      </c>
      <c r="D707">
        <v>8</v>
      </c>
      <c r="E707">
        <v>15000</v>
      </c>
      <c r="F707">
        <v>160</v>
      </c>
      <c r="G707">
        <v>20</v>
      </c>
      <c r="H707" t="s">
        <v>101</v>
      </c>
      <c r="I707" t="s">
        <v>102</v>
      </c>
      <c r="J707" t="s">
        <v>101</v>
      </c>
      <c r="K707" t="s">
        <v>978</v>
      </c>
      <c r="L707" t="s">
        <v>101</v>
      </c>
      <c r="M707" t="s">
        <v>406</v>
      </c>
      <c r="N707">
        <v>0.42</v>
      </c>
      <c r="O707">
        <v>0.248</v>
      </c>
      <c r="P707">
        <v>0.157</v>
      </c>
    </row>
    <row r="708" spans="1:16" hidden="1">
      <c r="A708" t="s">
        <v>98</v>
      </c>
      <c r="B708" t="s">
        <v>267</v>
      </c>
      <c r="C708" t="s">
        <v>980</v>
      </c>
      <c r="D708">
        <v>8</v>
      </c>
      <c r="E708">
        <v>15000</v>
      </c>
      <c r="F708">
        <v>160</v>
      </c>
      <c r="G708">
        <v>20</v>
      </c>
      <c r="H708" t="s">
        <v>101</v>
      </c>
      <c r="I708" t="s">
        <v>102</v>
      </c>
      <c r="J708" t="s">
        <v>101</v>
      </c>
      <c r="K708" t="s">
        <v>978</v>
      </c>
      <c r="L708" t="s">
        <v>101</v>
      </c>
      <c r="M708" t="s">
        <v>406</v>
      </c>
      <c r="N708">
        <v>0.42</v>
      </c>
      <c r="O708">
        <v>0.248</v>
      </c>
      <c r="P708">
        <v>0.157</v>
      </c>
    </row>
    <row r="709" spans="1:16" hidden="1">
      <c r="A709" t="s">
        <v>98</v>
      </c>
      <c r="B709" t="s">
        <v>267</v>
      </c>
      <c r="C709" t="s">
        <v>981</v>
      </c>
      <c r="D709">
        <v>8</v>
      </c>
      <c r="E709">
        <v>15000</v>
      </c>
      <c r="F709">
        <v>160</v>
      </c>
      <c r="G709">
        <v>20</v>
      </c>
      <c r="H709" t="s">
        <v>101</v>
      </c>
      <c r="I709" t="s">
        <v>102</v>
      </c>
      <c r="J709" t="s">
        <v>101</v>
      </c>
      <c r="K709" t="s">
        <v>978</v>
      </c>
      <c r="L709" t="s">
        <v>101</v>
      </c>
      <c r="M709" t="s">
        <v>406</v>
      </c>
      <c r="N709">
        <v>0.42</v>
      </c>
      <c r="O709">
        <v>0.248</v>
      </c>
      <c r="P709">
        <v>0.157</v>
      </c>
    </row>
    <row r="710" spans="1:16" hidden="1">
      <c r="A710" t="s">
        <v>98</v>
      </c>
      <c r="B710" t="s">
        <v>267</v>
      </c>
      <c r="C710" t="s">
        <v>982</v>
      </c>
      <c r="D710">
        <v>8</v>
      </c>
      <c r="E710">
        <v>15000</v>
      </c>
      <c r="F710">
        <v>160</v>
      </c>
      <c r="G710">
        <v>20</v>
      </c>
      <c r="H710" t="s">
        <v>101</v>
      </c>
      <c r="I710" t="s">
        <v>102</v>
      </c>
      <c r="J710" t="s">
        <v>101</v>
      </c>
      <c r="K710" t="s">
        <v>482</v>
      </c>
      <c r="L710" t="s">
        <v>101</v>
      </c>
      <c r="M710" t="s">
        <v>151</v>
      </c>
      <c r="N710">
        <v>0.42</v>
      </c>
      <c r="O710">
        <v>0.248</v>
      </c>
      <c r="P710">
        <v>0.157</v>
      </c>
    </row>
    <row r="711" spans="1:16" hidden="1">
      <c r="A711" t="s">
        <v>98</v>
      </c>
      <c r="B711" t="s">
        <v>99</v>
      </c>
      <c r="C711" t="s">
        <v>983</v>
      </c>
      <c r="D711">
        <v>2</v>
      </c>
      <c r="E711">
        <v>3750</v>
      </c>
      <c r="F711">
        <v>32</v>
      </c>
      <c r="G711">
        <v>220</v>
      </c>
      <c r="H711" t="s">
        <v>101</v>
      </c>
      <c r="I711" t="s">
        <v>102</v>
      </c>
      <c r="J711" t="s">
        <v>101</v>
      </c>
      <c r="K711" t="s">
        <v>978</v>
      </c>
      <c r="L711" t="s">
        <v>101</v>
      </c>
      <c r="M711" t="s">
        <v>406</v>
      </c>
      <c r="N711">
        <v>0.105</v>
      </c>
      <c r="O711">
        <v>6.2E-2</v>
      </c>
      <c r="P711">
        <v>3.9E-2</v>
      </c>
    </row>
    <row r="712" spans="1:16" hidden="1">
      <c r="A712" t="s">
        <v>98</v>
      </c>
      <c r="B712" t="s">
        <v>267</v>
      </c>
      <c r="C712" t="s">
        <v>984</v>
      </c>
      <c r="D712">
        <v>8</v>
      </c>
      <c r="E712">
        <v>15000</v>
      </c>
      <c r="F712">
        <v>160</v>
      </c>
      <c r="G712">
        <v>20</v>
      </c>
      <c r="H712" t="s">
        <v>101</v>
      </c>
      <c r="I712" t="s">
        <v>102</v>
      </c>
      <c r="J712" t="s">
        <v>101</v>
      </c>
      <c r="K712" t="s">
        <v>566</v>
      </c>
      <c r="L712" t="s">
        <v>101</v>
      </c>
      <c r="M712" t="s">
        <v>632</v>
      </c>
      <c r="N712">
        <v>0.42</v>
      </c>
      <c r="O712">
        <v>0.248</v>
      </c>
      <c r="P712">
        <v>0.157</v>
      </c>
    </row>
    <row r="713" spans="1:16">
      <c r="A713" t="s">
        <v>98</v>
      </c>
      <c r="B713" t="s">
        <v>99</v>
      </c>
      <c r="C713" t="s">
        <v>985</v>
      </c>
      <c r="D713">
        <v>2</v>
      </c>
      <c r="E713">
        <v>3750</v>
      </c>
      <c r="F713">
        <v>32</v>
      </c>
      <c r="G713">
        <v>50</v>
      </c>
      <c r="H713" t="s">
        <v>101</v>
      </c>
      <c r="I713" t="s">
        <v>106</v>
      </c>
      <c r="J713" t="s">
        <v>214</v>
      </c>
      <c r="K713" t="s">
        <v>108</v>
      </c>
      <c r="L713" t="s">
        <v>101</v>
      </c>
      <c r="M713" t="s">
        <v>110</v>
      </c>
      <c r="N713">
        <v>0.105</v>
      </c>
      <c r="O713">
        <v>6.2E-2</v>
      </c>
      <c r="P713">
        <v>3.9E-2</v>
      </c>
    </row>
    <row r="714" spans="1:16">
      <c r="A714" t="s">
        <v>98</v>
      </c>
      <c r="B714" t="s">
        <v>172</v>
      </c>
      <c r="C714" t="s">
        <v>986</v>
      </c>
      <c r="D714">
        <v>1</v>
      </c>
      <c r="E714">
        <v>2000</v>
      </c>
      <c r="F714">
        <v>0</v>
      </c>
      <c r="G714">
        <v>20</v>
      </c>
      <c r="H714" t="s">
        <v>101</v>
      </c>
      <c r="I714" t="s">
        <v>106</v>
      </c>
      <c r="J714" t="s">
        <v>778</v>
      </c>
      <c r="K714" t="s">
        <v>108</v>
      </c>
      <c r="L714" t="s">
        <v>128</v>
      </c>
      <c r="M714" t="s">
        <v>110</v>
      </c>
      <c r="N714">
        <v>2.5999999999999999E-2</v>
      </c>
      <c r="O714">
        <v>1.7000000000000001E-2</v>
      </c>
      <c r="P714">
        <v>1.2E-2</v>
      </c>
    </row>
    <row r="715" spans="1:16">
      <c r="A715" t="s">
        <v>98</v>
      </c>
      <c r="B715" t="s">
        <v>172</v>
      </c>
      <c r="C715" t="s">
        <v>987</v>
      </c>
      <c r="D715">
        <v>1</v>
      </c>
      <c r="E715">
        <v>2000</v>
      </c>
      <c r="F715">
        <v>0</v>
      </c>
      <c r="G715">
        <v>20</v>
      </c>
      <c r="H715" t="s">
        <v>101</v>
      </c>
      <c r="I715" t="s">
        <v>106</v>
      </c>
      <c r="J715" t="s">
        <v>778</v>
      </c>
      <c r="K715" t="s">
        <v>108</v>
      </c>
      <c r="L715" t="s">
        <v>322</v>
      </c>
      <c r="M715" t="s">
        <v>110</v>
      </c>
      <c r="N715">
        <v>2.5999999999999999E-2</v>
      </c>
      <c r="O715">
        <v>1.7000000000000001E-2</v>
      </c>
      <c r="P715">
        <v>1.2E-2</v>
      </c>
    </row>
    <row r="716" spans="1:16" hidden="1">
      <c r="A716" t="s">
        <v>98</v>
      </c>
      <c r="B716" t="s">
        <v>148</v>
      </c>
      <c r="C716" t="s">
        <v>988</v>
      </c>
      <c r="D716">
        <v>2</v>
      </c>
      <c r="E716">
        <v>4000</v>
      </c>
      <c r="F716">
        <v>0</v>
      </c>
      <c r="G716">
        <v>20</v>
      </c>
      <c r="H716" t="s">
        <v>101</v>
      </c>
      <c r="I716" t="s">
        <v>102</v>
      </c>
      <c r="J716" t="s">
        <v>101</v>
      </c>
      <c r="K716" t="s">
        <v>101</v>
      </c>
      <c r="L716" t="s">
        <v>117</v>
      </c>
      <c r="M716" t="s">
        <v>118</v>
      </c>
      <c r="N716">
        <v>5.1999999999999998E-2</v>
      </c>
      <c r="O716">
        <v>3.4000000000000002E-2</v>
      </c>
      <c r="P716">
        <v>2.3E-2</v>
      </c>
    </row>
    <row r="717" spans="1:16" hidden="1">
      <c r="A717" t="s">
        <v>98</v>
      </c>
      <c r="B717" t="s">
        <v>114</v>
      </c>
      <c r="C717" t="s">
        <v>989</v>
      </c>
      <c r="D717">
        <v>2</v>
      </c>
      <c r="E717">
        <v>7500</v>
      </c>
      <c r="F717">
        <v>32</v>
      </c>
      <c r="G717">
        <v>420</v>
      </c>
      <c r="H717" t="s">
        <v>101</v>
      </c>
      <c r="I717" t="s">
        <v>102</v>
      </c>
      <c r="J717" t="s">
        <v>101</v>
      </c>
      <c r="K717" t="s">
        <v>101</v>
      </c>
      <c r="L717" t="s">
        <v>117</v>
      </c>
      <c r="M717" t="s">
        <v>118</v>
      </c>
      <c r="N717">
        <v>0.13300000000000001</v>
      </c>
      <c r="O717">
        <v>8.1000000000000003E-2</v>
      </c>
      <c r="P717">
        <v>5.1999999999999998E-2</v>
      </c>
    </row>
    <row r="718" spans="1:16" hidden="1">
      <c r="A718" t="s">
        <v>98</v>
      </c>
      <c r="B718" t="s">
        <v>114</v>
      </c>
      <c r="C718" t="s">
        <v>990</v>
      </c>
      <c r="D718">
        <v>2</v>
      </c>
      <c r="E718">
        <v>7500</v>
      </c>
      <c r="F718">
        <v>32</v>
      </c>
      <c r="G718">
        <v>420</v>
      </c>
      <c r="H718" t="s">
        <v>101</v>
      </c>
      <c r="I718" t="s">
        <v>102</v>
      </c>
      <c r="J718" t="s">
        <v>101</v>
      </c>
      <c r="K718" t="s">
        <v>101</v>
      </c>
      <c r="L718" t="s">
        <v>117</v>
      </c>
      <c r="M718" t="s">
        <v>118</v>
      </c>
      <c r="N718">
        <v>0.13300000000000001</v>
      </c>
      <c r="O718">
        <v>8.1000000000000003E-2</v>
      </c>
      <c r="P718">
        <v>5.1999999999999998E-2</v>
      </c>
    </row>
    <row r="719" spans="1:16" hidden="1">
      <c r="A719" t="s">
        <v>98</v>
      </c>
      <c r="B719" t="s">
        <v>114</v>
      </c>
      <c r="C719" t="s">
        <v>991</v>
      </c>
      <c r="D719">
        <v>2</v>
      </c>
      <c r="E719">
        <v>7500</v>
      </c>
      <c r="F719">
        <v>32</v>
      </c>
      <c r="G719">
        <v>820</v>
      </c>
      <c r="H719" t="s">
        <v>101</v>
      </c>
      <c r="I719" t="s">
        <v>102</v>
      </c>
      <c r="J719" t="s">
        <v>101</v>
      </c>
      <c r="K719" t="s">
        <v>101</v>
      </c>
      <c r="L719" t="s">
        <v>117</v>
      </c>
      <c r="M719" t="s">
        <v>118</v>
      </c>
      <c r="N719">
        <v>0.13300000000000001</v>
      </c>
      <c r="O719">
        <v>8.1000000000000003E-2</v>
      </c>
      <c r="P719">
        <v>5.1999999999999998E-2</v>
      </c>
    </row>
    <row r="720" spans="1:16" hidden="1">
      <c r="A720" t="s">
        <v>98</v>
      </c>
      <c r="B720" t="s">
        <v>114</v>
      </c>
      <c r="C720" t="s">
        <v>992</v>
      </c>
      <c r="D720">
        <v>2</v>
      </c>
      <c r="E720">
        <v>7500</v>
      </c>
      <c r="F720">
        <v>32</v>
      </c>
      <c r="G720">
        <v>420</v>
      </c>
      <c r="H720" t="s">
        <v>101</v>
      </c>
      <c r="I720" t="s">
        <v>102</v>
      </c>
      <c r="J720" t="s">
        <v>101</v>
      </c>
      <c r="K720" t="s">
        <v>101</v>
      </c>
      <c r="L720" t="s">
        <v>117</v>
      </c>
      <c r="M720" t="s">
        <v>118</v>
      </c>
      <c r="N720">
        <v>0.13300000000000001</v>
      </c>
      <c r="O720">
        <v>8.1000000000000003E-2</v>
      </c>
      <c r="P720">
        <v>5.1999999999999998E-2</v>
      </c>
    </row>
    <row r="721" spans="1:16" hidden="1">
      <c r="A721" t="s">
        <v>98</v>
      </c>
      <c r="B721" t="s">
        <v>99</v>
      </c>
      <c r="C721" t="s">
        <v>993</v>
      </c>
      <c r="D721">
        <v>2</v>
      </c>
      <c r="E721">
        <v>3750</v>
      </c>
      <c r="F721">
        <v>32</v>
      </c>
      <c r="G721">
        <v>20</v>
      </c>
      <c r="H721" t="s">
        <v>101</v>
      </c>
      <c r="I721" t="s">
        <v>102</v>
      </c>
      <c r="J721" t="s">
        <v>101</v>
      </c>
      <c r="K721" t="s">
        <v>101</v>
      </c>
      <c r="L721" t="s">
        <v>101</v>
      </c>
      <c r="M721" t="s">
        <v>118</v>
      </c>
      <c r="N721">
        <v>0.105</v>
      </c>
      <c r="O721">
        <v>6.2E-2</v>
      </c>
      <c r="P721">
        <v>3.9E-2</v>
      </c>
    </row>
    <row r="722" spans="1:16" hidden="1">
      <c r="A722" t="s">
        <v>98</v>
      </c>
      <c r="B722" t="s">
        <v>99</v>
      </c>
      <c r="C722" t="s">
        <v>994</v>
      </c>
      <c r="D722">
        <v>2</v>
      </c>
      <c r="E722">
        <v>3750</v>
      </c>
      <c r="F722">
        <v>32</v>
      </c>
      <c r="G722">
        <v>20</v>
      </c>
      <c r="H722" t="s">
        <v>101</v>
      </c>
      <c r="I722" t="s">
        <v>102</v>
      </c>
      <c r="J722" t="s">
        <v>101</v>
      </c>
      <c r="K722" t="s">
        <v>101</v>
      </c>
      <c r="L722" t="s">
        <v>101</v>
      </c>
      <c r="M722" t="s">
        <v>118</v>
      </c>
      <c r="N722">
        <v>0.105</v>
      </c>
      <c r="O722">
        <v>6.2E-2</v>
      </c>
      <c r="P722">
        <v>3.9E-2</v>
      </c>
    </row>
    <row r="723" spans="1:16" hidden="1">
      <c r="A723" t="s">
        <v>98</v>
      </c>
      <c r="B723" t="s">
        <v>172</v>
      </c>
      <c r="C723" t="s">
        <v>995</v>
      </c>
      <c r="D723">
        <v>1</v>
      </c>
      <c r="E723">
        <v>2000</v>
      </c>
      <c r="F723">
        <v>0</v>
      </c>
      <c r="G723">
        <v>20</v>
      </c>
      <c r="H723" t="s">
        <v>101</v>
      </c>
      <c r="I723" t="s">
        <v>102</v>
      </c>
      <c r="J723" t="s">
        <v>101</v>
      </c>
      <c r="K723" t="s">
        <v>101</v>
      </c>
      <c r="L723" t="s">
        <v>311</v>
      </c>
      <c r="M723" t="s">
        <v>125</v>
      </c>
      <c r="N723">
        <v>2.5999999999999999E-2</v>
      </c>
      <c r="O723">
        <v>1.7000000000000001E-2</v>
      </c>
      <c r="P723">
        <v>1.2E-2</v>
      </c>
    </row>
    <row r="724" spans="1:16">
      <c r="A724" t="s">
        <v>98</v>
      </c>
      <c r="B724" t="s">
        <v>135</v>
      </c>
      <c r="C724" t="s">
        <v>996</v>
      </c>
      <c r="D724">
        <v>1</v>
      </c>
      <c r="E724">
        <v>3750</v>
      </c>
      <c r="F724">
        <v>4</v>
      </c>
      <c r="G724">
        <v>30</v>
      </c>
      <c r="H724" t="s">
        <v>101</v>
      </c>
      <c r="I724" t="s">
        <v>106</v>
      </c>
      <c r="J724" t="s">
        <v>214</v>
      </c>
      <c r="K724" t="s">
        <v>108</v>
      </c>
      <c r="L724" t="s">
        <v>101</v>
      </c>
      <c r="M724" t="s">
        <v>110</v>
      </c>
      <c r="N724">
        <v>6.7000000000000004E-2</v>
      </c>
      <c r="O724">
        <v>0.04</v>
      </c>
      <c r="P724">
        <v>2.5999999999999999E-2</v>
      </c>
    </row>
    <row r="725" spans="1:16">
      <c r="A725" t="s">
        <v>98</v>
      </c>
      <c r="B725" t="s">
        <v>148</v>
      </c>
      <c r="C725" t="s">
        <v>997</v>
      </c>
      <c r="D725">
        <v>2</v>
      </c>
      <c r="E725">
        <v>4000</v>
      </c>
      <c r="F725">
        <v>0</v>
      </c>
      <c r="G725">
        <v>20</v>
      </c>
      <c r="H725" t="s">
        <v>101</v>
      </c>
      <c r="I725" t="s">
        <v>106</v>
      </c>
      <c r="J725" t="s">
        <v>998</v>
      </c>
      <c r="K725" t="s">
        <v>108</v>
      </c>
      <c r="L725" t="s">
        <v>113</v>
      </c>
      <c r="M725" t="s">
        <v>110</v>
      </c>
      <c r="N725">
        <v>5.1999999999999998E-2</v>
      </c>
      <c r="O725">
        <v>3.4000000000000002E-2</v>
      </c>
      <c r="P725">
        <v>2.3E-2</v>
      </c>
    </row>
    <row r="726" spans="1:16" hidden="1">
      <c r="A726" t="s">
        <v>98</v>
      </c>
      <c r="B726" t="s">
        <v>135</v>
      </c>
      <c r="C726" t="s">
        <v>999</v>
      </c>
      <c r="D726">
        <v>1</v>
      </c>
      <c r="E726">
        <v>3750</v>
      </c>
      <c r="F726">
        <v>4</v>
      </c>
      <c r="G726">
        <v>8</v>
      </c>
      <c r="H726" t="s">
        <v>101</v>
      </c>
      <c r="I726" t="s">
        <v>101</v>
      </c>
      <c r="J726" t="s">
        <v>101</v>
      </c>
      <c r="K726" t="s">
        <v>101</v>
      </c>
      <c r="L726" t="s">
        <v>101</v>
      </c>
      <c r="M726" t="s">
        <v>110</v>
      </c>
      <c r="N726">
        <v>6.7000000000000004E-2</v>
      </c>
      <c r="O726">
        <v>0.04</v>
      </c>
      <c r="P726">
        <v>2.5999999999999999E-2</v>
      </c>
    </row>
    <row r="727" spans="1:16">
      <c r="A727" t="s">
        <v>98</v>
      </c>
      <c r="B727" t="s">
        <v>148</v>
      </c>
      <c r="C727" t="s">
        <v>1000</v>
      </c>
      <c r="D727">
        <v>2</v>
      </c>
      <c r="E727">
        <v>4000</v>
      </c>
      <c r="F727">
        <v>0</v>
      </c>
      <c r="G727">
        <v>20</v>
      </c>
      <c r="H727" t="s">
        <v>101</v>
      </c>
      <c r="I727" t="s">
        <v>106</v>
      </c>
      <c r="J727" t="s">
        <v>998</v>
      </c>
      <c r="K727" t="s">
        <v>108</v>
      </c>
      <c r="L727" t="s">
        <v>280</v>
      </c>
      <c r="M727" t="s">
        <v>110</v>
      </c>
      <c r="N727">
        <v>5.1999999999999998E-2</v>
      </c>
      <c r="O727">
        <v>3.4000000000000002E-2</v>
      </c>
      <c r="P727">
        <v>2.3E-2</v>
      </c>
    </row>
    <row r="728" spans="1:16">
      <c r="A728" t="s">
        <v>98</v>
      </c>
      <c r="B728" t="s">
        <v>148</v>
      </c>
      <c r="C728" t="s">
        <v>1001</v>
      </c>
      <c r="D728">
        <v>2</v>
      </c>
      <c r="E728">
        <v>4000</v>
      </c>
      <c r="F728">
        <v>0</v>
      </c>
      <c r="G728">
        <v>20</v>
      </c>
      <c r="H728" t="s">
        <v>101</v>
      </c>
      <c r="I728" t="s">
        <v>106</v>
      </c>
      <c r="J728" t="s">
        <v>998</v>
      </c>
      <c r="K728" t="s">
        <v>108</v>
      </c>
      <c r="L728" t="s">
        <v>280</v>
      </c>
      <c r="M728" t="s">
        <v>110</v>
      </c>
      <c r="N728">
        <v>5.1999999999999998E-2</v>
      </c>
      <c r="O728">
        <v>3.4000000000000002E-2</v>
      </c>
      <c r="P728">
        <v>2.3E-2</v>
      </c>
    </row>
    <row r="729" spans="1:16">
      <c r="A729" t="s">
        <v>98</v>
      </c>
      <c r="B729" t="s">
        <v>172</v>
      </c>
      <c r="C729" t="s">
        <v>1002</v>
      </c>
      <c r="D729">
        <v>1</v>
      </c>
      <c r="E729">
        <v>2000</v>
      </c>
      <c r="F729">
        <v>0</v>
      </c>
      <c r="G729">
        <v>20</v>
      </c>
      <c r="H729" t="s">
        <v>101</v>
      </c>
      <c r="I729" t="s">
        <v>106</v>
      </c>
      <c r="J729" t="s">
        <v>107</v>
      </c>
      <c r="K729" t="s">
        <v>108</v>
      </c>
      <c r="L729" t="s">
        <v>233</v>
      </c>
      <c r="M729" t="s">
        <v>110</v>
      </c>
      <c r="N729">
        <v>2.5999999999999999E-2</v>
      </c>
      <c r="O729">
        <v>1.7000000000000001E-2</v>
      </c>
      <c r="P729">
        <v>1.2E-2</v>
      </c>
    </row>
    <row r="730" spans="1:16">
      <c r="A730" t="s">
        <v>98</v>
      </c>
      <c r="B730" t="s">
        <v>172</v>
      </c>
      <c r="C730" t="s">
        <v>1003</v>
      </c>
      <c r="D730">
        <v>1</v>
      </c>
      <c r="E730">
        <v>2000</v>
      </c>
      <c r="F730">
        <v>0</v>
      </c>
      <c r="G730">
        <v>20</v>
      </c>
      <c r="H730" t="s">
        <v>101</v>
      </c>
      <c r="I730" t="s">
        <v>106</v>
      </c>
      <c r="J730" t="s">
        <v>107</v>
      </c>
      <c r="K730" t="s">
        <v>108</v>
      </c>
      <c r="L730" t="s">
        <v>233</v>
      </c>
      <c r="M730" t="s">
        <v>110</v>
      </c>
      <c r="N730">
        <v>2.5999999999999999E-2</v>
      </c>
      <c r="O730">
        <v>1.7000000000000001E-2</v>
      </c>
      <c r="P730">
        <v>1.2E-2</v>
      </c>
    </row>
    <row r="731" spans="1:16">
      <c r="A731" t="s">
        <v>98</v>
      </c>
      <c r="B731" t="s">
        <v>172</v>
      </c>
      <c r="C731" t="s">
        <v>1004</v>
      </c>
      <c r="D731">
        <v>1</v>
      </c>
      <c r="E731">
        <v>2000</v>
      </c>
      <c r="F731">
        <v>0</v>
      </c>
      <c r="G731">
        <v>20</v>
      </c>
      <c r="H731" t="s">
        <v>101</v>
      </c>
      <c r="I731" t="s">
        <v>106</v>
      </c>
      <c r="J731" t="s">
        <v>107</v>
      </c>
      <c r="K731" t="s">
        <v>108</v>
      </c>
      <c r="L731" t="s">
        <v>233</v>
      </c>
      <c r="M731" t="s">
        <v>110</v>
      </c>
      <c r="N731">
        <v>2.5999999999999999E-2</v>
      </c>
      <c r="O731">
        <v>1.7000000000000001E-2</v>
      </c>
      <c r="P731">
        <v>1.2E-2</v>
      </c>
    </row>
    <row r="732" spans="1:16" hidden="1">
      <c r="A732" t="s">
        <v>98</v>
      </c>
      <c r="B732" t="s">
        <v>212</v>
      </c>
      <c r="C732" t="s">
        <v>1005</v>
      </c>
      <c r="D732">
        <v>1</v>
      </c>
      <c r="E732">
        <v>1000</v>
      </c>
      <c r="F732">
        <v>0</v>
      </c>
      <c r="G732">
        <v>20</v>
      </c>
      <c r="H732" t="s">
        <v>101</v>
      </c>
      <c r="I732" t="s">
        <v>101</v>
      </c>
      <c r="J732" t="s">
        <v>101</v>
      </c>
      <c r="K732" t="s">
        <v>101</v>
      </c>
      <c r="L732" t="s">
        <v>101</v>
      </c>
      <c r="M732" t="s">
        <v>110</v>
      </c>
      <c r="N732">
        <v>1.2999999999999999E-2</v>
      </c>
      <c r="O732">
        <v>8.9999999999999993E-3</v>
      </c>
      <c r="P732">
        <v>6.0000000000000001E-3</v>
      </c>
    </row>
    <row r="733" spans="1:16">
      <c r="A733" t="s">
        <v>98</v>
      </c>
      <c r="B733" t="s">
        <v>588</v>
      </c>
      <c r="C733" t="s">
        <v>1006</v>
      </c>
      <c r="D733">
        <v>4</v>
      </c>
      <c r="E733">
        <v>7500</v>
      </c>
      <c r="F733">
        <v>80</v>
      </c>
      <c r="G733">
        <v>20</v>
      </c>
      <c r="H733" t="s">
        <v>101</v>
      </c>
      <c r="I733" t="s">
        <v>106</v>
      </c>
      <c r="J733" t="s">
        <v>376</v>
      </c>
      <c r="K733" t="s">
        <v>108</v>
      </c>
      <c r="L733" t="s">
        <v>242</v>
      </c>
      <c r="M733" t="s">
        <v>110</v>
      </c>
      <c r="N733">
        <v>0.21</v>
      </c>
      <c r="O733">
        <v>0.125</v>
      </c>
      <c r="P733">
        <v>7.9000000000000001E-2</v>
      </c>
    </row>
    <row r="734" spans="1:16">
      <c r="A734" t="s">
        <v>98</v>
      </c>
      <c r="B734" t="s">
        <v>588</v>
      </c>
      <c r="C734" t="s">
        <v>1007</v>
      </c>
      <c r="D734">
        <v>4</v>
      </c>
      <c r="E734">
        <v>7500</v>
      </c>
      <c r="F734">
        <v>80</v>
      </c>
      <c r="G734">
        <v>20</v>
      </c>
      <c r="H734" t="s">
        <v>101</v>
      </c>
      <c r="I734" t="s">
        <v>106</v>
      </c>
      <c r="J734" t="s">
        <v>376</v>
      </c>
      <c r="K734" t="s">
        <v>108</v>
      </c>
      <c r="L734" t="s">
        <v>242</v>
      </c>
      <c r="M734" t="s">
        <v>110</v>
      </c>
      <c r="N734">
        <v>0.21</v>
      </c>
      <c r="O734">
        <v>0.125</v>
      </c>
      <c r="P734">
        <v>7.9000000000000001E-2</v>
      </c>
    </row>
    <row r="735" spans="1:16">
      <c r="A735" t="s">
        <v>98</v>
      </c>
      <c r="B735" t="s">
        <v>114</v>
      </c>
      <c r="C735" t="s">
        <v>1008</v>
      </c>
      <c r="D735">
        <v>2</v>
      </c>
      <c r="E735">
        <v>7500</v>
      </c>
      <c r="F735">
        <v>32</v>
      </c>
      <c r="G735">
        <v>820</v>
      </c>
      <c r="H735" t="s">
        <v>101</v>
      </c>
      <c r="I735" t="s">
        <v>106</v>
      </c>
      <c r="J735" t="s">
        <v>130</v>
      </c>
      <c r="K735" t="s">
        <v>108</v>
      </c>
      <c r="L735" t="s">
        <v>1009</v>
      </c>
      <c r="M735" t="s">
        <v>110</v>
      </c>
      <c r="N735">
        <v>0.13300000000000001</v>
      </c>
      <c r="O735">
        <v>8.1000000000000003E-2</v>
      </c>
      <c r="P735">
        <v>5.1999999999999998E-2</v>
      </c>
    </row>
    <row r="736" spans="1:16">
      <c r="A736" t="s">
        <v>98</v>
      </c>
      <c r="B736" t="s">
        <v>114</v>
      </c>
      <c r="C736" t="s">
        <v>1010</v>
      </c>
      <c r="D736">
        <v>2</v>
      </c>
      <c r="E736">
        <v>7500</v>
      </c>
      <c r="F736">
        <v>32</v>
      </c>
      <c r="G736">
        <v>420</v>
      </c>
      <c r="H736" t="s">
        <v>101</v>
      </c>
      <c r="I736" t="s">
        <v>106</v>
      </c>
      <c r="J736" t="s">
        <v>130</v>
      </c>
      <c r="K736" t="s">
        <v>108</v>
      </c>
      <c r="L736" t="s">
        <v>1009</v>
      </c>
      <c r="M736" t="s">
        <v>110</v>
      </c>
      <c r="N736">
        <v>0.13300000000000001</v>
      </c>
      <c r="O736">
        <v>8.1000000000000003E-2</v>
      </c>
      <c r="P736">
        <v>5.1999999999999998E-2</v>
      </c>
    </row>
    <row r="737" spans="1:16">
      <c r="A737" t="s">
        <v>98</v>
      </c>
      <c r="B737" t="s">
        <v>114</v>
      </c>
      <c r="C737" t="s">
        <v>1011</v>
      </c>
      <c r="D737">
        <v>2</v>
      </c>
      <c r="E737">
        <v>7500</v>
      </c>
      <c r="F737">
        <v>32</v>
      </c>
      <c r="G737">
        <v>420</v>
      </c>
      <c r="H737" t="s">
        <v>101</v>
      </c>
      <c r="I737" t="s">
        <v>106</v>
      </c>
      <c r="J737" t="s">
        <v>130</v>
      </c>
      <c r="K737" t="s">
        <v>108</v>
      </c>
      <c r="L737" t="s">
        <v>1009</v>
      </c>
      <c r="M737" t="s">
        <v>110</v>
      </c>
      <c r="N737">
        <v>0.13300000000000001</v>
      </c>
      <c r="O737">
        <v>8.1000000000000003E-2</v>
      </c>
      <c r="P737">
        <v>5.1999999999999998E-2</v>
      </c>
    </row>
    <row r="738" spans="1:16">
      <c r="A738" t="s">
        <v>98</v>
      </c>
      <c r="B738" t="s">
        <v>172</v>
      </c>
      <c r="C738" t="s">
        <v>1012</v>
      </c>
      <c r="D738">
        <v>1</v>
      </c>
      <c r="E738">
        <v>2000</v>
      </c>
      <c r="F738">
        <v>0</v>
      </c>
      <c r="G738">
        <v>20</v>
      </c>
      <c r="H738" t="s">
        <v>101</v>
      </c>
      <c r="I738" t="s">
        <v>106</v>
      </c>
      <c r="J738" t="s">
        <v>661</v>
      </c>
      <c r="K738" t="s">
        <v>108</v>
      </c>
      <c r="L738" t="s">
        <v>222</v>
      </c>
      <c r="M738" t="s">
        <v>110</v>
      </c>
      <c r="N738">
        <v>2.5999999999999999E-2</v>
      </c>
      <c r="O738">
        <v>1.7000000000000001E-2</v>
      </c>
      <c r="P738">
        <v>1.2E-2</v>
      </c>
    </row>
    <row r="739" spans="1:16">
      <c r="A739" t="s">
        <v>98</v>
      </c>
      <c r="B739" t="s">
        <v>114</v>
      </c>
      <c r="C739" t="s">
        <v>1013</v>
      </c>
      <c r="D739">
        <v>2</v>
      </c>
      <c r="E739">
        <v>7500</v>
      </c>
      <c r="F739">
        <v>32</v>
      </c>
      <c r="G739">
        <v>820</v>
      </c>
      <c r="H739" t="s">
        <v>101</v>
      </c>
      <c r="I739" t="s">
        <v>106</v>
      </c>
      <c r="J739" t="s">
        <v>153</v>
      </c>
      <c r="K739" t="s">
        <v>108</v>
      </c>
      <c r="L739" t="s">
        <v>117</v>
      </c>
      <c r="M739" t="s">
        <v>110</v>
      </c>
      <c r="N739">
        <v>0.13300000000000001</v>
      </c>
      <c r="O739">
        <v>8.1000000000000003E-2</v>
      </c>
      <c r="P739">
        <v>5.1999999999999998E-2</v>
      </c>
    </row>
    <row r="740" spans="1:16">
      <c r="A740" t="s">
        <v>98</v>
      </c>
      <c r="B740" t="s">
        <v>148</v>
      </c>
      <c r="C740" t="s">
        <v>1014</v>
      </c>
      <c r="D740">
        <v>2</v>
      </c>
      <c r="E740">
        <v>4000</v>
      </c>
      <c r="F740">
        <v>0</v>
      </c>
      <c r="G740">
        <v>20</v>
      </c>
      <c r="H740" t="s">
        <v>101</v>
      </c>
      <c r="I740" t="s">
        <v>106</v>
      </c>
      <c r="J740" t="s">
        <v>153</v>
      </c>
      <c r="K740" t="s">
        <v>108</v>
      </c>
      <c r="L740" t="s">
        <v>117</v>
      </c>
      <c r="M740" t="s">
        <v>110</v>
      </c>
      <c r="N740">
        <v>5.1999999999999998E-2</v>
      </c>
      <c r="O740">
        <v>3.4000000000000002E-2</v>
      </c>
      <c r="P740">
        <v>2.3E-2</v>
      </c>
    </row>
    <row r="741" spans="1:16">
      <c r="A741" t="s">
        <v>98</v>
      </c>
      <c r="B741" t="s">
        <v>114</v>
      </c>
      <c r="C741" t="s">
        <v>1015</v>
      </c>
      <c r="D741">
        <v>2</v>
      </c>
      <c r="E741">
        <v>7500</v>
      </c>
      <c r="F741">
        <v>32</v>
      </c>
      <c r="G741">
        <v>420</v>
      </c>
      <c r="H741" t="s">
        <v>101</v>
      </c>
      <c r="I741" t="s">
        <v>106</v>
      </c>
      <c r="J741" t="s">
        <v>153</v>
      </c>
      <c r="K741" t="s">
        <v>108</v>
      </c>
      <c r="L741" t="s">
        <v>117</v>
      </c>
      <c r="M741" t="s">
        <v>110</v>
      </c>
      <c r="N741">
        <v>0.13300000000000001</v>
      </c>
      <c r="O741">
        <v>8.1000000000000003E-2</v>
      </c>
      <c r="P741">
        <v>5.1999999999999998E-2</v>
      </c>
    </row>
    <row r="742" spans="1:16">
      <c r="A742" t="s">
        <v>98</v>
      </c>
      <c r="B742" t="s">
        <v>114</v>
      </c>
      <c r="C742" t="s">
        <v>1016</v>
      </c>
      <c r="D742">
        <v>2</v>
      </c>
      <c r="E742">
        <v>7500</v>
      </c>
      <c r="F742">
        <v>32</v>
      </c>
      <c r="G742">
        <v>420</v>
      </c>
      <c r="H742" t="s">
        <v>101</v>
      </c>
      <c r="I742" t="s">
        <v>106</v>
      </c>
      <c r="J742" t="s">
        <v>153</v>
      </c>
      <c r="K742" t="s">
        <v>108</v>
      </c>
      <c r="L742" t="s">
        <v>117</v>
      </c>
      <c r="M742" t="s">
        <v>110</v>
      </c>
      <c r="N742">
        <v>0.13300000000000001</v>
      </c>
      <c r="O742">
        <v>8.1000000000000003E-2</v>
      </c>
      <c r="P742">
        <v>5.1999999999999998E-2</v>
      </c>
    </row>
    <row r="743" spans="1:16">
      <c r="A743" t="s">
        <v>98</v>
      </c>
      <c r="B743" t="s">
        <v>114</v>
      </c>
      <c r="C743" t="s">
        <v>1017</v>
      </c>
      <c r="D743">
        <v>2</v>
      </c>
      <c r="E743">
        <v>7500</v>
      </c>
      <c r="F743">
        <v>32</v>
      </c>
      <c r="G743">
        <v>420</v>
      </c>
      <c r="H743" t="s">
        <v>101</v>
      </c>
      <c r="I743" t="s">
        <v>106</v>
      </c>
      <c r="J743" t="s">
        <v>153</v>
      </c>
      <c r="K743" t="s">
        <v>108</v>
      </c>
      <c r="L743" t="s">
        <v>117</v>
      </c>
      <c r="M743" t="s">
        <v>110</v>
      </c>
      <c r="N743">
        <v>0.13300000000000001</v>
      </c>
      <c r="O743">
        <v>8.1000000000000003E-2</v>
      </c>
      <c r="P743">
        <v>5.1999999999999998E-2</v>
      </c>
    </row>
    <row r="744" spans="1:16">
      <c r="A744" t="s">
        <v>98</v>
      </c>
      <c r="B744" t="s">
        <v>172</v>
      </c>
      <c r="C744" t="s">
        <v>1018</v>
      </c>
      <c r="D744">
        <v>1</v>
      </c>
      <c r="E744">
        <v>2000</v>
      </c>
      <c r="F744">
        <v>0</v>
      </c>
      <c r="G744">
        <v>20</v>
      </c>
      <c r="H744" t="s">
        <v>101</v>
      </c>
      <c r="I744" t="s">
        <v>106</v>
      </c>
      <c r="J744" t="s">
        <v>661</v>
      </c>
      <c r="K744" t="s">
        <v>108</v>
      </c>
      <c r="L744" t="s">
        <v>128</v>
      </c>
      <c r="M744" t="s">
        <v>110</v>
      </c>
      <c r="N744">
        <v>2.5999999999999999E-2</v>
      </c>
      <c r="O744">
        <v>1.7000000000000001E-2</v>
      </c>
      <c r="P744">
        <v>1.2E-2</v>
      </c>
    </row>
    <row r="745" spans="1:16">
      <c r="A745" t="s">
        <v>98</v>
      </c>
      <c r="B745" t="s">
        <v>172</v>
      </c>
      <c r="C745" t="s">
        <v>1019</v>
      </c>
      <c r="D745">
        <v>1</v>
      </c>
      <c r="E745">
        <v>2000</v>
      </c>
      <c r="F745">
        <v>0</v>
      </c>
      <c r="G745">
        <v>20</v>
      </c>
      <c r="H745" t="s">
        <v>101</v>
      </c>
      <c r="I745" t="s">
        <v>106</v>
      </c>
      <c r="J745" t="s">
        <v>661</v>
      </c>
      <c r="K745" t="s">
        <v>108</v>
      </c>
      <c r="L745" t="s">
        <v>222</v>
      </c>
      <c r="M745" t="s">
        <v>110</v>
      </c>
      <c r="N745">
        <v>2.5999999999999999E-2</v>
      </c>
      <c r="O745">
        <v>1.7000000000000001E-2</v>
      </c>
      <c r="P745">
        <v>1.2E-2</v>
      </c>
    </row>
    <row r="746" spans="1:16">
      <c r="A746" t="s">
        <v>98</v>
      </c>
      <c r="B746" t="s">
        <v>172</v>
      </c>
      <c r="C746" t="s">
        <v>1020</v>
      </c>
      <c r="D746">
        <v>1</v>
      </c>
      <c r="E746">
        <v>2000</v>
      </c>
      <c r="F746">
        <v>0</v>
      </c>
      <c r="G746">
        <v>20</v>
      </c>
      <c r="H746" t="s">
        <v>101</v>
      </c>
      <c r="I746" t="s">
        <v>106</v>
      </c>
      <c r="J746" t="s">
        <v>661</v>
      </c>
      <c r="K746" t="s">
        <v>108</v>
      </c>
      <c r="L746" t="s">
        <v>128</v>
      </c>
      <c r="M746" t="s">
        <v>110</v>
      </c>
      <c r="N746">
        <v>2.5999999999999999E-2</v>
      </c>
      <c r="O746">
        <v>1.7000000000000001E-2</v>
      </c>
      <c r="P746">
        <v>1.2E-2</v>
      </c>
    </row>
    <row r="747" spans="1:16">
      <c r="A747" t="s">
        <v>98</v>
      </c>
      <c r="B747" t="s">
        <v>148</v>
      </c>
      <c r="C747" t="s">
        <v>1021</v>
      </c>
      <c r="D747">
        <v>2</v>
      </c>
      <c r="E747">
        <v>4000</v>
      </c>
      <c r="F747">
        <v>0</v>
      </c>
      <c r="G747">
        <v>20</v>
      </c>
      <c r="H747" t="s">
        <v>101</v>
      </c>
      <c r="I747" t="s">
        <v>106</v>
      </c>
      <c r="J747" t="s">
        <v>998</v>
      </c>
      <c r="K747" t="s">
        <v>108</v>
      </c>
      <c r="L747" t="s">
        <v>231</v>
      </c>
      <c r="M747" t="s">
        <v>110</v>
      </c>
      <c r="N747">
        <v>5.1999999999999998E-2</v>
      </c>
      <c r="O747">
        <v>3.4000000000000002E-2</v>
      </c>
      <c r="P747">
        <v>2.3E-2</v>
      </c>
    </row>
    <row r="748" spans="1:16">
      <c r="A748" t="s">
        <v>98</v>
      </c>
      <c r="B748" t="s">
        <v>148</v>
      </c>
      <c r="C748" t="s">
        <v>1022</v>
      </c>
      <c r="D748">
        <v>2</v>
      </c>
      <c r="E748">
        <v>4000</v>
      </c>
      <c r="F748">
        <v>0</v>
      </c>
      <c r="G748">
        <v>20</v>
      </c>
      <c r="H748" t="s">
        <v>101</v>
      </c>
      <c r="I748" t="s">
        <v>106</v>
      </c>
      <c r="J748" t="s">
        <v>998</v>
      </c>
      <c r="K748" t="s">
        <v>108</v>
      </c>
      <c r="L748" t="s">
        <v>231</v>
      </c>
      <c r="M748" t="s">
        <v>110</v>
      </c>
      <c r="N748">
        <v>5.1999999999999998E-2</v>
      </c>
      <c r="O748">
        <v>3.4000000000000002E-2</v>
      </c>
      <c r="P748">
        <v>2.3E-2</v>
      </c>
    </row>
    <row r="749" spans="1:16" hidden="1">
      <c r="A749" t="s">
        <v>98</v>
      </c>
      <c r="B749" t="s">
        <v>99</v>
      </c>
      <c r="C749" t="s">
        <v>1023</v>
      </c>
      <c r="D749">
        <v>2</v>
      </c>
      <c r="E749">
        <v>3750</v>
      </c>
      <c r="F749">
        <v>32</v>
      </c>
      <c r="G749">
        <v>20</v>
      </c>
      <c r="H749" t="s">
        <v>101</v>
      </c>
      <c r="I749" t="s">
        <v>102</v>
      </c>
      <c r="J749" t="s">
        <v>101</v>
      </c>
      <c r="K749" t="s">
        <v>150</v>
      </c>
      <c r="L749" t="s">
        <v>124</v>
      </c>
      <c r="M749" t="s">
        <v>151</v>
      </c>
      <c r="N749">
        <v>0.105</v>
      </c>
      <c r="O749">
        <v>6.2E-2</v>
      </c>
      <c r="P749">
        <v>3.9E-2</v>
      </c>
    </row>
    <row r="750" spans="1:16">
      <c r="A750" t="s">
        <v>98</v>
      </c>
      <c r="B750" t="s">
        <v>148</v>
      </c>
      <c r="C750" t="s">
        <v>1024</v>
      </c>
      <c r="D750">
        <v>2</v>
      </c>
      <c r="E750">
        <v>4000</v>
      </c>
      <c r="F750">
        <v>0</v>
      </c>
      <c r="G750">
        <v>20</v>
      </c>
      <c r="H750" t="s">
        <v>101</v>
      </c>
      <c r="I750" t="s">
        <v>106</v>
      </c>
      <c r="J750" t="s">
        <v>998</v>
      </c>
      <c r="K750" t="s">
        <v>108</v>
      </c>
      <c r="L750" t="s">
        <v>113</v>
      </c>
      <c r="M750" t="s">
        <v>110</v>
      </c>
      <c r="N750">
        <v>5.1999999999999998E-2</v>
      </c>
      <c r="O750">
        <v>3.4000000000000002E-2</v>
      </c>
      <c r="P750">
        <v>2.3E-2</v>
      </c>
    </row>
    <row r="751" spans="1:16">
      <c r="A751" t="s">
        <v>98</v>
      </c>
      <c r="B751" t="s">
        <v>172</v>
      </c>
      <c r="C751" t="s">
        <v>1025</v>
      </c>
      <c r="D751">
        <v>1</v>
      </c>
      <c r="E751">
        <v>2000</v>
      </c>
      <c r="F751">
        <v>0</v>
      </c>
      <c r="G751">
        <v>20</v>
      </c>
      <c r="H751" t="s">
        <v>101</v>
      </c>
      <c r="I751" t="s">
        <v>106</v>
      </c>
      <c r="J751" t="s">
        <v>661</v>
      </c>
      <c r="K751" t="s">
        <v>108</v>
      </c>
      <c r="L751" t="s">
        <v>128</v>
      </c>
      <c r="M751" t="s">
        <v>110</v>
      </c>
      <c r="N751">
        <v>2.5999999999999999E-2</v>
      </c>
      <c r="O751">
        <v>1.7000000000000001E-2</v>
      </c>
      <c r="P751">
        <v>1.2E-2</v>
      </c>
    </row>
    <row r="752" spans="1:16">
      <c r="A752" t="s">
        <v>98</v>
      </c>
      <c r="B752" t="s">
        <v>172</v>
      </c>
      <c r="C752" t="s">
        <v>1026</v>
      </c>
      <c r="D752">
        <v>1</v>
      </c>
      <c r="E752">
        <v>2000</v>
      </c>
      <c r="F752">
        <v>0</v>
      </c>
      <c r="G752">
        <v>20</v>
      </c>
      <c r="H752" t="s">
        <v>101</v>
      </c>
      <c r="I752" t="s">
        <v>106</v>
      </c>
      <c r="J752" t="s">
        <v>661</v>
      </c>
      <c r="K752" t="s">
        <v>108</v>
      </c>
      <c r="L752" t="s">
        <v>222</v>
      </c>
      <c r="M752" t="s">
        <v>110</v>
      </c>
      <c r="N752">
        <v>2.5999999999999999E-2</v>
      </c>
      <c r="O752">
        <v>1.7000000000000001E-2</v>
      </c>
      <c r="P752">
        <v>1.2E-2</v>
      </c>
    </row>
    <row r="753" spans="1:16">
      <c r="A753" t="s">
        <v>98</v>
      </c>
      <c r="B753" t="s">
        <v>172</v>
      </c>
      <c r="C753" t="s">
        <v>1027</v>
      </c>
      <c r="D753">
        <v>1</v>
      </c>
      <c r="E753">
        <v>2000</v>
      </c>
      <c r="F753">
        <v>0</v>
      </c>
      <c r="G753">
        <v>20</v>
      </c>
      <c r="H753" t="s">
        <v>101</v>
      </c>
      <c r="I753" t="s">
        <v>106</v>
      </c>
      <c r="J753" t="s">
        <v>661</v>
      </c>
      <c r="K753" t="s">
        <v>108</v>
      </c>
      <c r="L753" t="s">
        <v>222</v>
      </c>
      <c r="M753" t="s">
        <v>110</v>
      </c>
      <c r="N753">
        <v>2.5999999999999999E-2</v>
      </c>
      <c r="O753">
        <v>1.7000000000000001E-2</v>
      </c>
      <c r="P753">
        <v>1.2E-2</v>
      </c>
    </row>
    <row r="754" spans="1:16">
      <c r="A754" t="s">
        <v>98</v>
      </c>
      <c r="B754" t="s">
        <v>172</v>
      </c>
      <c r="C754" t="s">
        <v>1028</v>
      </c>
      <c r="D754">
        <v>1</v>
      </c>
      <c r="E754">
        <v>2000</v>
      </c>
      <c r="F754">
        <v>0</v>
      </c>
      <c r="G754">
        <v>20</v>
      </c>
      <c r="H754" t="s">
        <v>101</v>
      </c>
      <c r="I754" t="s">
        <v>106</v>
      </c>
      <c r="J754" t="s">
        <v>661</v>
      </c>
      <c r="K754" t="s">
        <v>108</v>
      </c>
      <c r="L754" t="s">
        <v>128</v>
      </c>
      <c r="M754" t="s">
        <v>110</v>
      </c>
      <c r="N754">
        <v>2.5999999999999999E-2</v>
      </c>
      <c r="O754">
        <v>1.7000000000000001E-2</v>
      </c>
      <c r="P754">
        <v>1.2E-2</v>
      </c>
    </row>
    <row r="755" spans="1:16">
      <c r="A755" t="s">
        <v>98</v>
      </c>
      <c r="B755" t="s">
        <v>172</v>
      </c>
      <c r="C755" t="s">
        <v>1029</v>
      </c>
      <c r="D755">
        <v>1</v>
      </c>
      <c r="E755">
        <v>2000</v>
      </c>
      <c r="F755">
        <v>0</v>
      </c>
      <c r="G755">
        <v>20</v>
      </c>
      <c r="H755" t="s">
        <v>101</v>
      </c>
      <c r="I755" t="s">
        <v>106</v>
      </c>
      <c r="J755" t="s">
        <v>1030</v>
      </c>
      <c r="K755" t="s">
        <v>108</v>
      </c>
      <c r="L755" t="s">
        <v>121</v>
      </c>
      <c r="M755" t="s">
        <v>110</v>
      </c>
      <c r="N755">
        <v>2.5999999999999999E-2</v>
      </c>
      <c r="O755">
        <v>1.7000000000000001E-2</v>
      </c>
      <c r="P755">
        <v>1.2E-2</v>
      </c>
    </row>
    <row r="756" spans="1:16" hidden="1">
      <c r="A756" t="s">
        <v>98</v>
      </c>
      <c r="B756" t="s">
        <v>104</v>
      </c>
      <c r="C756" t="s">
        <v>1031</v>
      </c>
      <c r="D756">
        <v>1</v>
      </c>
      <c r="E756">
        <v>1700</v>
      </c>
      <c r="F756">
        <v>160</v>
      </c>
      <c r="G756">
        <v>20</v>
      </c>
      <c r="H756" t="s">
        <v>101</v>
      </c>
      <c r="I756" t="s">
        <v>102</v>
      </c>
      <c r="J756" t="s">
        <v>101</v>
      </c>
      <c r="K756" t="s">
        <v>612</v>
      </c>
      <c r="L756" t="s">
        <v>311</v>
      </c>
      <c r="M756" t="s">
        <v>125</v>
      </c>
      <c r="N756">
        <v>4.3999999999999997E-2</v>
      </c>
      <c r="O756">
        <v>2.4E-2</v>
      </c>
      <c r="P756">
        <v>1.4999999999999999E-2</v>
      </c>
    </row>
    <row r="757" spans="1:16">
      <c r="A757" t="s">
        <v>98</v>
      </c>
      <c r="B757" t="s">
        <v>104</v>
      </c>
      <c r="C757" t="s">
        <v>1032</v>
      </c>
      <c r="D757">
        <v>1</v>
      </c>
      <c r="E757">
        <v>1700</v>
      </c>
      <c r="F757">
        <v>160</v>
      </c>
      <c r="G757">
        <v>20</v>
      </c>
      <c r="H757" t="s">
        <v>101</v>
      </c>
      <c r="I757" t="s">
        <v>106</v>
      </c>
      <c r="J757" t="s">
        <v>107</v>
      </c>
      <c r="K757" t="s">
        <v>108</v>
      </c>
      <c r="L757" t="s">
        <v>242</v>
      </c>
      <c r="M757" t="s">
        <v>110</v>
      </c>
      <c r="N757">
        <v>4.3999999999999997E-2</v>
      </c>
      <c r="O757">
        <v>2.4E-2</v>
      </c>
      <c r="P757">
        <v>1.4999999999999999E-2</v>
      </c>
    </row>
    <row r="758" spans="1:16">
      <c r="A758" t="s">
        <v>98</v>
      </c>
      <c r="B758" t="s">
        <v>104</v>
      </c>
      <c r="C758" t="s">
        <v>1033</v>
      </c>
      <c r="D758">
        <v>1</v>
      </c>
      <c r="E758">
        <v>1700</v>
      </c>
      <c r="F758">
        <v>160</v>
      </c>
      <c r="G758">
        <v>20</v>
      </c>
      <c r="H758" t="s">
        <v>101</v>
      </c>
      <c r="I758" t="s">
        <v>106</v>
      </c>
      <c r="J758" t="s">
        <v>490</v>
      </c>
      <c r="K758" t="s">
        <v>108</v>
      </c>
      <c r="L758" t="s">
        <v>249</v>
      </c>
      <c r="M758" t="s">
        <v>110</v>
      </c>
      <c r="N758">
        <v>4.3999999999999997E-2</v>
      </c>
      <c r="O758">
        <v>2.4E-2</v>
      </c>
      <c r="P758">
        <v>1.4999999999999999E-2</v>
      </c>
    </row>
    <row r="759" spans="1:16">
      <c r="A759" t="s">
        <v>98</v>
      </c>
      <c r="B759" t="s">
        <v>157</v>
      </c>
      <c r="C759" t="s">
        <v>1034</v>
      </c>
      <c r="D759">
        <v>1</v>
      </c>
      <c r="E759">
        <v>3750</v>
      </c>
      <c r="F759">
        <v>410</v>
      </c>
      <c r="G759">
        <v>20</v>
      </c>
      <c r="H759" t="s">
        <v>101</v>
      </c>
      <c r="I759" t="s">
        <v>106</v>
      </c>
      <c r="J759" t="s">
        <v>180</v>
      </c>
      <c r="K759" t="s">
        <v>108</v>
      </c>
      <c r="L759" t="s">
        <v>322</v>
      </c>
      <c r="M759" t="s">
        <v>110</v>
      </c>
      <c r="N759">
        <v>8.6999999999999994E-2</v>
      </c>
      <c r="O759">
        <v>4.7E-2</v>
      </c>
      <c r="P759">
        <v>2.9000000000000001E-2</v>
      </c>
    </row>
    <row r="760" spans="1:16">
      <c r="A760" t="s">
        <v>98</v>
      </c>
      <c r="B760" t="s">
        <v>104</v>
      </c>
      <c r="C760" t="s">
        <v>1035</v>
      </c>
      <c r="D760">
        <v>1</v>
      </c>
      <c r="E760">
        <v>1700</v>
      </c>
      <c r="F760">
        <v>160</v>
      </c>
      <c r="G760">
        <v>20</v>
      </c>
      <c r="H760" t="s">
        <v>101</v>
      </c>
      <c r="I760" t="s">
        <v>106</v>
      </c>
      <c r="J760" t="s">
        <v>283</v>
      </c>
      <c r="K760" t="s">
        <v>108</v>
      </c>
      <c r="L760" t="s">
        <v>322</v>
      </c>
      <c r="M760" t="s">
        <v>110</v>
      </c>
      <c r="N760">
        <v>4.3999999999999997E-2</v>
      </c>
      <c r="O760">
        <v>2.4E-2</v>
      </c>
      <c r="P760">
        <v>1.4999999999999999E-2</v>
      </c>
    </row>
    <row r="761" spans="1:16">
      <c r="A761" t="s">
        <v>98</v>
      </c>
      <c r="B761" t="s">
        <v>104</v>
      </c>
      <c r="C761" t="s">
        <v>1036</v>
      </c>
      <c r="D761">
        <v>1</v>
      </c>
      <c r="E761">
        <v>1700</v>
      </c>
      <c r="F761">
        <v>160</v>
      </c>
      <c r="G761">
        <v>20</v>
      </c>
      <c r="H761" t="s">
        <v>101</v>
      </c>
      <c r="I761" t="s">
        <v>106</v>
      </c>
      <c r="J761" t="s">
        <v>283</v>
      </c>
      <c r="K761" t="s">
        <v>108</v>
      </c>
      <c r="L761" t="s">
        <v>128</v>
      </c>
      <c r="M761" t="s">
        <v>110</v>
      </c>
      <c r="N761">
        <v>4.3999999999999997E-2</v>
      </c>
      <c r="O761">
        <v>2.4E-2</v>
      </c>
      <c r="P761">
        <v>1.4999999999999999E-2</v>
      </c>
    </row>
    <row r="762" spans="1:16">
      <c r="A762" t="s">
        <v>98</v>
      </c>
      <c r="B762" t="s">
        <v>148</v>
      </c>
      <c r="C762" t="s">
        <v>1037</v>
      </c>
      <c r="D762">
        <v>2</v>
      </c>
      <c r="E762">
        <v>4000</v>
      </c>
      <c r="F762">
        <v>0</v>
      </c>
      <c r="G762">
        <v>20</v>
      </c>
      <c r="H762" t="s">
        <v>101</v>
      </c>
      <c r="I762" t="s">
        <v>106</v>
      </c>
      <c r="J762" t="s">
        <v>835</v>
      </c>
      <c r="K762" t="s">
        <v>108</v>
      </c>
      <c r="L762" t="s">
        <v>154</v>
      </c>
      <c r="M762" t="s">
        <v>110</v>
      </c>
      <c r="N762">
        <v>5.1999999999999998E-2</v>
      </c>
      <c r="O762">
        <v>3.4000000000000002E-2</v>
      </c>
      <c r="P762">
        <v>2.3E-2</v>
      </c>
    </row>
    <row r="763" spans="1:16">
      <c r="A763" t="s">
        <v>98</v>
      </c>
      <c r="B763" t="s">
        <v>104</v>
      </c>
      <c r="C763" t="s">
        <v>1038</v>
      </c>
      <c r="D763">
        <v>1</v>
      </c>
      <c r="E763">
        <v>1700</v>
      </c>
      <c r="F763">
        <v>160</v>
      </c>
      <c r="G763">
        <v>20</v>
      </c>
      <c r="H763" t="s">
        <v>101</v>
      </c>
      <c r="I763" t="s">
        <v>106</v>
      </c>
      <c r="J763" t="s">
        <v>490</v>
      </c>
      <c r="K763" t="s">
        <v>108</v>
      </c>
      <c r="L763" t="s">
        <v>222</v>
      </c>
      <c r="M763" t="s">
        <v>110</v>
      </c>
      <c r="N763">
        <v>4.3999999999999997E-2</v>
      </c>
      <c r="O763">
        <v>2.4E-2</v>
      </c>
      <c r="P763">
        <v>1.4999999999999999E-2</v>
      </c>
    </row>
    <row r="764" spans="1:16">
      <c r="A764" t="s">
        <v>98</v>
      </c>
      <c r="B764" t="s">
        <v>148</v>
      </c>
      <c r="C764" t="s">
        <v>1039</v>
      </c>
      <c r="D764">
        <v>2</v>
      </c>
      <c r="E764">
        <v>4000</v>
      </c>
      <c r="F764">
        <v>0</v>
      </c>
      <c r="G764">
        <v>20</v>
      </c>
      <c r="H764" t="s">
        <v>101</v>
      </c>
      <c r="I764" t="s">
        <v>106</v>
      </c>
      <c r="J764" t="s">
        <v>835</v>
      </c>
      <c r="K764" t="s">
        <v>108</v>
      </c>
      <c r="L764" t="s">
        <v>154</v>
      </c>
      <c r="M764" t="s">
        <v>110</v>
      </c>
      <c r="N764">
        <v>5.1999999999999998E-2</v>
      </c>
      <c r="O764">
        <v>3.4000000000000002E-2</v>
      </c>
      <c r="P764">
        <v>2.3E-2</v>
      </c>
    </row>
    <row r="765" spans="1:16">
      <c r="A765" t="s">
        <v>98</v>
      </c>
      <c r="B765" t="s">
        <v>172</v>
      </c>
      <c r="C765" t="s">
        <v>1040</v>
      </c>
      <c r="D765">
        <v>1</v>
      </c>
      <c r="E765">
        <v>2000</v>
      </c>
      <c r="F765">
        <v>0</v>
      </c>
      <c r="G765">
        <v>20</v>
      </c>
      <c r="H765" t="s">
        <v>101</v>
      </c>
      <c r="I765" t="s">
        <v>106</v>
      </c>
      <c r="J765" t="s">
        <v>180</v>
      </c>
      <c r="K765" t="s">
        <v>108</v>
      </c>
      <c r="L765" t="s">
        <v>154</v>
      </c>
      <c r="M765" t="s">
        <v>110</v>
      </c>
      <c r="N765">
        <v>2.5999999999999999E-2</v>
      </c>
      <c r="O765">
        <v>1.7000000000000001E-2</v>
      </c>
      <c r="P765">
        <v>1.2E-2</v>
      </c>
    </row>
    <row r="766" spans="1:16">
      <c r="A766" t="s">
        <v>98</v>
      </c>
      <c r="B766" t="s">
        <v>172</v>
      </c>
      <c r="C766" t="s">
        <v>1041</v>
      </c>
      <c r="D766">
        <v>1</v>
      </c>
      <c r="E766">
        <v>2000</v>
      </c>
      <c r="F766">
        <v>0</v>
      </c>
      <c r="G766">
        <v>20</v>
      </c>
      <c r="H766" t="s">
        <v>101</v>
      </c>
      <c r="I766" t="s">
        <v>106</v>
      </c>
      <c r="J766" t="s">
        <v>845</v>
      </c>
      <c r="K766" t="s">
        <v>108</v>
      </c>
      <c r="L766" t="s">
        <v>210</v>
      </c>
      <c r="M766" t="s">
        <v>110</v>
      </c>
      <c r="N766">
        <v>2.5999999999999999E-2</v>
      </c>
      <c r="O766">
        <v>1.7000000000000001E-2</v>
      </c>
      <c r="P766">
        <v>1.2E-2</v>
      </c>
    </row>
    <row r="767" spans="1:16">
      <c r="A767" t="s">
        <v>98</v>
      </c>
      <c r="B767" t="s">
        <v>172</v>
      </c>
      <c r="C767" t="s">
        <v>1042</v>
      </c>
      <c r="D767">
        <v>1</v>
      </c>
      <c r="E767">
        <v>2000</v>
      </c>
      <c r="F767">
        <v>0</v>
      </c>
      <c r="G767">
        <v>20</v>
      </c>
      <c r="H767" t="s">
        <v>101</v>
      </c>
      <c r="I767" t="s">
        <v>106</v>
      </c>
      <c r="J767" t="s">
        <v>1043</v>
      </c>
      <c r="K767" t="s">
        <v>108</v>
      </c>
      <c r="L767" t="s">
        <v>192</v>
      </c>
      <c r="M767" t="s">
        <v>110</v>
      </c>
      <c r="N767">
        <v>2.5999999999999999E-2</v>
      </c>
      <c r="O767">
        <v>1.7000000000000001E-2</v>
      </c>
      <c r="P767">
        <v>1.2E-2</v>
      </c>
    </row>
    <row r="768" spans="1:16">
      <c r="A768" t="s">
        <v>98</v>
      </c>
      <c r="B768" t="s">
        <v>172</v>
      </c>
      <c r="C768" t="s">
        <v>1044</v>
      </c>
      <c r="D768">
        <v>1</v>
      </c>
      <c r="E768">
        <v>2000</v>
      </c>
      <c r="F768">
        <v>0</v>
      </c>
      <c r="G768">
        <v>20</v>
      </c>
      <c r="H768" t="s">
        <v>101</v>
      </c>
      <c r="I768" t="s">
        <v>106</v>
      </c>
      <c r="J768" t="s">
        <v>1045</v>
      </c>
      <c r="K768" t="s">
        <v>108</v>
      </c>
      <c r="L768" t="s">
        <v>192</v>
      </c>
      <c r="M768" t="s">
        <v>110</v>
      </c>
      <c r="N768">
        <v>2.5999999999999999E-2</v>
      </c>
      <c r="O768">
        <v>1.7000000000000001E-2</v>
      </c>
      <c r="P768">
        <v>1.2E-2</v>
      </c>
    </row>
    <row r="769" spans="1:16">
      <c r="A769" t="s">
        <v>98</v>
      </c>
      <c r="B769" t="s">
        <v>148</v>
      </c>
      <c r="C769" t="s">
        <v>1046</v>
      </c>
      <c r="D769">
        <v>2</v>
      </c>
      <c r="E769">
        <v>4000</v>
      </c>
      <c r="F769">
        <v>0</v>
      </c>
      <c r="G769">
        <v>20</v>
      </c>
      <c r="H769" t="s">
        <v>101</v>
      </c>
      <c r="I769" t="s">
        <v>106</v>
      </c>
      <c r="J769" t="s">
        <v>1047</v>
      </c>
      <c r="K769" t="s">
        <v>108</v>
      </c>
      <c r="L769" t="s">
        <v>121</v>
      </c>
      <c r="M769" t="s">
        <v>110</v>
      </c>
      <c r="N769">
        <v>5.1999999999999998E-2</v>
      </c>
      <c r="O769">
        <v>3.4000000000000002E-2</v>
      </c>
      <c r="P769">
        <v>2.3E-2</v>
      </c>
    </row>
    <row r="770" spans="1:16">
      <c r="A770" t="s">
        <v>98</v>
      </c>
      <c r="B770" t="s">
        <v>148</v>
      </c>
      <c r="C770" t="s">
        <v>1048</v>
      </c>
      <c r="D770">
        <v>2</v>
      </c>
      <c r="E770">
        <v>4000</v>
      </c>
      <c r="F770">
        <v>0</v>
      </c>
      <c r="G770">
        <v>20</v>
      </c>
      <c r="H770" t="s">
        <v>101</v>
      </c>
      <c r="I770" t="s">
        <v>106</v>
      </c>
      <c r="J770" t="s">
        <v>1047</v>
      </c>
      <c r="K770" t="s">
        <v>108</v>
      </c>
      <c r="L770" t="s">
        <v>121</v>
      </c>
      <c r="M770" t="s">
        <v>110</v>
      </c>
      <c r="N770">
        <v>5.1999999999999998E-2</v>
      </c>
      <c r="O770">
        <v>3.4000000000000002E-2</v>
      </c>
      <c r="P770">
        <v>2.3E-2</v>
      </c>
    </row>
    <row r="771" spans="1:16" hidden="1">
      <c r="A771" t="s">
        <v>98</v>
      </c>
      <c r="B771" t="s">
        <v>114</v>
      </c>
      <c r="C771" t="s">
        <v>1049</v>
      </c>
      <c r="D771">
        <v>2</v>
      </c>
      <c r="E771">
        <v>7500</v>
      </c>
      <c r="F771">
        <v>32</v>
      </c>
      <c r="G771">
        <v>820</v>
      </c>
      <c r="H771" t="s">
        <v>101</v>
      </c>
      <c r="I771" t="s">
        <v>102</v>
      </c>
      <c r="J771" t="s">
        <v>101</v>
      </c>
      <c r="K771" t="s">
        <v>101</v>
      </c>
      <c r="L771" t="s">
        <v>101</v>
      </c>
      <c r="M771" t="s">
        <v>406</v>
      </c>
      <c r="N771">
        <v>0.13300000000000001</v>
      </c>
      <c r="O771">
        <v>8.1000000000000003E-2</v>
      </c>
      <c r="P771">
        <v>5.1999999999999998E-2</v>
      </c>
    </row>
    <row r="772" spans="1:16" hidden="1">
      <c r="A772" t="s">
        <v>98</v>
      </c>
      <c r="B772" t="s">
        <v>114</v>
      </c>
      <c r="C772" t="s">
        <v>1050</v>
      </c>
      <c r="D772">
        <v>2</v>
      </c>
      <c r="E772">
        <v>7500</v>
      </c>
      <c r="F772">
        <v>32</v>
      </c>
      <c r="G772">
        <v>420</v>
      </c>
      <c r="H772" t="s">
        <v>101</v>
      </c>
      <c r="I772" t="s">
        <v>102</v>
      </c>
      <c r="J772" t="s">
        <v>101</v>
      </c>
      <c r="K772" t="s">
        <v>101</v>
      </c>
      <c r="L772" t="s">
        <v>101</v>
      </c>
      <c r="M772" t="s">
        <v>406</v>
      </c>
      <c r="N772">
        <v>0.13300000000000001</v>
      </c>
      <c r="O772">
        <v>8.1000000000000003E-2</v>
      </c>
      <c r="P772">
        <v>5.1999999999999998E-2</v>
      </c>
    </row>
    <row r="773" spans="1:16" hidden="1">
      <c r="A773" t="s">
        <v>98</v>
      </c>
      <c r="B773" t="s">
        <v>114</v>
      </c>
      <c r="C773" t="s">
        <v>1051</v>
      </c>
      <c r="D773">
        <v>2</v>
      </c>
      <c r="E773">
        <v>7500</v>
      </c>
      <c r="F773">
        <v>32</v>
      </c>
      <c r="G773">
        <v>420</v>
      </c>
      <c r="H773" t="s">
        <v>101</v>
      </c>
      <c r="I773" t="s">
        <v>102</v>
      </c>
      <c r="J773" t="s">
        <v>101</v>
      </c>
      <c r="K773" t="s">
        <v>101</v>
      </c>
      <c r="L773" t="s">
        <v>101</v>
      </c>
      <c r="M773" t="s">
        <v>406</v>
      </c>
      <c r="N773">
        <v>0.13300000000000001</v>
      </c>
      <c r="O773">
        <v>8.1000000000000003E-2</v>
      </c>
      <c r="P773">
        <v>5.1999999999999998E-2</v>
      </c>
    </row>
    <row r="774" spans="1:16">
      <c r="A774" t="s">
        <v>98</v>
      </c>
      <c r="B774" t="s">
        <v>172</v>
      </c>
      <c r="C774" t="s">
        <v>1052</v>
      </c>
      <c r="D774">
        <v>1</v>
      </c>
      <c r="E774">
        <v>2000</v>
      </c>
      <c r="F774">
        <v>0</v>
      </c>
      <c r="G774">
        <v>20</v>
      </c>
      <c r="H774" t="s">
        <v>101</v>
      </c>
      <c r="I774" t="s">
        <v>106</v>
      </c>
      <c r="J774" t="s">
        <v>214</v>
      </c>
      <c r="K774" t="s">
        <v>108</v>
      </c>
      <c r="L774" t="s">
        <v>203</v>
      </c>
      <c r="M774" t="s">
        <v>110</v>
      </c>
      <c r="N774">
        <v>2.5999999999999999E-2</v>
      </c>
      <c r="O774">
        <v>1.7000000000000001E-2</v>
      </c>
      <c r="P774">
        <v>1.2E-2</v>
      </c>
    </row>
    <row r="775" spans="1:16">
      <c r="A775" t="s">
        <v>98</v>
      </c>
      <c r="B775" t="s">
        <v>172</v>
      </c>
      <c r="C775" t="s">
        <v>1053</v>
      </c>
      <c r="D775">
        <v>1</v>
      </c>
      <c r="E775">
        <v>2000</v>
      </c>
      <c r="F775">
        <v>0</v>
      </c>
      <c r="G775">
        <v>20</v>
      </c>
      <c r="H775" t="s">
        <v>101</v>
      </c>
      <c r="I775" t="s">
        <v>106</v>
      </c>
      <c r="J775" t="s">
        <v>214</v>
      </c>
      <c r="K775" t="s">
        <v>108</v>
      </c>
      <c r="L775" t="s">
        <v>210</v>
      </c>
      <c r="M775" t="s">
        <v>110</v>
      </c>
      <c r="N775">
        <v>2.5999999999999999E-2</v>
      </c>
      <c r="O775">
        <v>1.7000000000000001E-2</v>
      </c>
      <c r="P775">
        <v>1.2E-2</v>
      </c>
    </row>
    <row r="776" spans="1:16">
      <c r="A776" t="s">
        <v>98</v>
      </c>
      <c r="B776" t="s">
        <v>172</v>
      </c>
      <c r="C776" t="s">
        <v>1054</v>
      </c>
      <c r="D776">
        <v>1</v>
      </c>
      <c r="E776">
        <v>2000</v>
      </c>
      <c r="F776">
        <v>0</v>
      </c>
      <c r="G776">
        <v>20</v>
      </c>
      <c r="H776" t="s">
        <v>101</v>
      </c>
      <c r="I776" t="s">
        <v>106</v>
      </c>
      <c r="J776" t="s">
        <v>107</v>
      </c>
      <c r="K776" t="s">
        <v>108</v>
      </c>
      <c r="L776" t="s">
        <v>109</v>
      </c>
      <c r="M776" t="s">
        <v>110</v>
      </c>
      <c r="N776">
        <v>2.5999999999999999E-2</v>
      </c>
      <c r="O776">
        <v>1.7000000000000001E-2</v>
      </c>
      <c r="P776">
        <v>1.2E-2</v>
      </c>
    </row>
    <row r="777" spans="1:16">
      <c r="A777" t="s">
        <v>98</v>
      </c>
      <c r="B777" t="s">
        <v>172</v>
      </c>
      <c r="C777" t="s">
        <v>1055</v>
      </c>
      <c r="D777">
        <v>1</v>
      </c>
      <c r="E777">
        <v>2000</v>
      </c>
      <c r="F777">
        <v>0</v>
      </c>
      <c r="G777">
        <v>20</v>
      </c>
      <c r="H777" t="s">
        <v>101</v>
      </c>
      <c r="I777" t="s">
        <v>106</v>
      </c>
      <c r="J777" t="s">
        <v>107</v>
      </c>
      <c r="K777" t="s">
        <v>108</v>
      </c>
      <c r="L777" t="s">
        <v>109</v>
      </c>
      <c r="M777" t="s">
        <v>110</v>
      </c>
      <c r="N777">
        <v>2.5999999999999999E-2</v>
      </c>
      <c r="O777">
        <v>1.7000000000000001E-2</v>
      </c>
      <c r="P777">
        <v>1.2E-2</v>
      </c>
    </row>
    <row r="778" spans="1:16">
      <c r="A778" t="s">
        <v>98</v>
      </c>
      <c r="B778" t="s">
        <v>172</v>
      </c>
      <c r="C778" t="s">
        <v>1056</v>
      </c>
      <c r="D778">
        <v>1</v>
      </c>
      <c r="E778">
        <v>2000</v>
      </c>
      <c r="F778">
        <v>0</v>
      </c>
      <c r="G778">
        <v>20</v>
      </c>
      <c r="H778" t="s">
        <v>101</v>
      </c>
      <c r="I778" t="s">
        <v>106</v>
      </c>
      <c r="J778" t="s">
        <v>107</v>
      </c>
      <c r="K778" t="s">
        <v>108</v>
      </c>
      <c r="L778" t="s">
        <v>109</v>
      </c>
      <c r="M778" t="s">
        <v>110</v>
      </c>
      <c r="N778">
        <v>2.5999999999999999E-2</v>
      </c>
      <c r="O778">
        <v>1.7000000000000001E-2</v>
      </c>
      <c r="P778">
        <v>1.2E-2</v>
      </c>
    </row>
    <row r="779" spans="1:16">
      <c r="A779" t="s">
        <v>98</v>
      </c>
      <c r="B779" t="s">
        <v>172</v>
      </c>
      <c r="C779" t="s">
        <v>1057</v>
      </c>
      <c r="D779">
        <v>1</v>
      </c>
      <c r="E779">
        <v>2000</v>
      </c>
      <c r="F779">
        <v>0</v>
      </c>
      <c r="G779">
        <v>20</v>
      </c>
      <c r="H779" t="s">
        <v>101</v>
      </c>
      <c r="I779" t="s">
        <v>106</v>
      </c>
      <c r="J779" t="s">
        <v>107</v>
      </c>
      <c r="K779" t="s">
        <v>108</v>
      </c>
      <c r="L779" t="s">
        <v>109</v>
      </c>
      <c r="M779" t="s">
        <v>110</v>
      </c>
      <c r="N779">
        <v>2.5999999999999999E-2</v>
      </c>
      <c r="O779">
        <v>1.7000000000000001E-2</v>
      </c>
      <c r="P779">
        <v>1.2E-2</v>
      </c>
    </row>
    <row r="780" spans="1:16">
      <c r="A780" t="s">
        <v>98</v>
      </c>
      <c r="B780" t="s">
        <v>172</v>
      </c>
      <c r="C780" t="s">
        <v>1058</v>
      </c>
      <c r="D780">
        <v>1</v>
      </c>
      <c r="E780">
        <v>2000</v>
      </c>
      <c r="F780">
        <v>0</v>
      </c>
      <c r="G780">
        <v>20</v>
      </c>
      <c r="H780" t="s">
        <v>101</v>
      </c>
      <c r="I780" t="s">
        <v>106</v>
      </c>
      <c r="J780" t="s">
        <v>107</v>
      </c>
      <c r="K780" t="s">
        <v>108</v>
      </c>
      <c r="L780" t="s">
        <v>109</v>
      </c>
      <c r="M780" t="s">
        <v>110</v>
      </c>
      <c r="N780">
        <v>2.5999999999999999E-2</v>
      </c>
      <c r="O780">
        <v>1.7000000000000001E-2</v>
      </c>
      <c r="P780">
        <v>1.2E-2</v>
      </c>
    </row>
    <row r="781" spans="1:16">
      <c r="A781" t="s">
        <v>98</v>
      </c>
      <c r="B781" t="s">
        <v>172</v>
      </c>
      <c r="C781" t="s">
        <v>1059</v>
      </c>
      <c r="D781">
        <v>1</v>
      </c>
      <c r="E781">
        <v>2000</v>
      </c>
      <c r="F781">
        <v>0</v>
      </c>
      <c r="G781">
        <v>20</v>
      </c>
      <c r="H781" t="s">
        <v>101</v>
      </c>
      <c r="I781" t="s">
        <v>106</v>
      </c>
      <c r="J781" t="s">
        <v>107</v>
      </c>
      <c r="K781" t="s">
        <v>108</v>
      </c>
      <c r="L781" t="s">
        <v>109</v>
      </c>
      <c r="M781" t="s">
        <v>110</v>
      </c>
      <c r="N781">
        <v>2.5999999999999999E-2</v>
      </c>
      <c r="O781">
        <v>1.7000000000000001E-2</v>
      </c>
      <c r="P781">
        <v>1.2E-2</v>
      </c>
    </row>
    <row r="782" spans="1:16">
      <c r="A782" t="s">
        <v>98</v>
      </c>
      <c r="B782" t="s">
        <v>172</v>
      </c>
      <c r="C782" t="s">
        <v>1060</v>
      </c>
      <c r="D782">
        <v>1</v>
      </c>
      <c r="E782">
        <v>2000</v>
      </c>
      <c r="F782">
        <v>0</v>
      </c>
      <c r="G782">
        <v>20</v>
      </c>
      <c r="H782" t="s">
        <v>101</v>
      </c>
      <c r="I782" t="s">
        <v>106</v>
      </c>
      <c r="J782" t="s">
        <v>107</v>
      </c>
      <c r="K782" t="s">
        <v>108</v>
      </c>
      <c r="L782" t="s">
        <v>109</v>
      </c>
      <c r="M782" t="s">
        <v>110</v>
      </c>
      <c r="N782">
        <v>2.5999999999999999E-2</v>
      </c>
      <c r="O782">
        <v>1.7000000000000001E-2</v>
      </c>
      <c r="P782">
        <v>1.2E-2</v>
      </c>
    </row>
    <row r="783" spans="1:16">
      <c r="A783" t="s">
        <v>98</v>
      </c>
      <c r="B783" t="s">
        <v>172</v>
      </c>
      <c r="C783" t="s">
        <v>1061</v>
      </c>
      <c r="D783">
        <v>1</v>
      </c>
      <c r="E783">
        <v>2000</v>
      </c>
      <c r="F783">
        <v>0</v>
      </c>
      <c r="G783">
        <v>20</v>
      </c>
      <c r="H783" t="s">
        <v>101</v>
      </c>
      <c r="I783" t="s">
        <v>106</v>
      </c>
      <c r="J783" t="s">
        <v>107</v>
      </c>
      <c r="K783" t="s">
        <v>108</v>
      </c>
      <c r="L783" t="s">
        <v>109</v>
      </c>
      <c r="M783" t="s">
        <v>110</v>
      </c>
      <c r="N783">
        <v>2.5999999999999999E-2</v>
      </c>
      <c r="O783">
        <v>1.7000000000000001E-2</v>
      </c>
      <c r="P783">
        <v>1.2E-2</v>
      </c>
    </row>
    <row r="784" spans="1:16">
      <c r="A784" t="s">
        <v>98</v>
      </c>
      <c r="B784" t="s">
        <v>172</v>
      </c>
      <c r="C784" t="s">
        <v>1062</v>
      </c>
      <c r="D784">
        <v>1</v>
      </c>
      <c r="E784">
        <v>2000</v>
      </c>
      <c r="F784">
        <v>0</v>
      </c>
      <c r="G784">
        <v>20</v>
      </c>
      <c r="H784" t="s">
        <v>101</v>
      </c>
      <c r="I784" t="s">
        <v>106</v>
      </c>
      <c r="J784" t="s">
        <v>107</v>
      </c>
      <c r="K784" t="s">
        <v>108</v>
      </c>
      <c r="L784" t="s">
        <v>109</v>
      </c>
      <c r="M784" t="s">
        <v>110</v>
      </c>
      <c r="N784">
        <v>2.5999999999999999E-2</v>
      </c>
      <c r="O784">
        <v>1.7000000000000001E-2</v>
      </c>
      <c r="P784">
        <v>1.2E-2</v>
      </c>
    </row>
    <row r="785" spans="1:16">
      <c r="A785" t="s">
        <v>98</v>
      </c>
      <c r="B785" t="s">
        <v>172</v>
      </c>
      <c r="C785" t="s">
        <v>1063</v>
      </c>
      <c r="D785">
        <v>1</v>
      </c>
      <c r="E785">
        <v>2000</v>
      </c>
      <c r="F785">
        <v>0</v>
      </c>
      <c r="G785">
        <v>20</v>
      </c>
      <c r="H785" t="s">
        <v>101</v>
      </c>
      <c r="I785" t="s">
        <v>106</v>
      </c>
      <c r="J785" t="s">
        <v>1045</v>
      </c>
      <c r="K785" t="s">
        <v>108</v>
      </c>
      <c r="L785" t="s">
        <v>394</v>
      </c>
      <c r="M785" t="s">
        <v>110</v>
      </c>
      <c r="N785">
        <v>2.5999999999999999E-2</v>
      </c>
      <c r="O785">
        <v>1.7000000000000001E-2</v>
      </c>
      <c r="P785">
        <v>1.2E-2</v>
      </c>
    </row>
    <row r="786" spans="1:16">
      <c r="A786" t="s">
        <v>98</v>
      </c>
      <c r="B786" t="s">
        <v>148</v>
      </c>
      <c r="C786" t="s">
        <v>1064</v>
      </c>
      <c r="D786">
        <v>2</v>
      </c>
      <c r="E786">
        <v>4000</v>
      </c>
      <c r="F786">
        <v>0</v>
      </c>
      <c r="G786">
        <v>420</v>
      </c>
      <c r="H786" t="s">
        <v>101</v>
      </c>
      <c r="I786" t="s">
        <v>106</v>
      </c>
      <c r="J786" t="s">
        <v>182</v>
      </c>
      <c r="K786" t="s">
        <v>108</v>
      </c>
      <c r="L786" t="s">
        <v>245</v>
      </c>
      <c r="M786" t="s">
        <v>110</v>
      </c>
      <c r="N786">
        <v>5.1999999999999998E-2</v>
      </c>
      <c r="O786">
        <v>3.4000000000000002E-2</v>
      </c>
      <c r="P786">
        <v>2.3E-2</v>
      </c>
    </row>
    <row r="787" spans="1:16">
      <c r="A787" t="s">
        <v>98</v>
      </c>
      <c r="B787" t="s">
        <v>148</v>
      </c>
      <c r="C787" t="s">
        <v>1065</v>
      </c>
      <c r="D787">
        <v>2</v>
      </c>
      <c r="E787">
        <v>4000</v>
      </c>
      <c r="F787">
        <v>0</v>
      </c>
      <c r="G787">
        <v>420</v>
      </c>
      <c r="H787" t="s">
        <v>101</v>
      </c>
      <c r="I787" t="s">
        <v>106</v>
      </c>
      <c r="J787" t="s">
        <v>182</v>
      </c>
      <c r="K787" t="s">
        <v>108</v>
      </c>
      <c r="L787" t="s">
        <v>245</v>
      </c>
      <c r="M787" t="s">
        <v>110</v>
      </c>
      <c r="N787">
        <v>5.1999999999999998E-2</v>
      </c>
      <c r="O787">
        <v>3.4000000000000002E-2</v>
      </c>
      <c r="P787">
        <v>2.3E-2</v>
      </c>
    </row>
    <row r="788" spans="1:16">
      <c r="A788" t="s">
        <v>98</v>
      </c>
      <c r="B788" t="s">
        <v>148</v>
      </c>
      <c r="C788" t="s">
        <v>1066</v>
      </c>
      <c r="D788">
        <v>2</v>
      </c>
      <c r="E788">
        <v>4000</v>
      </c>
      <c r="F788">
        <v>0</v>
      </c>
      <c r="G788">
        <v>820</v>
      </c>
      <c r="H788" t="s">
        <v>101</v>
      </c>
      <c r="I788" t="s">
        <v>106</v>
      </c>
      <c r="J788" t="s">
        <v>182</v>
      </c>
      <c r="K788" t="s">
        <v>108</v>
      </c>
      <c r="L788" t="s">
        <v>245</v>
      </c>
      <c r="M788" t="s">
        <v>110</v>
      </c>
      <c r="N788">
        <v>5.1999999999999998E-2</v>
      </c>
      <c r="O788">
        <v>3.4000000000000002E-2</v>
      </c>
      <c r="P788">
        <v>2.3E-2</v>
      </c>
    </row>
    <row r="789" spans="1:16">
      <c r="A789" t="s">
        <v>98</v>
      </c>
      <c r="B789" t="s">
        <v>172</v>
      </c>
      <c r="C789" t="s">
        <v>1067</v>
      </c>
      <c r="D789">
        <v>1</v>
      </c>
      <c r="E789">
        <v>2000</v>
      </c>
      <c r="F789">
        <v>0</v>
      </c>
      <c r="G789">
        <v>20</v>
      </c>
      <c r="H789" t="s">
        <v>101</v>
      </c>
      <c r="I789" t="s">
        <v>106</v>
      </c>
      <c r="J789" t="s">
        <v>107</v>
      </c>
      <c r="K789" t="s">
        <v>108</v>
      </c>
      <c r="L789" t="s">
        <v>109</v>
      </c>
      <c r="M789" t="s">
        <v>110</v>
      </c>
      <c r="N789">
        <v>2.5999999999999999E-2</v>
      </c>
      <c r="O789">
        <v>1.7000000000000001E-2</v>
      </c>
      <c r="P789">
        <v>1.2E-2</v>
      </c>
    </row>
    <row r="790" spans="1:16">
      <c r="A790" t="s">
        <v>98</v>
      </c>
      <c r="B790" t="s">
        <v>172</v>
      </c>
      <c r="C790" t="s">
        <v>1068</v>
      </c>
      <c r="D790">
        <v>1</v>
      </c>
      <c r="E790">
        <v>2000</v>
      </c>
      <c r="F790">
        <v>0</v>
      </c>
      <c r="G790">
        <v>20</v>
      </c>
      <c r="H790" t="s">
        <v>101</v>
      </c>
      <c r="I790" t="s">
        <v>106</v>
      </c>
      <c r="J790" t="s">
        <v>1030</v>
      </c>
      <c r="K790" t="s">
        <v>108</v>
      </c>
      <c r="L790" t="s">
        <v>1069</v>
      </c>
      <c r="M790" t="s">
        <v>110</v>
      </c>
      <c r="N790">
        <v>2.5999999999999999E-2</v>
      </c>
      <c r="O790">
        <v>1.7000000000000001E-2</v>
      </c>
      <c r="P790">
        <v>1.2E-2</v>
      </c>
    </row>
    <row r="791" spans="1:16">
      <c r="A791" t="s">
        <v>98</v>
      </c>
      <c r="B791" t="s">
        <v>172</v>
      </c>
      <c r="C791" t="s">
        <v>1070</v>
      </c>
      <c r="D791">
        <v>1</v>
      </c>
      <c r="E791">
        <v>2000</v>
      </c>
      <c r="F791">
        <v>0</v>
      </c>
      <c r="G791">
        <v>20</v>
      </c>
      <c r="H791" t="s">
        <v>101</v>
      </c>
      <c r="I791" t="s">
        <v>106</v>
      </c>
      <c r="J791" t="s">
        <v>107</v>
      </c>
      <c r="K791" t="s">
        <v>108</v>
      </c>
      <c r="L791" t="s">
        <v>109</v>
      </c>
      <c r="M791" t="s">
        <v>110</v>
      </c>
      <c r="N791">
        <v>2.5999999999999999E-2</v>
      </c>
      <c r="O791">
        <v>1.7000000000000001E-2</v>
      </c>
      <c r="P791">
        <v>1.2E-2</v>
      </c>
    </row>
    <row r="792" spans="1:16">
      <c r="A792" t="s">
        <v>98</v>
      </c>
      <c r="B792" t="s">
        <v>172</v>
      </c>
      <c r="C792" t="s">
        <v>1071</v>
      </c>
      <c r="D792">
        <v>1</v>
      </c>
      <c r="E792">
        <v>2000</v>
      </c>
      <c r="F792">
        <v>0</v>
      </c>
      <c r="G792">
        <v>20</v>
      </c>
      <c r="H792" t="s">
        <v>101</v>
      </c>
      <c r="I792" t="s">
        <v>106</v>
      </c>
      <c r="J792" t="s">
        <v>107</v>
      </c>
      <c r="K792" t="s">
        <v>108</v>
      </c>
      <c r="L792" t="s">
        <v>109</v>
      </c>
      <c r="M792" t="s">
        <v>110</v>
      </c>
      <c r="N792">
        <v>2.5999999999999999E-2</v>
      </c>
      <c r="O792">
        <v>1.7000000000000001E-2</v>
      </c>
      <c r="P792">
        <v>1.2E-2</v>
      </c>
    </row>
    <row r="793" spans="1:16">
      <c r="A793" t="s">
        <v>98</v>
      </c>
      <c r="B793" t="s">
        <v>172</v>
      </c>
      <c r="C793" t="s">
        <v>1072</v>
      </c>
      <c r="D793">
        <v>1</v>
      </c>
      <c r="E793">
        <v>2000</v>
      </c>
      <c r="F793">
        <v>0</v>
      </c>
      <c r="G793">
        <v>20</v>
      </c>
      <c r="H793" t="s">
        <v>101</v>
      </c>
      <c r="I793" t="s">
        <v>106</v>
      </c>
      <c r="J793" t="s">
        <v>107</v>
      </c>
      <c r="K793" t="s">
        <v>108</v>
      </c>
      <c r="L793" t="s">
        <v>109</v>
      </c>
      <c r="M793" t="s">
        <v>110</v>
      </c>
      <c r="N793">
        <v>2.5999999999999999E-2</v>
      </c>
      <c r="O793">
        <v>1.7000000000000001E-2</v>
      </c>
      <c r="P793">
        <v>1.2E-2</v>
      </c>
    </row>
    <row r="794" spans="1:16">
      <c r="A794" t="s">
        <v>98</v>
      </c>
      <c r="B794" t="s">
        <v>172</v>
      </c>
      <c r="C794" t="s">
        <v>1073</v>
      </c>
      <c r="D794">
        <v>1</v>
      </c>
      <c r="E794">
        <v>2000</v>
      </c>
      <c r="F794">
        <v>0</v>
      </c>
      <c r="G794">
        <v>20</v>
      </c>
      <c r="H794" t="s">
        <v>101</v>
      </c>
      <c r="I794" t="s">
        <v>106</v>
      </c>
      <c r="J794" t="s">
        <v>214</v>
      </c>
      <c r="K794" t="s">
        <v>108</v>
      </c>
      <c r="L794" t="s">
        <v>192</v>
      </c>
      <c r="M794" t="s">
        <v>110</v>
      </c>
      <c r="N794">
        <v>2.5999999999999999E-2</v>
      </c>
      <c r="O794">
        <v>1.7000000000000001E-2</v>
      </c>
      <c r="P794">
        <v>1.2E-2</v>
      </c>
    </row>
    <row r="795" spans="1:16">
      <c r="A795" t="s">
        <v>98</v>
      </c>
      <c r="B795" t="s">
        <v>172</v>
      </c>
      <c r="C795" t="s">
        <v>1074</v>
      </c>
      <c r="D795">
        <v>1</v>
      </c>
      <c r="E795">
        <v>2000</v>
      </c>
      <c r="F795">
        <v>0</v>
      </c>
      <c r="G795">
        <v>20</v>
      </c>
      <c r="H795" t="s">
        <v>101</v>
      </c>
      <c r="I795" t="s">
        <v>106</v>
      </c>
      <c r="J795" t="s">
        <v>214</v>
      </c>
      <c r="K795" t="s">
        <v>108</v>
      </c>
      <c r="L795" t="s">
        <v>192</v>
      </c>
      <c r="M795" t="s">
        <v>110</v>
      </c>
      <c r="N795">
        <v>2.5999999999999999E-2</v>
      </c>
      <c r="O795">
        <v>1.7000000000000001E-2</v>
      </c>
      <c r="P795">
        <v>1.2E-2</v>
      </c>
    </row>
    <row r="796" spans="1:16">
      <c r="A796" t="s">
        <v>98</v>
      </c>
      <c r="B796" t="s">
        <v>172</v>
      </c>
      <c r="C796" t="s">
        <v>1075</v>
      </c>
      <c r="D796">
        <v>1</v>
      </c>
      <c r="E796">
        <v>2000</v>
      </c>
      <c r="F796">
        <v>0</v>
      </c>
      <c r="G796">
        <v>20</v>
      </c>
      <c r="H796" t="s">
        <v>101</v>
      </c>
      <c r="I796" t="s">
        <v>106</v>
      </c>
      <c r="J796" t="s">
        <v>214</v>
      </c>
      <c r="K796" t="s">
        <v>108</v>
      </c>
      <c r="L796" t="s">
        <v>434</v>
      </c>
      <c r="M796" t="s">
        <v>110</v>
      </c>
      <c r="N796">
        <v>2.5999999999999999E-2</v>
      </c>
      <c r="O796">
        <v>1.7000000000000001E-2</v>
      </c>
      <c r="P796">
        <v>1.2E-2</v>
      </c>
    </row>
    <row r="797" spans="1:16">
      <c r="A797" t="s">
        <v>98</v>
      </c>
      <c r="B797" t="s">
        <v>172</v>
      </c>
      <c r="C797" t="s">
        <v>1076</v>
      </c>
      <c r="D797">
        <v>1</v>
      </c>
      <c r="E797">
        <v>2000</v>
      </c>
      <c r="F797">
        <v>0</v>
      </c>
      <c r="G797">
        <v>20</v>
      </c>
      <c r="H797" t="s">
        <v>101</v>
      </c>
      <c r="I797" t="s">
        <v>106</v>
      </c>
      <c r="J797" t="s">
        <v>214</v>
      </c>
      <c r="K797" t="s">
        <v>108</v>
      </c>
      <c r="L797" t="s">
        <v>394</v>
      </c>
      <c r="M797" t="s">
        <v>110</v>
      </c>
      <c r="N797">
        <v>2.5999999999999999E-2</v>
      </c>
      <c r="O797">
        <v>1.7000000000000001E-2</v>
      </c>
      <c r="P797">
        <v>1.2E-2</v>
      </c>
    </row>
    <row r="798" spans="1:16">
      <c r="A798" t="s">
        <v>98</v>
      </c>
      <c r="B798" t="s">
        <v>172</v>
      </c>
      <c r="C798" t="s">
        <v>1077</v>
      </c>
      <c r="D798">
        <v>1</v>
      </c>
      <c r="E798">
        <v>2000</v>
      </c>
      <c r="F798">
        <v>0</v>
      </c>
      <c r="G798">
        <v>20</v>
      </c>
      <c r="H798" t="s">
        <v>101</v>
      </c>
      <c r="I798" t="s">
        <v>106</v>
      </c>
      <c r="J798" t="s">
        <v>214</v>
      </c>
      <c r="K798" t="s">
        <v>108</v>
      </c>
      <c r="L798" t="s">
        <v>394</v>
      </c>
      <c r="M798" t="s">
        <v>110</v>
      </c>
      <c r="N798">
        <v>2.5999999999999999E-2</v>
      </c>
      <c r="O798">
        <v>1.7000000000000001E-2</v>
      </c>
      <c r="P798">
        <v>1.2E-2</v>
      </c>
    </row>
    <row r="799" spans="1:16">
      <c r="A799" t="s">
        <v>98</v>
      </c>
      <c r="B799" t="s">
        <v>172</v>
      </c>
      <c r="C799" t="s">
        <v>1078</v>
      </c>
      <c r="D799">
        <v>1</v>
      </c>
      <c r="E799">
        <v>2000</v>
      </c>
      <c r="F799">
        <v>0</v>
      </c>
      <c r="G799">
        <v>20</v>
      </c>
      <c r="H799" t="s">
        <v>101</v>
      </c>
      <c r="I799" t="s">
        <v>106</v>
      </c>
      <c r="J799" t="s">
        <v>214</v>
      </c>
      <c r="K799" t="s">
        <v>108</v>
      </c>
      <c r="L799" t="s">
        <v>434</v>
      </c>
      <c r="M799" t="s">
        <v>110</v>
      </c>
      <c r="N799">
        <v>2.5999999999999999E-2</v>
      </c>
      <c r="O799">
        <v>1.7000000000000001E-2</v>
      </c>
      <c r="P799">
        <v>1.2E-2</v>
      </c>
    </row>
    <row r="800" spans="1:16">
      <c r="A800" t="s">
        <v>98</v>
      </c>
      <c r="B800" t="s">
        <v>157</v>
      </c>
      <c r="C800" t="s">
        <v>1079</v>
      </c>
      <c r="D800">
        <v>1</v>
      </c>
      <c r="E800">
        <v>3750</v>
      </c>
      <c r="F800">
        <v>410</v>
      </c>
      <c r="G800">
        <v>20</v>
      </c>
      <c r="H800" t="s">
        <v>101</v>
      </c>
      <c r="I800" t="s">
        <v>106</v>
      </c>
      <c r="J800" t="s">
        <v>180</v>
      </c>
      <c r="K800" t="s">
        <v>108</v>
      </c>
      <c r="L800" t="s">
        <v>175</v>
      </c>
      <c r="M800" t="s">
        <v>110</v>
      </c>
      <c r="N800">
        <v>8.6999999999999994E-2</v>
      </c>
      <c r="O800">
        <v>4.7E-2</v>
      </c>
      <c r="P800">
        <v>2.9000000000000001E-2</v>
      </c>
    </row>
    <row r="801" spans="1:16">
      <c r="A801" t="s">
        <v>98</v>
      </c>
      <c r="B801" t="s">
        <v>104</v>
      </c>
      <c r="C801" t="s">
        <v>1080</v>
      </c>
      <c r="D801">
        <v>1</v>
      </c>
      <c r="E801">
        <v>1700</v>
      </c>
      <c r="F801">
        <v>160</v>
      </c>
      <c r="G801">
        <v>20</v>
      </c>
      <c r="H801" t="s">
        <v>101</v>
      </c>
      <c r="I801" t="s">
        <v>106</v>
      </c>
      <c r="J801" t="s">
        <v>490</v>
      </c>
      <c r="K801" t="s">
        <v>108</v>
      </c>
      <c r="L801" t="s">
        <v>128</v>
      </c>
      <c r="M801" t="s">
        <v>110</v>
      </c>
      <c r="N801">
        <v>4.3999999999999997E-2</v>
      </c>
      <c r="O801">
        <v>2.4E-2</v>
      </c>
      <c r="P801">
        <v>1.4999999999999999E-2</v>
      </c>
    </row>
    <row r="802" spans="1:16">
      <c r="A802" t="s">
        <v>98</v>
      </c>
      <c r="B802" t="s">
        <v>157</v>
      </c>
      <c r="C802" t="s">
        <v>1081</v>
      </c>
      <c r="D802">
        <v>1</v>
      </c>
      <c r="E802">
        <v>3750</v>
      </c>
      <c r="F802">
        <v>410</v>
      </c>
      <c r="G802">
        <v>20</v>
      </c>
      <c r="H802" t="s">
        <v>101</v>
      </c>
      <c r="I802" t="s">
        <v>106</v>
      </c>
      <c r="J802" t="s">
        <v>180</v>
      </c>
      <c r="K802" t="s">
        <v>108</v>
      </c>
      <c r="L802" t="s">
        <v>175</v>
      </c>
      <c r="M802" t="s">
        <v>110</v>
      </c>
      <c r="N802">
        <v>8.6999999999999994E-2</v>
      </c>
      <c r="O802">
        <v>4.7E-2</v>
      </c>
      <c r="P802">
        <v>2.9000000000000001E-2</v>
      </c>
    </row>
    <row r="803" spans="1:16">
      <c r="A803" t="s">
        <v>98</v>
      </c>
      <c r="B803" t="s">
        <v>172</v>
      </c>
      <c r="C803" t="s">
        <v>1082</v>
      </c>
      <c r="D803">
        <v>1</v>
      </c>
      <c r="E803">
        <v>2000</v>
      </c>
      <c r="F803">
        <v>0</v>
      </c>
      <c r="G803">
        <v>20</v>
      </c>
      <c r="H803" t="s">
        <v>101</v>
      </c>
      <c r="I803" t="s">
        <v>106</v>
      </c>
      <c r="J803" t="s">
        <v>214</v>
      </c>
      <c r="K803" t="s">
        <v>108</v>
      </c>
      <c r="L803" t="s">
        <v>261</v>
      </c>
      <c r="M803" t="s">
        <v>110</v>
      </c>
      <c r="N803">
        <v>2.5999999999999999E-2</v>
      </c>
      <c r="O803">
        <v>1.7000000000000001E-2</v>
      </c>
      <c r="P803">
        <v>1.2E-2</v>
      </c>
    </row>
    <row r="804" spans="1:16">
      <c r="A804" t="s">
        <v>98</v>
      </c>
      <c r="B804" t="s">
        <v>172</v>
      </c>
      <c r="C804" t="s">
        <v>1083</v>
      </c>
      <c r="D804">
        <v>1</v>
      </c>
      <c r="E804">
        <v>2000</v>
      </c>
      <c r="F804">
        <v>0</v>
      </c>
      <c r="G804">
        <v>20</v>
      </c>
      <c r="H804" t="s">
        <v>101</v>
      </c>
      <c r="I804" t="s">
        <v>106</v>
      </c>
      <c r="J804" t="s">
        <v>214</v>
      </c>
      <c r="K804" t="s">
        <v>108</v>
      </c>
      <c r="L804" t="s">
        <v>261</v>
      </c>
      <c r="M804" t="s">
        <v>110</v>
      </c>
      <c r="N804">
        <v>2.5999999999999999E-2</v>
      </c>
      <c r="O804">
        <v>1.7000000000000001E-2</v>
      </c>
      <c r="P804">
        <v>1.2E-2</v>
      </c>
    </row>
    <row r="805" spans="1:16">
      <c r="A805" t="s">
        <v>98</v>
      </c>
      <c r="B805" t="s">
        <v>172</v>
      </c>
      <c r="C805" t="s">
        <v>1084</v>
      </c>
      <c r="D805">
        <v>1</v>
      </c>
      <c r="E805">
        <v>2000</v>
      </c>
      <c r="F805">
        <v>0</v>
      </c>
      <c r="G805">
        <v>20</v>
      </c>
      <c r="H805" t="s">
        <v>101</v>
      </c>
      <c r="I805" t="s">
        <v>106</v>
      </c>
      <c r="J805" t="s">
        <v>845</v>
      </c>
      <c r="K805" t="s">
        <v>108</v>
      </c>
      <c r="L805" t="s">
        <v>322</v>
      </c>
      <c r="M805" t="s">
        <v>110</v>
      </c>
      <c r="N805">
        <v>2.5999999999999999E-2</v>
      </c>
      <c r="O805">
        <v>1.7000000000000001E-2</v>
      </c>
      <c r="P805">
        <v>1.2E-2</v>
      </c>
    </row>
    <row r="806" spans="1:16">
      <c r="A806" t="s">
        <v>98</v>
      </c>
      <c r="B806" t="s">
        <v>172</v>
      </c>
      <c r="C806" t="s">
        <v>1085</v>
      </c>
      <c r="D806">
        <v>1</v>
      </c>
      <c r="E806">
        <v>2000</v>
      </c>
      <c r="F806">
        <v>0</v>
      </c>
      <c r="G806">
        <v>20</v>
      </c>
      <c r="H806" t="s">
        <v>101</v>
      </c>
      <c r="I806" t="s">
        <v>106</v>
      </c>
      <c r="J806" t="s">
        <v>214</v>
      </c>
      <c r="K806" t="s">
        <v>108</v>
      </c>
      <c r="L806" t="s">
        <v>210</v>
      </c>
      <c r="M806" t="s">
        <v>110</v>
      </c>
      <c r="N806">
        <v>2.5999999999999999E-2</v>
      </c>
      <c r="O806">
        <v>1.7000000000000001E-2</v>
      </c>
      <c r="P806">
        <v>1.2E-2</v>
      </c>
    </row>
    <row r="807" spans="1:16">
      <c r="A807" t="s">
        <v>98</v>
      </c>
      <c r="B807" t="s">
        <v>172</v>
      </c>
      <c r="C807" t="s">
        <v>1086</v>
      </c>
      <c r="D807">
        <v>1</v>
      </c>
      <c r="E807">
        <v>2000</v>
      </c>
      <c r="F807">
        <v>0</v>
      </c>
      <c r="G807">
        <v>20</v>
      </c>
      <c r="H807" t="s">
        <v>101</v>
      </c>
      <c r="I807" t="s">
        <v>106</v>
      </c>
      <c r="J807" t="s">
        <v>214</v>
      </c>
      <c r="K807" t="s">
        <v>108</v>
      </c>
      <c r="L807" t="s">
        <v>203</v>
      </c>
      <c r="M807" t="s">
        <v>110</v>
      </c>
      <c r="N807">
        <v>2.5999999999999999E-2</v>
      </c>
      <c r="O807">
        <v>1.7000000000000001E-2</v>
      </c>
      <c r="P807">
        <v>1.2E-2</v>
      </c>
    </row>
    <row r="808" spans="1:16">
      <c r="A808" t="s">
        <v>98</v>
      </c>
      <c r="B808" t="s">
        <v>172</v>
      </c>
      <c r="C808" t="s">
        <v>1087</v>
      </c>
      <c r="D808">
        <v>1</v>
      </c>
      <c r="E808">
        <v>2000</v>
      </c>
      <c r="F808">
        <v>0</v>
      </c>
      <c r="G808">
        <v>20</v>
      </c>
      <c r="H808" t="s">
        <v>101</v>
      </c>
      <c r="I808" t="s">
        <v>106</v>
      </c>
      <c r="J808" t="s">
        <v>214</v>
      </c>
      <c r="K808" t="s">
        <v>108</v>
      </c>
      <c r="L808" t="s">
        <v>222</v>
      </c>
      <c r="M808" t="s">
        <v>110</v>
      </c>
      <c r="N808">
        <v>2.5999999999999999E-2</v>
      </c>
      <c r="O808">
        <v>1.7000000000000001E-2</v>
      </c>
      <c r="P808">
        <v>1.2E-2</v>
      </c>
    </row>
    <row r="809" spans="1:16">
      <c r="A809" t="s">
        <v>98</v>
      </c>
      <c r="B809" t="s">
        <v>172</v>
      </c>
      <c r="C809" t="s">
        <v>1088</v>
      </c>
      <c r="D809">
        <v>1</v>
      </c>
      <c r="E809">
        <v>2000</v>
      </c>
      <c r="F809">
        <v>0</v>
      </c>
      <c r="G809">
        <v>20</v>
      </c>
      <c r="H809" t="s">
        <v>101</v>
      </c>
      <c r="I809" t="s">
        <v>106</v>
      </c>
      <c r="J809" t="s">
        <v>214</v>
      </c>
      <c r="K809" t="s">
        <v>108</v>
      </c>
      <c r="L809" t="s">
        <v>128</v>
      </c>
      <c r="M809" t="s">
        <v>110</v>
      </c>
      <c r="N809">
        <v>2.5999999999999999E-2</v>
      </c>
      <c r="O809">
        <v>1.7000000000000001E-2</v>
      </c>
      <c r="P809">
        <v>1.2E-2</v>
      </c>
    </row>
    <row r="810" spans="1:16">
      <c r="A810" t="s">
        <v>98</v>
      </c>
      <c r="B810" t="s">
        <v>172</v>
      </c>
      <c r="C810" t="s">
        <v>1089</v>
      </c>
      <c r="D810">
        <v>1</v>
      </c>
      <c r="E810">
        <v>2000</v>
      </c>
      <c r="F810">
        <v>0</v>
      </c>
      <c r="G810">
        <v>20</v>
      </c>
      <c r="H810" t="s">
        <v>101</v>
      </c>
      <c r="I810" t="s">
        <v>106</v>
      </c>
      <c r="J810" t="s">
        <v>263</v>
      </c>
      <c r="K810" t="s">
        <v>108</v>
      </c>
      <c r="L810" t="s">
        <v>322</v>
      </c>
      <c r="M810" t="s">
        <v>110</v>
      </c>
      <c r="N810">
        <v>2.5999999999999999E-2</v>
      </c>
      <c r="O810">
        <v>1.7000000000000001E-2</v>
      </c>
      <c r="P810">
        <v>1.2E-2</v>
      </c>
    </row>
    <row r="811" spans="1:16">
      <c r="A811" t="s">
        <v>98</v>
      </c>
      <c r="B811" t="s">
        <v>172</v>
      </c>
      <c r="C811" t="s">
        <v>1090</v>
      </c>
      <c r="D811">
        <v>1</v>
      </c>
      <c r="E811">
        <v>2000</v>
      </c>
      <c r="F811">
        <v>0</v>
      </c>
      <c r="G811">
        <v>20</v>
      </c>
      <c r="H811" t="s">
        <v>101</v>
      </c>
      <c r="I811" t="s">
        <v>106</v>
      </c>
      <c r="J811" t="s">
        <v>609</v>
      </c>
      <c r="K811" t="s">
        <v>108</v>
      </c>
      <c r="L811" t="s">
        <v>175</v>
      </c>
      <c r="M811" t="s">
        <v>110</v>
      </c>
      <c r="N811">
        <v>2.5999999999999999E-2</v>
      </c>
      <c r="O811">
        <v>1.7000000000000001E-2</v>
      </c>
      <c r="P811">
        <v>1.2E-2</v>
      </c>
    </row>
    <row r="812" spans="1:16">
      <c r="A812" t="s">
        <v>98</v>
      </c>
      <c r="B812" t="s">
        <v>172</v>
      </c>
      <c r="C812" t="s">
        <v>1091</v>
      </c>
      <c r="D812">
        <v>1</v>
      </c>
      <c r="E812">
        <v>2000</v>
      </c>
      <c r="F812">
        <v>0</v>
      </c>
      <c r="G812">
        <v>20</v>
      </c>
      <c r="H812" t="s">
        <v>101</v>
      </c>
      <c r="I812" t="s">
        <v>106</v>
      </c>
      <c r="J812" t="s">
        <v>609</v>
      </c>
      <c r="K812" t="s">
        <v>108</v>
      </c>
      <c r="L812" t="s">
        <v>322</v>
      </c>
      <c r="M812" t="s">
        <v>110</v>
      </c>
      <c r="N812">
        <v>2.5999999999999999E-2</v>
      </c>
      <c r="O812">
        <v>1.7000000000000001E-2</v>
      </c>
      <c r="P812">
        <v>1.2E-2</v>
      </c>
    </row>
    <row r="813" spans="1:16">
      <c r="A813" t="s">
        <v>98</v>
      </c>
      <c r="B813" t="s">
        <v>172</v>
      </c>
      <c r="C813" t="s">
        <v>1092</v>
      </c>
      <c r="D813">
        <v>1</v>
      </c>
      <c r="E813">
        <v>2000</v>
      </c>
      <c r="F813">
        <v>0</v>
      </c>
      <c r="G813">
        <v>20</v>
      </c>
      <c r="H813" t="s">
        <v>101</v>
      </c>
      <c r="I813" t="s">
        <v>106</v>
      </c>
      <c r="J813" t="s">
        <v>127</v>
      </c>
      <c r="K813" t="s">
        <v>108</v>
      </c>
      <c r="L813" t="s">
        <v>175</v>
      </c>
      <c r="M813" t="s">
        <v>110</v>
      </c>
      <c r="N813">
        <v>2.5999999999999999E-2</v>
      </c>
      <c r="O813">
        <v>1.7000000000000001E-2</v>
      </c>
      <c r="P813">
        <v>1.2E-2</v>
      </c>
    </row>
    <row r="814" spans="1:16">
      <c r="A814" t="s">
        <v>98</v>
      </c>
      <c r="B814" t="s">
        <v>172</v>
      </c>
      <c r="C814" t="s">
        <v>1093</v>
      </c>
      <c r="D814">
        <v>1</v>
      </c>
      <c r="E814">
        <v>2000</v>
      </c>
      <c r="F814">
        <v>0</v>
      </c>
      <c r="G814">
        <v>20</v>
      </c>
      <c r="H814" t="s">
        <v>101</v>
      </c>
      <c r="I814" t="s">
        <v>106</v>
      </c>
      <c r="J814" t="s">
        <v>127</v>
      </c>
      <c r="K814" t="s">
        <v>108</v>
      </c>
      <c r="L814" t="s">
        <v>322</v>
      </c>
      <c r="M814" t="s">
        <v>110</v>
      </c>
      <c r="N814">
        <v>2.5999999999999999E-2</v>
      </c>
      <c r="O814">
        <v>1.7000000000000001E-2</v>
      </c>
      <c r="P814">
        <v>1.2E-2</v>
      </c>
    </row>
    <row r="815" spans="1:16">
      <c r="A815" t="s">
        <v>98</v>
      </c>
      <c r="B815" t="s">
        <v>172</v>
      </c>
      <c r="C815" t="s">
        <v>1094</v>
      </c>
      <c r="D815">
        <v>1</v>
      </c>
      <c r="E815">
        <v>2000</v>
      </c>
      <c r="F815">
        <v>0</v>
      </c>
      <c r="G815">
        <v>20</v>
      </c>
      <c r="H815" t="s">
        <v>101</v>
      </c>
      <c r="I815" t="s">
        <v>106</v>
      </c>
      <c r="J815" t="s">
        <v>835</v>
      </c>
      <c r="K815" t="s">
        <v>108</v>
      </c>
      <c r="L815" t="s">
        <v>258</v>
      </c>
      <c r="M815" t="s">
        <v>110</v>
      </c>
      <c r="N815">
        <v>2.5999999999999999E-2</v>
      </c>
      <c r="O815">
        <v>1.7000000000000001E-2</v>
      </c>
      <c r="P815">
        <v>1.2E-2</v>
      </c>
    </row>
    <row r="816" spans="1:16">
      <c r="A816" t="s">
        <v>98</v>
      </c>
      <c r="B816" t="s">
        <v>172</v>
      </c>
      <c r="C816" t="s">
        <v>1095</v>
      </c>
      <c r="D816">
        <v>1</v>
      </c>
      <c r="E816">
        <v>2000</v>
      </c>
      <c r="F816">
        <v>0</v>
      </c>
      <c r="G816">
        <v>20</v>
      </c>
      <c r="H816" t="s">
        <v>101</v>
      </c>
      <c r="I816" t="s">
        <v>106</v>
      </c>
      <c r="J816" t="s">
        <v>835</v>
      </c>
      <c r="K816" t="s">
        <v>108</v>
      </c>
      <c r="L816" t="s">
        <v>258</v>
      </c>
      <c r="M816" t="s">
        <v>110</v>
      </c>
      <c r="N816">
        <v>2.5999999999999999E-2</v>
      </c>
      <c r="O816">
        <v>1.7000000000000001E-2</v>
      </c>
      <c r="P816">
        <v>1.2E-2</v>
      </c>
    </row>
    <row r="817" spans="1:16">
      <c r="A817" t="s">
        <v>98</v>
      </c>
      <c r="B817" t="s">
        <v>172</v>
      </c>
      <c r="C817" t="s">
        <v>1096</v>
      </c>
      <c r="D817">
        <v>1</v>
      </c>
      <c r="E817">
        <v>2000</v>
      </c>
      <c r="F817">
        <v>0</v>
      </c>
      <c r="G817">
        <v>20</v>
      </c>
      <c r="H817" t="s">
        <v>101</v>
      </c>
      <c r="I817" t="s">
        <v>106</v>
      </c>
      <c r="J817" t="s">
        <v>661</v>
      </c>
      <c r="K817" t="s">
        <v>108</v>
      </c>
      <c r="L817" t="s">
        <v>128</v>
      </c>
      <c r="M817" t="s">
        <v>110</v>
      </c>
      <c r="N817">
        <v>2.5999999999999999E-2</v>
      </c>
      <c r="O817">
        <v>1.7000000000000001E-2</v>
      </c>
      <c r="P817">
        <v>1.2E-2</v>
      </c>
    </row>
    <row r="818" spans="1:16">
      <c r="A818" t="s">
        <v>98</v>
      </c>
      <c r="B818" t="s">
        <v>172</v>
      </c>
      <c r="C818" t="s">
        <v>1097</v>
      </c>
      <c r="D818">
        <v>1</v>
      </c>
      <c r="E818">
        <v>2000</v>
      </c>
      <c r="F818">
        <v>0</v>
      </c>
      <c r="G818">
        <v>20</v>
      </c>
      <c r="H818" t="s">
        <v>101</v>
      </c>
      <c r="I818" t="s">
        <v>106</v>
      </c>
      <c r="J818" t="s">
        <v>661</v>
      </c>
      <c r="K818" t="s">
        <v>108</v>
      </c>
      <c r="L818" t="s">
        <v>128</v>
      </c>
      <c r="M818" t="s">
        <v>110</v>
      </c>
      <c r="N818">
        <v>2.5999999999999999E-2</v>
      </c>
      <c r="O818">
        <v>1.7000000000000001E-2</v>
      </c>
      <c r="P818">
        <v>1.2E-2</v>
      </c>
    </row>
    <row r="819" spans="1:16">
      <c r="A819" t="s">
        <v>98</v>
      </c>
      <c r="B819" t="s">
        <v>172</v>
      </c>
      <c r="C819" t="s">
        <v>1098</v>
      </c>
      <c r="D819">
        <v>1</v>
      </c>
      <c r="E819">
        <v>2000</v>
      </c>
      <c r="F819">
        <v>0</v>
      </c>
      <c r="G819">
        <v>20</v>
      </c>
      <c r="H819" t="s">
        <v>101</v>
      </c>
      <c r="I819" t="s">
        <v>106</v>
      </c>
      <c r="J819" t="s">
        <v>661</v>
      </c>
      <c r="K819" t="s">
        <v>108</v>
      </c>
      <c r="L819" t="s">
        <v>222</v>
      </c>
      <c r="M819" t="s">
        <v>110</v>
      </c>
      <c r="N819">
        <v>2.5999999999999999E-2</v>
      </c>
      <c r="O819">
        <v>1.7000000000000001E-2</v>
      </c>
      <c r="P819">
        <v>1.2E-2</v>
      </c>
    </row>
    <row r="820" spans="1:16">
      <c r="A820" t="s">
        <v>98</v>
      </c>
      <c r="B820" t="s">
        <v>172</v>
      </c>
      <c r="C820" t="s">
        <v>1099</v>
      </c>
      <c r="D820">
        <v>1</v>
      </c>
      <c r="E820">
        <v>2000</v>
      </c>
      <c r="F820">
        <v>0</v>
      </c>
      <c r="G820">
        <v>20</v>
      </c>
      <c r="H820" t="s">
        <v>101</v>
      </c>
      <c r="I820" t="s">
        <v>106</v>
      </c>
      <c r="J820" t="s">
        <v>661</v>
      </c>
      <c r="K820" t="s">
        <v>108</v>
      </c>
      <c r="L820" t="s">
        <v>222</v>
      </c>
      <c r="M820" t="s">
        <v>110</v>
      </c>
      <c r="N820">
        <v>2.5999999999999999E-2</v>
      </c>
      <c r="O820">
        <v>1.7000000000000001E-2</v>
      </c>
      <c r="P820">
        <v>1.2E-2</v>
      </c>
    </row>
    <row r="821" spans="1:16">
      <c r="A821" t="s">
        <v>98</v>
      </c>
      <c r="B821" t="s">
        <v>172</v>
      </c>
      <c r="C821" t="s">
        <v>1100</v>
      </c>
      <c r="D821">
        <v>1</v>
      </c>
      <c r="E821">
        <v>2000</v>
      </c>
      <c r="F821">
        <v>0</v>
      </c>
      <c r="G821">
        <v>20</v>
      </c>
      <c r="H821" t="s">
        <v>101</v>
      </c>
      <c r="I821" t="s">
        <v>106</v>
      </c>
      <c r="J821" t="s">
        <v>661</v>
      </c>
      <c r="K821" t="s">
        <v>108</v>
      </c>
      <c r="L821" t="s">
        <v>128</v>
      </c>
      <c r="M821" t="s">
        <v>110</v>
      </c>
      <c r="N821">
        <v>2.5999999999999999E-2</v>
      </c>
      <c r="O821">
        <v>1.7000000000000001E-2</v>
      </c>
      <c r="P821">
        <v>1.2E-2</v>
      </c>
    </row>
    <row r="822" spans="1:16">
      <c r="A822" t="s">
        <v>98</v>
      </c>
      <c r="B822" t="s">
        <v>172</v>
      </c>
      <c r="C822" t="s">
        <v>1101</v>
      </c>
      <c r="D822">
        <v>1</v>
      </c>
      <c r="E822">
        <v>2000</v>
      </c>
      <c r="F822">
        <v>0</v>
      </c>
      <c r="G822">
        <v>20</v>
      </c>
      <c r="H822" t="s">
        <v>101</v>
      </c>
      <c r="I822" t="s">
        <v>106</v>
      </c>
      <c r="J822" t="s">
        <v>661</v>
      </c>
      <c r="K822" t="s">
        <v>108</v>
      </c>
      <c r="L822" t="s">
        <v>128</v>
      </c>
      <c r="M822" t="s">
        <v>110</v>
      </c>
      <c r="N822">
        <v>2.5999999999999999E-2</v>
      </c>
      <c r="O822">
        <v>1.7000000000000001E-2</v>
      </c>
      <c r="P822">
        <v>1.2E-2</v>
      </c>
    </row>
    <row r="823" spans="1:16" hidden="1">
      <c r="A823" t="s">
        <v>98</v>
      </c>
      <c r="B823" t="s">
        <v>135</v>
      </c>
      <c r="C823" t="s">
        <v>1102</v>
      </c>
      <c r="D823">
        <v>1</v>
      </c>
      <c r="E823">
        <v>3750</v>
      </c>
      <c r="F823">
        <v>4</v>
      </c>
      <c r="G823">
        <v>4020</v>
      </c>
      <c r="H823" t="s">
        <v>101</v>
      </c>
      <c r="I823" t="s">
        <v>146</v>
      </c>
      <c r="J823" t="s">
        <v>101</v>
      </c>
      <c r="K823" t="s">
        <v>1103</v>
      </c>
      <c r="L823" t="s">
        <v>101</v>
      </c>
      <c r="M823" t="s">
        <v>138</v>
      </c>
      <c r="N823">
        <v>6.7000000000000004E-2</v>
      </c>
      <c r="O823">
        <v>0.04</v>
      </c>
      <c r="P823">
        <v>2.5999999999999999E-2</v>
      </c>
    </row>
    <row r="824" spans="1:16" hidden="1">
      <c r="A824" t="s">
        <v>98</v>
      </c>
      <c r="B824" t="s">
        <v>99</v>
      </c>
      <c r="C824" t="s">
        <v>1104</v>
      </c>
      <c r="D824">
        <v>2</v>
      </c>
      <c r="E824">
        <v>3750</v>
      </c>
      <c r="F824">
        <v>32</v>
      </c>
      <c r="G824">
        <v>4020</v>
      </c>
      <c r="H824" t="s">
        <v>101</v>
      </c>
      <c r="I824" t="s">
        <v>146</v>
      </c>
      <c r="J824" t="s">
        <v>101</v>
      </c>
      <c r="K824" t="s">
        <v>1103</v>
      </c>
      <c r="L824" t="s">
        <v>101</v>
      </c>
      <c r="M824" t="s">
        <v>138</v>
      </c>
      <c r="N824">
        <v>0.105</v>
      </c>
      <c r="O824">
        <v>6.2E-2</v>
      </c>
      <c r="P824">
        <v>3.9E-2</v>
      </c>
    </row>
    <row r="825" spans="1:16">
      <c r="A825" t="s">
        <v>98</v>
      </c>
      <c r="B825" t="s">
        <v>172</v>
      </c>
      <c r="C825" t="s">
        <v>1105</v>
      </c>
      <c r="D825">
        <v>1</v>
      </c>
      <c r="E825">
        <v>2000</v>
      </c>
      <c r="F825">
        <v>0</v>
      </c>
      <c r="G825">
        <v>20</v>
      </c>
      <c r="H825" t="s">
        <v>101</v>
      </c>
      <c r="I825" t="s">
        <v>106</v>
      </c>
      <c r="J825" t="s">
        <v>386</v>
      </c>
      <c r="K825" t="s">
        <v>108</v>
      </c>
      <c r="L825" t="s">
        <v>387</v>
      </c>
      <c r="M825" t="s">
        <v>110</v>
      </c>
      <c r="N825">
        <v>2.5999999999999999E-2</v>
      </c>
      <c r="O825">
        <v>1.7000000000000001E-2</v>
      </c>
      <c r="P825">
        <v>1.2E-2</v>
      </c>
    </row>
    <row r="826" spans="1:16" hidden="1">
      <c r="A826" t="s">
        <v>98</v>
      </c>
      <c r="B826" t="s">
        <v>212</v>
      </c>
      <c r="C826" t="s">
        <v>1106</v>
      </c>
      <c r="D826">
        <v>1</v>
      </c>
      <c r="E826">
        <v>1000</v>
      </c>
      <c r="F826">
        <v>0</v>
      </c>
      <c r="G826">
        <v>8</v>
      </c>
      <c r="H826" t="s">
        <v>101</v>
      </c>
      <c r="I826" t="s">
        <v>102</v>
      </c>
      <c r="J826" t="s">
        <v>101</v>
      </c>
      <c r="K826" t="s">
        <v>101</v>
      </c>
      <c r="L826" t="s">
        <v>101</v>
      </c>
      <c r="M826" t="s">
        <v>138</v>
      </c>
      <c r="N826">
        <v>1.2999999999999999E-2</v>
      </c>
      <c r="O826">
        <v>8.9999999999999993E-3</v>
      </c>
      <c r="P826">
        <v>6.0000000000000001E-3</v>
      </c>
    </row>
    <row r="827" spans="1:16">
      <c r="A827" t="s">
        <v>98</v>
      </c>
      <c r="B827" t="s">
        <v>172</v>
      </c>
      <c r="C827" t="s">
        <v>1107</v>
      </c>
      <c r="D827">
        <v>1</v>
      </c>
      <c r="E827">
        <v>2000</v>
      </c>
      <c r="F827">
        <v>0</v>
      </c>
      <c r="G827">
        <v>20</v>
      </c>
      <c r="H827" t="s">
        <v>101</v>
      </c>
      <c r="I827" t="s">
        <v>106</v>
      </c>
      <c r="J827" t="s">
        <v>1043</v>
      </c>
      <c r="K827" t="s">
        <v>108</v>
      </c>
      <c r="L827" t="s">
        <v>394</v>
      </c>
      <c r="M827" t="s">
        <v>110</v>
      </c>
      <c r="N827">
        <v>2.5999999999999999E-2</v>
      </c>
      <c r="O827">
        <v>1.7000000000000001E-2</v>
      </c>
      <c r="P827">
        <v>1.2E-2</v>
      </c>
    </row>
    <row r="828" spans="1:16">
      <c r="A828" t="s">
        <v>98</v>
      </c>
      <c r="B828" t="s">
        <v>172</v>
      </c>
      <c r="C828" t="s">
        <v>1108</v>
      </c>
      <c r="D828">
        <v>1</v>
      </c>
      <c r="E828">
        <v>2000</v>
      </c>
      <c r="F828">
        <v>0</v>
      </c>
      <c r="G828">
        <v>20</v>
      </c>
      <c r="H828" t="s">
        <v>101</v>
      </c>
      <c r="I828" t="s">
        <v>106</v>
      </c>
      <c r="J828" t="s">
        <v>1045</v>
      </c>
      <c r="K828" t="s">
        <v>108</v>
      </c>
      <c r="L828" t="s">
        <v>434</v>
      </c>
      <c r="M828" t="s">
        <v>110</v>
      </c>
      <c r="N828">
        <v>2.5999999999999999E-2</v>
      </c>
      <c r="O828">
        <v>1.7000000000000001E-2</v>
      </c>
      <c r="P828">
        <v>1.2E-2</v>
      </c>
    </row>
    <row r="829" spans="1:16" hidden="1">
      <c r="A829" t="s">
        <v>98</v>
      </c>
      <c r="B829" t="s">
        <v>114</v>
      </c>
      <c r="C829" t="s">
        <v>1109</v>
      </c>
      <c r="D829">
        <v>2</v>
      </c>
      <c r="E829">
        <v>7500</v>
      </c>
      <c r="F829">
        <v>32</v>
      </c>
      <c r="G829">
        <v>420</v>
      </c>
      <c r="H829" t="s">
        <v>101</v>
      </c>
      <c r="I829" t="s">
        <v>102</v>
      </c>
      <c r="J829" t="s">
        <v>101</v>
      </c>
      <c r="K829" t="s">
        <v>754</v>
      </c>
      <c r="L829" t="s">
        <v>117</v>
      </c>
      <c r="M829" t="s">
        <v>103</v>
      </c>
      <c r="N829">
        <v>0.13300000000000001</v>
      </c>
      <c r="O829">
        <v>8.1000000000000003E-2</v>
      </c>
      <c r="P829">
        <v>5.1999999999999998E-2</v>
      </c>
    </row>
    <row r="830" spans="1:16" hidden="1">
      <c r="A830" t="s">
        <v>98</v>
      </c>
      <c r="B830" t="s">
        <v>172</v>
      </c>
      <c r="C830" t="s">
        <v>1110</v>
      </c>
      <c r="D830">
        <v>1</v>
      </c>
      <c r="E830">
        <v>2000</v>
      </c>
      <c r="F830">
        <v>0</v>
      </c>
      <c r="G830">
        <v>20</v>
      </c>
      <c r="H830" t="s">
        <v>101</v>
      </c>
      <c r="I830" t="s">
        <v>102</v>
      </c>
      <c r="J830" t="s">
        <v>101</v>
      </c>
      <c r="K830" t="s">
        <v>754</v>
      </c>
      <c r="L830" t="s">
        <v>117</v>
      </c>
      <c r="M830" t="s">
        <v>103</v>
      </c>
      <c r="N830">
        <v>2.5999999999999999E-2</v>
      </c>
      <c r="O830">
        <v>1.7000000000000001E-2</v>
      </c>
      <c r="P830">
        <v>1.2E-2</v>
      </c>
    </row>
    <row r="831" spans="1:16" hidden="1">
      <c r="A831" t="s">
        <v>98</v>
      </c>
      <c r="B831" t="s">
        <v>114</v>
      </c>
      <c r="C831" t="s">
        <v>1111</v>
      </c>
      <c r="D831">
        <v>2</v>
      </c>
      <c r="E831">
        <v>7500</v>
      </c>
      <c r="F831">
        <v>32</v>
      </c>
      <c r="G831">
        <v>820</v>
      </c>
      <c r="H831" t="s">
        <v>101</v>
      </c>
      <c r="I831" t="s">
        <v>102</v>
      </c>
      <c r="J831" t="s">
        <v>101</v>
      </c>
      <c r="K831" t="s">
        <v>754</v>
      </c>
      <c r="L831" t="s">
        <v>117</v>
      </c>
      <c r="M831" t="s">
        <v>103</v>
      </c>
      <c r="N831">
        <v>0.13300000000000001</v>
      </c>
      <c r="O831">
        <v>8.1000000000000003E-2</v>
      </c>
      <c r="P831">
        <v>5.1999999999999998E-2</v>
      </c>
    </row>
    <row r="832" spans="1:16" hidden="1">
      <c r="A832" t="s">
        <v>98</v>
      </c>
      <c r="B832" t="s">
        <v>114</v>
      </c>
      <c r="C832" t="s">
        <v>1112</v>
      </c>
      <c r="D832">
        <v>2</v>
      </c>
      <c r="E832">
        <v>7500</v>
      </c>
      <c r="F832">
        <v>32</v>
      </c>
      <c r="G832">
        <v>420</v>
      </c>
      <c r="H832" t="s">
        <v>101</v>
      </c>
      <c r="I832" t="s">
        <v>102</v>
      </c>
      <c r="J832" t="s">
        <v>101</v>
      </c>
      <c r="K832" t="s">
        <v>754</v>
      </c>
      <c r="L832" t="s">
        <v>117</v>
      </c>
      <c r="M832" t="s">
        <v>103</v>
      </c>
      <c r="N832">
        <v>0.13300000000000001</v>
      </c>
      <c r="O832">
        <v>8.1000000000000003E-2</v>
      </c>
      <c r="P832">
        <v>5.1999999999999998E-2</v>
      </c>
    </row>
    <row r="833" spans="1:16" hidden="1">
      <c r="A833" t="s">
        <v>98</v>
      </c>
      <c r="B833" t="s">
        <v>114</v>
      </c>
      <c r="C833" t="s">
        <v>1113</v>
      </c>
      <c r="D833">
        <v>2</v>
      </c>
      <c r="E833">
        <v>7500</v>
      </c>
      <c r="F833">
        <v>32</v>
      </c>
      <c r="G833">
        <v>420</v>
      </c>
      <c r="H833" t="s">
        <v>101</v>
      </c>
      <c r="I833" t="s">
        <v>102</v>
      </c>
      <c r="J833" t="s">
        <v>101</v>
      </c>
      <c r="K833" t="s">
        <v>754</v>
      </c>
      <c r="L833" t="s">
        <v>117</v>
      </c>
      <c r="M833" t="s">
        <v>103</v>
      </c>
      <c r="N833">
        <v>0.13300000000000001</v>
      </c>
      <c r="O833">
        <v>8.1000000000000003E-2</v>
      </c>
      <c r="P833">
        <v>5.1999999999999998E-2</v>
      </c>
    </row>
    <row r="834" spans="1:16">
      <c r="A834" t="s">
        <v>98</v>
      </c>
      <c r="B834" t="s">
        <v>172</v>
      </c>
      <c r="C834" t="s">
        <v>1114</v>
      </c>
      <c r="D834">
        <v>1</v>
      </c>
      <c r="E834">
        <v>2000</v>
      </c>
      <c r="F834">
        <v>0</v>
      </c>
      <c r="G834">
        <v>20</v>
      </c>
      <c r="H834" t="s">
        <v>101</v>
      </c>
      <c r="I834" t="s">
        <v>106</v>
      </c>
      <c r="J834" t="s">
        <v>1030</v>
      </c>
      <c r="K834" t="s">
        <v>108</v>
      </c>
      <c r="L834" t="s">
        <v>541</v>
      </c>
      <c r="M834" t="s">
        <v>110</v>
      </c>
      <c r="N834">
        <v>2.5999999999999999E-2</v>
      </c>
      <c r="O834">
        <v>1.7000000000000001E-2</v>
      </c>
      <c r="P834">
        <v>1.2E-2</v>
      </c>
    </row>
    <row r="835" spans="1:16">
      <c r="A835" t="s">
        <v>98</v>
      </c>
      <c r="B835" t="s">
        <v>172</v>
      </c>
      <c r="C835" t="s">
        <v>1115</v>
      </c>
      <c r="D835">
        <v>1</v>
      </c>
      <c r="E835">
        <v>2000</v>
      </c>
      <c r="F835">
        <v>0</v>
      </c>
      <c r="G835">
        <v>20</v>
      </c>
      <c r="H835" t="s">
        <v>101</v>
      </c>
      <c r="I835" t="s">
        <v>106</v>
      </c>
      <c r="J835" t="s">
        <v>180</v>
      </c>
      <c r="K835" t="s">
        <v>108</v>
      </c>
      <c r="L835" t="s">
        <v>131</v>
      </c>
      <c r="M835" t="s">
        <v>110</v>
      </c>
      <c r="N835">
        <v>2.5999999999999999E-2</v>
      </c>
      <c r="O835">
        <v>1.7000000000000001E-2</v>
      </c>
      <c r="P835">
        <v>1.2E-2</v>
      </c>
    </row>
    <row r="836" spans="1:16">
      <c r="A836" t="s">
        <v>98</v>
      </c>
      <c r="B836" t="s">
        <v>172</v>
      </c>
      <c r="C836" t="s">
        <v>1116</v>
      </c>
      <c r="D836">
        <v>1</v>
      </c>
      <c r="E836">
        <v>2000</v>
      </c>
      <c r="F836">
        <v>0</v>
      </c>
      <c r="G836">
        <v>20</v>
      </c>
      <c r="H836" t="s">
        <v>101</v>
      </c>
      <c r="I836" t="s">
        <v>106</v>
      </c>
      <c r="J836" t="s">
        <v>180</v>
      </c>
      <c r="K836" t="s">
        <v>108</v>
      </c>
      <c r="L836" t="s">
        <v>131</v>
      </c>
      <c r="M836" t="s">
        <v>110</v>
      </c>
      <c r="N836">
        <v>2.5999999999999999E-2</v>
      </c>
      <c r="O836">
        <v>1.7000000000000001E-2</v>
      </c>
      <c r="P836">
        <v>1.2E-2</v>
      </c>
    </row>
    <row r="837" spans="1:16" hidden="1">
      <c r="A837" t="s">
        <v>98</v>
      </c>
      <c r="B837" t="s">
        <v>148</v>
      </c>
      <c r="C837" t="s">
        <v>1117</v>
      </c>
      <c r="D837">
        <v>2</v>
      </c>
      <c r="E837">
        <v>4000</v>
      </c>
      <c r="F837">
        <v>0</v>
      </c>
      <c r="G837">
        <v>20</v>
      </c>
      <c r="H837" t="s">
        <v>101</v>
      </c>
      <c r="I837" t="s">
        <v>102</v>
      </c>
      <c r="J837" t="s">
        <v>101</v>
      </c>
      <c r="K837" t="s">
        <v>1118</v>
      </c>
      <c r="L837" t="s">
        <v>101</v>
      </c>
      <c r="M837" t="s">
        <v>125</v>
      </c>
      <c r="N837">
        <v>5.1999999999999998E-2</v>
      </c>
      <c r="O837">
        <v>3.4000000000000002E-2</v>
      </c>
      <c r="P837">
        <v>2.3E-2</v>
      </c>
    </row>
    <row r="838" spans="1:16" hidden="1">
      <c r="A838" t="s">
        <v>98</v>
      </c>
      <c r="B838" t="s">
        <v>148</v>
      </c>
      <c r="C838" t="s">
        <v>1119</v>
      </c>
      <c r="D838">
        <v>2</v>
      </c>
      <c r="E838">
        <v>4000</v>
      </c>
      <c r="F838">
        <v>0</v>
      </c>
      <c r="G838">
        <v>20</v>
      </c>
      <c r="H838" t="s">
        <v>101</v>
      </c>
      <c r="I838" t="s">
        <v>102</v>
      </c>
      <c r="J838" t="s">
        <v>101</v>
      </c>
      <c r="K838" t="s">
        <v>1118</v>
      </c>
      <c r="L838" t="s">
        <v>101</v>
      </c>
      <c r="M838" t="s">
        <v>125</v>
      </c>
      <c r="N838">
        <v>5.1999999999999998E-2</v>
      </c>
      <c r="O838">
        <v>3.4000000000000002E-2</v>
      </c>
      <c r="P838">
        <v>2.3E-2</v>
      </c>
    </row>
    <row r="839" spans="1:16" hidden="1">
      <c r="A839" t="s">
        <v>98</v>
      </c>
      <c r="B839" t="s">
        <v>148</v>
      </c>
      <c r="C839" t="s">
        <v>1120</v>
      </c>
      <c r="D839">
        <v>2</v>
      </c>
      <c r="E839">
        <v>4000</v>
      </c>
      <c r="F839">
        <v>0</v>
      </c>
      <c r="G839">
        <v>20</v>
      </c>
      <c r="H839" t="s">
        <v>101</v>
      </c>
      <c r="I839" t="s">
        <v>101</v>
      </c>
      <c r="J839" t="s">
        <v>101</v>
      </c>
      <c r="K839" t="s">
        <v>101</v>
      </c>
      <c r="L839" t="s">
        <v>101</v>
      </c>
      <c r="M839" t="s">
        <v>110</v>
      </c>
      <c r="N839">
        <v>5.1999999999999998E-2</v>
      </c>
      <c r="O839">
        <v>3.4000000000000002E-2</v>
      </c>
      <c r="P839">
        <v>2.3E-2</v>
      </c>
    </row>
    <row r="840" spans="1:16">
      <c r="A840" t="s">
        <v>98</v>
      </c>
      <c r="B840" t="s">
        <v>172</v>
      </c>
      <c r="C840" t="s">
        <v>1121</v>
      </c>
      <c r="D840">
        <v>1</v>
      </c>
      <c r="E840">
        <v>2000</v>
      </c>
      <c r="F840">
        <v>0</v>
      </c>
      <c r="G840">
        <v>20</v>
      </c>
      <c r="H840" t="s">
        <v>101</v>
      </c>
      <c r="I840" t="s">
        <v>106</v>
      </c>
      <c r="J840" t="s">
        <v>845</v>
      </c>
      <c r="K840" t="s">
        <v>108</v>
      </c>
      <c r="L840" t="s">
        <v>128</v>
      </c>
      <c r="M840" t="s">
        <v>110</v>
      </c>
      <c r="N840">
        <v>2.5999999999999999E-2</v>
      </c>
      <c r="O840">
        <v>1.7000000000000001E-2</v>
      </c>
      <c r="P840">
        <v>1.2E-2</v>
      </c>
    </row>
    <row r="841" spans="1:16">
      <c r="A841" t="s">
        <v>98</v>
      </c>
      <c r="B841" t="s">
        <v>172</v>
      </c>
      <c r="C841" t="s">
        <v>1122</v>
      </c>
      <c r="D841">
        <v>1</v>
      </c>
      <c r="E841">
        <v>2000</v>
      </c>
      <c r="F841">
        <v>0</v>
      </c>
      <c r="G841">
        <v>20</v>
      </c>
      <c r="H841" t="s">
        <v>101</v>
      </c>
      <c r="I841" t="s">
        <v>106</v>
      </c>
      <c r="J841" t="s">
        <v>498</v>
      </c>
      <c r="K841" t="s">
        <v>108</v>
      </c>
      <c r="L841" t="s">
        <v>222</v>
      </c>
      <c r="M841" t="s">
        <v>110</v>
      </c>
      <c r="N841">
        <v>2.5999999999999999E-2</v>
      </c>
      <c r="O841">
        <v>1.7000000000000001E-2</v>
      </c>
      <c r="P841">
        <v>1.2E-2</v>
      </c>
    </row>
    <row r="842" spans="1:16" hidden="1">
      <c r="A842" t="s">
        <v>98</v>
      </c>
      <c r="B842" t="s">
        <v>148</v>
      </c>
      <c r="C842" t="s">
        <v>1123</v>
      </c>
      <c r="D842">
        <v>2</v>
      </c>
      <c r="E842">
        <v>4000</v>
      </c>
      <c r="F842">
        <v>0</v>
      </c>
      <c r="G842">
        <v>20</v>
      </c>
      <c r="H842" t="s">
        <v>101</v>
      </c>
      <c r="I842" t="s">
        <v>102</v>
      </c>
      <c r="J842" t="s">
        <v>101</v>
      </c>
      <c r="K842" t="s">
        <v>1118</v>
      </c>
      <c r="L842" t="s">
        <v>101</v>
      </c>
      <c r="M842" t="s">
        <v>118</v>
      </c>
      <c r="N842">
        <v>5.1999999999999998E-2</v>
      </c>
      <c r="O842">
        <v>3.4000000000000002E-2</v>
      </c>
      <c r="P842">
        <v>2.3E-2</v>
      </c>
    </row>
    <row r="843" spans="1:16" hidden="1">
      <c r="A843" t="s">
        <v>98</v>
      </c>
      <c r="B843" t="s">
        <v>148</v>
      </c>
      <c r="C843" t="s">
        <v>1124</v>
      </c>
      <c r="D843">
        <v>2</v>
      </c>
      <c r="E843">
        <v>4000</v>
      </c>
      <c r="F843">
        <v>0</v>
      </c>
      <c r="G843">
        <v>20</v>
      </c>
      <c r="H843" t="s">
        <v>101</v>
      </c>
      <c r="I843" t="s">
        <v>102</v>
      </c>
      <c r="J843" t="s">
        <v>101</v>
      </c>
      <c r="K843" t="s">
        <v>1118</v>
      </c>
      <c r="L843" t="s">
        <v>101</v>
      </c>
      <c r="M843" t="s">
        <v>118</v>
      </c>
      <c r="N843">
        <v>5.1999999999999998E-2</v>
      </c>
      <c r="O843">
        <v>3.4000000000000002E-2</v>
      </c>
      <c r="P843">
        <v>2.3E-2</v>
      </c>
    </row>
    <row r="844" spans="1:16">
      <c r="A844" t="s">
        <v>98</v>
      </c>
      <c r="B844" t="s">
        <v>172</v>
      </c>
      <c r="C844" t="s">
        <v>1125</v>
      </c>
      <c r="D844">
        <v>1</v>
      </c>
      <c r="E844">
        <v>2000</v>
      </c>
      <c r="F844">
        <v>0</v>
      </c>
      <c r="G844">
        <v>20</v>
      </c>
      <c r="H844" t="s">
        <v>101</v>
      </c>
      <c r="I844" t="s">
        <v>106</v>
      </c>
      <c r="J844" t="s">
        <v>498</v>
      </c>
      <c r="K844" t="s">
        <v>108</v>
      </c>
      <c r="L844" t="s">
        <v>128</v>
      </c>
      <c r="M844" t="s">
        <v>110</v>
      </c>
      <c r="N844">
        <v>2.5999999999999999E-2</v>
      </c>
      <c r="O844">
        <v>1.7000000000000001E-2</v>
      </c>
      <c r="P844">
        <v>1.2E-2</v>
      </c>
    </row>
    <row r="845" spans="1:16">
      <c r="A845" t="s">
        <v>98</v>
      </c>
      <c r="B845" t="s">
        <v>172</v>
      </c>
      <c r="C845" t="s">
        <v>1126</v>
      </c>
      <c r="D845">
        <v>1</v>
      </c>
      <c r="E845">
        <v>2000</v>
      </c>
      <c r="F845">
        <v>0</v>
      </c>
      <c r="G845">
        <v>20</v>
      </c>
      <c r="H845" t="s">
        <v>101</v>
      </c>
      <c r="I845" t="s">
        <v>106</v>
      </c>
      <c r="J845" t="s">
        <v>263</v>
      </c>
      <c r="K845" t="s">
        <v>108</v>
      </c>
      <c r="L845" t="s">
        <v>128</v>
      </c>
      <c r="M845" t="s">
        <v>110</v>
      </c>
      <c r="N845">
        <v>2.5999999999999999E-2</v>
      </c>
      <c r="O845">
        <v>1.7000000000000001E-2</v>
      </c>
      <c r="P845">
        <v>1.2E-2</v>
      </c>
    </row>
    <row r="846" spans="1:16">
      <c r="A846" t="s">
        <v>98</v>
      </c>
      <c r="B846" t="s">
        <v>172</v>
      </c>
      <c r="C846" t="s">
        <v>1127</v>
      </c>
      <c r="D846">
        <v>1</v>
      </c>
      <c r="E846">
        <v>2000</v>
      </c>
      <c r="F846">
        <v>0</v>
      </c>
      <c r="G846">
        <v>20</v>
      </c>
      <c r="H846" t="s">
        <v>101</v>
      </c>
      <c r="I846" t="s">
        <v>106</v>
      </c>
      <c r="J846" t="s">
        <v>609</v>
      </c>
      <c r="K846" t="s">
        <v>108</v>
      </c>
      <c r="L846" t="s">
        <v>222</v>
      </c>
      <c r="M846" t="s">
        <v>110</v>
      </c>
      <c r="N846">
        <v>2.5999999999999999E-2</v>
      </c>
      <c r="O846">
        <v>1.7000000000000001E-2</v>
      </c>
      <c r="P846">
        <v>1.2E-2</v>
      </c>
    </row>
    <row r="847" spans="1:16" hidden="1">
      <c r="A847" t="s">
        <v>98</v>
      </c>
      <c r="B847" t="s">
        <v>588</v>
      </c>
      <c r="C847" t="s">
        <v>1128</v>
      </c>
      <c r="D847">
        <v>4</v>
      </c>
      <c r="E847">
        <v>7500</v>
      </c>
      <c r="F847">
        <v>80</v>
      </c>
      <c r="G847">
        <v>420</v>
      </c>
      <c r="H847" t="s">
        <v>101</v>
      </c>
      <c r="I847" t="s">
        <v>102</v>
      </c>
      <c r="J847" t="s">
        <v>101</v>
      </c>
      <c r="K847" t="s">
        <v>1118</v>
      </c>
      <c r="L847" t="s">
        <v>101</v>
      </c>
      <c r="M847" t="s">
        <v>118</v>
      </c>
      <c r="N847">
        <v>0.21</v>
      </c>
      <c r="O847">
        <v>0.125</v>
      </c>
      <c r="P847">
        <v>7.9000000000000001E-2</v>
      </c>
    </row>
    <row r="848" spans="1:16" hidden="1">
      <c r="A848" t="s">
        <v>98</v>
      </c>
      <c r="B848" t="s">
        <v>588</v>
      </c>
      <c r="C848" t="s">
        <v>1129</v>
      </c>
      <c r="D848">
        <v>4</v>
      </c>
      <c r="E848">
        <v>7500</v>
      </c>
      <c r="F848">
        <v>80</v>
      </c>
      <c r="G848">
        <v>420</v>
      </c>
      <c r="H848" t="s">
        <v>101</v>
      </c>
      <c r="I848" t="s">
        <v>102</v>
      </c>
      <c r="J848" t="s">
        <v>101</v>
      </c>
      <c r="K848" t="s">
        <v>1118</v>
      </c>
      <c r="L848" t="s">
        <v>101</v>
      </c>
      <c r="M848" t="s">
        <v>118</v>
      </c>
      <c r="N848">
        <v>0.21</v>
      </c>
      <c r="O848">
        <v>0.125</v>
      </c>
      <c r="P848">
        <v>7.9000000000000001E-2</v>
      </c>
    </row>
    <row r="849" spans="1:16" hidden="1">
      <c r="A849" t="s">
        <v>98</v>
      </c>
      <c r="B849" t="s">
        <v>588</v>
      </c>
      <c r="C849" t="s">
        <v>1130</v>
      </c>
      <c r="D849">
        <v>4</v>
      </c>
      <c r="E849">
        <v>7500</v>
      </c>
      <c r="F849">
        <v>80</v>
      </c>
      <c r="G849">
        <v>1420</v>
      </c>
      <c r="H849" t="s">
        <v>101</v>
      </c>
      <c r="I849" t="s">
        <v>102</v>
      </c>
      <c r="J849" t="s">
        <v>101</v>
      </c>
      <c r="K849" t="s">
        <v>1118</v>
      </c>
      <c r="L849" t="s">
        <v>101</v>
      </c>
      <c r="M849" t="s">
        <v>118</v>
      </c>
      <c r="N849">
        <v>0.21</v>
      </c>
      <c r="O849">
        <v>0.125</v>
      </c>
      <c r="P849">
        <v>7.9000000000000001E-2</v>
      </c>
    </row>
    <row r="850" spans="1:16">
      <c r="A850" t="s">
        <v>98</v>
      </c>
      <c r="B850" t="s">
        <v>172</v>
      </c>
      <c r="C850" t="s">
        <v>1131</v>
      </c>
      <c r="D850">
        <v>1</v>
      </c>
      <c r="E850">
        <v>2000</v>
      </c>
      <c r="F850">
        <v>0</v>
      </c>
      <c r="G850">
        <v>20</v>
      </c>
      <c r="H850" t="s">
        <v>101</v>
      </c>
      <c r="I850" t="s">
        <v>106</v>
      </c>
      <c r="J850" t="s">
        <v>214</v>
      </c>
      <c r="K850" t="s">
        <v>108</v>
      </c>
      <c r="L850" t="s">
        <v>175</v>
      </c>
      <c r="M850" t="s">
        <v>110</v>
      </c>
      <c r="N850">
        <v>2.5999999999999999E-2</v>
      </c>
      <c r="O850">
        <v>1.7000000000000001E-2</v>
      </c>
      <c r="P850">
        <v>1.2E-2</v>
      </c>
    </row>
    <row r="851" spans="1:16" hidden="1">
      <c r="A851" t="s">
        <v>98</v>
      </c>
      <c r="B851" t="s">
        <v>99</v>
      </c>
      <c r="C851" t="s">
        <v>1132</v>
      </c>
      <c r="D851">
        <v>2</v>
      </c>
      <c r="E851">
        <v>3750</v>
      </c>
      <c r="F851">
        <v>32</v>
      </c>
      <c r="G851">
        <v>20</v>
      </c>
      <c r="H851" t="s">
        <v>101</v>
      </c>
      <c r="I851" t="s">
        <v>102</v>
      </c>
      <c r="J851" t="s">
        <v>101</v>
      </c>
      <c r="K851" t="s">
        <v>773</v>
      </c>
      <c r="L851" t="s">
        <v>101</v>
      </c>
      <c r="M851" t="s">
        <v>118</v>
      </c>
      <c r="N851">
        <v>0.105</v>
      </c>
      <c r="O851">
        <v>6.2E-2</v>
      </c>
      <c r="P851">
        <v>3.9E-2</v>
      </c>
    </row>
    <row r="852" spans="1:16">
      <c r="A852" t="s">
        <v>98</v>
      </c>
      <c r="B852" t="s">
        <v>172</v>
      </c>
      <c r="C852" t="s">
        <v>1133</v>
      </c>
      <c r="D852">
        <v>1</v>
      </c>
      <c r="E852">
        <v>2000</v>
      </c>
      <c r="F852">
        <v>0</v>
      </c>
      <c r="G852">
        <v>20</v>
      </c>
      <c r="H852" t="s">
        <v>101</v>
      </c>
      <c r="I852" t="s">
        <v>106</v>
      </c>
      <c r="J852" t="s">
        <v>214</v>
      </c>
      <c r="K852" t="s">
        <v>108</v>
      </c>
      <c r="L852" t="s">
        <v>322</v>
      </c>
      <c r="M852" t="s">
        <v>110</v>
      </c>
      <c r="N852">
        <v>2.5999999999999999E-2</v>
      </c>
      <c r="O852">
        <v>1.7000000000000001E-2</v>
      </c>
      <c r="P852">
        <v>1.2E-2</v>
      </c>
    </row>
    <row r="853" spans="1:16">
      <c r="A853" t="s">
        <v>98</v>
      </c>
      <c r="B853" t="s">
        <v>172</v>
      </c>
      <c r="C853" t="s">
        <v>1134</v>
      </c>
      <c r="D853">
        <v>1</v>
      </c>
      <c r="E853">
        <v>2000</v>
      </c>
      <c r="F853">
        <v>0</v>
      </c>
      <c r="G853">
        <v>20</v>
      </c>
      <c r="H853" t="s">
        <v>101</v>
      </c>
      <c r="I853" t="s">
        <v>106</v>
      </c>
      <c r="J853" t="s">
        <v>214</v>
      </c>
      <c r="K853" t="s">
        <v>108</v>
      </c>
      <c r="L853" t="s">
        <v>222</v>
      </c>
      <c r="M853" t="s">
        <v>110</v>
      </c>
      <c r="N853">
        <v>2.5999999999999999E-2</v>
      </c>
      <c r="O853">
        <v>1.7000000000000001E-2</v>
      </c>
      <c r="P853">
        <v>1.2E-2</v>
      </c>
    </row>
    <row r="854" spans="1:16">
      <c r="A854" t="s">
        <v>98</v>
      </c>
      <c r="B854" t="s">
        <v>172</v>
      </c>
      <c r="C854" t="s">
        <v>1135</v>
      </c>
      <c r="D854">
        <v>1</v>
      </c>
      <c r="E854">
        <v>2000</v>
      </c>
      <c r="F854">
        <v>0</v>
      </c>
      <c r="G854">
        <v>20</v>
      </c>
      <c r="H854" t="s">
        <v>101</v>
      </c>
      <c r="I854" t="s">
        <v>106</v>
      </c>
      <c r="J854" t="s">
        <v>214</v>
      </c>
      <c r="K854" t="s">
        <v>108</v>
      </c>
      <c r="L854" t="s">
        <v>128</v>
      </c>
      <c r="M854" t="s">
        <v>110</v>
      </c>
      <c r="N854">
        <v>2.5999999999999999E-2</v>
      </c>
      <c r="O854">
        <v>1.7000000000000001E-2</v>
      </c>
      <c r="P854">
        <v>1.2E-2</v>
      </c>
    </row>
    <row r="855" spans="1:16">
      <c r="A855" t="s">
        <v>98</v>
      </c>
      <c r="B855" t="s">
        <v>172</v>
      </c>
      <c r="C855" t="s">
        <v>1136</v>
      </c>
      <c r="D855">
        <v>1</v>
      </c>
      <c r="E855">
        <v>2000</v>
      </c>
      <c r="F855">
        <v>0</v>
      </c>
      <c r="G855">
        <v>20</v>
      </c>
      <c r="H855" t="s">
        <v>101</v>
      </c>
      <c r="I855" t="s">
        <v>106</v>
      </c>
      <c r="J855" t="s">
        <v>998</v>
      </c>
      <c r="K855" t="s">
        <v>108</v>
      </c>
      <c r="L855" t="s">
        <v>113</v>
      </c>
      <c r="M855" t="s">
        <v>110</v>
      </c>
      <c r="N855">
        <v>2.5999999999999999E-2</v>
      </c>
      <c r="O855">
        <v>1.7000000000000001E-2</v>
      </c>
      <c r="P855">
        <v>1.2E-2</v>
      </c>
    </row>
    <row r="856" spans="1:16" hidden="1">
      <c r="A856" t="s">
        <v>98</v>
      </c>
      <c r="B856" t="s">
        <v>99</v>
      </c>
      <c r="C856" t="s">
        <v>1137</v>
      </c>
      <c r="D856">
        <v>2</v>
      </c>
      <c r="E856">
        <v>3750</v>
      </c>
      <c r="F856">
        <v>32</v>
      </c>
      <c r="G856">
        <v>20</v>
      </c>
      <c r="H856" t="s">
        <v>101</v>
      </c>
      <c r="I856" t="s">
        <v>102</v>
      </c>
      <c r="J856" t="s">
        <v>101</v>
      </c>
      <c r="K856" t="s">
        <v>754</v>
      </c>
      <c r="L856" t="s">
        <v>101</v>
      </c>
      <c r="M856" t="s">
        <v>103</v>
      </c>
      <c r="N856">
        <v>0.105</v>
      </c>
      <c r="O856">
        <v>6.2E-2</v>
      </c>
      <c r="P856">
        <v>3.9E-2</v>
      </c>
    </row>
    <row r="857" spans="1:16">
      <c r="A857" t="s">
        <v>98</v>
      </c>
      <c r="B857" t="s">
        <v>172</v>
      </c>
      <c r="C857" t="s">
        <v>1138</v>
      </c>
      <c r="D857">
        <v>1</v>
      </c>
      <c r="E857">
        <v>2000</v>
      </c>
      <c r="F857">
        <v>0</v>
      </c>
      <c r="G857">
        <v>20</v>
      </c>
      <c r="H857" t="s">
        <v>101</v>
      </c>
      <c r="I857" t="s">
        <v>106</v>
      </c>
      <c r="J857" t="s">
        <v>661</v>
      </c>
      <c r="K857" t="s">
        <v>108</v>
      </c>
      <c r="L857" t="s">
        <v>222</v>
      </c>
      <c r="M857" t="s">
        <v>110</v>
      </c>
      <c r="N857">
        <v>2.5999999999999999E-2</v>
      </c>
      <c r="O857">
        <v>1.7000000000000001E-2</v>
      </c>
      <c r="P857">
        <v>1.2E-2</v>
      </c>
    </row>
    <row r="858" spans="1:16">
      <c r="A858" t="s">
        <v>98</v>
      </c>
      <c r="B858" t="s">
        <v>172</v>
      </c>
      <c r="C858" t="s">
        <v>1139</v>
      </c>
      <c r="D858">
        <v>1</v>
      </c>
      <c r="E858">
        <v>2000</v>
      </c>
      <c r="F858">
        <v>0</v>
      </c>
      <c r="G858">
        <v>20</v>
      </c>
      <c r="H858" t="s">
        <v>101</v>
      </c>
      <c r="I858" t="s">
        <v>106</v>
      </c>
      <c r="J858" t="s">
        <v>661</v>
      </c>
      <c r="K858" t="s">
        <v>108</v>
      </c>
      <c r="L858" t="s">
        <v>222</v>
      </c>
      <c r="M858" t="s">
        <v>110</v>
      </c>
      <c r="N858">
        <v>2.5999999999999999E-2</v>
      </c>
      <c r="O858">
        <v>1.7000000000000001E-2</v>
      </c>
      <c r="P858">
        <v>1.2E-2</v>
      </c>
    </row>
    <row r="859" spans="1:16">
      <c r="A859" t="s">
        <v>98</v>
      </c>
      <c r="B859" t="s">
        <v>172</v>
      </c>
      <c r="C859" t="s">
        <v>1140</v>
      </c>
      <c r="D859">
        <v>1</v>
      </c>
      <c r="E859">
        <v>2000</v>
      </c>
      <c r="F859">
        <v>0</v>
      </c>
      <c r="G859">
        <v>20</v>
      </c>
      <c r="H859" t="s">
        <v>101</v>
      </c>
      <c r="I859" t="s">
        <v>106</v>
      </c>
      <c r="J859" t="s">
        <v>661</v>
      </c>
      <c r="K859" t="s">
        <v>108</v>
      </c>
      <c r="L859" t="s">
        <v>222</v>
      </c>
      <c r="M859" t="s">
        <v>110</v>
      </c>
      <c r="N859">
        <v>2.5999999999999999E-2</v>
      </c>
      <c r="O859">
        <v>1.7000000000000001E-2</v>
      </c>
      <c r="P859">
        <v>1.2E-2</v>
      </c>
    </row>
    <row r="860" spans="1:16">
      <c r="A860" t="s">
        <v>98</v>
      </c>
      <c r="B860" t="s">
        <v>172</v>
      </c>
      <c r="C860" t="s">
        <v>1141</v>
      </c>
      <c r="D860">
        <v>1</v>
      </c>
      <c r="E860">
        <v>2000</v>
      </c>
      <c r="F860">
        <v>0</v>
      </c>
      <c r="G860">
        <v>20</v>
      </c>
      <c r="H860" t="s">
        <v>101</v>
      </c>
      <c r="I860" t="s">
        <v>106</v>
      </c>
      <c r="J860" t="s">
        <v>661</v>
      </c>
      <c r="K860" t="s">
        <v>108</v>
      </c>
      <c r="L860" t="s">
        <v>203</v>
      </c>
      <c r="M860" t="s">
        <v>110</v>
      </c>
      <c r="N860">
        <v>2.5999999999999999E-2</v>
      </c>
      <c r="O860">
        <v>1.7000000000000001E-2</v>
      </c>
      <c r="P860">
        <v>1.2E-2</v>
      </c>
    </row>
    <row r="861" spans="1:16" hidden="1">
      <c r="A861" t="s">
        <v>98</v>
      </c>
      <c r="B861" t="s">
        <v>172</v>
      </c>
      <c r="C861" t="s">
        <v>1142</v>
      </c>
      <c r="D861">
        <v>1</v>
      </c>
      <c r="E861">
        <v>2000</v>
      </c>
      <c r="F861">
        <v>0</v>
      </c>
      <c r="G861">
        <v>20</v>
      </c>
      <c r="H861" t="s">
        <v>101</v>
      </c>
      <c r="I861" t="s">
        <v>102</v>
      </c>
      <c r="J861" t="s">
        <v>101</v>
      </c>
      <c r="K861" t="s">
        <v>101</v>
      </c>
      <c r="L861" t="s">
        <v>124</v>
      </c>
      <c r="M861" t="s">
        <v>125</v>
      </c>
      <c r="N861">
        <v>2.5999999999999999E-2</v>
      </c>
      <c r="O861">
        <v>1.7000000000000001E-2</v>
      </c>
      <c r="P861">
        <v>1.2E-2</v>
      </c>
    </row>
    <row r="862" spans="1:16">
      <c r="A862" t="s">
        <v>98</v>
      </c>
      <c r="B862" t="s">
        <v>172</v>
      </c>
      <c r="C862" t="s">
        <v>1143</v>
      </c>
      <c r="D862">
        <v>1</v>
      </c>
      <c r="E862">
        <v>2000</v>
      </c>
      <c r="F862">
        <v>0</v>
      </c>
      <c r="G862">
        <v>20</v>
      </c>
      <c r="H862" t="s">
        <v>101</v>
      </c>
      <c r="I862" t="s">
        <v>106</v>
      </c>
      <c r="J862" t="s">
        <v>661</v>
      </c>
      <c r="K862" t="s">
        <v>108</v>
      </c>
      <c r="L862" t="s">
        <v>222</v>
      </c>
      <c r="M862" t="s">
        <v>110</v>
      </c>
      <c r="N862">
        <v>2.5999999999999999E-2</v>
      </c>
      <c r="O862">
        <v>1.7000000000000001E-2</v>
      </c>
      <c r="P862">
        <v>1.2E-2</v>
      </c>
    </row>
    <row r="863" spans="1:16" hidden="1">
      <c r="A863" t="s">
        <v>98</v>
      </c>
      <c r="B863" t="s">
        <v>172</v>
      </c>
      <c r="C863" t="s">
        <v>1144</v>
      </c>
      <c r="D863">
        <v>1</v>
      </c>
      <c r="E863">
        <v>2000</v>
      </c>
      <c r="F863">
        <v>0</v>
      </c>
      <c r="G863">
        <v>20</v>
      </c>
      <c r="H863" t="s">
        <v>101</v>
      </c>
      <c r="I863" t="s">
        <v>102</v>
      </c>
      <c r="J863" t="s">
        <v>101</v>
      </c>
      <c r="K863" t="s">
        <v>150</v>
      </c>
      <c r="L863" t="s">
        <v>124</v>
      </c>
      <c r="M863" t="s">
        <v>151</v>
      </c>
      <c r="N863">
        <v>2.5999999999999999E-2</v>
      </c>
      <c r="O863">
        <v>1.7000000000000001E-2</v>
      </c>
      <c r="P863">
        <v>1.2E-2</v>
      </c>
    </row>
    <row r="864" spans="1:16" hidden="1">
      <c r="A864" t="s">
        <v>98</v>
      </c>
      <c r="B864" t="s">
        <v>172</v>
      </c>
      <c r="C864" t="s">
        <v>1145</v>
      </c>
      <c r="D864">
        <v>1</v>
      </c>
      <c r="E864">
        <v>2000</v>
      </c>
      <c r="F864">
        <v>0</v>
      </c>
      <c r="G864">
        <v>20</v>
      </c>
      <c r="H864" t="s">
        <v>101</v>
      </c>
      <c r="I864" t="s">
        <v>102</v>
      </c>
      <c r="J864" t="s">
        <v>101</v>
      </c>
      <c r="K864" t="s">
        <v>150</v>
      </c>
      <c r="L864" t="s">
        <v>124</v>
      </c>
      <c r="M864" t="s">
        <v>151</v>
      </c>
      <c r="N864">
        <v>2.5999999999999999E-2</v>
      </c>
      <c r="O864">
        <v>1.7000000000000001E-2</v>
      </c>
      <c r="P864">
        <v>1.2E-2</v>
      </c>
    </row>
    <row r="865" spans="1:16" hidden="1">
      <c r="A865" t="s">
        <v>98</v>
      </c>
      <c r="B865" t="s">
        <v>172</v>
      </c>
      <c r="C865" t="s">
        <v>1146</v>
      </c>
      <c r="D865">
        <v>1</v>
      </c>
      <c r="E865">
        <v>2000</v>
      </c>
      <c r="F865">
        <v>0</v>
      </c>
      <c r="G865">
        <v>20</v>
      </c>
      <c r="H865" t="s">
        <v>101</v>
      </c>
      <c r="I865" t="s">
        <v>102</v>
      </c>
      <c r="J865" t="s">
        <v>101</v>
      </c>
      <c r="K865" t="s">
        <v>150</v>
      </c>
      <c r="L865" t="s">
        <v>124</v>
      </c>
      <c r="M865" t="s">
        <v>151</v>
      </c>
      <c r="N865">
        <v>2.5999999999999999E-2</v>
      </c>
      <c r="O865">
        <v>1.7000000000000001E-2</v>
      </c>
      <c r="P865">
        <v>1.2E-2</v>
      </c>
    </row>
    <row r="866" spans="1:16">
      <c r="A866" t="s">
        <v>98</v>
      </c>
      <c r="B866" t="s">
        <v>114</v>
      </c>
      <c r="C866" t="s">
        <v>1147</v>
      </c>
      <c r="D866">
        <v>2</v>
      </c>
      <c r="E866">
        <v>7500</v>
      </c>
      <c r="F866">
        <v>32</v>
      </c>
      <c r="G866">
        <v>100</v>
      </c>
      <c r="H866" t="s">
        <v>101</v>
      </c>
      <c r="I866" t="s">
        <v>106</v>
      </c>
      <c r="J866" t="s">
        <v>214</v>
      </c>
      <c r="K866" t="s">
        <v>108</v>
      </c>
      <c r="L866" t="s">
        <v>101</v>
      </c>
      <c r="M866" t="s">
        <v>110</v>
      </c>
      <c r="N866">
        <v>0.13300000000000001</v>
      </c>
      <c r="O866">
        <v>8.1000000000000003E-2</v>
      </c>
      <c r="P866">
        <v>5.1999999999999998E-2</v>
      </c>
    </row>
    <row r="867" spans="1:16" hidden="1">
      <c r="A867" t="s">
        <v>98</v>
      </c>
      <c r="B867" t="s">
        <v>172</v>
      </c>
      <c r="C867" t="s">
        <v>1148</v>
      </c>
      <c r="D867">
        <v>1</v>
      </c>
      <c r="E867">
        <v>2000</v>
      </c>
      <c r="F867">
        <v>0</v>
      </c>
      <c r="G867">
        <v>20</v>
      </c>
      <c r="H867" t="s">
        <v>101</v>
      </c>
      <c r="I867" t="s">
        <v>102</v>
      </c>
      <c r="J867" t="s">
        <v>101</v>
      </c>
      <c r="K867" t="s">
        <v>150</v>
      </c>
      <c r="L867" t="s">
        <v>101</v>
      </c>
      <c r="M867" t="s">
        <v>151</v>
      </c>
      <c r="N867">
        <v>2.5999999999999999E-2</v>
      </c>
      <c r="O867">
        <v>1.7000000000000001E-2</v>
      </c>
      <c r="P867">
        <v>1.2E-2</v>
      </c>
    </row>
    <row r="868" spans="1:16" hidden="1">
      <c r="A868" t="s">
        <v>98</v>
      </c>
      <c r="B868" t="s">
        <v>172</v>
      </c>
      <c r="C868" t="s">
        <v>1149</v>
      </c>
      <c r="D868">
        <v>1</v>
      </c>
      <c r="E868">
        <v>2000</v>
      </c>
      <c r="F868">
        <v>0</v>
      </c>
      <c r="G868">
        <v>20</v>
      </c>
      <c r="H868" t="s">
        <v>101</v>
      </c>
      <c r="I868" t="s">
        <v>102</v>
      </c>
      <c r="J868" t="s">
        <v>101</v>
      </c>
      <c r="K868" t="s">
        <v>150</v>
      </c>
      <c r="L868" t="s">
        <v>101</v>
      </c>
      <c r="M868" t="s">
        <v>151</v>
      </c>
      <c r="N868">
        <v>2.5999999999999999E-2</v>
      </c>
      <c r="O868">
        <v>1.7000000000000001E-2</v>
      </c>
      <c r="P868">
        <v>1.2E-2</v>
      </c>
    </row>
    <row r="869" spans="1:16" hidden="1">
      <c r="A869" t="s">
        <v>98</v>
      </c>
      <c r="B869" t="s">
        <v>114</v>
      </c>
      <c r="C869" t="s">
        <v>1150</v>
      </c>
      <c r="D869">
        <v>2</v>
      </c>
      <c r="E869">
        <v>7500</v>
      </c>
      <c r="F869">
        <v>32</v>
      </c>
      <c r="G869">
        <v>420</v>
      </c>
      <c r="H869" t="s">
        <v>101</v>
      </c>
      <c r="I869" t="s">
        <v>102</v>
      </c>
      <c r="J869" t="s">
        <v>101</v>
      </c>
      <c r="K869" t="s">
        <v>1118</v>
      </c>
      <c r="L869" t="s">
        <v>117</v>
      </c>
      <c r="M869" t="s">
        <v>118</v>
      </c>
      <c r="N869">
        <v>0.13300000000000001</v>
      </c>
      <c r="O869">
        <v>8.1000000000000003E-2</v>
      </c>
      <c r="P869">
        <v>5.1999999999999998E-2</v>
      </c>
    </row>
    <row r="870" spans="1:16" hidden="1">
      <c r="A870" t="s">
        <v>98</v>
      </c>
      <c r="B870" t="s">
        <v>114</v>
      </c>
      <c r="C870" t="s">
        <v>1151</v>
      </c>
      <c r="D870">
        <v>2</v>
      </c>
      <c r="E870">
        <v>7500</v>
      </c>
      <c r="F870">
        <v>32</v>
      </c>
      <c r="G870">
        <v>820</v>
      </c>
      <c r="H870" t="s">
        <v>101</v>
      </c>
      <c r="I870" t="s">
        <v>102</v>
      </c>
      <c r="J870" t="s">
        <v>101</v>
      </c>
      <c r="K870" t="s">
        <v>1118</v>
      </c>
      <c r="L870" t="s">
        <v>117</v>
      </c>
      <c r="M870" t="s">
        <v>118</v>
      </c>
      <c r="N870">
        <v>0.13300000000000001</v>
      </c>
      <c r="O870">
        <v>8.1000000000000003E-2</v>
      </c>
      <c r="P870">
        <v>5.1999999999999998E-2</v>
      </c>
    </row>
    <row r="871" spans="1:16" hidden="1">
      <c r="A871" t="s">
        <v>98</v>
      </c>
      <c r="B871" t="s">
        <v>114</v>
      </c>
      <c r="C871" t="s">
        <v>1152</v>
      </c>
      <c r="D871">
        <v>2</v>
      </c>
      <c r="E871">
        <v>7500</v>
      </c>
      <c r="F871">
        <v>32</v>
      </c>
      <c r="G871">
        <v>420</v>
      </c>
      <c r="H871" t="s">
        <v>101</v>
      </c>
      <c r="I871" t="s">
        <v>102</v>
      </c>
      <c r="J871" t="s">
        <v>101</v>
      </c>
      <c r="K871" t="s">
        <v>1118</v>
      </c>
      <c r="L871" t="s">
        <v>117</v>
      </c>
      <c r="M871" t="s">
        <v>118</v>
      </c>
      <c r="N871">
        <v>0.13300000000000001</v>
      </c>
      <c r="O871">
        <v>8.1000000000000003E-2</v>
      </c>
      <c r="P871">
        <v>5.1999999999999998E-2</v>
      </c>
    </row>
    <row r="872" spans="1:16" hidden="1">
      <c r="A872" t="s">
        <v>98</v>
      </c>
      <c r="B872" t="s">
        <v>148</v>
      </c>
      <c r="C872" t="s">
        <v>1153</v>
      </c>
      <c r="D872">
        <v>2</v>
      </c>
      <c r="E872">
        <v>4000</v>
      </c>
      <c r="F872">
        <v>0</v>
      </c>
      <c r="G872">
        <v>20</v>
      </c>
      <c r="H872" t="s">
        <v>101</v>
      </c>
      <c r="I872" t="s">
        <v>102</v>
      </c>
      <c r="J872" t="s">
        <v>101</v>
      </c>
      <c r="K872" t="s">
        <v>1118</v>
      </c>
      <c r="L872" t="s">
        <v>117</v>
      </c>
      <c r="M872" t="s">
        <v>118</v>
      </c>
      <c r="N872">
        <v>5.1999999999999998E-2</v>
      </c>
      <c r="O872">
        <v>3.4000000000000002E-2</v>
      </c>
      <c r="P872">
        <v>2.3E-2</v>
      </c>
    </row>
    <row r="873" spans="1:16" hidden="1">
      <c r="A873" t="s">
        <v>98</v>
      </c>
      <c r="B873" t="s">
        <v>114</v>
      </c>
      <c r="C873" t="s">
        <v>1154</v>
      </c>
      <c r="D873">
        <v>2</v>
      </c>
      <c r="E873">
        <v>7500</v>
      </c>
      <c r="F873">
        <v>32</v>
      </c>
      <c r="G873">
        <v>420</v>
      </c>
      <c r="H873" t="s">
        <v>101</v>
      </c>
      <c r="I873" t="s">
        <v>102</v>
      </c>
      <c r="J873" t="s">
        <v>101</v>
      </c>
      <c r="K873" t="s">
        <v>1118</v>
      </c>
      <c r="L873" t="s">
        <v>117</v>
      </c>
      <c r="M873" t="s">
        <v>118</v>
      </c>
      <c r="N873">
        <v>0.13300000000000001</v>
      </c>
      <c r="O873">
        <v>8.1000000000000003E-2</v>
      </c>
      <c r="P873">
        <v>5.1999999999999998E-2</v>
      </c>
    </row>
    <row r="874" spans="1:16" hidden="1">
      <c r="A874" t="s">
        <v>98</v>
      </c>
      <c r="B874" t="s">
        <v>135</v>
      </c>
      <c r="C874" t="s">
        <v>1155</v>
      </c>
      <c r="D874">
        <v>1</v>
      </c>
      <c r="E874">
        <v>3750</v>
      </c>
      <c r="F874">
        <v>4</v>
      </c>
      <c r="G874">
        <v>1420</v>
      </c>
      <c r="H874" t="s">
        <v>101</v>
      </c>
      <c r="I874" t="s">
        <v>102</v>
      </c>
      <c r="J874" t="s">
        <v>101</v>
      </c>
      <c r="K874" t="s">
        <v>150</v>
      </c>
      <c r="L874" t="s">
        <v>117</v>
      </c>
      <c r="M874" t="s">
        <v>151</v>
      </c>
      <c r="N874">
        <v>6.7000000000000004E-2</v>
      </c>
      <c r="O874">
        <v>0.04</v>
      </c>
      <c r="P874">
        <v>2.5999999999999999E-2</v>
      </c>
    </row>
    <row r="875" spans="1:16" hidden="1">
      <c r="A875" t="s">
        <v>98</v>
      </c>
      <c r="B875" t="s">
        <v>135</v>
      </c>
      <c r="C875" t="s">
        <v>1156</v>
      </c>
      <c r="D875">
        <v>1</v>
      </c>
      <c r="E875">
        <v>3750</v>
      </c>
      <c r="F875">
        <v>4</v>
      </c>
      <c r="G875">
        <v>420</v>
      </c>
      <c r="H875" t="s">
        <v>101</v>
      </c>
      <c r="I875" t="s">
        <v>102</v>
      </c>
      <c r="J875" t="s">
        <v>101</v>
      </c>
      <c r="K875" t="s">
        <v>150</v>
      </c>
      <c r="L875" t="s">
        <v>117</v>
      </c>
      <c r="M875" t="s">
        <v>151</v>
      </c>
      <c r="N875">
        <v>6.7000000000000004E-2</v>
      </c>
      <c r="O875">
        <v>0.04</v>
      </c>
      <c r="P875">
        <v>2.5999999999999999E-2</v>
      </c>
    </row>
    <row r="876" spans="1:16" hidden="1">
      <c r="A876" t="s">
        <v>98</v>
      </c>
      <c r="B876" t="s">
        <v>135</v>
      </c>
      <c r="C876" t="s">
        <v>1157</v>
      </c>
      <c r="D876">
        <v>1</v>
      </c>
      <c r="E876">
        <v>3750</v>
      </c>
      <c r="F876">
        <v>4</v>
      </c>
      <c r="G876">
        <v>420</v>
      </c>
      <c r="H876" t="s">
        <v>101</v>
      </c>
      <c r="I876" t="s">
        <v>102</v>
      </c>
      <c r="J876" t="s">
        <v>101</v>
      </c>
      <c r="K876" t="s">
        <v>150</v>
      </c>
      <c r="L876" t="s">
        <v>117</v>
      </c>
      <c r="M876" t="s">
        <v>151</v>
      </c>
      <c r="N876">
        <v>6.7000000000000004E-2</v>
      </c>
      <c r="O876">
        <v>0.04</v>
      </c>
      <c r="P876">
        <v>2.5999999999999999E-2</v>
      </c>
    </row>
    <row r="877" spans="1:16" hidden="1">
      <c r="A877" t="s">
        <v>98</v>
      </c>
      <c r="B877" t="s">
        <v>135</v>
      </c>
      <c r="C877" t="s">
        <v>1158</v>
      </c>
      <c r="D877">
        <v>1</v>
      </c>
      <c r="E877">
        <v>3750</v>
      </c>
      <c r="F877">
        <v>4</v>
      </c>
      <c r="G877">
        <v>420</v>
      </c>
      <c r="H877" t="s">
        <v>101</v>
      </c>
      <c r="I877" t="s">
        <v>102</v>
      </c>
      <c r="J877" t="s">
        <v>101</v>
      </c>
      <c r="K877" t="s">
        <v>150</v>
      </c>
      <c r="L877" t="s">
        <v>117</v>
      </c>
      <c r="M877" t="s">
        <v>151</v>
      </c>
      <c r="N877">
        <v>6.7000000000000004E-2</v>
      </c>
      <c r="O877">
        <v>0.04</v>
      </c>
      <c r="P877">
        <v>2.5999999999999999E-2</v>
      </c>
    </row>
    <row r="878" spans="1:16" hidden="1">
      <c r="A878" t="s">
        <v>98</v>
      </c>
      <c r="B878" t="s">
        <v>172</v>
      </c>
      <c r="C878" t="s">
        <v>1159</v>
      </c>
      <c r="D878">
        <v>1</v>
      </c>
      <c r="E878">
        <v>2000</v>
      </c>
      <c r="F878">
        <v>0</v>
      </c>
      <c r="G878">
        <v>20</v>
      </c>
      <c r="H878" t="s">
        <v>101</v>
      </c>
      <c r="I878" t="s">
        <v>102</v>
      </c>
      <c r="J878" t="s">
        <v>101</v>
      </c>
      <c r="K878" t="s">
        <v>150</v>
      </c>
      <c r="L878" t="s">
        <v>117</v>
      </c>
      <c r="M878" t="s">
        <v>151</v>
      </c>
      <c r="N878">
        <v>2.5999999999999999E-2</v>
      </c>
      <c r="O878">
        <v>1.7000000000000001E-2</v>
      </c>
      <c r="P878">
        <v>1.2E-2</v>
      </c>
    </row>
    <row r="879" spans="1:16" hidden="1">
      <c r="A879" t="s">
        <v>98</v>
      </c>
      <c r="B879" t="s">
        <v>148</v>
      </c>
      <c r="C879" t="s">
        <v>1160</v>
      </c>
      <c r="D879">
        <v>2</v>
      </c>
      <c r="E879">
        <v>4000</v>
      </c>
      <c r="F879">
        <v>0</v>
      </c>
      <c r="G879">
        <v>20</v>
      </c>
      <c r="H879" t="s">
        <v>101</v>
      </c>
      <c r="I879" t="s">
        <v>102</v>
      </c>
      <c r="J879" t="s">
        <v>101</v>
      </c>
      <c r="K879" t="s">
        <v>150</v>
      </c>
      <c r="L879" t="s">
        <v>101</v>
      </c>
      <c r="M879" t="s">
        <v>151</v>
      </c>
      <c r="N879">
        <v>5.1999999999999998E-2</v>
      </c>
      <c r="O879">
        <v>3.4000000000000002E-2</v>
      </c>
      <c r="P879">
        <v>2.3E-2</v>
      </c>
    </row>
    <row r="880" spans="1:16" hidden="1">
      <c r="A880" t="s">
        <v>98</v>
      </c>
      <c r="B880" t="s">
        <v>148</v>
      </c>
      <c r="C880" t="s">
        <v>1161</v>
      </c>
      <c r="D880">
        <v>2</v>
      </c>
      <c r="E880">
        <v>4000</v>
      </c>
      <c r="F880">
        <v>0</v>
      </c>
      <c r="G880">
        <v>20</v>
      </c>
      <c r="H880" t="s">
        <v>101</v>
      </c>
      <c r="I880" t="s">
        <v>102</v>
      </c>
      <c r="J880" t="s">
        <v>101</v>
      </c>
      <c r="K880" t="s">
        <v>150</v>
      </c>
      <c r="L880" t="s">
        <v>101</v>
      </c>
      <c r="M880" t="s">
        <v>151</v>
      </c>
      <c r="N880">
        <v>5.1999999999999998E-2</v>
      </c>
      <c r="O880">
        <v>3.4000000000000002E-2</v>
      </c>
      <c r="P880">
        <v>2.3E-2</v>
      </c>
    </row>
    <row r="881" spans="1:16">
      <c r="A881" t="s">
        <v>98</v>
      </c>
      <c r="B881" t="s">
        <v>172</v>
      </c>
      <c r="C881" t="s">
        <v>1162</v>
      </c>
      <c r="D881">
        <v>1</v>
      </c>
      <c r="E881">
        <v>2000</v>
      </c>
      <c r="F881">
        <v>0</v>
      </c>
      <c r="G881">
        <v>20</v>
      </c>
      <c r="H881" t="s">
        <v>101</v>
      </c>
      <c r="I881" t="s">
        <v>106</v>
      </c>
      <c r="J881" t="s">
        <v>661</v>
      </c>
      <c r="K881" t="s">
        <v>108</v>
      </c>
      <c r="L881" t="s">
        <v>222</v>
      </c>
      <c r="M881" t="s">
        <v>110</v>
      </c>
      <c r="N881">
        <v>2.5999999999999999E-2</v>
      </c>
      <c r="O881">
        <v>1.7000000000000001E-2</v>
      </c>
      <c r="P881">
        <v>1.2E-2</v>
      </c>
    </row>
    <row r="882" spans="1:16">
      <c r="A882" t="s">
        <v>98</v>
      </c>
      <c r="B882" t="s">
        <v>172</v>
      </c>
      <c r="C882" t="s">
        <v>1163</v>
      </c>
      <c r="D882">
        <v>1</v>
      </c>
      <c r="E882">
        <v>2000</v>
      </c>
      <c r="F882">
        <v>0</v>
      </c>
      <c r="G882">
        <v>20</v>
      </c>
      <c r="H882" t="s">
        <v>101</v>
      </c>
      <c r="I882" t="s">
        <v>106</v>
      </c>
      <c r="J882" t="s">
        <v>609</v>
      </c>
      <c r="K882" t="s">
        <v>108</v>
      </c>
      <c r="L882" t="s">
        <v>128</v>
      </c>
      <c r="M882" t="s">
        <v>110</v>
      </c>
      <c r="N882">
        <v>2.5999999999999999E-2</v>
      </c>
      <c r="O882">
        <v>1.7000000000000001E-2</v>
      </c>
      <c r="P882">
        <v>1.2E-2</v>
      </c>
    </row>
    <row r="883" spans="1:16">
      <c r="A883" t="s">
        <v>98</v>
      </c>
      <c r="B883" t="s">
        <v>172</v>
      </c>
      <c r="C883" t="s">
        <v>1164</v>
      </c>
      <c r="D883">
        <v>1</v>
      </c>
      <c r="E883">
        <v>2000</v>
      </c>
      <c r="F883">
        <v>0</v>
      </c>
      <c r="G883">
        <v>20</v>
      </c>
      <c r="H883" t="s">
        <v>101</v>
      </c>
      <c r="I883" t="s">
        <v>106</v>
      </c>
      <c r="J883" t="s">
        <v>1043</v>
      </c>
      <c r="K883" t="s">
        <v>108</v>
      </c>
      <c r="L883" t="s">
        <v>434</v>
      </c>
      <c r="M883" t="s">
        <v>110</v>
      </c>
      <c r="N883">
        <v>2.5999999999999999E-2</v>
      </c>
      <c r="O883">
        <v>1.7000000000000001E-2</v>
      </c>
      <c r="P883">
        <v>1.2E-2</v>
      </c>
    </row>
    <row r="884" spans="1:16">
      <c r="A884" t="s">
        <v>98</v>
      </c>
      <c r="B884" t="s">
        <v>172</v>
      </c>
      <c r="C884" t="s">
        <v>1165</v>
      </c>
      <c r="D884">
        <v>1</v>
      </c>
      <c r="E884">
        <v>2000</v>
      </c>
      <c r="F884">
        <v>0</v>
      </c>
      <c r="G884">
        <v>20</v>
      </c>
      <c r="H884" t="s">
        <v>101</v>
      </c>
      <c r="I884" t="s">
        <v>106</v>
      </c>
      <c r="J884" t="s">
        <v>835</v>
      </c>
      <c r="K884" t="s">
        <v>108</v>
      </c>
      <c r="L884" t="s">
        <v>131</v>
      </c>
      <c r="M884" t="s">
        <v>110</v>
      </c>
      <c r="N884">
        <v>2.5999999999999999E-2</v>
      </c>
      <c r="O884">
        <v>1.7000000000000001E-2</v>
      </c>
      <c r="P884">
        <v>1.2E-2</v>
      </c>
    </row>
    <row r="885" spans="1:16">
      <c r="A885" t="s">
        <v>98</v>
      </c>
      <c r="B885" t="s">
        <v>172</v>
      </c>
      <c r="C885" t="s">
        <v>1166</v>
      </c>
      <c r="D885">
        <v>1</v>
      </c>
      <c r="E885">
        <v>2000</v>
      </c>
      <c r="F885">
        <v>0</v>
      </c>
      <c r="G885">
        <v>20</v>
      </c>
      <c r="H885" t="s">
        <v>101</v>
      </c>
      <c r="I885" t="s">
        <v>106</v>
      </c>
      <c r="J885" t="s">
        <v>835</v>
      </c>
      <c r="K885" t="s">
        <v>108</v>
      </c>
      <c r="L885" t="s">
        <v>131</v>
      </c>
      <c r="M885" t="s">
        <v>110</v>
      </c>
      <c r="N885">
        <v>2.5999999999999999E-2</v>
      </c>
      <c r="O885">
        <v>1.7000000000000001E-2</v>
      </c>
      <c r="P885">
        <v>1.2E-2</v>
      </c>
    </row>
    <row r="886" spans="1:16">
      <c r="A886" t="s">
        <v>98</v>
      </c>
      <c r="B886" t="s">
        <v>99</v>
      </c>
      <c r="C886" t="s">
        <v>1167</v>
      </c>
      <c r="D886">
        <v>2</v>
      </c>
      <c r="E886">
        <v>3750</v>
      </c>
      <c r="F886">
        <v>32</v>
      </c>
      <c r="G886">
        <v>8</v>
      </c>
      <c r="H886" t="s">
        <v>101</v>
      </c>
      <c r="I886" t="s">
        <v>106</v>
      </c>
      <c r="J886" t="s">
        <v>214</v>
      </c>
      <c r="K886" t="s">
        <v>108</v>
      </c>
      <c r="L886" t="s">
        <v>101</v>
      </c>
      <c r="M886" t="s">
        <v>110</v>
      </c>
      <c r="N886">
        <v>0.105</v>
      </c>
      <c r="O886">
        <v>6.2E-2</v>
      </c>
      <c r="P886">
        <v>3.9E-2</v>
      </c>
    </row>
    <row r="887" spans="1:16" hidden="1">
      <c r="A887" t="s">
        <v>98</v>
      </c>
      <c r="B887" t="s">
        <v>99</v>
      </c>
      <c r="C887" t="s">
        <v>1168</v>
      </c>
      <c r="D887">
        <v>2</v>
      </c>
      <c r="E887">
        <v>3750</v>
      </c>
      <c r="F887">
        <v>32</v>
      </c>
      <c r="G887">
        <v>4020</v>
      </c>
      <c r="H887" t="s">
        <v>101</v>
      </c>
      <c r="I887" t="s">
        <v>146</v>
      </c>
      <c r="J887" t="s">
        <v>101</v>
      </c>
      <c r="K887" t="s">
        <v>1103</v>
      </c>
      <c r="L887" t="s">
        <v>101</v>
      </c>
      <c r="M887" t="s">
        <v>138</v>
      </c>
      <c r="N887">
        <v>0.105</v>
      </c>
      <c r="O887">
        <v>6.2E-2</v>
      </c>
      <c r="P887">
        <v>3.9E-2</v>
      </c>
    </row>
    <row r="888" spans="1:16">
      <c r="A888" t="s">
        <v>98</v>
      </c>
      <c r="B888" t="s">
        <v>172</v>
      </c>
      <c r="C888" t="s">
        <v>1169</v>
      </c>
      <c r="D888">
        <v>1</v>
      </c>
      <c r="E888">
        <v>2000</v>
      </c>
      <c r="F888">
        <v>0</v>
      </c>
      <c r="G888">
        <v>20</v>
      </c>
      <c r="H888" t="s">
        <v>101</v>
      </c>
      <c r="I888" t="s">
        <v>106</v>
      </c>
      <c r="J888" t="s">
        <v>214</v>
      </c>
      <c r="K888" t="s">
        <v>108</v>
      </c>
      <c r="L888" t="s">
        <v>203</v>
      </c>
      <c r="M888" t="s">
        <v>110</v>
      </c>
      <c r="N888">
        <v>2.5999999999999999E-2</v>
      </c>
      <c r="O888">
        <v>1.7000000000000001E-2</v>
      </c>
      <c r="P888">
        <v>1.2E-2</v>
      </c>
    </row>
    <row r="889" spans="1:16" hidden="1">
      <c r="A889" t="s">
        <v>98</v>
      </c>
      <c r="B889" t="s">
        <v>172</v>
      </c>
      <c r="C889" t="s">
        <v>1170</v>
      </c>
      <c r="D889">
        <v>1</v>
      </c>
      <c r="E889">
        <v>2000</v>
      </c>
      <c r="F889">
        <v>0</v>
      </c>
      <c r="G889">
        <v>20</v>
      </c>
      <c r="H889" t="s">
        <v>101</v>
      </c>
      <c r="I889" t="s">
        <v>102</v>
      </c>
      <c r="J889" t="s">
        <v>101</v>
      </c>
      <c r="K889" t="s">
        <v>770</v>
      </c>
      <c r="L889" t="s">
        <v>261</v>
      </c>
      <c r="M889" t="s">
        <v>125</v>
      </c>
      <c r="N889">
        <v>2.5999999999999999E-2</v>
      </c>
      <c r="O889">
        <v>1.7000000000000001E-2</v>
      </c>
      <c r="P889">
        <v>1.2E-2</v>
      </c>
    </row>
    <row r="890" spans="1:16">
      <c r="A890" t="s">
        <v>98</v>
      </c>
      <c r="B890" t="s">
        <v>172</v>
      </c>
      <c r="C890" t="s">
        <v>1171</v>
      </c>
      <c r="D890">
        <v>1</v>
      </c>
      <c r="E890">
        <v>2000</v>
      </c>
      <c r="F890">
        <v>0</v>
      </c>
      <c r="G890">
        <v>20</v>
      </c>
      <c r="H890" t="s">
        <v>101</v>
      </c>
      <c r="I890" t="s">
        <v>106</v>
      </c>
      <c r="J890" t="s">
        <v>1045</v>
      </c>
      <c r="K890" t="s">
        <v>108</v>
      </c>
      <c r="L890" t="s">
        <v>261</v>
      </c>
      <c r="M890" t="s">
        <v>110</v>
      </c>
      <c r="N890">
        <v>2.5999999999999999E-2</v>
      </c>
      <c r="O890">
        <v>1.7000000000000001E-2</v>
      </c>
      <c r="P890">
        <v>1.2E-2</v>
      </c>
    </row>
    <row r="891" spans="1:16" hidden="1">
      <c r="A891" t="s">
        <v>98</v>
      </c>
      <c r="B891" t="s">
        <v>104</v>
      </c>
      <c r="C891" t="s">
        <v>1172</v>
      </c>
      <c r="D891">
        <v>1</v>
      </c>
      <c r="E891">
        <v>1700</v>
      </c>
      <c r="F891">
        <v>160</v>
      </c>
      <c r="G891">
        <v>420</v>
      </c>
      <c r="H891" t="s">
        <v>101</v>
      </c>
      <c r="I891" t="s">
        <v>101</v>
      </c>
      <c r="J891" t="s">
        <v>101</v>
      </c>
      <c r="K891" t="s">
        <v>101</v>
      </c>
      <c r="L891" t="s">
        <v>245</v>
      </c>
      <c r="M891" t="s">
        <v>110</v>
      </c>
      <c r="N891">
        <v>4.3999999999999997E-2</v>
      </c>
      <c r="O891">
        <v>2.4E-2</v>
      </c>
      <c r="P891">
        <v>1.4999999999999999E-2</v>
      </c>
    </row>
    <row r="892" spans="1:16" hidden="1">
      <c r="A892" t="s">
        <v>98</v>
      </c>
      <c r="B892" t="s">
        <v>104</v>
      </c>
      <c r="C892" t="s">
        <v>1173</v>
      </c>
      <c r="D892">
        <v>1</v>
      </c>
      <c r="E892">
        <v>1700</v>
      </c>
      <c r="F892">
        <v>160</v>
      </c>
      <c r="G892">
        <v>420</v>
      </c>
      <c r="H892" t="s">
        <v>101</v>
      </c>
      <c r="I892" t="s">
        <v>101</v>
      </c>
      <c r="J892" t="s">
        <v>101</v>
      </c>
      <c r="K892" t="s">
        <v>101</v>
      </c>
      <c r="L892" t="s">
        <v>245</v>
      </c>
      <c r="M892" t="s">
        <v>110</v>
      </c>
      <c r="N892">
        <v>4.3999999999999997E-2</v>
      </c>
      <c r="O892">
        <v>2.4E-2</v>
      </c>
      <c r="P892">
        <v>1.4999999999999999E-2</v>
      </c>
    </row>
    <row r="893" spans="1:16" hidden="1">
      <c r="A893" t="s">
        <v>98</v>
      </c>
      <c r="B893" t="s">
        <v>104</v>
      </c>
      <c r="C893" t="s">
        <v>1174</v>
      </c>
      <c r="D893">
        <v>1</v>
      </c>
      <c r="E893">
        <v>1700</v>
      </c>
      <c r="F893">
        <v>160</v>
      </c>
      <c r="G893">
        <v>820</v>
      </c>
      <c r="H893" t="s">
        <v>101</v>
      </c>
      <c r="I893" t="s">
        <v>101</v>
      </c>
      <c r="J893" t="s">
        <v>101</v>
      </c>
      <c r="K893" t="s">
        <v>101</v>
      </c>
      <c r="L893" t="s">
        <v>245</v>
      </c>
      <c r="M893" t="s">
        <v>110</v>
      </c>
      <c r="N893">
        <v>4.3999999999999997E-2</v>
      </c>
      <c r="O893">
        <v>2.4E-2</v>
      </c>
      <c r="P893">
        <v>1.4999999999999999E-2</v>
      </c>
    </row>
    <row r="894" spans="1:16" hidden="1">
      <c r="A894" t="s">
        <v>98</v>
      </c>
      <c r="B894" t="s">
        <v>164</v>
      </c>
      <c r="C894" t="s">
        <v>1175</v>
      </c>
      <c r="D894">
        <v>8</v>
      </c>
      <c r="E894">
        <v>30000</v>
      </c>
      <c r="F894">
        <v>160</v>
      </c>
      <c r="G894">
        <v>200</v>
      </c>
      <c r="H894" t="s">
        <v>101</v>
      </c>
      <c r="I894" t="s">
        <v>102</v>
      </c>
      <c r="J894" t="s">
        <v>101</v>
      </c>
      <c r="K894" t="s">
        <v>101</v>
      </c>
      <c r="L894" t="s">
        <v>101</v>
      </c>
      <c r="M894" t="s">
        <v>406</v>
      </c>
      <c r="N894">
        <v>0.53200000000000003</v>
      </c>
      <c r="O894">
        <v>0.32400000000000001</v>
      </c>
      <c r="P894">
        <v>0.20899999999999999</v>
      </c>
    </row>
    <row r="895" spans="1:16" hidden="1">
      <c r="A895" t="s">
        <v>98</v>
      </c>
      <c r="B895" t="s">
        <v>172</v>
      </c>
      <c r="C895" t="s">
        <v>1176</v>
      </c>
      <c r="D895">
        <v>1</v>
      </c>
      <c r="E895">
        <v>2000</v>
      </c>
      <c r="F895">
        <v>0</v>
      </c>
      <c r="G895">
        <v>20</v>
      </c>
      <c r="H895" t="s">
        <v>101</v>
      </c>
      <c r="I895" t="s">
        <v>102</v>
      </c>
      <c r="J895" t="s">
        <v>101</v>
      </c>
      <c r="K895" t="s">
        <v>429</v>
      </c>
      <c r="L895" t="s">
        <v>311</v>
      </c>
      <c r="M895" t="s">
        <v>125</v>
      </c>
      <c r="N895">
        <v>2.5999999999999999E-2</v>
      </c>
      <c r="O895">
        <v>1.7000000000000001E-2</v>
      </c>
      <c r="P895">
        <v>1.2E-2</v>
      </c>
    </row>
    <row r="896" spans="1:16" hidden="1">
      <c r="A896" t="s">
        <v>98</v>
      </c>
      <c r="B896" t="s">
        <v>172</v>
      </c>
      <c r="C896" t="s">
        <v>1177</v>
      </c>
      <c r="D896">
        <v>1</v>
      </c>
      <c r="E896">
        <v>2000</v>
      </c>
      <c r="F896">
        <v>0</v>
      </c>
      <c r="G896">
        <v>20</v>
      </c>
      <c r="H896" t="s">
        <v>101</v>
      </c>
      <c r="I896" t="s">
        <v>102</v>
      </c>
      <c r="J896" t="s">
        <v>101</v>
      </c>
      <c r="K896" t="s">
        <v>770</v>
      </c>
      <c r="L896" t="s">
        <v>261</v>
      </c>
      <c r="M896" t="s">
        <v>125</v>
      </c>
      <c r="N896">
        <v>2.5999999999999999E-2</v>
      </c>
      <c r="O896">
        <v>1.7000000000000001E-2</v>
      </c>
      <c r="P896">
        <v>1.2E-2</v>
      </c>
    </row>
    <row r="897" spans="1:16" hidden="1">
      <c r="A897" t="s">
        <v>98</v>
      </c>
      <c r="B897" t="s">
        <v>172</v>
      </c>
      <c r="C897" t="s">
        <v>1178</v>
      </c>
      <c r="D897">
        <v>1</v>
      </c>
      <c r="E897">
        <v>2000</v>
      </c>
      <c r="F897">
        <v>0</v>
      </c>
      <c r="G897">
        <v>20</v>
      </c>
      <c r="H897" t="s">
        <v>101</v>
      </c>
      <c r="I897" t="s">
        <v>102</v>
      </c>
      <c r="J897" t="s">
        <v>101</v>
      </c>
      <c r="K897" t="s">
        <v>166</v>
      </c>
      <c r="L897" t="s">
        <v>311</v>
      </c>
      <c r="M897" t="s">
        <v>125</v>
      </c>
      <c r="N897">
        <v>2.5999999999999999E-2</v>
      </c>
      <c r="O897">
        <v>1.7000000000000001E-2</v>
      </c>
      <c r="P897">
        <v>1.2E-2</v>
      </c>
    </row>
    <row r="898" spans="1:16" hidden="1">
      <c r="A898" t="s">
        <v>98</v>
      </c>
      <c r="B898" t="s">
        <v>275</v>
      </c>
      <c r="C898" t="s">
        <v>1179</v>
      </c>
      <c r="D898">
        <v>16</v>
      </c>
      <c r="E898">
        <v>30000</v>
      </c>
      <c r="F898">
        <v>320</v>
      </c>
      <c r="G898">
        <v>20</v>
      </c>
      <c r="H898" t="s">
        <v>101</v>
      </c>
      <c r="I898" t="s">
        <v>102</v>
      </c>
      <c r="J898" t="s">
        <v>101</v>
      </c>
      <c r="K898" t="s">
        <v>205</v>
      </c>
      <c r="L898" t="s">
        <v>101</v>
      </c>
      <c r="M898" t="s">
        <v>118</v>
      </c>
      <c r="N898">
        <v>0.84</v>
      </c>
      <c r="O898">
        <v>0.497</v>
      </c>
      <c r="P898">
        <v>0.314</v>
      </c>
    </row>
    <row r="899" spans="1:16">
      <c r="A899" t="s">
        <v>98</v>
      </c>
      <c r="B899" t="s">
        <v>172</v>
      </c>
      <c r="C899" t="s">
        <v>1180</v>
      </c>
      <c r="D899">
        <v>1</v>
      </c>
      <c r="E899">
        <v>2000</v>
      </c>
      <c r="F899">
        <v>0</v>
      </c>
      <c r="G899">
        <v>20</v>
      </c>
      <c r="H899" t="s">
        <v>101</v>
      </c>
      <c r="I899" t="s">
        <v>106</v>
      </c>
      <c r="J899" t="s">
        <v>214</v>
      </c>
      <c r="K899" t="s">
        <v>108</v>
      </c>
      <c r="L899" t="s">
        <v>210</v>
      </c>
      <c r="M899" t="s">
        <v>110</v>
      </c>
      <c r="N899">
        <v>2.5999999999999999E-2</v>
      </c>
      <c r="O899">
        <v>1.7000000000000001E-2</v>
      </c>
      <c r="P899">
        <v>1.2E-2</v>
      </c>
    </row>
    <row r="900" spans="1:16">
      <c r="A900" t="s">
        <v>98</v>
      </c>
      <c r="B900" t="s">
        <v>172</v>
      </c>
      <c r="C900" t="s">
        <v>1181</v>
      </c>
      <c r="D900">
        <v>1</v>
      </c>
      <c r="E900">
        <v>2000</v>
      </c>
      <c r="F900">
        <v>0</v>
      </c>
      <c r="G900">
        <v>20</v>
      </c>
      <c r="H900" t="s">
        <v>101</v>
      </c>
      <c r="I900" t="s">
        <v>106</v>
      </c>
      <c r="J900" t="s">
        <v>214</v>
      </c>
      <c r="K900" t="s">
        <v>108</v>
      </c>
      <c r="L900" t="s">
        <v>222</v>
      </c>
      <c r="M900" t="s">
        <v>110</v>
      </c>
      <c r="N900">
        <v>2.5999999999999999E-2</v>
      </c>
      <c r="O900">
        <v>1.7000000000000001E-2</v>
      </c>
      <c r="P900">
        <v>1.2E-2</v>
      </c>
    </row>
    <row r="901" spans="1:16">
      <c r="A901" t="s">
        <v>98</v>
      </c>
      <c r="B901" t="s">
        <v>172</v>
      </c>
      <c r="C901" t="s">
        <v>1182</v>
      </c>
      <c r="D901">
        <v>1</v>
      </c>
      <c r="E901">
        <v>2000</v>
      </c>
      <c r="F901">
        <v>0</v>
      </c>
      <c r="G901">
        <v>20</v>
      </c>
      <c r="H901" t="s">
        <v>101</v>
      </c>
      <c r="I901" t="s">
        <v>106</v>
      </c>
      <c r="J901" t="s">
        <v>214</v>
      </c>
      <c r="K901" t="s">
        <v>108</v>
      </c>
      <c r="L901" t="s">
        <v>128</v>
      </c>
      <c r="M901" t="s">
        <v>110</v>
      </c>
      <c r="N901">
        <v>2.5999999999999999E-2</v>
      </c>
      <c r="O901">
        <v>1.7000000000000001E-2</v>
      </c>
      <c r="P901">
        <v>1.2E-2</v>
      </c>
    </row>
    <row r="902" spans="1:16">
      <c r="A902" t="s">
        <v>98</v>
      </c>
      <c r="B902" t="s">
        <v>157</v>
      </c>
      <c r="C902" t="s">
        <v>1183</v>
      </c>
      <c r="D902">
        <v>1</v>
      </c>
      <c r="E902">
        <v>3750</v>
      </c>
      <c r="F902">
        <v>410</v>
      </c>
      <c r="G902">
        <v>20</v>
      </c>
      <c r="H902" t="s">
        <v>101</v>
      </c>
      <c r="I902" t="s">
        <v>106</v>
      </c>
      <c r="J902" t="s">
        <v>376</v>
      </c>
      <c r="K902" t="s">
        <v>108</v>
      </c>
      <c r="L902" t="s">
        <v>109</v>
      </c>
      <c r="M902" t="s">
        <v>110</v>
      </c>
      <c r="N902">
        <v>8.6999999999999994E-2</v>
      </c>
      <c r="O902">
        <v>4.7E-2</v>
      </c>
      <c r="P902">
        <v>2.9000000000000001E-2</v>
      </c>
    </row>
    <row r="903" spans="1:16">
      <c r="A903" t="s">
        <v>98</v>
      </c>
      <c r="B903" t="s">
        <v>172</v>
      </c>
      <c r="C903" t="s">
        <v>1184</v>
      </c>
      <c r="D903">
        <v>1</v>
      </c>
      <c r="E903">
        <v>2000</v>
      </c>
      <c r="F903">
        <v>0</v>
      </c>
      <c r="G903">
        <v>20</v>
      </c>
      <c r="H903" t="s">
        <v>101</v>
      </c>
      <c r="I903" t="s">
        <v>106</v>
      </c>
      <c r="J903" t="s">
        <v>214</v>
      </c>
      <c r="K903" t="s">
        <v>108</v>
      </c>
      <c r="L903" t="s">
        <v>175</v>
      </c>
      <c r="M903" t="s">
        <v>110</v>
      </c>
      <c r="N903">
        <v>2.5999999999999999E-2</v>
      </c>
      <c r="O903">
        <v>1.7000000000000001E-2</v>
      </c>
      <c r="P903">
        <v>1.2E-2</v>
      </c>
    </row>
    <row r="904" spans="1:16">
      <c r="A904" t="s">
        <v>98</v>
      </c>
      <c r="B904" t="s">
        <v>172</v>
      </c>
      <c r="C904" t="s">
        <v>1185</v>
      </c>
      <c r="D904">
        <v>1</v>
      </c>
      <c r="E904">
        <v>2000</v>
      </c>
      <c r="F904">
        <v>0</v>
      </c>
      <c r="G904">
        <v>20</v>
      </c>
      <c r="H904" t="s">
        <v>101</v>
      </c>
      <c r="I904" t="s">
        <v>106</v>
      </c>
      <c r="J904" t="s">
        <v>214</v>
      </c>
      <c r="K904" t="s">
        <v>108</v>
      </c>
      <c r="L904" t="s">
        <v>322</v>
      </c>
      <c r="M904" t="s">
        <v>110</v>
      </c>
      <c r="N904">
        <v>2.5999999999999999E-2</v>
      </c>
      <c r="O904">
        <v>1.7000000000000001E-2</v>
      </c>
      <c r="P904">
        <v>1.2E-2</v>
      </c>
    </row>
    <row r="905" spans="1:16">
      <c r="A905" t="s">
        <v>98</v>
      </c>
      <c r="B905" t="s">
        <v>104</v>
      </c>
      <c r="C905" t="s">
        <v>1186</v>
      </c>
      <c r="D905">
        <v>1</v>
      </c>
      <c r="E905">
        <v>1700</v>
      </c>
      <c r="F905">
        <v>160</v>
      </c>
      <c r="G905">
        <v>20</v>
      </c>
      <c r="H905" t="s">
        <v>101</v>
      </c>
      <c r="I905" t="s">
        <v>106</v>
      </c>
      <c r="J905" t="s">
        <v>209</v>
      </c>
      <c r="K905" t="s">
        <v>108</v>
      </c>
      <c r="L905" t="s">
        <v>128</v>
      </c>
      <c r="M905" t="s">
        <v>110</v>
      </c>
      <c r="N905">
        <v>4.3999999999999997E-2</v>
      </c>
      <c r="O905">
        <v>2.4E-2</v>
      </c>
      <c r="P905">
        <v>1.4999999999999999E-2</v>
      </c>
    </row>
    <row r="906" spans="1:16">
      <c r="A906" t="s">
        <v>98</v>
      </c>
      <c r="B906" t="s">
        <v>104</v>
      </c>
      <c r="C906" t="s">
        <v>1187</v>
      </c>
      <c r="D906">
        <v>1</v>
      </c>
      <c r="E906">
        <v>1700</v>
      </c>
      <c r="F906">
        <v>160</v>
      </c>
      <c r="G906">
        <v>20</v>
      </c>
      <c r="H906" t="s">
        <v>101</v>
      </c>
      <c r="I906" t="s">
        <v>106</v>
      </c>
      <c r="J906" t="s">
        <v>283</v>
      </c>
      <c r="K906" t="s">
        <v>108</v>
      </c>
      <c r="L906" t="s">
        <v>222</v>
      </c>
      <c r="M906" t="s">
        <v>110</v>
      </c>
      <c r="N906">
        <v>4.3999999999999997E-2</v>
      </c>
      <c r="O906">
        <v>2.4E-2</v>
      </c>
      <c r="P906">
        <v>1.4999999999999999E-2</v>
      </c>
    </row>
    <row r="907" spans="1:16">
      <c r="A907" t="s">
        <v>98</v>
      </c>
      <c r="B907" t="s">
        <v>104</v>
      </c>
      <c r="C907" t="s">
        <v>1188</v>
      </c>
      <c r="D907">
        <v>1</v>
      </c>
      <c r="E907">
        <v>1700</v>
      </c>
      <c r="F907">
        <v>160</v>
      </c>
      <c r="G907">
        <v>20</v>
      </c>
      <c r="H907" t="s">
        <v>101</v>
      </c>
      <c r="I907" t="s">
        <v>106</v>
      </c>
      <c r="J907" t="s">
        <v>209</v>
      </c>
      <c r="K907" t="s">
        <v>108</v>
      </c>
      <c r="L907" t="s">
        <v>222</v>
      </c>
      <c r="M907" t="s">
        <v>110</v>
      </c>
      <c r="N907">
        <v>4.3999999999999997E-2</v>
      </c>
      <c r="O907">
        <v>2.4E-2</v>
      </c>
      <c r="P907">
        <v>1.4999999999999999E-2</v>
      </c>
    </row>
    <row r="908" spans="1:16">
      <c r="A908" t="s">
        <v>98</v>
      </c>
      <c r="B908" t="s">
        <v>172</v>
      </c>
      <c r="C908" t="s">
        <v>1189</v>
      </c>
      <c r="D908">
        <v>1</v>
      </c>
      <c r="E908">
        <v>2000</v>
      </c>
      <c r="F908">
        <v>0</v>
      </c>
      <c r="G908">
        <v>20</v>
      </c>
      <c r="H908" t="s">
        <v>101</v>
      </c>
      <c r="I908" t="s">
        <v>106</v>
      </c>
      <c r="J908" t="s">
        <v>174</v>
      </c>
      <c r="K908" t="s">
        <v>108</v>
      </c>
      <c r="L908" t="s">
        <v>222</v>
      </c>
      <c r="M908" t="s">
        <v>110</v>
      </c>
      <c r="N908">
        <v>2.5999999999999999E-2</v>
      </c>
      <c r="O908">
        <v>1.7000000000000001E-2</v>
      </c>
      <c r="P908">
        <v>1.2E-2</v>
      </c>
    </row>
    <row r="909" spans="1:16">
      <c r="A909" t="s">
        <v>98</v>
      </c>
      <c r="B909" t="s">
        <v>104</v>
      </c>
      <c r="C909" t="s">
        <v>1190</v>
      </c>
      <c r="D909">
        <v>1</v>
      </c>
      <c r="E909">
        <v>1700</v>
      </c>
      <c r="F909">
        <v>160</v>
      </c>
      <c r="G909">
        <v>20</v>
      </c>
      <c r="H909" t="s">
        <v>101</v>
      </c>
      <c r="I909" t="s">
        <v>106</v>
      </c>
      <c r="J909" t="s">
        <v>283</v>
      </c>
      <c r="K909" t="s">
        <v>108</v>
      </c>
      <c r="L909" t="s">
        <v>128</v>
      </c>
      <c r="M909" t="s">
        <v>110</v>
      </c>
      <c r="N909">
        <v>4.3999999999999997E-2</v>
      </c>
      <c r="O909">
        <v>2.4E-2</v>
      </c>
      <c r="P909">
        <v>1.4999999999999999E-2</v>
      </c>
    </row>
    <row r="910" spans="1:16">
      <c r="A910" t="s">
        <v>98</v>
      </c>
      <c r="B910" t="s">
        <v>172</v>
      </c>
      <c r="C910" t="s">
        <v>1191</v>
      </c>
      <c r="D910">
        <v>1</v>
      </c>
      <c r="E910">
        <v>2000</v>
      </c>
      <c r="F910">
        <v>0</v>
      </c>
      <c r="G910">
        <v>20</v>
      </c>
      <c r="H910" t="s">
        <v>101</v>
      </c>
      <c r="I910" t="s">
        <v>106</v>
      </c>
      <c r="J910" t="s">
        <v>845</v>
      </c>
      <c r="K910" t="s">
        <v>108</v>
      </c>
      <c r="L910" t="s">
        <v>222</v>
      </c>
      <c r="M910" t="s">
        <v>110</v>
      </c>
      <c r="N910">
        <v>2.5999999999999999E-2</v>
      </c>
      <c r="O910">
        <v>1.7000000000000001E-2</v>
      </c>
      <c r="P910">
        <v>1.2E-2</v>
      </c>
    </row>
    <row r="911" spans="1:16">
      <c r="A911" t="s">
        <v>98</v>
      </c>
      <c r="B911" t="s">
        <v>172</v>
      </c>
      <c r="C911" t="s">
        <v>1192</v>
      </c>
      <c r="D911">
        <v>1</v>
      </c>
      <c r="E911">
        <v>2000</v>
      </c>
      <c r="F911">
        <v>0</v>
      </c>
      <c r="G911">
        <v>20</v>
      </c>
      <c r="H911" t="s">
        <v>101</v>
      </c>
      <c r="I911" t="s">
        <v>106</v>
      </c>
      <c r="J911" t="s">
        <v>845</v>
      </c>
      <c r="K911" t="s">
        <v>108</v>
      </c>
      <c r="L911" t="s">
        <v>128</v>
      </c>
      <c r="M911" t="s">
        <v>110</v>
      </c>
      <c r="N911">
        <v>2.5999999999999999E-2</v>
      </c>
      <c r="O911">
        <v>1.7000000000000001E-2</v>
      </c>
      <c r="P911">
        <v>1.2E-2</v>
      </c>
    </row>
    <row r="912" spans="1:16">
      <c r="A912" t="s">
        <v>98</v>
      </c>
      <c r="B912" t="s">
        <v>172</v>
      </c>
      <c r="C912" t="s">
        <v>1193</v>
      </c>
      <c r="D912">
        <v>1</v>
      </c>
      <c r="E912">
        <v>2000</v>
      </c>
      <c r="F912">
        <v>0</v>
      </c>
      <c r="G912">
        <v>20</v>
      </c>
      <c r="H912" t="s">
        <v>101</v>
      </c>
      <c r="I912" t="s">
        <v>106</v>
      </c>
      <c r="J912" t="s">
        <v>180</v>
      </c>
      <c r="K912" t="s">
        <v>108</v>
      </c>
      <c r="L912" t="s">
        <v>131</v>
      </c>
      <c r="M912" t="s">
        <v>110</v>
      </c>
      <c r="N912">
        <v>2.5999999999999999E-2</v>
      </c>
      <c r="O912">
        <v>1.7000000000000001E-2</v>
      </c>
      <c r="P912">
        <v>1.2E-2</v>
      </c>
    </row>
    <row r="913" spans="1:16">
      <c r="A913" t="s">
        <v>98</v>
      </c>
      <c r="B913" t="s">
        <v>172</v>
      </c>
      <c r="C913" t="s">
        <v>1194</v>
      </c>
      <c r="D913">
        <v>1</v>
      </c>
      <c r="E913">
        <v>2000</v>
      </c>
      <c r="F913">
        <v>0</v>
      </c>
      <c r="G913">
        <v>20</v>
      </c>
      <c r="H913" t="s">
        <v>101</v>
      </c>
      <c r="I913" t="s">
        <v>106</v>
      </c>
      <c r="J913" t="s">
        <v>174</v>
      </c>
      <c r="K913" t="s">
        <v>108</v>
      </c>
      <c r="L913" t="s">
        <v>128</v>
      </c>
      <c r="M913" t="s">
        <v>110</v>
      </c>
      <c r="N913">
        <v>2.5999999999999999E-2</v>
      </c>
      <c r="O913">
        <v>1.7000000000000001E-2</v>
      </c>
      <c r="P913">
        <v>1.2E-2</v>
      </c>
    </row>
    <row r="914" spans="1:16">
      <c r="A914" t="s">
        <v>98</v>
      </c>
      <c r="B914" t="s">
        <v>172</v>
      </c>
      <c r="C914" t="s">
        <v>1195</v>
      </c>
      <c r="D914">
        <v>1</v>
      </c>
      <c r="E914">
        <v>2000</v>
      </c>
      <c r="F914">
        <v>0</v>
      </c>
      <c r="G914">
        <v>20</v>
      </c>
      <c r="H914" t="s">
        <v>101</v>
      </c>
      <c r="I914" t="s">
        <v>106</v>
      </c>
      <c r="J914" t="s">
        <v>214</v>
      </c>
      <c r="K914" t="s">
        <v>108</v>
      </c>
      <c r="L914" t="s">
        <v>222</v>
      </c>
      <c r="M914" t="s">
        <v>110</v>
      </c>
      <c r="N914">
        <v>2.5999999999999999E-2</v>
      </c>
      <c r="O914">
        <v>1.7000000000000001E-2</v>
      </c>
      <c r="P914">
        <v>1.2E-2</v>
      </c>
    </row>
    <row r="915" spans="1:16">
      <c r="A915" t="s">
        <v>98</v>
      </c>
      <c r="B915" t="s">
        <v>172</v>
      </c>
      <c r="C915" t="s">
        <v>1196</v>
      </c>
      <c r="D915">
        <v>1</v>
      </c>
      <c r="E915">
        <v>2000</v>
      </c>
      <c r="F915">
        <v>0</v>
      </c>
      <c r="G915">
        <v>20</v>
      </c>
      <c r="H915" t="s">
        <v>101</v>
      </c>
      <c r="I915" t="s">
        <v>106</v>
      </c>
      <c r="J915" t="s">
        <v>214</v>
      </c>
      <c r="K915" t="s">
        <v>108</v>
      </c>
      <c r="L915" t="s">
        <v>128</v>
      </c>
      <c r="M915" t="s">
        <v>110</v>
      </c>
      <c r="N915">
        <v>2.5999999999999999E-2</v>
      </c>
      <c r="O915">
        <v>1.7000000000000001E-2</v>
      </c>
      <c r="P915">
        <v>1.2E-2</v>
      </c>
    </row>
    <row r="916" spans="1:16">
      <c r="A916" t="s">
        <v>98</v>
      </c>
      <c r="B916" t="s">
        <v>172</v>
      </c>
      <c r="C916" t="s">
        <v>1197</v>
      </c>
      <c r="D916">
        <v>1</v>
      </c>
      <c r="E916">
        <v>2000</v>
      </c>
      <c r="F916">
        <v>0</v>
      </c>
      <c r="G916">
        <v>20</v>
      </c>
      <c r="H916" t="s">
        <v>101</v>
      </c>
      <c r="I916" t="s">
        <v>106</v>
      </c>
      <c r="J916" t="s">
        <v>263</v>
      </c>
      <c r="K916" t="s">
        <v>108</v>
      </c>
      <c r="L916" t="s">
        <v>128</v>
      </c>
      <c r="M916" t="s">
        <v>110</v>
      </c>
      <c r="N916">
        <v>2.5999999999999999E-2</v>
      </c>
      <c r="O916">
        <v>1.7000000000000001E-2</v>
      </c>
      <c r="P916">
        <v>1.2E-2</v>
      </c>
    </row>
    <row r="917" spans="1:16">
      <c r="A917" t="s">
        <v>98</v>
      </c>
      <c r="B917" t="s">
        <v>172</v>
      </c>
      <c r="C917" t="s">
        <v>1198</v>
      </c>
      <c r="D917">
        <v>1</v>
      </c>
      <c r="E917">
        <v>2000</v>
      </c>
      <c r="F917">
        <v>0</v>
      </c>
      <c r="G917">
        <v>20</v>
      </c>
      <c r="H917" t="s">
        <v>101</v>
      </c>
      <c r="I917" t="s">
        <v>106</v>
      </c>
      <c r="J917" t="s">
        <v>472</v>
      </c>
      <c r="K917" t="s">
        <v>108</v>
      </c>
      <c r="L917" t="s">
        <v>128</v>
      </c>
      <c r="M917" t="s">
        <v>110</v>
      </c>
      <c r="N917">
        <v>2.5999999999999999E-2</v>
      </c>
      <c r="O917">
        <v>1.7000000000000001E-2</v>
      </c>
      <c r="P917">
        <v>1.2E-2</v>
      </c>
    </row>
    <row r="918" spans="1:16">
      <c r="A918" t="s">
        <v>98</v>
      </c>
      <c r="B918" t="s">
        <v>104</v>
      </c>
      <c r="C918" t="s">
        <v>1199</v>
      </c>
      <c r="D918">
        <v>1</v>
      </c>
      <c r="E918">
        <v>1700</v>
      </c>
      <c r="F918">
        <v>160</v>
      </c>
      <c r="G918">
        <v>20</v>
      </c>
      <c r="H918" t="s">
        <v>101</v>
      </c>
      <c r="I918" t="s">
        <v>106</v>
      </c>
      <c r="J918" t="s">
        <v>236</v>
      </c>
      <c r="K918" t="s">
        <v>108</v>
      </c>
      <c r="L918" t="s">
        <v>128</v>
      </c>
      <c r="M918" t="s">
        <v>110</v>
      </c>
      <c r="N918">
        <v>4.3999999999999997E-2</v>
      </c>
      <c r="O918">
        <v>2.4E-2</v>
      </c>
      <c r="P918">
        <v>1.4999999999999999E-2</v>
      </c>
    </row>
    <row r="919" spans="1:16">
      <c r="A919" t="s">
        <v>98</v>
      </c>
      <c r="B919" t="s">
        <v>104</v>
      </c>
      <c r="C919" t="s">
        <v>1200</v>
      </c>
      <c r="D919">
        <v>1</v>
      </c>
      <c r="E919">
        <v>1700</v>
      </c>
      <c r="F919">
        <v>160</v>
      </c>
      <c r="G919">
        <v>20</v>
      </c>
      <c r="H919" t="s">
        <v>101</v>
      </c>
      <c r="I919" t="s">
        <v>106</v>
      </c>
      <c r="J919" t="s">
        <v>248</v>
      </c>
      <c r="K919" t="s">
        <v>108</v>
      </c>
      <c r="L919" t="s">
        <v>222</v>
      </c>
      <c r="M919" t="s">
        <v>110</v>
      </c>
      <c r="N919">
        <v>4.3999999999999997E-2</v>
      </c>
      <c r="O919">
        <v>2.4E-2</v>
      </c>
      <c r="P919">
        <v>1.4999999999999999E-2</v>
      </c>
    </row>
    <row r="920" spans="1:16">
      <c r="A920" t="s">
        <v>98</v>
      </c>
      <c r="B920" t="s">
        <v>172</v>
      </c>
      <c r="C920" t="s">
        <v>1201</v>
      </c>
      <c r="D920">
        <v>1</v>
      </c>
      <c r="E920">
        <v>2000</v>
      </c>
      <c r="F920">
        <v>0</v>
      </c>
      <c r="G920">
        <v>20</v>
      </c>
      <c r="H920" t="s">
        <v>101</v>
      </c>
      <c r="I920" t="s">
        <v>106</v>
      </c>
      <c r="J920" t="s">
        <v>609</v>
      </c>
      <c r="K920" t="s">
        <v>108</v>
      </c>
      <c r="L920" t="s">
        <v>128</v>
      </c>
      <c r="M920" t="s">
        <v>110</v>
      </c>
      <c r="N920">
        <v>2.5999999999999999E-2</v>
      </c>
      <c r="O920">
        <v>1.7000000000000001E-2</v>
      </c>
      <c r="P920">
        <v>1.2E-2</v>
      </c>
    </row>
    <row r="921" spans="1:16">
      <c r="A921" t="s">
        <v>98</v>
      </c>
      <c r="B921" t="s">
        <v>172</v>
      </c>
      <c r="C921" t="s">
        <v>1202</v>
      </c>
      <c r="D921">
        <v>1</v>
      </c>
      <c r="E921">
        <v>2000</v>
      </c>
      <c r="F921">
        <v>0</v>
      </c>
      <c r="G921">
        <v>20</v>
      </c>
      <c r="H921" t="s">
        <v>101</v>
      </c>
      <c r="I921" t="s">
        <v>106</v>
      </c>
      <c r="J921" t="s">
        <v>472</v>
      </c>
      <c r="K921" t="s">
        <v>108</v>
      </c>
      <c r="L921" t="s">
        <v>222</v>
      </c>
      <c r="M921" t="s">
        <v>110</v>
      </c>
      <c r="N921">
        <v>2.5999999999999999E-2</v>
      </c>
      <c r="O921">
        <v>1.7000000000000001E-2</v>
      </c>
      <c r="P921">
        <v>1.2E-2</v>
      </c>
    </row>
    <row r="922" spans="1:16">
      <c r="A922" t="s">
        <v>98</v>
      </c>
      <c r="B922" t="s">
        <v>104</v>
      </c>
      <c r="C922" t="s">
        <v>1203</v>
      </c>
      <c r="D922">
        <v>1</v>
      </c>
      <c r="E922">
        <v>1700</v>
      </c>
      <c r="F922">
        <v>160</v>
      </c>
      <c r="G922">
        <v>20</v>
      </c>
      <c r="H922" t="s">
        <v>101</v>
      </c>
      <c r="I922" t="s">
        <v>106</v>
      </c>
      <c r="J922" t="s">
        <v>236</v>
      </c>
      <c r="K922" t="s">
        <v>108</v>
      </c>
      <c r="L922" t="s">
        <v>222</v>
      </c>
      <c r="M922" t="s">
        <v>110</v>
      </c>
      <c r="N922">
        <v>4.3999999999999997E-2</v>
      </c>
      <c r="O922">
        <v>2.4E-2</v>
      </c>
      <c r="P922">
        <v>1.4999999999999999E-2</v>
      </c>
    </row>
    <row r="923" spans="1:16">
      <c r="A923" t="s">
        <v>98</v>
      </c>
      <c r="B923" t="s">
        <v>172</v>
      </c>
      <c r="C923" t="s">
        <v>1204</v>
      </c>
      <c r="D923">
        <v>1</v>
      </c>
      <c r="E923">
        <v>2000</v>
      </c>
      <c r="F923">
        <v>0</v>
      </c>
      <c r="G923">
        <v>20</v>
      </c>
      <c r="H923" t="s">
        <v>101</v>
      </c>
      <c r="I923" t="s">
        <v>106</v>
      </c>
      <c r="J923" t="s">
        <v>609</v>
      </c>
      <c r="K923" t="s">
        <v>108</v>
      </c>
      <c r="L923" t="s">
        <v>222</v>
      </c>
      <c r="M923" t="s">
        <v>110</v>
      </c>
      <c r="N923">
        <v>2.5999999999999999E-2</v>
      </c>
      <c r="O923">
        <v>1.7000000000000001E-2</v>
      </c>
      <c r="P923">
        <v>1.2E-2</v>
      </c>
    </row>
    <row r="924" spans="1:16">
      <c r="A924" t="s">
        <v>98</v>
      </c>
      <c r="B924" t="s">
        <v>104</v>
      </c>
      <c r="C924" t="s">
        <v>1205</v>
      </c>
      <c r="D924">
        <v>1</v>
      </c>
      <c r="E924">
        <v>1700</v>
      </c>
      <c r="F924">
        <v>160</v>
      </c>
      <c r="G924">
        <v>20</v>
      </c>
      <c r="H924" t="s">
        <v>101</v>
      </c>
      <c r="I924" t="s">
        <v>106</v>
      </c>
      <c r="J924" t="s">
        <v>305</v>
      </c>
      <c r="K924" t="s">
        <v>108</v>
      </c>
      <c r="L924" t="s">
        <v>434</v>
      </c>
      <c r="M924" t="s">
        <v>110</v>
      </c>
      <c r="N924">
        <v>4.3999999999999997E-2</v>
      </c>
      <c r="O924">
        <v>2.4E-2</v>
      </c>
      <c r="P924">
        <v>1.4999999999999999E-2</v>
      </c>
    </row>
    <row r="925" spans="1:16">
      <c r="A925" t="s">
        <v>98</v>
      </c>
      <c r="B925" t="s">
        <v>104</v>
      </c>
      <c r="C925" t="s">
        <v>1206</v>
      </c>
      <c r="D925">
        <v>1</v>
      </c>
      <c r="E925">
        <v>1700</v>
      </c>
      <c r="F925">
        <v>160</v>
      </c>
      <c r="G925">
        <v>20</v>
      </c>
      <c r="H925" t="s">
        <v>101</v>
      </c>
      <c r="I925" t="s">
        <v>106</v>
      </c>
      <c r="J925" t="s">
        <v>248</v>
      </c>
      <c r="K925" t="s">
        <v>108</v>
      </c>
      <c r="L925" t="s">
        <v>128</v>
      </c>
      <c r="M925" t="s">
        <v>110</v>
      </c>
      <c r="N925">
        <v>4.3999999999999997E-2</v>
      </c>
      <c r="O925">
        <v>2.4E-2</v>
      </c>
      <c r="P925">
        <v>1.4999999999999999E-2</v>
      </c>
    </row>
    <row r="926" spans="1:16">
      <c r="A926" t="s">
        <v>98</v>
      </c>
      <c r="B926" t="s">
        <v>172</v>
      </c>
      <c r="C926" t="s">
        <v>1207</v>
      </c>
      <c r="D926">
        <v>1</v>
      </c>
      <c r="E926">
        <v>2000</v>
      </c>
      <c r="F926">
        <v>0</v>
      </c>
      <c r="G926">
        <v>20</v>
      </c>
      <c r="H926" t="s">
        <v>101</v>
      </c>
      <c r="I926" t="s">
        <v>106</v>
      </c>
      <c r="J926" t="s">
        <v>263</v>
      </c>
      <c r="K926" t="s">
        <v>108</v>
      </c>
      <c r="L926" t="s">
        <v>222</v>
      </c>
      <c r="M926" t="s">
        <v>110</v>
      </c>
      <c r="N926">
        <v>2.5999999999999999E-2</v>
      </c>
      <c r="O926">
        <v>1.7000000000000001E-2</v>
      </c>
      <c r="P926">
        <v>1.2E-2</v>
      </c>
    </row>
    <row r="927" spans="1:16">
      <c r="A927" t="s">
        <v>98</v>
      </c>
      <c r="B927" t="s">
        <v>104</v>
      </c>
      <c r="C927" t="s">
        <v>1208</v>
      </c>
      <c r="D927">
        <v>1</v>
      </c>
      <c r="E927">
        <v>1700</v>
      </c>
      <c r="F927">
        <v>160</v>
      </c>
      <c r="G927">
        <v>20</v>
      </c>
      <c r="H927" t="s">
        <v>101</v>
      </c>
      <c r="I927" t="s">
        <v>106</v>
      </c>
      <c r="J927" t="s">
        <v>466</v>
      </c>
      <c r="K927" t="s">
        <v>108</v>
      </c>
      <c r="L927" t="s">
        <v>222</v>
      </c>
      <c r="M927" t="s">
        <v>110</v>
      </c>
      <c r="N927">
        <v>4.3999999999999997E-2</v>
      </c>
      <c r="O927">
        <v>2.4E-2</v>
      </c>
      <c r="P927">
        <v>1.4999999999999999E-2</v>
      </c>
    </row>
    <row r="928" spans="1:16">
      <c r="A928" t="s">
        <v>98</v>
      </c>
      <c r="B928" t="s">
        <v>104</v>
      </c>
      <c r="C928" t="s">
        <v>1209</v>
      </c>
      <c r="D928">
        <v>1</v>
      </c>
      <c r="E928">
        <v>1700</v>
      </c>
      <c r="F928">
        <v>160</v>
      </c>
      <c r="G928">
        <v>20</v>
      </c>
      <c r="H928" t="s">
        <v>101</v>
      </c>
      <c r="I928" t="s">
        <v>106</v>
      </c>
      <c r="J928" t="s">
        <v>202</v>
      </c>
      <c r="K928" t="s">
        <v>108</v>
      </c>
      <c r="L928" t="s">
        <v>128</v>
      </c>
      <c r="M928" t="s">
        <v>110</v>
      </c>
      <c r="N928">
        <v>4.3999999999999997E-2</v>
      </c>
      <c r="O928">
        <v>2.4E-2</v>
      </c>
      <c r="P928">
        <v>1.4999999999999999E-2</v>
      </c>
    </row>
    <row r="929" spans="1:16">
      <c r="A929" t="s">
        <v>98</v>
      </c>
      <c r="B929" t="s">
        <v>104</v>
      </c>
      <c r="C929" t="s">
        <v>1210</v>
      </c>
      <c r="D929">
        <v>1</v>
      </c>
      <c r="E929">
        <v>1700</v>
      </c>
      <c r="F929">
        <v>160</v>
      </c>
      <c r="G929">
        <v>20</v>
      </c>
      <c r="H929" t="s">
        <v>101</v>
      </c>
      <c r="I929" t="s">
        <v>106</v>
      </c>
      <c r="J929" t="s">
        <v>466</v>
      </c>
      <c r="K929" t="s">
        <v>108</v>
      </c>
      <c r="L929" t="s">
        <v>128</v>
      </c>
      <c r="M929" t="s">
        <v>110</v>
      </c>
      <c r="N929">
        <v>4.3999999999999997E-2</v>
      </c>
      <c r="O929">
        <v>2.4E-2</v>
      </c>
      <c r="P929">
        <v>1.4999999999999999E-2</v>
      </c>
    </row>
    <row r="930" spans="1:16">
      <c r="A930" t="s">
        <v>98</v>
      </c>
      <c r="B930" t="s">
        <v>104</v>
      </c>
      <c r="C930" t="s">
        <v>1211</v>
      </c>
      <c r="D930">
        <v>1</v>
      </c>
      <c r="E930">
        <v>1700</v>
      </c>
      <c r="F930">
        <v>160</v>
      </c>
      <c r="G930">
        <v>20</v>
      </c>
      <c r="H930" t="s">
        <v>101</v>
      </c>
      <c r="I930" t="s">
        <v>106</v>
      </c>
      <c r="J930" t="s">
        <v>342</v>
      </c>
      <c r="K930" t="s">
        <v>108</v>
      </c>
      <c r="L930" t="s">
        <v>222</v>
      </c>
      <c r="M930" t="s">
        <v>110</v>
      </c>
      <c r="N930">
        <v>4.3999999999999997E-2</v>
      </c>
      <c r="O930">
        <v>2.4E-2</v>
      </c>
      <c r="P930">
        <v>1.4999999999999999E-2</v>
      </c>
    </row>
    <row r="931" spans="1:16">
      <c r="A931" t="s">
        <v>98</v>
      </c>
      <c r="B931" t="s">
        <v>172</v>
      </c>
      <c r="C931" t="s">
        <v>1212</v>
      </c>
      <c r="D931">
        <v>1</v>
      </c>
      <c r="E931">
        <v>2000</v>
      </c>
      <c r="F931">
        <v>0</v>
      </c>
      <c r="G931">
        <v>20</v>
      </c>
      <c r="H931" t="s">
        <v>101</v>
      </c>
      <c r="I931" t="s">
        <v>106</v>
      </c>
      <c r="J931" t="s">
        <v>1030</v>
      </c>
      <c r="K931" t="s">
        <v>108</v>
      </c>
      <c r="L931" t="s">
        <v>541</v>
      </c>
      <c r="M931" t="s">
        <v>110</v>
      </c>
      <c r="N931">
        <v>2.5999999999999999E-2</v>
      </c>
      <c r="O931">
        <v>1.7000000000000001E-2</v>
      </c>
      <c r="P931">
        <v>1.2E-2</v>
      </c>
    </row>
    <row r="932" spans="1:16">
      <c r="A932" t="s">
        <v>98</v>
      </c>
      <c r="B932" t="s">
        <v>104</v>
      </c>
      <c r="C932" t="s">
        <v>1213</v>
      </c>
      <c r="D932">
        <v>1</v>
      </c>
      <c r="E932">
        <v>1700</v>
      </c>
      <c r="F932">
        <v>160</v>
      </c>
      <c r="G932">
        <v>20</v>
      </c>
      <c r="H932" t="s">
        <v>101</v>
      </c>
      <c r="I932" t="s">
        <v>106</v>
      </c>
      <c r="J932" t="s">
        <v>747</v>
      </c>
      <c r="K932" t="s">
        <v>108</v>
      </c>
      <c r="L932" t="s">
        <v>541</v>
      </c>
      <c r="M932" t="s">
        <v>110</v>
      </c>
      <c r="N932">
        <v>4.3999999999999997E-2</v>
      </c>
      <c r="O932">
        <v>2.4E-2</v>
      </c>
      <c r="P932">
        <v>1.4999999999999999E-2</v>
      </c>
    </row>
    <row r="933" spans="1:16">
      <c r="A933" t="s">
        <v>98</v>
      </c>
      <c r="B933" t="s">
        <v>172</v>
      </c>
      <c r="C933" t="s">
        <v>1214</v>
      </c>
      <c r="D933">
        <v>1</v>
      </c>
      <c r="E933">
        <v>2000</v>
      </c>
      <c r="F933">
        <v>0</v>
      </c>
      <c r="G933">
        <v>20</v>
      </c>
      <c r="H933" t="s">
        <v>101</v>
      </c>
      <c r="I933" t="s">
        <v>106</v>
      </c>
      <c r="J933" t="s">
        <v>778</v>
      </c>
      <c r="K933" t="s">
        <v>108</v>
      </c>
      <c r="L933" t="s">
        <v>128</v>
      </c>
      <c r="M933" t="s">
        <v>110</v>
      </c>
      <c r="N933">
        <v>2.5999999999999999E-2</v>
      </c>
      <c r="O933">
        <v>1.7000000000000001E-2</v>
      </c>
      <c r="P933">
        <v>1.2E-2</v>
      </c>
    </row>
    <row r="934" spans="1:16">
      <c r="A934" t="s">
        <v>98</v>
      </c>
      <c r="B934" t="s">
        <v>104</v>
      </c>
      <c r="C934" t="s">
        <v>1215</v>
      </c>
      <c r="D934">
        <v>1</v>
      </c>
      <c r="E934">
        <v>1700</v>
      </c>
      <c r="F934">
        <v>160</v>
      </c>
      <c r="G934">
        <v>20</v>
      </c>
      <c r="H934" t="s">
        <v>101</v>
      </c>
      <c r="I934" t="s">
        <v>106</v>
      </c>
      <c r="J934" t="s">
        <v>342</v>
      </c>
      <c r="K934" t="s">
        <v>108</v>
      </c>
      <c r="L934" t="s">
        <v>128</v>
      </c>
      <c r="M934" t="s">
        <v>110</v>
      </c>
      <c r="N934">
        <v>4.3999999999999997E-2</v>
      </c>
      <c r="O934">
        <v>2.4E-2</v>
      </c>
      <c r="P934">
        <v>1.4999999999999999E-2</v>
      </c>
    </row>
    <row r="935" spans="1:16">
      <c r="A935" t="s">
        <v>98</v>
      </c>
      <c r="B935" t="s">
        <v>172</v>
      </c>
      <c r="C935" t="s">
        <v>1216</v>
      </c>
      <c r="D935">
        <v>1</v>
      </c>
      <c r="E935">
        <v>2000</v>
      </c>
      <c r="F935">
        <v>0</v>
      </c>
      <c r="G935">
        <v>20</v>
      </c>
      <c r="H935" t="s">
        <v>101</v>
      </c>
      <c r="I935" t="s">
        <v>106</v>
      </c>
      <c r="J935" t="s">
        <v>214</v>
      </c>
      <c r="K935" t="s">
        <v>108</v>
      </c>
      <c r="L935" t="s">
        <v>128</v>
      </c>
      <c r="M935" t="s">
        <v>110</v>
      </c>
      <c r="N935">
        <v>2.5999999999999999E-2</v>
      </c>
      <c r="O935">
        <v>1.7000000000000001E-2</v>
      </c>
      <c r="P935">
        <v>1.2E-2</v>
      </c>
    </row>
    <row r="936" spans="1:16">
      <c r="A936" t="s">
        <v>98</v>
      </c>
      <c r="B936" t="s">
        <v>104</v>
      </c>
      <c r="C936" t="s">
        <v>1217</v>
      </c>
      <c r="D936">
        <v>1</v>
      </c>
      <c r="E936">
        <v>1700</v>
      </c>
      <c r="F936">
        <v>160</v>
      </c>
      <c r="G936">
        <v>20</v>
      </c>
      <c r="H936" t="s">
        <v>101</v>
      </c>
      <c r="I936" t="s">
        <v>106</v>
      </c>
      <c r="J936" t="s">
        <v>127</v>
      </c>
      <c r="K936" t="s">
        <v>108</v>
      </c>
      <c r="L936" t="s">
        <v>222</v>
      </c>
      <c r="M936" t="s">
        <v>110</v>
      </c>
      <c r="N936">
        <v>4.3999999999999997E-2</v>
      </c>
      <c r="O936">
        <v>2.4E-2</v>
      </c>
      <c r="P936">
        <v>1.4999999999999999E-2</v>
      </c>
    </row>
    <row r="937" spans="1:16">
      <c r="A937" t="s">
        <v>98</v>
      </c>
      <c r="B937" t="s">
        <v>172</v>
      </c>
      <c r="C937" t="s">
        <v>1218</v>
      </c>
      <c r="D937">
        <v>1</v>
      </c>
      <c r="E937">
        <v>2000</v>
      </c>
      <c r="F937">
        <v>0</v>
      </c>
      <c r="G937">
        <v>20</v>
      </c>
      <c r="H937" t="s">
        <v>101</v>
      </c>
      <c r="I937" t="s">
        <v>106</v>
      </c>
      <c r="J937" t="s">
        <v>214</v>
      </c>
      <c r="K937" t="s">
        <v>108</v>
      </c>
      <c r="L937" t="s">
        <v>222</v>
      </c>
      <c r="M937" t="s">
        <v>110</v>
      </c>
      <c r="N937">
        <v>2.5999999999999999E-2</v>
      </c>
      <c r="O937">
        <v>1.7000000000000001E-2</v>
      </c>
      <c r="P937">
        <v>1.2E-2</v>
      </c>
    </row>
    <row r="938" spans="1:16">
      <c r="A938" t="s">
        <v>98</v>
      </c>
      <c r="B938" t="s">
        <v>104</v>
      </c>
      <c r="C938" t="s">
        <v>1219</v>
      </c>
      <c r="D938">
        <v>1</v>
      </c>
      <c r="E938">
        <v>1700</v>
      </c>
      <c r="F938">
        <v>160</v>
      </c>
      <c r="G938">
        <v>20</v>
      </c>
      <c r="H938" t="s">
        <v>101</v>
      </c>
      <c r="I938" t="s">
        <v>106</v>
      </c>
      <c r="J938" t="s">
        <v>749</v>
      </c>
      <c r="K938" t="s">
        <v>108</v>
      </c>
      <c r="L938" t="s">
        <v>434</v>
      </c>
      <c r="M938" t="s">
        <v>110</v>
      </c>
      <c r="N938">
        <v>4.3999999999999997E-2</v>
      </c>
      <c r="O938">
        <v>2.4E-2</v>
      </c>
      <c r="P938">
        <v>1.4999999999999999E-2</v>
      </c>
    </row>
    <row r="939" spans="1:16">
      <c r="A939" t="s">
        <v>98</v>
      </c>
      <c r="B939" t="s">
        <v>172</v>
      </c>
      <c r="C939" t="s">
        <v>1220</v>
      </c>
      <c r="D939">
        <v>1</v>
      </c>
      <c r="E939">
        <v>2000</v>
      </c>
      <c r="F939">
        <v>0</v>
      </c>
      <c r="G939">
        <v>20</v>
      </c>
      <c r="H939" t="s">
        <v>101</v>
      </c>
      <c r="I939" t="s">
        <v>106</v>
      </c>
      <c r="J939" t="s">
        <v>661</v>
      </c>
      <c r="K939" t="s">
        <v>108</v>
      </c>
      <c r="L939" t="s">
        <v>222</v>
      </c>
      <c r="M939" t="s">
        <v>110</v>
      </c>
      <c r="N939">
        <v>2.5999999999999999E-2</v>
      </c>
      <c r="O939">
        <v>1.7000000000000001E-2</v>
      </c>
      <c r="P939">
        <v>1.2E-2</v>
      </c>
    </row>
    <row r="940" spans="1:16">
      <c r="A940" t="s">
        <v>98</v>
      </c>
      <c r="B940" t="s">
        <v>104</v>
      </c>
      <c r="C940" t="s">
        <v>1221</v>
      </c>
      <c r="D940">
        <v>1</v>
      </c>
      <c r="E940">
        <v>1700</v>
      </c>
      <c r="F940">
        <v>160</v>
      </c>
      <c r="G940">
        <v>20</v>
      </c>
      <c r="H940" t="s">
        <v>101</v>
      </c>
      <c r="I940" t="s">
        <v>106</v>
      </c>
      <c r="J940" t="s">
        <v>127</v>
      </c>
      <c r="K940" t="s">
        <v>108</v>
      </c>
      <c r="L940" t="s">
        <v>128</v>
      </c>
      <c r="M940" t="s">
        <v>110</v>
      </c>
      <c r="N940">
        <v>4.3999999999999997E-2</v>
      </c>
      <c r="O940">
        <v>2.4E-2</v>
      </c>
      <c r="P940">
        <v>1.4999999999999999E-2</v>
      </c>
    </row>
    <row r="941" spans="1:16">
      <c r="A941" t="s">
        <v>98</v>
      </c>
      <c r="B941" t="s">
        <v>172</v>
      </c>
      <c r="C941" t="s">
        <v>1222</v>
      </c>
      <c r="D941">
        <v>1</v>
      </c>
      <c r="E941">
        <v>2000</v>
      </c>
      <c r="F941">
        <v>0</v>
      </c>
      <c r="G941">
        <v>20</v>
      </c>
      <c r="H941" t="s">
        <v>101</v>
      </c>
      <c r="I941" t="s">
        <v>106</v>
      </c>
      <c r="J941" t="s">
        <v>498</v>
      </c>
      <c r="K941" t="s">
        <v>108</v>
      </c>
      <c r="L941" t="s">
        <v>128</v>
      </c>
      <c r="M941" t="s">
        <v>110</v>
      </c>
      <c r="N941">
        <v>2.5999999999999999E-2</v>
      </c>
      <c r="O941">
        <v>1.7000000000000001E-2</v>
      </c>
      <c r="P941">
        <v>1.2E-2</v>
      </c>
    </row>
    <row r="942" spans="1:16">
      <c r="A942" t="s">
        <v>98</v>
      </c>
      <c r="B942" t="s">
        <v>172</v>
      </c>
      <c r="C942" t="s">
        <v>1223</v>
      </c>
      <c r="D942">
        <v>1</v>
      </c>
      <c r="E942">
        <v>2000</v>
      </c>
      <c r="F942">
        <v>0</v>
      </c>
      <c r="G942">
        <v>20</v>
      </c>
      <c r="H942" t="s">
        <v>101</v>
      </c>
      <c r="I942" t="s">
        <v>106</v>
      </c>
      <c r="J942" t="s">
        <v>1045</v>
      </c>
      <c r="K942" t="s">
        <v>108</v>
      </c>
      <c r="L942" t="s">
        <v>434</v>
      </c>
      <c r="M942" t="s">
        <v>110</v>
      </c>
      <c r="N942">
        <v>2.5999999999999999E-2</v>
      </c>
      <c r="O942">
        <v>1.7000000000000001E-2</v>
      </c>
      <c r="P942">
        <v>1.2E-2</v>
      </c>
    </row>
    <row r="943" spans="1:16">
      <c r="A943" t="s">
        <v>98</v>
      </c>
      <c r="B943" t="s">
        <v>172</v>
      </c>
      <c r="C943" t="s">
        <v>1224</v>
      </c>
      <c r="D943">
        <v>1</v>
      </c>
      <c r="E943">
        <v>2000</v>
      </c>
      <c r="F943">
        <v>0</v>
      </c>
      <c r="G943">
        <v>20</v>
      </c>
      <c r="H943" t="s">
        <v>101</v>
      </c>
      <c r="I943" t="s">
        <v>106</v>
      </c>
      <c r="J943" t="s">
        <v>498</v>
      </c>
      <c r="K943" t="s">
        <v>108</v>
      </c>
      <c r="L943" t="s">
        <v>222</v>
      </c>
      <c r="M943" t="s">
        <v>110</v>
      </c>
      <c r="N943">
        <v>2.5999999999999999E-2</v>
      </c>
      <c r="O943">
        <v>1.7000000000000001E-2</v>
      </c>
      <c r="P943">
        <v>1.2E-2</v>
      </c>
    </row>
    <row r="944" spans="1:16">
      <c r="A944" t="s">
        <v>98</v>
      </c>
      <c r="B944" t="s">
        <v>104</v>
      </c>
      <c r="C944" t="s">
        <v>1225</v>
      </c>
      <c r="D944">
        <v>1</v>
      </c>
      <c r="E944">
        <v>1700</v>
      </c>
      <c r="F944">
        <v>160</v>
      </c>
      <c r="G944">
        <v>20</v>
      </c>
      <c r="H944" t="s">
        <v>101</v>
      </c>
      <c r="I944" t="s">
        <v>106</v>
      </c>
      <c r="J944" t="s">
        <v>202</v>
      </c>
      <c r="K944" t="s">
        <v>108</v>
      </c>
      <c r="L944" t="s">
        <v>222</v>
      </c>
      <c r="M944" t="s">
        <v>110</v>
      </c>
      <c r="N944">
        <v>4.3999999999999997E-2</v>
      </c>
      <c r="O944">
        <v>2.4E-2</v>
      </c>
      <c r="P944">
        <v>1.4999999999999999E-2</v>
      </c>
    </row>
    <row r="945" spans="1:16">
      <c r="A945" t="s">
        <v>98</v>
      </c>
      <c r="B945" t="s">
        <v>172</v>
      </c>
      <c r="C945" t="s">
        <v>1226</v>
      </c>
      <c r="D945">
        <v>1</v>
      </c>
      <c r="E945">
        <v>2000</v>
      </c>
      <c r="F945">
        <v>0</v>
      </c>
      <c r="G945">
        <v>20</v>
      </c>
      <c r="H945" t="s">
        <v>101</v>
      </c>
      <c r="I945" t="s">
        <v>106</v>
      </c>
      <c r="J945" t="s">
        <v>241</v>
      </c>
      <c r="K945" t="s">
        <v>108</v>
      </c>
      <c r="L945" t="s">
        <v>109</v>
      </c>
      <c r="M945" t="s">
        <v>110</v>
      </c>
      <c r="N945">
        <v>2.5999999999999999E-2</v>
      </c>
      <c r="O945">
        <v>1.7000000000000001E-2</v>
      </c>
      <c r="P945">
        <v>1.2E-2</v>
      </c>
    </row>
    <row r="946" spans="1:16">
      <c r="A946" t="s">
        <v>98</v>
      </c>
      <c r="B946" t="s">
        <v>172</v>
      </c>
      <c r="C946" t="s">
        <v>1227</v>
      </c>
      <c r="D946">
        <v>1</v>
      </c>
      <c r="E946">
        <v>2000</v>
      </c>
      <c r="F946">
        <v>0</v>
      </c>
      <c r="G946">
        <v>20</v>
      </c>
      <c r="H946" t="s">
        <v>101</v>
      </c>
      <c r="I946" t="s">
        <v>106</v>
      </c>
      <c r="J946" t="s">
        <v>1043</v>
      </c>
      <c r="K946" t="s">
        <v>108</v>
      </c>
      <c r="L946" t="s">
        <v>434</v>
      </c>
      <c r="M946" t="s">
        <v>110</v>
      </c>
      <c r="N946">
        <v>2.5999999999999999E-2</v>
      </c>
      <c r="O946">
        <v>1.7000000000000001E-2</v>
      </c>
      <c r="P946">
        <v>1.2E-2</v>
      </c>
    </row>
    <row r="947" spans="1:16" hidden="1">
      <c r="A947" t="s">
        <v>98</v>
      </c>
      <c r="B947" t="s">
        <v>104</v>
      </c>
      <c r="C947" t="s">
        <v>1228</v>
      </c>
      <c r="D947">
        <v>1</v>
      </c>
      <c r="E947">
        <v>1700</v>
      </c>
      <c r="F947">
        <v>160</v>
      </c>
      <c r="G947">
        <v>20</v>
      </c>
      <c r="H947" t="s">
        <v>101</v>
      </c>
      <c r="I947" t="s">
        <v>101</v>
      </c>
      <c r="J947" t="s">
        <v>101</v>
      </c>
      <c r="K947" t="s">
        <v>101</v>
      </c>
      <c r="L947" t="s">
        <v>124</v>
      </c>
      <c r="M947" t="s">
        <v>110</v>
      </c>
      <c r="N947">
        <v>4.3999999999999997E-2</v>
      </c>
      <c r="O947">
        <v>2.4E-2</v>
      </c>
      <c r="P947">
        <v>1.4999999999999999E-2</v>
      </c>
    </row>
    <row r="948" spans="1:16">
      <c r="A948" t="s">
        <v>98</v>
      </c>
      <c r="B948" t="s">
        <v>104</v>
      </c>
      <c r="C948" t="s">
        <v>1229</v>
      </c>
      <c r="D948">
        <v>1</v>
      </c>
      <c r="E948">
        <v>1700</v>
      </c>
      <c r="F948">
        <v>160</v>
      </c>
      <c r="G948">
        <v>20</v>
      </c>
      <c r="H948" t="s">
        <v>101</v>
      </c>
      <c r="I948" t="s">
        <v>106</v>
      </c>
      <c r="J948" t="s">
        <v>297</v>
      </c>
      <c r="K948" t="s">
        <v>108</v>
      </c>
      <c r="L948" t="s">
        <v>222</v>
      </c>
      <c r="M948" t="s">
        <v>110</v>
      </c>
      <c r="N948">
        <v>4.3999999999999997E-2</v>
      </c>
      <c r="O948">
        <v>2.4E-2</v>
      </c>
      <c r="P948">
        <v>1.4999999999999999E-2</v>
      </c>
    </row>
    <row r="949" spans="1:16">
      <c r="A949" t="s">
        <v>98</v>
      </c>
      <c r="B949" t="s">
        <v>104</v>
      </c>
      <c r="C949" t="s">
        <v>1230</v>
      </c>
      <c r="D949">
        <v>1</v>
      </c>
      <c r="E949">
        <v>1700</v>
      </c>
      <c r="F949">
        <v>160</v>
      </c>
      <c r="G949">
        <v>20</v>
      </c>
      <c r="H949" t="s">
        <v>101</v>
      </c>
      <c r="I949" t="s">
        <v>106</v>
      </c>
      <c r="J949" t="s">
        <v>297</v>
      </c>
      <c r="K949" t="s">
        <v>108</v>
      </c>
      <c r="L949" t="s">
        <v>222</v>
      </c>
      <c r="M949" t="s">
        <v>110</v>
      </c>
      <c r="N949">
        <v>4.3999999999999997E-2</v>
      </c>
      <c r="O949">
        <v>2.4E-2</v>
      </c>
      <c r="P949">
        <v>1.4999999999999999E-2</v>
      </c>
    </row>
    <row r="950" spans="1:16">
      <c r="A950" t="s">
        <v>98</v>
      </c>
      <c r="B950" t="s">
        <v>172</v>
      </c>
      <c r="C950" t="s">
        <v>1231</v>
      </c>
      <c r="D950">
        <v>1</v>
      </c>
      <c r="E950">
        <v>2000</v>
      </c>
      <c r="F950">
        <v>0</v>
      </c>
      <c r="G950">
        <v>20</v>
      </c>
      <c r="H950" t="s">
        <v>101</v>
      </c>
      <c r="I950" t="s">
        <v>106</v>
      </c>
      <c r="J950" t="s">
        <v>563</v>
      </c>
      <c r="K950" t="s">
        <v>108</v>
      </c>
      <c r="L950" t="s">
        <v>128</v>
      </c>
      <c r="M950" t="s">
        <v>110</v>
      </c>
      <c r="N950">
        <v>2.5999999999999999E-2</v>
      </c>
      <c r="O950">
        <v>1.7000000000000001E-2</v>
      </c>
      <c r="P950">
        <v>1.2E-2</v>
      </c>
    </row>
    <row r="951" spans="1:16">
      <c r="A951" t="s">
        <v>98</v>
      </c>
      <c r="B951" t="s">
        <v>172</v>
      </c>
      <c r="C951" t="s">
        <v>1232</v>
      </c>
      <c r="D951">
        <v>1</v>
      </c>
      <c r="E951">
        <v>2000</v>
      </c>
      <c r="F951">
        <v>0</v>
      </c>
      <c r="G951">
        <v>20</v>
      </c>
      <c r="H951" t="s">
        <v>101</v>
      </c>
      <c r="I951" t="s">
        <v>106</v>
      </c>
      <c r="J951" t="s">
        <v>120</v>
      </c>
      <c r="K951" t="s">
        <v>108</v>
      </c>
      <c r="L951" t="s">
        <v>541</v>
      </c>
      <c r="M951" t="s">
        <v>110</v>
      </c>
      <c r="N951">
        <v>2.5999999999999999E-2</v>
      </c>
      <c r="O951">
        <v>1.7000000000000001E-2</v>
      </c>
      <c r="P951">
        <v>1.2E-2</v>
      </c>
    </row>
    <row r="952" spans="1:16" hidden="1">
      <c r="A952" t="s">
        <v>98</v>
      </c>
      <c r="B952" t="s">
        <v>172</v>
      </c>
      <c r="C952" t="s">
        <v>1233</v>
      </c>
      <c r="D952">
        <v>1</v>
      </c>
      <c r="E952">
        <v>2000</v>
      </c>
      <c r="F952">
        <v>0</v>
      </c>
      <c r="G952">
        <v>20</v>
      </c>
      <c r="H952" t="s">
        <v>101</v>
      </c>
      <c r="I952" t="s">
        <v>102</v>
      </c>
      <c r="J952" t="s">
        <v>101</v>
      </c>
      <c r="K952" t="s">
        <v>101</v>
      </c>
      <c r="L952" t="s">
        <v>311</v>
      </c>
      <c r="M952" t="s">
        <v>125</v>
      </c>
      <c r="N952">
        <v>2.5999999999999999E-2</v>
      </c>
      <c r="O952">
        <v>1.7000000000000001E-2</v>
      </c>
      <c r="P952">
        <v>1.2E-2</v>
      </c>
    </row>
    <row r="953" spans="1:16" hidden="1">
      <c r="A953" t="s">
        <v>98</v>
      </c>
      <c r="B953" t="s">
        <v>172</v>
      </c>
      <c r="C953" t="s">
        <v>1234</v>
      </c>
      <c r="D953">
        <v>1</v>
      </c>
      <c r="E953">
        <v>2000</v>
      </c>
      <c r="F953">
        <v>0</v>
      </c>
      <c r="G953">
        <v>20</v>
      </c>
      <c r="H953" t="s">
        <v>101</v>
      </c>
      <c r="I953" t="s">
        <v>102</v>
      </c>
      <c r="J953" t="s">
        <v>101</v>
      </c>
      <c r="K953" t="s">
        <v>101</v>
      </c>
      <c r="L953" t="s">
        <v>124</v>
      </c>
      <c r="M953" t="s">
        <v>125</v>
      </c>
      <c r="N953">
        <v>2.5999999999999999E-2</v>
      </c>
      <c r="O953">
        <v>1.7000000000000001E-2</v>
      </c>
      <c r="P953">
        <v>1.2E-2</v>
      </c>
    </row>
    <row r="954" spans="1:16" hidden="1">
      <c r="A954" t="s">
        <v>98</v>
      </c>
      <c r="B954" t="s">
        <v>172</v>
      </c>
      <c r="C954" t="s">
        <v>1235</v>
      </c>
      <c r="D954">
        <v>1</v>
      </c>
      <c r="E954">
        <v>2000</v>
      </c>
      <c r="F954">
        <v>0</v>
      </c>
      <c r="G954">
        <v>20</v>
      </c>
      <c r="H954" t="s">
        <v>101</v>
      </c>
      <c r="I954" t="s">
        <v>101</v>
      </c>
      <c r="J954" t="s">
        <v>101</v>
      </c>
      <c r="K954" t="s">
        <v>101</v>
      </c>
      <c r="L954" t="s">
        <v>101</v>
      </c>
      <c r="M954" t="s">
        <v>110</v>
      </c>
      <c r="N954">
        <v>2.5999999999999999E-2</v>
      </c>
      <c r="O954">
        <v>1.7000000000000001E-2</v>
      </c>
      <c r="P954">
        <v>1.2E-2</v>
      </c>
    </row>
    <row r="955" spans="1:16" hidden="1">
      <c r="A955" t="s">
        <v>98</v>
      </c>
      <c r="B955" t="s">
        <v>172</v>
      </c>
      <c r="C955" t="s">
        <v>1236</v>
      </c>
      <c r="D955">
        <v>1</v>
      </c>
      <c r="E955">
        <v>2000</v>
      </c>
      <c r="F955">
        <v>0</v>
      </c>
      <c r="G955">
        <v>20</v>
      </c>
      <c r="H955" t="s">
        <v>101</v>
      </c>
      <c r="I955" t="s">
        <v>102</v>
      </c>
      <c r="J955" t="s">
        <v>101</v>
      </c>
      <c r="K955" t="s">
        <v>566</v>
      </c>
      <c r="L955" t="s">
        <v>261</v>
      </c>
      <c r="M955" t="s">
        <v>125</v>
      </c>
      <c r="N955">
        <v>2.5999999999999999E-2</v>
      </c>
      <c r="O955">
        <v>1.7000000000000001E-2</v>
      </c>
      <c r="P955">
        <v>1.2E-2</v>
      </c>
    </row>
    <row r="956" spans="1:16" hidden="1">
      <c r="A956" t="s">
        <v>98</v>
      </c>
      <c r="B956" t="s">
        <v>172</v>
      </c>
      <c r="C956" t="s">
        <v>1237</v>
      </c>
      <c r="D956">
        <v>1</v>
      </c>
      <c r="E956">
        <v>2000</v>
      </c>
      <c r="F956">
        <v>0</v>
      </c>
      <c r="G956">
        <v>20</v>
      </c>
      <c r="H956" t="s">
        <v>101</v>
      </c>
      <c r="I956" t="s">
        <v>102</v>
      </c>
      <c r="J956" t="s">
        <v>101</v>
      </c>
      <c r="K956" t="s">
        <v>770</v>
      </c>
      <c r="L956" t="s">
        <v>261</v>
      </c>
      <c r="M956" t="s">
        <v>125</v>
      </c>
      <c r="N956">
        <v>2.5999999999999999E-2</v>
      </c>
      <c r="O956">
        <v>1.7000000000000001E-2</v>
      </c>
      <c r="P956">
        <v>1.2E-2</v>
      </c>
    </row>
    <row r="957" spans="1:16" hidden="1">
      <c r="A957" t="s">
        <v>98</v>
      </c>
      <c r="B957" t="s">
        <v>114</v>
      </c>
      <c r="C957" t="s">
        <v>1238</v>
      </c>
      <c r="D957">
        <v>2</v>
      </c>
      <c r="E957">
        <v>7500</v>
      </c>
      <c r="F957">
        <v>32</v>
      </c>
      <c r="G957">
        <v>420</v>
      </c>
      <c r="H957" t="s">
        <v>101</v>
      </c>
      <c r="I957" t="s">
        <v>102</v>
      </c>
      <c r="J957" t="s">
        <v>101</v>
      </c>
      <c r="K957" t="s">
        <v>101</v>
      </c>
      <c r="L957" t="s">
        <v>117</v>
      </c>
      <c r="M957" t="s">
        <v>118</v>
      </c>
      <c r="N957">
        <v>0.13300000000000001</v>
      </c>
      <c r="O957">
        <v>8.1000000000000003E-2</v>
      </c>
      <c r="P957">
        <v>5.1999999999999998E-2</v>
      </c>
    </row>
    <row r="958" spans="1:16" hidden="1">
      <c r="A958" t="s">
        <v>98</v>
      </c>
      <c r="B958" t="s">
        <v>114</v>
      </c>
      <c r="C958" t="s">
        <v>1239</v>
      </c>
      <c r="D958">
        <v>2</v>
      </c>
      <c r="E958">
        <v>7500</v>
      </c>
      <c r="F958">
        <v>32</v>
      </c>
      <c r="G958">
        <v>420</v>
      </c>
      <c r="H958" t="s">
        <v>101</v>
      </c>
      <c r="I958" t="s">
        <v>102</v>
      </c>
      <c r="J958" t="s">
        <v>101</v>
      </c>
      <c r="K958" t="s">
        <v>101</v>
      </c>
      <c r="L958" t="s">
        <v>117</v>
      </c>
      <c r="M958" t="s">
        <v>118</v>
      </c>
      <c r="N958">
        <v>0.13300000000000001</v>
      </c>
      <c r="O958">
        <v>8.1000000000000003E-2</v>
      </c>
      <c r="P958">
        <v>5.1999999999999998E-2</v>
      </c>
    </row>
    <row r="959" spans="1:16" hidden="1">
      <c r="A959" t="s">
        <v>98</v>
      </c>
      <c r="B959" t="s">
        <v>114</v>
      </c>
      <c r="C959" t="s">
        <v>1240</v>
      </c>
      <c r="D959">
        <v>2</v>
      </c>
      <c r="E959">
        <v>7500</v>
      </c>
      <c r="F959">
        <v>32</v>
      </c>
      <c r="G959">
        <v>820</v>
      </c>
      <c r="H959" t="s">
        <v>101</v>
      </c>
      <c r="I959" t="s">
        <v>102</v>
      </c>
      <c r="J959" t="s">
        <v>101</v>
      </c>
      <c r="K959" t="s">
        <v>101</v>
      </c>
      <c r="L959" t="s">
        <v>117</v>
      </c>
      <c r="M959" t="s">
        <v>118</v>
      </c>
      <c r="N959">
        <v>0.13300000000000001</v>
      </c>
      <c r="O959">
        <v>8.1000000000000003E-2</v>
      </c>
      <c r="P959">
        <v>5.1999999999999998E-2</v>
      </c>
    </row>
    <row r="960" spans="1:16" hidden="1">
      <c r="A960" t="s">
        <v>98</v>
      </c>
      <c r="B960" t="s">
        <v>99</v>
      </c>
      <c r="C960" t="s">
        <v>1241</v>
      </c>
      <c r="D960">
        <v>2</v>
      </c>
      <c r="E960">
        <v>3750</v>
      </c>
      <c r="F960">
        <v>32</v>
      </c>
      <c r="G960">
        <v>20</v>
      </c>
      <c r="H960" t="s">
        <v>101</v>
      </c>
      <c r="I960" t="s">
        <v>102</v>
      </c>
      <c r="J960" t="s">
        <v>101</v>
      </c>
      <c r="K960" t="s">
        <v>101</v>
      </c>
      <c r="L960" t="s">
        <v>101</v>
      </c>
      <c r="M960" t="s">
        <v>118</v>
      </c>
      <c r="N960">
        <v>0.105</v>
      </c>
      <c r="O960">
        <v>6.2E-2</v>
      </c>
      <c r="P960">
        <v>3.9E-2</v>
      </c>
    </row>
    <row r="961" spans="1:16" hidden="1">
      <c r="A961" t="s">
        <v>98</v>
      </c>
      <c r="B961" t="s">
        <v>99</v>
      </c>
      <c r="C961" t="s">
        <v>1242</v>
      </c>
      <c r="D961">
        <v>2</v>
      </c>
      <c r="E961">
        <v>3750</v>
      </c>
      <c r="F961">
        <v>32</v>
      </c>
      <c r="G961">
        <v>20</v>
      </c>
      <c r="H961" t="s">
        <v>101</v>
      </c>
      <c r="I961" t="s">
        <v>102</v>
      </c>
      <c r="J961" t="s">
        <v>101</v>
      </c>
      <c r="K961" t="s">
        <v>101</v>
      </c>
      <c r="L961" t="s">
        <v>124</v>
      </c>
      <c r="M961" t="s">
        <v>118</v>
      </c>
      <c r="N961">
        <v>0.105</v>
      </c>
      <c r="O961">
        <v>6.2E-2</v>
      </c>
      <c r="P961">
        <v>3.9E-2</v>
      </c>
    </row>
    <row r="962" spans="1:16" hidden="1">
      <c r="A962" t="s">
        <v>98</v>
      </c>
      <c r="B962" t="s">
        <v>99</v>
      </c>
      <c r="C962" t="s">
        <v>1243</v>
      </c>
      <c r="D962">
        <v>2</v>
      </c>
      <c r="E962">
        <v>3750</v>
      </c>
      <c r="F962">
        <v>32</v>
      </c>
      <c r="G962">
        <v>20</v>
      </c>
      <c r="H962" t="s">
        <v>101</v>
      </c>
      <c r="I962" t="s">
        <v>102</v>
      </c>
      <c r="J962" t="s">
        <v>101</v>
      </c>
      <c r="K962" t="s">
        <v>101</v>
      </c>
      <c r="L962" t="s">
        <v>101</v>
      </c>
      <c r="M962" t="s">
        <v>118</v>
      </c>
      <c r="N962">
        <v>0.105</v>
      </c>
      <c r="O962">
        <v>6.2E-2</v>
      </c>
      <c r="P962">
        <v>3.9E-2</v>
      </c>
    </row>
    <row r="963" spans="1:16" hidden="1">
      <c r="A963" t="s">
        <v>98</v>
      </c>
      <c r="B963" t="s">
        <v>114</v>
      </c>
      <c r="C963" t="s">
        <v>1244</v>
      </c>
      <c r="D963">
        <v>2</v>
      </c>
      <c r="E963">
        <v>7500</v>
      </c>
      <c r="F963">
        <v>32</v>
      </c>
      <c r="G963">
        <v>420</v>
      </c>
      <c r="H963" t="s">
        <v>101</v>
      </c>
      <c r="I963" t="s">
        <v>102</v>
      </c>
      <c r="J963" t="s">
        <v>101</v>
      </c>
      <c r="K963" t="s">
        <v>101</v>
      </c>
      <c r="L963" t="s">
        <v>117</v>
      </c>
      <c r="M963" t="s">
        <v>118</v>
      </c>
      <c r="N963">
        <v>0.13300000000000001</v>
      </c>
      <c r="O963">
        <v>8.1000000000000003E-2</v>
      </c>
      <c r="P963">
        <v>5.1999999999999998E-2</v>
      </c>
    </row>
    <row r="964" spans="1:16" hidden="1">
      <c r="A964" t="s">
        <v>98</v>
      </c>
      <c r="B964" t="s">
        <v>172</v>
      </c>
      <c r="C964" t="s">
        <v>1245</v>
      </c>
      <c r="D964">
        <v>1</v>
      </c>
      <c r="E964">
        <v>2000</v>
      </c>
      <c r="F964">
        <v>0</v>
      </c>
      <c r="G964">
        <v>20</v>
      </c>
      <c r="H964" t="s">
        <v>101</v>
      </c>
      <c r="I964" t="s">
        <v>102</v>
      </c>
      <c r="J964" t="s">
        <v>101</v>
      </c>
      <c r="K964" t="s">
        <v>101</v>
      </c>
      <c r="L964" t="s">
        <v>117</v>
      </c>
      <c r="M964" t="s">
        <v>118</v>
      </c>
      <c r="N964">
        <v>2.5999999999999999E-2</v>
      </c>
      <c r="O964">
        <v>1.7000000000000001E-2</v>
      </c>
      <c r="P964">
        <v>1.2E-2</v>
      </c>
    </row>
    <row r="965" spans="1:16" hidden="1">
      <c r="A965" t="s">
        <v>98</v>
      </c>
      <c r="B965" t="s">
        <v>99</v>
      </c>
      <c r="C965" t="s">
        <v>1246</v>
      </c>
      <c r="D965">
        <v>2</v>
      </c>
      <c r="E965">
        <v>3750</v>
      </c>
      <c r="F965">
        <v>32</v>
      </c>
      <c r="G965">
        <v>20</v>
      </c>
      <c r="H965" t="s">
        <v>101</v>
      </c>
      <c r="I965" t="s">
        <v>102</v>
      </c>
      <c r="J965" t="s">
        <v>101</v>
      </c>
      <c r="K965" t="s">
        <v>101</v>
      </c>
      <c r="L965" t="s">
        <v>124</v>
      </c>
      <c r="M965" t="s">
        <v>118</v>
      </c>
      <c r="N965">
        <v>0.105</v>
      </c>
      <c r="O965">
        <v>6.2E-2</v>
      </c>
      <c r="P965">
        <v>3.9E-2</v>
      </c>
    </row>
    <row r="966" spans="1:16" hidden="1">
      <c r="A966" t="s">
        <v>98</v>
      </c>
      <c r="B966" t="s">
        <v>172</v>
      </c>
      <c r="C966" t="s">
        <v>1247</v>
      </c>
      <c r="D966">
        <v>1</v>
      </c>
      <c r="E966">
        <v>2000</v>
      </c>
      <c r="F966">
        <v>0</v>
      </c>
      <c r="G966">
        <v>20</v>
      </c>
      <c r="H966" t="s">
        <v>101</v>
      </c>
      <c r="I966" t="s">
        <v>102</v>
      </c>
      <c r="J966" t="s">
        <v>101</v>
      </c>
      <c r="K966" t="s">
        <v>101</v>
      </c>
      <c r="L966" t="s">
        <v>311</v>
      </c>
      <c r="M966" t="s">
        <v>125</v>
      </c>
      <c r="N966">
        <v>2.5999999999999999E-2</v>
      </c>
      <c r="O966">
        <v>1.7000000000000001E-2</v>
      </c>
      <c r="P966">
        <v>1.2E-2</v>
      </c>
    </row>
    <row r="967" spans="1:16" hidden="1">
      <c r="A967" t="s">
        <v>98</v>
      </c>
      <c r="B967" t="s">
        <v>172</v>
      </c>
      <c r="C967" t="s">
        <v>1248</v>
      </c>
      <c r="D967">
        <v>1</v>
      </c>
      <c r="E967">
        <v>2000</v>
      </c>
      <c r="F967">
        <v>0</v>
      </c>
      <c r="G967">
        <v>20</v>
      </c>
      <c r="H967" t="s">
        <v>101</v>
      </c>
      <c r="I967" t="s">
        <v>102</v>
      </c>
      <c r="J967" t="s">
        <v>101</v>
      </c>
      <c r="K967" t="s">
        <v>101</v>
      </c>
      <c r="L967" t="s">
        <v>124</v>
      </c>
      <c r="M967" t="s">
        <v>125</v>
      </c>
      <c r="N967">
        <v>2.5999999999999999E-2</v>
      </c>
      <c r="O967">
        <v>1.7000000000000001E-2</v>
      </c>
      <c r="P967">
        <v>1.2E-2</v>
      </c>
    </row>
    <row r="968" spans="1:16" hidden="1">
      <c r="A968" t="s">
        <v>98</v>
      </c>
      <c r="B968" t="s">
        <v>172</v>
      </c>
      <c r="C968" t="s">
        <v>1249</v>
      </c>
      <c r="D968">
        <v>1</v>
      </c>
      <c r="E968">
        <v>2000</v>
      </c>
      <c r="F968">
        <v>0</v>
      </c>
      <c r="G968">
        <v>20</v>
      </c>
      <c r="H968" t="s">
        <v>101</v>
      </c>
      <c r="I968" t="s">
        <v>101</v>
      </c>
      <c r="J968" t="s">
        <v>101</v>
      </c>
      <c r="K968" t="s">
        <v>101</v>
      </c>
      <c r="L968" t="s">
        <v>101</v>
      </c>
      <c r="M968" t="s">
        <v>110</v>
      </c>
      <c r="N968">
        <v>2.5999999999999999E-2</v>
      </c>
      <c r="O968">
        <v>1.7000000000000001E-2</v>
      </c>
      <c r="P968">
        <v>1.2E-2</v>
      </c>
    </row>
    <row r="969" spans="1:16" hidden="1">
      <c r="A969" t="s">
        <v>98</v>
      </c>
      <c r="B969" t="s">
        <v>99</v>
      </c>
      <c r="C969" t="s">
        <v>1250</v>
      </c>
      <c r="D969">
        <v>2</v>
      </c>
      <c r="E969">
        <v>3750</v>
      </c>
      <c r="F969">
        <v>32</v>
      </c>
      <c r="G969">
        <v>20</v>
      </c>
      <c r="H969" t="s">
        <v>101</v>
      </c>
      <c r="I969" t="s">
        <v>102</v>
      </c>
      <c r="J969" t="s">
        <v>101</v>
      </c>
      <c r="K969" t="s">
        <v>405</v>
      </c>
      <c r="L969" t="s">
        <v>124</v>
      </c>
      <c r="M969" t="s">
        <v>406</v>
      </c>
      <c r="N969">
        <v>0.105</v>
      </c>
      <c r="O969">
        <v>6.2E-2</v>
      </c>
      <c r="P969">
        <v>3.9E-2</v>
      </c>
    </row>
    <row r="970" spans="1:16" hidden="1">
      <c r="A970" t="s">
        <v>98</v>
      </c>
      <c r="B970" t="s">
        <v>99</v>
      </c>
      <c r="C970" t="s">
        <v>1251</v>
      </c>
      <c r="D970">
        <v>2</v>
      </c>
      <c r="E970">
        <v>3750</v>
      </c>
      <c r="F970">
        <v>32</v>
      </c>
      <c r="G970">
        <v>20</v>
      </c>
      <c r="H970" t="s">
        <v>101</v>
      </c>
      <c r="I970" t="s">
        <v>102</v>
      </c>
      <c r="J970" t="s">
        <v>101</v>
      </c>
      <c r="K970" t="s">
        <v>405</v>
      </c>
      <c r="L970" t="s">
        <v>124</v>
      </c>
      <c r="M970" t="s">
        <v>406</v>
      </c>
      <c r="N970">
        <v>0.105</v>
      </c>
      <c r="O970">
        <v>6.2E-2</v>
      </c>
      <c r="P970">
        <v>3.9E-2</v>
      </c>
    </row>
    <row r="971" spans="1:16" hidden="1">
      <c r="A971" t="s">
        <v>98</v>
      </c>
      <c r="B971" t="s">
        <v>99</v>
      </c>
      <c r="C971" t="s">
        <v>1252</v>
      </c>
      <c r="D971">
        <v>2</v>
      </c>
      <c r="E971">
        <v>3750</v>
      </c>
      <c r="F971">
        <v>32</v>
      </c>
      <c r="G971">
        <v>20</v>
      </c>
      <c r="H971" t="s">
        <v>101</v>
      </c>
      <c r="I971" t="s">
        <v>102</v>
      </c>
      <c r="J971" t="s">
        <v>101</v>
      </c>
      <c r="K971" t="s">
        <v>405</v>
      </c>
      <c r="L971" t="s">
        <v>124</v>
      </c>
      <c r="M971" t="s">
        <v>406</v>
      </c>
      <c r="N971">
        <v>0.105</v>
      </c>
      <c r="O971">
        <v>6.2E-2</v>
      </c>
      <c r="P971">
        <v>3.9E-2</v>
      </c>
    </row>
    <row r="972" spans="1:16" hidden="1">
      <c r="A972" t="s">
        <v>98</v>
      </c>
      <c r="B972" t="s">
        <v>99</v>
      </c>
      <c r="C972" t="s">
        <v>1253</v>
      </c>
      <c r="D972">
        <v>2</v>
      </c>
      <c r="E972">
        <v>3750</v>
      </c>
      <c r="F972">
        <v>32</v>
      </c>
      <c r="G972">
        <v>20</v>
      </c>
      <c r="H972" t="s">
        <v>101</v>
      </c>
      <c r="I972" t="s">
        <v>102</v>
      </c>
      <c r="J972" t="s">
        <v>101</v>
      </c>
      <c r="K972" t="s">
        <v>405</v>
      </c>
      <c r="L972" t="s">
        <v>101</v>
      </c>
      <c r="M972" t="s">
        <v>406</v>
      </c>
      <c r="N972">
        <v>0.105</v>
      </c>
      <c r="O972">
        <v>6.2E-2</v>
      </c>
      <c r="P972">
        <v>3.9E-2</v>
      </c>
    </row>
    <row r="973" spans="1:16" hidden="1">
      <c r="A973" t="s">
        <v>98</v>
      </c>
      <c r="B973" t="s">
        <v>99</v>
      </c>
      <c r="C973" t="s">
        <v>1254</v>
      </c>
      <c r="D973">
        <v>2</v>
      </c>
      <c r="E973">
        <v>3750</v>
      </c>
      <c r="F973">
        <v>32</v>
      </c>
      <c r="G973">
        <v>20</v>
      </c>
      <c r="H973" t="s">
        <v>101</v>
      </c>
      <c r="I973" t="s">
        <v>102</v>
      </c>
      <c r="J973" t="s">
        <v>101</v>
      </c>
      <c r="K973" t="s">
        <v>405</v>
      </c>
      <c r="L973" t="s">
        <v>101</v>
      </c>
      <c r="M973" t="s">
        <v>406</v>
      </c>
      <c r="N973">
        <v>0.105</v>
      </c>
      <c r="O973">
        <v>6.2E-2</v>
      </c>
      <c r="P973">
        <v>3.9E-2</v>
      </c>
    </row>
    <row r="974" spans="1:16" hidden="1">
      <c r="A974" t="s">
        <v>98</v>
      </c>
      <c r="B974" t="s">
        <v>99</v>
      </c>
      <c r="C974" t="s">
        <v>1255</v>
      </c>
      <c r="D974">
        <v>2</v>
      </c>
      <c r="E974">
        <v>3750</v>
      </c>
      <c r="F974">
        <v>32</v>
      </c>
      <c r="G974">
        <v>20</v>
      </c>
      <c r="H974" t="s">
        <v>101</v>
      </c>
      <c r="I974" t="s">
        <v>102</v>
      </c>
      <c r="J974" t="s">
        <v>101</v>
      </c>
      <c r="K974" t="s">
        <v>405</v>
      </c>
      <c r="L974" t="s">
        <v>101</v>
      </c>
      <c r="M974" t="s">
        <v>406</v>
      </c>
      <c r="N974">
        <v>0.105</v>
      </c>
      <c r="O974">
        <v>6.2E-2</v>
      </c>
      <c r="P974">
        <v>3.9E-2</v>
      </c>
    </row>
    <row r="975" spans="1:16" hidden="1">
      <c r="A975" t="s">
        <v>98</v>
      </c>
      <c r="B975" t="s">
        <v>99</v>
      </c>
      <c r="C975" t="s">
        <v>1256</v>
      </c>
      <c r="D975">
        <v>2</v>
      </c>
      <c r="E975">
        <v>3750</v>
      </c>
      <c r="F975">
        <v>32</v>
      </c>
      <c r="G975">
        <v>20</v>
      </c>
      <c r="H975" t="s">
        <v>101</v>
      </c>
      <c r="I975" t="s">
        <v>102</v>
      </c>
      <c r="J975" t="s">
        <v>101</v>
      </c>
      <c r="K975" t="s">
        <v>405</v>
      </c>
      <c r="L975" t="s">
        <v>101</v>
      </c>
      <c r="M975" t="s">
        <v>406</v>
      </c>
      <c r="N975">
        <v>0.105</v>
      </c>
      <c r="O975">
        <v>6.2E-2</v>
      </c>
      <c r="P975">
        <v>3.9E-2</v>
      </c>
    </row>
    <row r="976" spans="1:16" hidden="1">
      <c r="A976" t="s">
        <v>98</v>
      </c>
      <c r="B976" t="s">
        <v>588</v>
      </c>
      <c r="C976" t="s">
        <v>1257</v>
      </c>
      <c r="D976">
        <v>4</v>
      </c>
      <c r="E976">
        <v>7500</v>
      </c>
      <c r="F976">
        <v>80</v>
      </c>
      <c r="G976">
        <v>20</v>
      </c>
      <c r="H976" t="s">
        <v>101</v>
      </c>
      <c r="I976" t="s">
        <v>101</v>
      </c>
      <c r="J976" t="s">
        <v>101</v>
      </c>
      <c r="K976" t="s">
        <v>108</v>
      </c>
      <c r="L976" t="s">
        <v>101</v>
      </c>
      <c r="M976" t="s">
        <v>110</v>
      </c>
      <c r="N976">
        <v>0.21</v>
      </c>
      <c r="O976">
        <v>0.125</v>
      </c>
      <c r="P976">
        <v>7.9000000000000001E-2</v>
      </c>
    </row>
    <row r="977" spans="1:16" hidden="1">
      <c r="A977" t="s">
        <v>98</v>
      </c>
      <c r="B977" t="s">
        <v>267</v>
      </c>
      <c r="C977" t="s">
        <v>1258</v>
      </c>
      <c r="D977">
        <v>8</v>
      </c>
      <c r="E977">
        <v>15000</v>
      </c>
      <c r="F977">
        <v>160</v>
      </c>
      <c r="G977">
        <v>20</v>
      </c>
      <c r="H977" t="s">
        <v>101</v>
      </c>
      <c r="I977" t="s">
        <v>102</v>
      </c>
      <c r="J977" t="s">
        <v>101</v>
      </c>
      <c r="K977" t="s">
        <v>482</v>
      </c>
      <c r="L977" t="s">
        <v>101</v>
      </c>
      <c r="M977" t="s">
        <v>151</v>
      </c>
      <c r="N977">
        <v>0.42</v>
      </c>
      <c r="O977">
        <v>0.248</v>
      </c>
      <c r="P977">
        <v>0.157</v>
      </c>
    </row>
    <row r="978" spans="1:16">
      <c r="A978" t="s">
        <v>98</v>
      </c>
      <c r="B978" t="s">
        <v>275</v>
      </c>
      <c r="C978" t="s">
        <v>1259</v>
      </c>
      <c r="D978">
        <v>16</v>
      </c>
      <c r="E978">
        <v>30000</v>
      </c>
      <c r="F978">
        <v>320</v>
      </c>
      <c r="G978">
        <v>20</v>
      </c>
      <c r="H978" t="s">
        <v>101</v>
      </c>
      <c r="I978" t="s">
        <v>106</v>
      </c>
      <c r="J978" t="s">
        <v>251</v>
      </c>
      <c r="K978" t="s">
        <v>108</v>
      </c>
      <c r="L978" t="s">
        <v>252</v>
      </c>
      <c r="M978" t="s">
        <v>110</v>
      </c>
      <c r="N978">
        <v>0.84</v>
      </c>
      <c r="O978">
        <v>0.497</v>
      </c>
      <c r="P978">
        <v>0.314</v>
      </c>
    </row>
    <row r="979" spans="1:16">
      <c r="A979" t="s">
        <v>98</v>
      </c>
      <c r="B979" t="s">
        <v>437</v>
      </c>
      <c r="C979" t="s">
        <v>1260</v>
      </c>
      <c r="D979">
        <v>8</v>
      </c>
      <c r="E979">
        <v>61000</v>
      </c>
      <c r="F979">
        <v>1440</v>
      </c>
      <c r="G979">
        <v>20</v>
      </c>
      <c r="H979" t="s">
        <v>101</v>
      </c>
      <c r="I979" t="s">
        <v>106</v>
      </c>
      <c r="J979" t="s">
        <v>153</v>
      </c>
      <c r="K979" t="s">
        <v>108</v>
      </c>
      <c r="L979" t="s">
        <v>117</v>
      </c>
      <c r="M979" t="s">
        <v>110</v>
      </c>
      <c r="N979">
        <v>1.7050000000000001</v>
      </c>
      <c r="O979">
        <v>0.71199999999999997</v>
      </c>
      <c r="P979">
        <v>0.42299999999999999</v>
      </c>
    </row>
    <row r="980" spans="1:16">
      <c r="A980" t="s">
        <v>98</v>
      </c>
      <c r="B980" t="s">
        <v>275</v>
      </c>
      <c r="C980" t="s">
        <v>1261</v>
      </c>
      <c r="D980">
        <v>16</v>
      </c>
      <c r="E980">
        <v>30000</v>
      </c>
      <c r="F980">
        <v>320</v>
      </c>
      <c r="G980">
        <v>20</v>
      </c>
      <c r="H980" t="s">
        <v>101</v>
      </c>
      <c r="I980" t="s">
        <v>106</v>
      </c>
      <c r="J980" t="s">
        <v>251</v>
      </c>
      <c r="K980" t="s">
        <v>108</v>
      </c>
      <c r="L980" t="s">
        <v>252</v>
      </c>
      <c r="M980" t="s">
        <v>110</v>
      </c>
      <c r="N980">
        <v>0.84</v>
      </c>
      <c r="O980">
        <v>0.497</v>
      </c>
      <c r="P980">
        <v>0.314</v>
      </c>
    </row>
    <row r="981" spans="1:16">
      <c r="A981" t="s">
        <v>98</v>
      </c>
      <c r="B981" t="s">
        <v>164</v>
      </c>
      <c r="C981" t="s">
        <v>1262</v>
      </c>
      <c r="D981">
        <v>8</v>
      </c>
      <c r="E981">
        <v>30000</v>
      </c>
      <c r="F981">
        <v>160</v>
      </c>
      <c r="G981">
        <v>1820</v>
      </c>
      <c r="H981" t="s">
        <v>101</v>
      </c>
      <c r="I981" t="s">
        <v>106</v>
      </c>
      <c r="J981" t="s">
        <v>153</v>
      </c>
      <c r="K981" t="s">
        <v>108</v>
      </c>
      <c r="L981" t="s">
        <v>117</v>
      </c>
      <c r="M981" t="s">
        <v>110</v>
      </c>
      <c r="N981">
        <v>0.53200000000000003</v>
      </c>
      <c r="O981">
        <v>0.32400000000000001</v>
      </c>
      <c r="P981">
        <v>0.20899999999999999</v>
      </c>
    </row>
    <row r="982" spans="1:16">
      <c r="A982" t="s">
        <v>98</v>
      </c>
      <c r="B982" t="s">
        <v>164</v>
      </c>
      <c r="C982" t="s">
        <v>1263</v>
      </c>
      <c r="D982">
        <v>8</v>
      </c>
      <c r="E982">
        <v>30000</v>
      </c>
      <c r="F982">
        <v>160</v>
      </c>
      <c r="G982">
        <v>820</v>
      </c>
      <c r="H982" t="s">
        <v>101</v>
      </c>
      <c r="I982" t="s">
        <v>106</v>
      </c>
      <c r="J982" t="s">
        <v>153</v>
      </c>
      <c r="K982" t="s">
        <v>108</v>
      </c>
      <c r="L982" t="s">
        <v>117</v>
      </c>
      <c r="M982" t="s">
        <v>110</v>
      </c>
      <c r="N982">
        <v>0.53200000000000003</v>
      </c>
      <c r="O982">
        <v>0.32400000000000001</v>
      </c>
      <c r="P982">
        <v>0.20899999999999999</v>
      </c>
    </row>
    <row r="983" spans="1:16">
      <c r="A983" t="s">
        <v>98</v>
      </c>
      <c r="B983" t="s">
        <v>197</v>
      </c>
      <c r="C983" t="s">
        <v>1264</v>
      </c>
      <c r="D983">
        <v>32</v>
      </c>
      <c r="E983">
        <v>60000</v>
      </c>
      <c r="F983">
        <v>640</v>
      </c>
      <c r="G983">
        <v>20</v>
      </c>
      <c r="H983" t="s">
        <v>101</v>
      </c>
      <c r="I983" t="s">
        <v>106</v>
      </c>
      <c r="J983" t="s">
        <v>251</v>
      </c>
      <c r="K983" t="s">
        <v>108</v>
      </c>
      <c r="L983" t="s">
        <v>252</v>
      </c>
      <c r="M983" t="s">
        <v>110</v>
      </c>
      <c r="N983">
        <v>1.68</v>
      </c>
      <c r="O983">
        <v>0.99199999999999999</v>
      </c>
      <c r="P983">
        <v>0.628</v>
      </c>
    </row>
    <row r="984" spans="1:16">
      <c r="A984" t="s">
        <v>98</v>
      </c>
      <c r="B984" t="s">
        <v>104</v>
      </c>
      <c r="C984" t="s">
        <v>1265</v>
      </c>
      <c r="D984">
        <v>1</v>
      </c>
      <c r="E984">
        <v>1700</v>
      </c>
      <c r="F984">
        <v>160</v>
      </c>
      <c r="G984">
        <v>20</v>
      </c>
      <c r="H984" t="s">
        <v>101</v>
      </c>
      <c r="I984" t="s">
        <v>106</v>
      </c>
      <c r="J984" t="s">
        <v>153</v>
      </c>
      <c r="K984" t="s">
        <v>108</v>
      </c>
      <c r="L984" t="s">
        <v>117</v>
      </c>
      <c r="M984" t="s">
        <v>110</v>
      </c>
      <c r="N984">
        <v>4.3999999999999997E-2</v>
      </c>
      <c r="O984">
        <v>2.4E-2</v>
      </c>
      <c r="P984">
        <v>1.4999999999999999E-2</v>
      </c>
    </row>
    <row r="985" spans="1:16">
      <c r="A985" t="s">
        <v>98</v>
      </c>
      <c r="B985" t="s">
        <v>197</v>
      </c>
      <c r="C985" t="s">
        <v>1266</v>
      </c>
      <c r="D985">
        <v>32</v>
      </c>
      <c r="E985">
        <v>60000</v>
      </c>
      <c r="F985">
        <v>640</v>
      </c>
      <c r="G985">
        <v>20</v>
      </c>
      <c r="H985" t="s">
        <v>101</v>
      </c>
      <c r="I985" t="s">
        <v>106</v>
      </c>
      <c r="J985" t="s">
        <v>251</v>
      </c>
      <c r="K985" t="s">
        <v>108</v>
      </c>
      <c r="L985" t="s">
        <v>252</v>
      </c>
      <c r="M985" t="s">
        <v>110</v>
      </c>
      <c r="N985">
        <v>1.68</v>
      </c>
      <c r="O985">
        <v>0.99199999999999999</v>
      </c>
      <c r="P985">
        <v>0.628</v>
      </c>
    </row>
    <row r="986" spans="1:16">
      <c r="A986" t="s">
        <v>98</v>
      </c>
      <c r="B986" t="s">
        <v>164</v>
      </c>
      <c r="C986" t="s">
        <v>1267</v>
      </c>
      <c r="D986">
        <v>8</v>
      </c>
      <c r="E986">
        <v>30000</v>
      </c>
      <c r="F986">
        <v>160</v>
      </c>
      <c r="G986">
        <v>820</v>
      </c>
      <c r="H986" t="s">
        <v>101</v>
      </c>
      <c r="I986" t="s">
        <v>106</v>
      </c>
      <c r="J986" t="s">
        <v>153</v>
      </c>
      <c r="K986" t="s">
        <v>108</v>
      </c>
      <c r="L986" t="s">
        <v>117</v>
      </c>
      <c r="M986" t="s">
        <v>110</v>
      </c>
      <c r="N986">
        <v>0.53200000000000003</v>
      </c>
      <c r="O986">
        <v>0.32400000000000001</v>
      </c>
      <c r="P986">
        <v>0.20899999999999999</v>
      </c>
    </row>
    <row r="987" spans="1:16" hidden="1">
      <c r="A987" t="s">
        <v>98</v>
      </c>
      <c r="B987" t="s">
        <v>99</v>
      </c>
      <c r="C987" t="s">
        <v>1268</v>
      </c>
      <c r="D987">
        <v>2</v>
      </c>
      <c r="E987">
        <v>3750</v>
      </c>
      <c r="F987">
        <v>32</v>
      </c>
      <c r="G987">
        <v>20</v>
      </c>
      <c r="H987" t="s">
        <v>101</v>
      </c>
      <c r="I987" t="s">
        <v>102</v>
      </c>
      <c r="J987" t="s">
        <v>101</v>
      </c>
      <c r="K987" t="s">
        <v>159</v>
      </c>
      <c r="L987" t="s">
        <v>101</v>
      </c>
      <c r="M987" t="s">
        <v>160</v>
      </c>
      <c r="N987">
        <v>0.105</v>
      </c>
      <c r="O987">
        <v>6.2E-2</v>
      </c>
      <c r="P987">
        <v>3.9E-2</v>
      </c>
    </row>
    <row r="988" spans="1:16">
      <c r="A988" t="s">
        <v>98</v>
      </c>
      <c r="B988" t="s">
        <v>104</v>
      </c>
      <c r="C988" t="s">
        <v>1269</v>
      </c>
      <c r="D988">
        <v>1</v>
      </c>
      <c r="E988">
        <v>1700</v>
      </c>
      <c r="F988">
        <v>160</v>
      </c>
      <c r="G988">
        <v>20</v>
      </c>
      <c r="H988" t="s">
        <v>101</v>
      </c>
      <c r="I988" t="s">
        <v>106</v>
      </c>
      <c r="J988" t="s">
        <v>747</v>
      </c>
      <c r="K988" t="s">
        <v>108</v>
      </c>
      <c r="L988" t="s">
        <v>541</v>
      </c>
      <c r="M988" t="s">
        <v>110</v>
      </c>
      <c r="N988">
        <v>4.3999999999999997E-2</v>
      </c>
      <c r="O988">
        <v>2.4E-2</v>
      </c>
      <c r="P988">
        <v>1.4999999999999999E-2</v>
      </c>
    </row>
    <row r="989" spans="1:16">
      <c r="A989" t="s">
        <v>98</v>
      </c>
      <c r="B989" t="s">
        <v>172</v>
      </c>
      <c r="C989" t="s">
        <v>1270</v>
      </c>
      <c r="D989">
        <v>1</v>
      </c>
      <c r="E989">
        <v>2000</v>
      </c>
      <c r="F989">
        <v>0</v>
      </c>
      <c r="G989">
        <v>20</v>
      </c>
      <c r="H989" t="s">
        <v>101</v>
      </c>
      <c r="I989" t="s">
        <v>106</v>
      </c>
      <c r="J989" t="s">
        <v>498</v>
      </c>
      <c r="K989" t="s">
        <v>108</v>
      </c>
      <c r="L989" t="s">
        <v>222</v>
      </c>
      <c r="M989" t="s">
        <v>110</v>
      </c>
      <c r="N989">
        <v>2.5999999999999999E-2</v>
      </c>
      <c r="O989">
        <v>1.7000000000000001E-2</v>
      </c>
      <c r="P989">
        <v>1.2E-2</v>
      </c>
    </row>
    <row r="990" spans="1:16">
      <c r="A990" t="s">
        <v>98</v>
      </c>
      <c r="B990" t="s">
        <v>172</v>
      </c>
      <c r="C990" t="s">
        <v>1271</v>
      </c>
      <c r="D990">
        <v>1</v>
      </c>
      <c r="E990">
        <v>2000</v>
      </c>
      <c r="F990">
        <v>0</v>
      </c>
      <c r="G990">
        <v>20</v>
      </c>
      <c r="H990" t="s">
        <v>101</v>
      </c>
      <c r="I990" t="s">
        <v>106</v>
      </c>
      <c r="J990" t="s">
        <v>498</v>
      </c>
      <c r="K990" t="s">
        <v>108</v>
      </c>
      <c r="L990" t="s">
        <v>222</v>
      </c>
      <c r="M990" t="s">
        <v>110</v>
      </c>
      <c r="N990">
        <v>2.5999999999999999E-2</v>
      </c>
      <c r="O990">
        <v>1.7000000000000001E-2</v>
      </c>
      <c r="P990">
        <v>1.2E-2</v>
      </c>
    </row>
    <row r="991" spans="1:16">
      <c r="A991" t="s">
        <v>98</v>
      </c>
      <c r="B991" t="s">
        <v>172</v>
      </c>
      <c r="C991" t="s">
        <v>1272</v>
      </c>
      <c r="D991">
        <v>1</v>
      </c>
      <c r="E991">
        <v>2000</v>
      </c>
      <c r="F991">
        <v>0</v>
      </c>
      <c r="G991">
        <v>20</v>
      </c>
      <c r="H991" t="s">
        <v>101</v>
      </c>
      <c r="I991" t="s">
        <v>106</v>
      </c>
      <c r="J991" t="s">
        <v>498</v>
      </c>
      <c r="K991" t="s">
        <v>108</v>
      </c>
      <c r="L991" t="s">
        <v>128</v>
      </c>
      <c r="M991" t="s">
        <v>110</v>
      </c>
      <c r="N991">
        <v>2.5999999999999999E-2</v>
      </c>
      <c r="O991">
        <v>1.7000000000000001E-2</v>
      </c>
      <c r="P991">
        <v>1.2E-2</v>
      </c>
    </row>
    <row r="992" spans="1:16">
      <c r="A992" t="s">
        <v>98</v>
      </c>
      <c r="B992" t="s">
        <v>172</v>
      </c>
      <c r="C992" t="s">
        <v>1273</v>
      </c>
      <c r="D992">
        <v>1</v>
      </c>
      <c r="E992">
        <v>2000</v>
      </c>
      <c r="F992">
        <v>0</v>
      </c>
      <c r="G992">
        <v>20</v>
      </c>
      <c r="H992" t="s">
        <v>101</v>
      </c>
      <c r="I992" t="s">
        <v>106</v>
      </c>
      <c r="J992" t="s">
        <v>498</v>
      </c>
      <c r="K992" t="s">
        <v>108</v>
      </c>
      <c r="L992" t="s">
        <v>128</v>
      </c>
      <c r="M992" t="s">
        <v>110</v>
      </c>
      <c r="N992">
        <v>2.5999999999999999E-2</v>
      </c>
      <c r="O992">
        <v>1.7000000000000001E-2</v>
      </c>
      <c r="P992">
        <v>1.2E-2</v>
      </c>
    </row>
    <row r="993" spans="1:16">
      <c r="A993" t="s">
        <v>98</v>
      </c>
      <c r="B993" t="s">
        <v>104</v>
      </c>
      <c r="C993" t="s">
        <v>1274</v>
      </c>
      <c r="D993">
        <v>1</v>
      </c>
      <c r="E993">
        <v>1700</v>
      </c>
      <c r="F993">
        <v>160</v>
      </c>
      <c r="G993">
        <v>20</v>
      </c>
      <c r="H993" t="s">
        <v>101</v>
      </c>
      <c r="I993" t="s">
        <v>106</v>
      </c>
      <c r="J993" t="s">
        <v>107</v>
      </c>
      <c r="K993" t="s">
        <v>108</v>
      </c>
      <c r="L993" t="s">
        <v>109</v>
      </c>
      <c r="M993" t="s">
        <v>110</v>
      </c>
      <c r="N993">
        <v>4.3999999999999997E-2</v>
      </c>
      <c r="O993">
        <v>2.4E-2</v>
      </c>
      <c r="P993">
        <v>1.4999999999999999E-2</v>
      </c>
    </row>
    <row r="994" spans="1:16" hidden="1">
      <c r="A994" t="s">
        <v>98</v>
      </c>
      <c r="B994" t="s">
        <v>172</v>
      </c>
      <c r="C994" t="s">
        <v>1275</v>
      </c>
      <c r="D994">
        <v>1</v>
      </c>
      <c r="E994">
        <v>2000</v>
      </c>
      <c r="F994">
        <v>0</v>
      </c>
      <c r="G994">
        <v>20</v>
      </c>
      <c r="H994" t="s">
        <v>101</v>
      </c>
      <c r="I994" t="s">
        <v>102</v>
      </c>
      <c r="J994" t="s">
        <v>101</v>
      </c>
      <c r="K994" t="s">
        <v>101</v>
      </c>
      <c r="L994" t="s">
        <v>261</v>
      </c>
      <c r="M994" t="s">
        <v>125</v>
      </c>
      <c r="N994">
        <v>2.5999999999999999E-2</v>
      </c>
      <c r="O994">
        <v>1.7000000000000001E-2</v>
      </c>
      <c r="P994">
        <v>1.2E-2</v>
      </c>
    </row>
    <row r="995" spans="1:16" hidden="1">
      <c r="A995" t="s">
        <v>98</v>
      </c>
      <c r="B995" t="s">
        <v>172</v>
      </c>
      <c r="C995" t="s">
        <v>1276</v>
      </c>
      <c r="D995">
        <v>1</v>
      </c>
      <c r="E995">
        <v>2000</v>
      </c>
      <c r="F995">
        <v>0</v>
      </c>
      <c r="G995">
        <v>20</v>
      </c>
      <c r="H995" t="s">
        <v>101</v>
      </c>
      <c r="I995" t="s">
        <v>102</v>
      </c>
      <c r="J995" t="s">
        <v>101</v>
      </c>
      <c r="K995" t="s">
        <v>101</v>
      </c>
      <c r="L995" t="s">
        <v>261</v>
      </c>
      <c r="M995" t="s">
        <v>125</v>
      </c>
      <c r="N995">
        <v>2.5999999999999999E-2</v>
      </c>
      <c r="O995">
        <v>1.7000000000000001E-2</v>
      </c>
      <c r="P995">
        <v>1.2E-2</v>
      </c>
    </row>
    <row r="996" spans="1:16" hidden="1">
      <c r="A996" t="s">
        <v>98</v>
      </c>
      <c r="B996" t="s">
        <v>172</v>
      </c>
      <c r="C996" t="s">
        <v>1277</v>
      </c>
      <c r="D996">
        <v>1</v>
      </c>
      <c r="E996">
        <v>2000</v>
      </c>
      <c r="F996">
        <v>0</v>
      </c>
      <c r="G996">
        <v>20</v>
      </c>
      <c r="H996" t="s">
        <v>101</v>
      </c>
      <c r="I996" t="s">
        <v>102</v>
      </c>
      <c r="J996" t="s">
        <v>101</v>
      </c>
      <c r="K996" t="s">
        <v>101</v>
      </c>
      <c r="L996" t="s">
        <v>261</v>
      </c>
      <c r="M996" t="s">
        <v>125</v>
      </c>
      <c r="N996">
        <v>2.5999999999999999E-2</v>
      </c>
      <c r="O996">
        <v>1.7000000000000001E-2</v>
      </c>
      <c r="P996">
        <v>1.2E-2</v>
      </c>
    </row>
    <row r="997" spans="1:16" hidden="1">
      <c r="A997" t="s">
        <v>98</v>
      </c>
      <c r="B997" t="s">
        <v>172</v>
      </c>
      <c r="C997" t="s">
        <v>1278</v>
      </c>
      <c r="D997">
        <v>1</v>
      </c>
      <c r="E997">
        <v>2000</v>
      </c>
      <c r="F997">
        <v>0</v>
      </c>
      <c r="G997">
        <v>20</v>
      </c>
      <c r="H997" t="s">
        <v>101</v>
      </c>
      <c r="I997" t="s">
        <v>102</v>
      </c>
      <c r="J997" t="s">
        <v>101</v>
      </c>
      <c r="K997" t="s">
        <v>101</v>
      </c>
      <c r="L997" t="s">
        <v>261</v>
      </c>
      <c r="M997" t="s">
        <v>125</v>
      </c>
      <c r="N997">
        <v>2.5999999999999999E-2</v>
      </c>
      <c r="O997">
        <v>1.7000000000000001E-2</v>
      </c>
      <c r="P997">
        <v>1.2E-2</v>
      </c>
    </row>
    <row r="998" spans="1:16" hidden="1">
      <c r="A998" t="s">
        <v>98</v>
      </c>
      <c r="B998" t="s">
        <v>99</v>
      </c>
      <c r="C998" t="s">
        <v>1279</v>
      </c>
      <c r="D998">
        <v>2</v>
      </c>
      <c r="E998">
        <v>3750</v>
      </c>
      <c r="F998">
        <v>32</v>
      </c>
      <c r="G998">
        <v>20</v>
      </c>
      <c r="H998" t="s">
        <v>101</v>
      </c>
      <c r="I998" t="s">
        <v>102</v>
      </c>
      <c r="J998" t="s">
        <v>101</v>
      </c>
      <c r="K998" t="s">
        <v>612</v>
      </c>
      <c r="L998" t="s">
        <v>124</v>
      </c>
      <c r="M998" t="s">
        <v>118</v>
      </c>
      <c r="N998">
        <v>0.105</v>
      </c>
      <c r="O998">
        <v>6.2E-2</v>
      </c>
      <c r="P998">
        <v>3.9E-2</v>
      </c>
    </row>
    <row r="999" spans="1:16">
      <c r="A999" t="s">
        <v>98</v>
      </c>
      <c r="B999" t="s">
        <v>99</v>
      </c>
      <c r="C999" t="s">
        <v>1280</v>
      </c>
      <c r="D999">
        <v>2</v>
      </c>
      <c r="E999">
        <v>3750</v>
      </c>
      <c r="F999">
        <v>32</v>
      </c>
      <c r="G999">
        <v>20</v>
      </c>
      <c r="H999" t="s">
        <v>101</v>
      </c>
      <c r="I999" t="s">
        <v>106</v>
      </c>
      <c r="J999" t="s">
        <v>180</v>
      </c>
      <c r="K999" t="s">
        <v>108</v>
      </c>
      <c r="L999" t="s">
        <v>124</v>
      </c>
      <c r="M999" t="s">
        <v>110</v>
      </c>
      <c r="N999">
        <v>0.105</v>
      </c>
      <c r="O999">
        <v>6.2E-2</v>
      </c>
      <c r="P999">
        <v>3.9E-2</v>
      </c>
    </row>
    <row r="1000" spans="1:16">
      <c r="A1000" t="s">
        <v>98</v>
      </c>
      <c r="B1000" t="s">
        <v>99</v>
      </c>
      <c r="C1000" t="s">
        <v>1281</v>
      </c>
      <c r="D1000">
        <v>2</v>
      </c>
      <c r="E1000">
        <v>3750</v>
      </c>
      <c r="F1000">
        <v>32</v>
      </c>
      <c r="G1000">
        <v>20</v>
      </c>
      <c r="H1000" t="s">
        <v>101</v>
      </c>
      <c r="I1000" t="s">
        <v>106</v>
      </c>
      <c r="J1000" t="s">
        <v>180</v>
      </c>
      <c r="K1000" t="s">
        <v>108</v>
      </c>
      <c r="L1000" t="s">
        <v>124</v>
      </c>
      <c r="M1000" t="s">
        <v>110</v>
      </c>
      <c r="N1000">
        <v>0.105</v>
      </c>
      <c r="O1000">
        <v>6.2E-2</v>
      </c>
      <c r="P1000">
        <v>3.9E-2</v>
      </c>
    </row>
    <row r="1001" spans="1:16">
      <c r="A1001" t="s">
        <v>98</v>
      </c>
      <c r="B1001" t="s">
        <v>99</v>
      </c>
      <c r="C1001" t="s">
        <v>1282</v>
      </c>
      <c r="D1001">
        <v>2</v>
      </c>
      <c r="E1001">
        <v>3750</v>
      </c>
      <c r="F1001">
        <v>32</v>
      </c>
      <c r="G1001">
        <v>20</v>
      </c>
      <c r="H1001" t="s">
        <v>101</v>
      </c>
      <c r="I1001" t="s">
        <v>106</v>
      </c>
      <c r="J1001" t="s">
        <v>180</v>
      </c>
      <c r="K1001" t="s">
        <v>108</v>
      </c>
      <c r="L1001" t="s">
        <v>124</v>
      </c>
      <c r="M1001" t="s">
        <v>110</v>
      </c>
      <c r="N1001">
        <v>0.105</v>
      </c>
      <c r="O1001">
        <v>6.2E-2</v>
      </c>
      <c r="P1001">
        <v>3.9E-2</v>
      </c>
    </row>
    <row r="1002" spans="1:16">
      <c r="A1002" t="s">
        <v>98</v>
      </c>
      <c r="B1002" t="s">
        <v>104</v>
      </c>
      <c r="C1002" t="s">
        <v>1283</v>
      </c>
      <c r="D1002">
        <v>1</v>
      </c>
      <c r="E1002">
        <v>1700</v>
      </c>
      <c r="F1002">
        <v>160</v>
      </c>
      <c r="G1002">
        <v>20</v>
      </c>
      <c r="H1002" t="s">
        <v>101</v>
      </c>
      <c r="I1002" t="s">
        <v>106</v>
      </c>
      <c r="J1002" t="s">
        <v>191</v>
      </c>
      <c r="K1002" t="s">
        <v>108</v>
      </c>
      <c r="L1002" t="s">
        <v>434</v>
      </c>
      <c r="M1002" t="s">
        <v>110</v>
      </c>
      <c r="N1002">
        <v>4.3999999999999997E-2</v>
      </c>
      <c r="O1002">
        <v>2.4E-2</v>
      </c>
      <c r="P1002">
        <v>1.4999999999999999E-2</v>
      </c>
    </row>
    <row r="1003" spans="1:16">
      <c r="A1003" t="s">
        <v>98</v>
      </c>
      <c r="B1003" t="s">
        <v>172</v>
      </c>
      <c r="C1003" t="s">
        <v>1284</v>
      </c>
      <c r="D1003">
        <v>1</v>
      </c>
      <c r="E1003">
        <v>2000</v>
      </c>
      <c r="F1003">
        <v>0</v>
      </c>
      <c r="G1003">
        <v>20</v>
      </c>
      <c r="H1003" t="s">
        <v>101</v>
      </c>
      <c r="I1003" t="s">
        <v>106</v>
      </c>
      <c r="J1003" t="s">
        <v>752</v>
      </c>
      <c r="K1003" t="s">
        <v>108</v>
      </c>
      <c r="L1003" t="s">
        <v>154</v>
      </c>
      <c r="M1003" t="s">
        <v>110</v>
      </c>
      <c r="N1003">
        <v>2.5999999999999999E-2</v>
      </c>
      <c r="O1003">
        <v>1.7000000000000001E-2</v>
      </c>
      <c r="P1003">
        <v>1.2E-2</v>
      </c>
    </row>
    <row r="1004" spans="1:16">
      <c r="A1004" t="s">
        <v>98</v>
      </c>
      <c r="B1004" t="s">
        <v>104</v>
      </c>
      <c r="C1004" t="s">
        <v>1285</v>
      </c>
      <c r="D1004">
        <v>1</v>
      </c>
      <c r="E1004">
        <v>1700</v>
      </c>
      <c r="F1004">
        <v>160</v>
      </c>
      <c r="G1004">
        <v>20</v>
      </c>
      <c r="H1004" t="s">
        <v>101</v>
      </c>
      <c r="I1004" t="s">
        <v>106</v>
      </c>
      <c r="J1004" t="s">
        <v>344</v>
      </c>
      <c r="K1004" t="s">
        <v>108</v>
      </c>
      <c r="L1004" t="s">
        <v>434</v>
      </c>
      <c r="M1004" t="s">
        <v>110</v>
      </c>
      <c r="N1004">
        <v>4.3999999999999997E-2</v>
      </c>
      <c r="O1004">
        <v>2.4E-2</v>
      </c>
      <c r="P1004">
        <v>1.4999999999999999E-2</v>
      </c>
    </row>
    <row r="1005" spans="1:16">
      <c r="A1005" t="s">
        <v>98</v>
      </c>
      <c r="B1005" t="s">
        <v>172</v>
      </c>
      <c r="C1005" t="s">
        <v>1286</v>
      </c>
      <c r="D1005">
        <v>1</v>
      </c>
      <c r="E1005">
        <v>2000</v>
      </c>
      <c r="F1005">
        <v>0</v>
      </c>
      <c r="G1005">
        <v>20</v>
      </c>
      <c r="H1005" t="s">
        <v>101</v>
      </c>
      <c r="I1005" t="s">
        <v>106</v>
      </c>
      <c r="J1005" t="s">
        <v>214</v>
      </c>
      <c r="K1005" t="s">
        <v>108</v>
      </c>
      <c r="L1005" t="s">
        <v>203</v>
      </c>
      <c r="M1005" t="s">
        <v>110</v>
      </c>
      <c r="N1005">
        <v>2.5999999999999999E-2</v>
      </c>
      <c r="O1005">
        <v>1.7000000000000001E-2</v>
      </c>
      <c r="P1005">
        <v>1.2E-2</v>
      </c>
    </row>
    <row r="1006" spans="1:16">
      <c r="A1006" t="s">
        <v>98</v>
      </c>
      <c r="B1006" t="s">
        <v>172</v>
      </c>
      <c r="C1006" t="s">
        <v>1287</v>
      </c>
      <c r="D1006">
        <v>1</v>
      </c>
      <c r="E1006">
        <v>2000</v>
      </c>
      <c r="F1006">
        <v>0</v>
      </c>
      <c r="G1006">
        <v>20</v>
      </c>
      <c r="H1006" t="s">
        <v>101</v>
      </c>
      <c r="I1006" t="s">
        <v>106</v>
      </c>
      <c r="J1006" t="s">
        <v>214</v>
      </c>
      <c r="K1006" t="s">
        <v>108</v>
      </c>
      <c r="L1006" t="s">
        <v>210</v>
      </c>
      <c r="M1006" t="s">
        <v>110</v>
      </c>
      <c r="N1006">
        <v>2.5999999999999999E-2</v>
      </c>
      <c r="O1006">
        <v>1.7000000000000001E-2</v>
      </c>
      <c r="P1006">
        <v>1.2E-2</v>
      </c>
    </row>
    <row r="1007" spans="1:16">
      <c r="A1007" t="s">
        <v>98</v>
      </c>
      <c r="B1007" t="s">
        <v>135</v>
      </c>
      <c r="C1007" t="s">
        <v>1288</v>
      </c>
      <c r="D1007">
        <v>1</v>
      </c>
      <c r="E1007">
        <v>3750</v>
      </c>
      <c r="F1007">
        <v>4</v>
      </c>
      <c r="G1007">
        <v>20</v>
      </c>
      <c r="H1007" t="s">
        <v>101</v>
      </c>
      <c r="I1007" t="s">
        <v>106</v>
      </c>
      <c r="J1007" t="s">
        <v>752</v>
      </c>
      <c r="K1007" t="s">
        <v>108</v>
      </c>
      <c r="L1007" t="s">
        <v>434</v>
      </c>
      <c r="M1007" t="s">
        <v>110</v>
      </c>
      <c r="N1007">
        <v>6.7000000000000004E-2</v>
      </c>
      <c r="O1007">
        <v>0.04</v>
      </c>
      <c r="P1007">
        <v>2.5999999999999999E-2</v>
      </c>
    </row>
    <row r="1008" spans="1:16">
      <c r="A1008" t="s">
        <v>98</v>
      </c>
      <c r="B1008" t="s">
        <v>104</v>
      </c>
      <c r="C1008" t="s">
        <v>1289</v>
      </c>
      <c r="D1008">
        <v>1</v>
      </c>
      <c r="E1008">
        <v>1700</v>
      </c>
      <c r="F1008">
        <v>160</v>
      </c>
      <c r="G1008">
        <v>20</v>
      </c>
      <c r="H1008" t="s">
        <v>101</v>
      </c>
      <c r="I1008" t="s">
        <v>106</v>
      </c>
      <c r="J1008" t="s">
        <v>107</v>
      </c>
      <c r="K1008" t="s">
        <v>108</v>
      </c>
      <c r="L1008" t="s">
        <v>109</v>
      </c>
      <c r="M1008" t="s">
        <v>110</v>
      </c>
      <c r="N1008">
        <v>4.3999999999999997E-2</v>
      </c>
      <c r="O1008">
        <v>2.4E-2</v>
      </c>
      <c r="P1008">
        <v>1.4999999999999999E-2</v>
      </c>
    </row>
    <row r="1009" spans="1:16">
      <c r="A1009" t="s">
        <v>98</v>
      </c>
      <c r="B1009" t="s">
        <v>104</v>
      </c>
      <c r="C1009" t="s">
        <v>1290</v>
      </c>
      <c r="D1009">
        <v>1</v>
      </c>
      <c r="E1009">
        <v>1700</v>
      </c>
      <c r="F1009">
        <v>160</v>
      </c>
      <c r="G1009">
        <v>20</v>
      </c>
      <c r="H1009" t="s">
        <v>101</v>
      </c>
      <c r="I1009" t="s">
        <v>106</v>
      </c>
      <c r="J1009" t="s">
        <v>107</v>
      </c>
      <c r="K1009" t="s">
        <v>108</v>
      </c>
      <c r="L1009" t="s">
        <v>109</v>
      </c>
      <c r="M1009" t="s">
        <v>110</v>
      </c>
      <c r="N1009">
        <v>4.3999999999999997E-2</v>
      </c>
      <c r="O1009">
        <v>2.4E-2</v>
      </c>
      <c r="P1009">
        <v>1.4999999999999999E-2</v>
      </c>
    </row>
    <row r="1010" spans="1:16">
      <c r="A1010" t="s">
        <v>98</v>
      </c>
      <c r="B1010" t="s">
        <v>104</v>
      </c>
      <c r="C1010" t="s">
        <v>1291</v>
      </c>
      <c r="D1010">
        <v>1</v>
      </c>
      <c r="E1010">
        <v>1700</v>
      </c>
      <c r="F1010">
        <v>160</v>
      </c>
      <c r="G1010">
        <v>20</v>
      </c>
      <c r="H1010" t="s">
        <v>101</v>
      </c>
      <c r="I1010" t="s">
        <v>106</v>
      </c>
      <c r="J1010" t="s">
        <v>112</v>
      </c>
      <c r="K1010" t="s">
        <v>108</v>
      </c>
      <c r="L1010" t="s">
        <v>222</v>
      </c>
      <c r="M1010" t="s">
        <v>110</v>
      </c>
      <c r="N1010">
        <v>4.3999999999999997E-2</v>
      </c>
      <c r="O1010">
        <v>2.4E-2</v>
      </c>
      <c r="P1010">
        <v>1.4999999999999999E-2</v>
      </c>
    </row>
    <row r="1011" spans="1:16">
      <c r="A1011" t="s">
        <v>98</v>
      </c>
      <c r="B1011" t="s">
        <v>172</v>
      </c>
      <c r="C1011" t="s">
        <v>1292</v>
      </c>
      <c r="D1011">
        <v>1</v>
      </c>
      <c r="E1011">
        <v>2000</v>
      </c>
      <c r="F1011">
        <v>0</v>
      </c>
      <c r="G1011">
        <v>20</v>
      </c>
      <c r="H1011" t="s">
        <v>101</v>
      </c>
      <c r="I1011" t="s">
        <v>106</v>
      </c>
      <c r="J1011" t="s">
        <v>214</v>
      </c>
      <c r="K1011" t="s">
        <v>108</v>
      </c>
      <c r="L1011" t="s">
        <v>128</v>
      </c>
      <c r="M1011" t="s">
        <v>110</v>
      </c>
      <c r="N1011">
        <v>2.5999999999999999E-2</v>
      </c>
      <c r="O1011">
        <v>1.7000000000000001E-2</v>
      </c>
      <c r="P1011">
        <v>1.2E-2</v>
      </c>
    </row>
    <row r="1012" spans="1:16">
      <c r="A1012" t="s">
        <v>98</v>
      </c>
      <c r="B1012" t="s">
        <v>172</v>
      </c>
      <c r="C1012" t="s">
        <v>1293</v>
      </c>
      <c r="D1012">
        <v>1</v>
      </c>
      <c r="E1012">
        <v>2000</v>
      </c>
      <c r="F1012">
        <v>0</v>
      </c>
      <c r="G1012">
        <v>20</v>
      </c>
      <c r="H1012" t="s">
        <v>101</v>
      </c>
      <c r="I1012" t="s">
        <v>106</v>
      </c>
      <c r="J1012" t="s">
        <v>214</v>
      </c>
      <c r="K1012" t="s">
        <v>108</v>
      </c>
      <c r="L1012" t="s">
        <v>222</v>
      </c>
      <c r="M1012" t="s">
        <v>110</v>
      </c>
      <c r="N1012">
        <v>2.5999999999999999E-2</v>
      </c>
      <c r="O1012">
        <v>1.7000000000000001E-2</v>
      </c>
      <c r="P1012">
        <v>1.2E-2</v>
      </c>
    </row>
    <row r="1013" spans="1:16">
      <c r="A1013" t="s">
        <v>98</v>
      </c>
      <c r="B1013" t="s">
        <v>104</v>
      </c>
      <c r="C1013" t="s">
        <v>1294</v>
      </c>
      <c r="D1013">
        <v>1</v>
      </c>
      <c r="E1013">
        <v>1700</v>
      </c>
      <c r="F1013">
        <v>160</v>
      </c>
      <c r="G1013">
        <v>20</v>
      </c>
      <c r="H1013" t="s">
        <v>101</v>
      </c>
      <c r="I1013" t="s">
        <v>106</v>
      </c>
      <c r="J1013" t="s">
        <v>112</v>
      </c>
      <c r="K1013" t="s">
        <v>108</v>
      </c>
      <c r="L1013" t="s">
        <v>128</v>
      </c>
      <c r="M1013" t="s">
        <v>110</v>
      </c>
      <c r="N1013">
        <v>4.3999999999999997E-2</v>
      </c>
      <c r="O1013">
        <v>2.4E-2</v>
      </c>
      <c r="P1013">
        <v>1.4999999999999999E-2</v>
      </c>
    </row>
    <row r="1014" spans="1:16">
      <c r="A1014" t="s">
        <v>98</v>
      </c>
      <c r="B1014" t="s">
        <v>114</v>
      </c>
      <c r="C1014" t="s">
        <v>1295</v>
      </c>
      <c r="D1014">
        <v>2</v>
      </c>
      <c r="E1014">
        <v>7500</v>
      </c>
      <c r="F1014">
        <v>32</v>
      </c>
      <c r="G1014">
        <v>420</v>
      </c>
      <c r="H1014" t="s">
        <v>101</v>
      </c>
      <c r="I1014" t="s">
        <v>106</v>
      </c>
      <c r="J1014" t="s">
        <v>130</v>
      </c>
      <c r="K1014" t="s">
        <v>108</v>
      </c>
      <c r="L1014" t="s">
        <v>1009</v>
      </c>
      <c r="M1014" t="s">
        <v>110</v>
      </c>
      <c r="N1014">
        <v>0.13300000000000001</v>
      </c>
      <c r="O1014">
        <v>8.1000000000000003E-2</v>
      </c>
      <c r="P1014">
        <v>5.1999999999999998E-2</v>
      </c>
    </row>
    <row r="1015" spans="1:16">
      <c r="A1015" t="s">
        <v>98</v>
      </c>
      <c r="B1015" t="s">
        <v>114</v>
      </c>
      <c r="C1015" t="s">
        <v>1296</v>
      </c>
      <c r="D1015">
        <v>2</v>
      </c>
      <c r="E1015">
        <v>7500</v>
      </c>
      <c r="F1015">
        <v>32</v>
      </c>
      <c r="G1015">
        <v>420</v>
      </c>
      <c r="H1015" t="s">
        <v>101</v>
      </c>
      <c r="I1015" t="s">
        <v>106</v>
      </c>
      <c r="J1015" t="s">
        <v>130</v>
      </c>
      <c r="K1015" t="s">
        <v>108</v>
      </c>
      <c r="L1015" t="s">
        <v>1009</v>
      </c>
      <c r="M1015" t="s">
        <v>110</v>
      </c>
      <c r="N1015">
        <v>0.13300000000000001</v>
      </c>
      <c r="O1015">
        <v>8.1000000000000003E-2</v>
      </c>
      <c r="P1015">
        <v>5.1999999999999998E-2</v>
      </c>
    </row>
    <row r="1016" spans="1:16">
      <c r="A1016" t="s">
        <v>98</v>
      </c>
      <c r="B1016" t="s">
        <v>114</v>
      </c>
      <c r="C1016" t="s">
        <v>1297</v>
      </c>
      <c r="D1016">
        <v>2</v>
      </c>
      <c r="E1016">
        <v>7500</v>
      </c>
      <c r="F1016">
        <v>32</v>
      </c>
      <c r="G1016">
        <v>820</v>
      </c>
      <c r="H1016" t="s">
        <v>101</v>
      </c>
      <c r="I1016" t="s">
        <v>106</v>
      </c>
      <c r="J1016" t="s">
        <v>130</v>
      </c>
      <c r="K1016" t="s">
        <v>108</v>
      </c>
      <c r="L1016" t="s">
        <v>1009</v>
      </c>
      <c r="M1016" t="s">
        <v>110</v>
      </c>
      <c r="N1016">
        <v>0.13300000000000001</v>
      </c>
      <c r="O1016">
        <v>8.1000000000000003E-2</v>
      </c>
      <c r="P1016">
        <v>5.1999999999999998E-2</v>
      </c>
    </row>
    <row r="1017" spans="1:16">
      <c r="A1017" t="s">
        <v>98</v>
      </c>
      <c r="B1017" t="s">
        <v>172</v>
      </c>
      <c r="C1017" t="s">
        <v>1298</v>
      </c>
      <c r="D1017">
        <v>1</v>
      </c>
      <c r="E1017">
        <v>2000</v>
      </c>
      <c r="F1017">
        <v>0</v>
      </c>
      <c r="G1017">
        <v>20</v>
      </c>
      <c r="H1017" t="s">
        <v>101</v>
      </c>
      <c r="I1017" t="s">
        <v>106</v>
      </c>
      <c r="J1017" t="s">
        <v>214</v>
      </c>
      <c r="K1017" t="s">
        <v>108</v>
      </c>
      <c r="L1017" t="s">
        <v>222</v>
      </c>
      <c r="M1017" t="s">
        <v>110</v>
      </c>
      <c r="N1017">
        <v>2.5999999999999999E-2</v>
      </c>
      <c r="O1017">
        <v>1.7000000000000001E-2</v>
      </c>
      <c r="P1017">
        <v>1.2E-2</v>
      </c>
    </row>
    <row r="1018" spans="1:16">
      <c r="A1018" t="s">
        <v>98</v>
      </c>
      <c r="B1018" t="s">
        <v>172</v>
      </c>
      <c r="C1018" t="s">
        <v>1299</v>
      </c>
      <c r="D1018">
        <v>1</v>
      </c>
      <c r="E1018">
        <v>2000</v>
      </c>
      <c r="F1018">
        <v>0</v>
      </c>
      <c r="G1018">
        <v>20</v>
      </c>
      <c r="H1018" t="s">
        <v>101</v>
      </c>
      <c r="I1018" t="s">
        <v>106</v>
      </c>
      <c r="J1018" t="s">
        <v>214</v>
      </c>
      <c r="K1018" t="s">
        <v>108</v>
      </c>
      <c r="L1018" t="s">
        <v>128</v>
      </c>
      <c r="M1018" t="s">
        <v>110</v>
      </c>
      <c r="N1018">
        <v>2.5999999999999999E-2</v>
      </c>
      <c r="O1018">
        <v>1.7000000000000001E-2</v>
      </c>
      <c r="P1018">
        <v>1.2E-2</v>
      </c>
    </row>
    <row r="1019" spans="1:16" hidden="1">
      <c r="A1019" t="s">
        <v>98</v>
      </c>
      <c r="B1019" t="s">
        <v>172</v>
      </c>
      <c r="C1019" t="s">
        <v>1300</v>
      </c>
      <c r="D1019">
        <v>1</v>
      </c>
      <c r="E1019">
        <v>2000</v>
      </c>
      <c r="F1019">
        <v>0</v>
      </c>
      <c r="G1019">
        <v>20</v>
      </c>
      <c r="H1019" t="s">
        <v>101</v>
      </c>
      <c r="I1019" t="s">
        <v>102</v>
      </c>
      <c r="J1019" t="s">
        <v>101</v>
      </c>
      <c r="K1019" t="s">
        <v>101</v>
      </c>
      <c r="L1019" t="s">
        <v>124</v>
      </c>
      <c r="M1019" t="s">
        <v>125</v>
      </c>
      <c r="N1019">
        <v>2.5999999999999999E-2</v>
      </c>
      <c r="O1019">
        <v>1.7000000000000001E-2</v>
      </c>
      <c r="P1019">
        <v>1.2E-2</v>
      </c>
    </row>
    <row r="1020" spans="1:16" hidden="1">
      <c r="A1020" t="s">
        <v>98</v>
      </c>
      <c r="B1020" t="s">
        <v>172</v>
      </c>
      <c r="C1020" t="s">
        <v>1301</v>
      </c>
      <c r="D1020">
        <v>1</v>
      </c>
      <c r="E1020">
        <v>2000</v>
      </c>
      <c r="F1020">
        <v>0</v>
      </c>
      <c r="G1020">
        <v>20</v>
      </c>
      <c r="H1020" t="s">
        <v>101</v>
      </c>
      <c r="I1020" t="s">
        <v>102</v>
      </c>
      <c r="J1020" t="s">
        <v>101</v>
      </c>
      <c r="K1020" t="s">
        <v>101</v>
      </c>
      <c r="L1020" t="s">
        <v>311</v>
      </c>
      <c r="M1020" t="s">
        <v>125</v>
      </c>
      <c r="N1020">
        <v>2.5999999999999999E-2</v>
      </c>
      <c r="O1020">
        <v>1.7000000000000001E-2</v>
      </c>
      <c r="P1020">
        <v>1.2E-2</v>
      </c>
    </row>
    <row r="1021" spans="1:16">
      <c r="A1021" t="s">
        <v>98</v>
      </c>
      <c r="B1021" t="s">
        <v>104</v>
      </c>
      <c r="C1021" t="s">
        <v>1302</v>
      </c>
      <c r="D1021">
        <v>1</v>
      </c>
      <c r="E1021">
        <v>1700</v>
      </c>
      <c r="F1021">
        <v>160</v>
      </c>
      <c r="G1021">
        <v>20</v>
      </c>
      <c r="H1021" t="s">
        <v>101</v>
      </c>
      <c r="I1021" t="s">
        <v>106</v>
      </c>
      <c r="J1021" t="s">
        <v>297</v>
      </c>
      <c r="K1021" t="s">
        <v>108</v>
      </c>
      <c r="L1021" t="s">
        <v>128</v>
      </c>
      <c r="M1021" t="s">
        <v>110</v>
      </c>
      <c r="N1021">
        <v>4.3999999999999997E-2</v>
      </c>
      <c r="O1021">
        <v>2.4E-2</v>
      </c>
      <c r="P1021">
        <v>1.4999999999999999E-2</v>
      </c>
    </row>
    <row r="1022" spans="1:16">
      <c r="A1022" t="s">
        <v>98</v>
      </c>
      <c r="B1022" t="s">
        <v>104</v>
      </c>
      <c r="C1022" t="s">
        <v>1303</v>
      </c>
      <c r="D1022">
        <v>1</v>
      </c>
      <c r="E1022">
        <v>1700</v>
      </c>
      <c r="F1022">
        <v>160</v>
      </c>
      <c r="G1022">
        <v>20</v>
      </c>
      <c r="H1022" t="s">
        <v>101</v>
      </c>
      <c r="I1022" t="s">
        <v>106</v>
      </c>
      <c r="J1022" t="s">
        <v>297</v>
      </c>
      <c r="K1022" t="s">
        <v>108</v>
      </c>
      <c r="L1022" t="s">
        <v>128</v>
      </c>
      <c r="M1022" t="s">
        <v>110</v>
      </c>
      <c r="N1022">
        <v>4.3999999999999997E-2</v>
      </c>
      <c r="O1022">
        <v>2.4E-2</v>
      </c>
      <c r="P1022">
        <v>1.4999999999999999E-2</v>
      </c>
    </row>
    <row r="1023" spans="1:16">
      <c r="A1023" t="s">
        <v>98</v>
      </c>
      <c r="B1023" t="s">
        <v>172</v>
      </c>
      <c r="C1023" t="s">
        <v>1304</v>
      </c>
      <c r="D1023">
        <v>1</v>
      </c>
      <c r="E1023">
        <v>2000</v>
      </c>
      <c r="F1023">
        <v>0</v>
      </c>
      <c r="G1023">
        <v>20</v>
      </c>
      <c r="H1023" t="s">
        <v>101</v>
      </c>
      <c r="I1023" t="s">
        <v>106</v>
      </c>
      <c r="J1023" t="s">
        <v>214</v>
      </c>
      <c r="K1023" t="s">
        <v>108</v>
      </c>
      <c r="L1023" t="s">
        <v>175</v>
      </c>
      <c r="M1023" t="s">
        <v>110</v>
      </c>
      <c r="N1023">
        <v>2.5999999999999999E-2</v>
      </c>
      <c r="O1023">
        <v>1.7000000000000001E-2</v>
      </c>
      <c r="P1023">
        <v>1.2E-2</v>
      </c>
    </row>
    <row r="1024" spans="1:16">
      <c r="A1024" t="s">
        <v>98</v>
      </c>
      <c r="B1024" t="s">
        <v>172</v>
      </c>
      <c r="C1024" t="s">
        <v>1305</v>
      </c>
      <c r="D1024">
        <v>1</v>
      </c>
      <c r="E1024">
        <v>2000</v>
      </c>
      <c r="F1024">
        <v>0</v>
      </c>
      <c r="G1024">
        <v>20</v>
      </c>
      <c r="H1024" t="s">
        <v>101</v>
      </c>
      <c r="I1024" t="s">
        <v>106</v>
      </c>
      <c r="J1024" t="s">
        <v>214</v>
      </c>
      <c r="K1024" t="s">
        <v>108</v>
      </c>
      <c r="L1024" t="s">
        <v>322</v>
      </c>
      <c r="M1024" t="s">
        <v>110</v>
      </c>
      <c r="N1024">
        <v>2.5999999999999999E-2</v>
      </c>
      <c r="O1024">
        <v>1.7000000000000001E-2</v>
      </c>
      <c r="P1024">
        <v>1.2E-2</v>
      </c>
    </row>
    <row r="1025" spans="1:16">
      <c r="A1025" t="s">
        <v>98</v>
      </c>
      <c r="B1025" t="s">
        <v>99</v>
      </c>
      <c r="C1025" t="s">
        <v>1306</v>
      </c>
      <c r="D1025">
        <v>2</v>
      </c>
      <c r="E1025">
        <v>3750</v>
      </c>
      <c r="F1025">
        <v>32</v>
      </c>
      <c r="G1025">
        <v>20</v>
      </c>
      <c r="H1025" t="s">
        <v>101</v>
      </c>
      <c r="I1025" t="s">
        <v>106</v>
      </c>
      <c r="J1025" t="s">
        <v>214</v>
      </c>
      <c r="K1025" t="s">
        <v>108</v>
      </c>
      <c r="L1025" t="s">
        <v>192</v>
      </c>
      <c r="M1025" t="s">
        <v>110</v>
      </c>
      <c r="N1025">
        <v>0.105</v>
      </c>
      <c r="O1025">
        <v>6.2E-2</v>
      </c>
      <c r="P1025">
        <v>3.9E-2</v>
      </c>
    </row>
    <row r="1026" spans="1:16">
      <c r="A1026" t="s">
        <v>98</v>
      </c>
      <c r="B1026" t="s">
        <v>172</v>
      </c>
      <c r="C1026" t="s">
        <v>1307</v>
      </c>
      <c r="D1026">
        <v>1</v>
      </c>
      <c r="E1026">
        <v>2000</v>
      </c>
      <c r="F1026">
        <v>0</v>
      </c>
      <c r="G1026">
        <v>20</v>
      </c>
      <c r="H1026" t="s">
        <v>101</v>
      </c>
      <c r="I1026" t="s">
        <v>106</v>
      </c>
      <c r="J1026" t="s">
        <v>214</v>
      </c>
      <c r="K1026" t="s">
        <v>108</v>
      </c>
      <c r="L1026" t="s">
        <v>242</v>
      </c>
      <c r="M1026" t="s">
        <v>110</v>
      </c>
      <c r="N1026">
        <v>2.5999999999999999E-2</v>
      </c>
      <c r="O1026">
        <v>1.7000000000000001E-2</v>
      </c>
      <c r="P1026">
        <v>1.2E-2</v>
      </c>
    </row>
    <row r="1027" spans="1:16">
      <c r="A1027" t="s">
        <v>98</v>
      </c>
      <c r="B1027" t="s">
        <v>172</v>
      </c>
      <c r="C1027" t="s">
        <v>1308</v>
      </c>
      <c r="D1027">
        <v>1</v>
      </c>
      <c r="E1027">
        <v>2000</v>
      </c>
      <c r="F1027">
        <v>0</v>
      </c>
      <c r="G1027">
        <v>20</v>
      </c>
      <c r="H1027" t="s">
        <v>101</v>
      </c>
      <c r="I1027" t="s">
        <v>106</v>
      </c>
      <c r="J1027" t="s">
        <v>214</v>
      </c>
      <c r="K1027" t="s">
        <v>108</v>
      </c>
      <c r="L1027" t="s">
        <v>121</v>
      </c>
      <c r="M1027" t="s">
        <v>110</v>
      </c>
      <c r="N1027">
        <v>2.5999999999999999E-2</v>
      </c>
      <c r="O1027">
        <v>1.7000000000000001E-2</v>
      </c>
      <c r="P1027">
        <v>1.2E-2</v>
      </c>
    </row>
    <row r="1028" spans="1:16">
      <c r="A1028" t="s">
        <v>98</v>
      </c>
      <c r="B1028" t="s">
        <v>172</v>
      </c>
      <c r="C1028" t="s">
        <v>1309</v>
      </c>
      <c r="D1028">
        <v>1</v>
      </c>
      <c r="E1028">
        <v>2000</v>
      </c>
      <c r="F1028">
        <v>0</v>
      </c>
      <c r="G1028">
        <v>20</v>
      </c>
      <c r="H1028" t="s">
        <v>101</v>
      </c>
      <c r="I1028" t="s">
        <v>106</v>
      </c>
      <c r="J1028" t="s">
        <v>214</v>
      </c>
      <c r="K1028" t="s">
        <v>108</v>
      </c>
      <c r="L1028" t="s">
        <v>828</v>
      </c>
      <c r="M1028" t="s">
        <v>110</v>
      </c>
      <c r="N1028">
        <v>2.5999999999999999E-2</v>
      </c>
      <c r="O1028">
        <v>1.7000000000000001E-2</v>
      </c>
      <c r="P1028">
        <v>1.2E-2</v>
      </c>
    </row>
    <row r="1029" spans="1:16">
      <c r="A1029" t="s">
        <v>98</v>
      </c>
      <c r="B1029" t="s">
        <v>172</v>
      </c>
      <c r="C1029" t="s">
        <v>1310</v>
      </c>
      <c r="D1029">
        <v>1</v>
      </c>
      <c r="E1029">
        <v>2000</v>
      </c>
      <c r="F1029">
        <v>0</v>
      </c>
      <c r="G1029">
        <v>20</v>
      </c>
      <c r="H1029" t="s">
        <v>101</v>
      </c>
      <c r="I1029" t="s">
        <v>106</v>
      </c>
      <c r="J1029" t="s">
        <v>214</v>
      </c>
      <c r="K1029" t="s">
        <v>108</v>
      </c>
      <c r="L1029" t="s">
        <v>203</v>
      </c>
      <c r="M1029" t="s">
        <v>110</v>
      </c>
      <c r="N1029">
        <v>2.5999999999999999E-2</v>
      </c>
      <c r="O1029">
        <v>1.7000000000000001E-2</v>
      </c>
      <c r="P1029">
        <v>1.2E-2</v>
      </c>
    </row>
    <row r="1030" spans="1:16">
      <c r="A1030" t="s">
        <v>98</v>
      </c>
      <c r="B1030" t="s">
        <v>172</v>
      </c>
      <c r="C1030" t="s">
        <v>1311</v>
      </c>
      <c r="D1030">
        <v>1</v>
      </c>
      <c r="E1030">
        <v>2000</v>
      </c>
      <c r="F1030">
        <v>0</v>
      </c>
      <c r="G1030">
        <v>20</v>
      </c>
      <c r="H1030" t="s">
        <v>101</v>
      </c>
      <c r="I1030" t="s">
        <v>106</v>
      </c>
      <c r="J1030" t="s">
        <v>752</v>
      </c>
      <c r="K1030" t="s">
        <v>108</v>
      </c>
      <c r="L1030" t="s">
        <v>154</v>
      </c>
      <c r="M1030" t="s">
        <v>110</v>
      </c>
      <c r="N1030">
        <v>2.5999999999999999E-2</v>
      </c>
      <c r="O1030">
        <v>1.7000000000000001E-2</v>
      </c>
      <c r="P1030">
        <v>1.2E-2</v>
      </c>
    </row>
    <row r="1031" spans="1:16">
      <c r="A1031" t="s">
        <v>98</v>
      </c>
      <c r="B1031" t="s">
        <v>172</v>
      </c>
      <c r="C1031" t="s">
        <v>1312</v>
      </c>
      <c r="D1031">
        <v>1</v>
      </c>
      <c r="E1031">
        <v>2000</v>
      </c>
      <c r="F1031">
        <v>0</v>
      </c>
      <c r="G1031">
        <v>20</v>
      </c>
      <c r="H1031" t="s">
        <v>101</v>
      </c>
      <c r="I1031" t="s">
        <v>106</v>
      </c>
      <c r="J1031" t="s">
        <v>214</v>
      </c>
      <c r="K1031" t="s">
        <v>108</v>
      </c>
      <c r="L1031" t="s">
        <v>175</v>
      </c>
      <c r="M1031" t="s">
        <v>110</v>
      </c>
      <c r="N1031">
        <v>2.5999999999999999E-2</v>
      </c>
      <c r="O1031">
        <v>1.7000000000000001E-2</v>
      </c>
      <c r="P1031">
        <v>1.2E-2</v>
      </c>
    </row>
    <row r="1032" spans="1:16" hidden="1">
      <c r="A1032" t="s">
        <v>98</v>
      </c>
      <c r="B1032" t="s">
        <v>172</v>
      </c>
      <c r="C1032" t="s">
        <v>1313</v>
      </c>
      <c r="D1032">
        <v>1</v>
      </c>
      <c r="E1032">
        <v>2000</v>
      </c>
      <c r="F1032">
        <v>0</v>
      </c>
      <c r="G1032">
        <v>20</v>
      </c>
      <c r="H1032" t="s">
        <v>101</v>
      </c>
      <c r="I1032" t="s">
        <v>102</v>
      </c>
      <c r="J1032" t="s">
        <v>101</v>
      </c>
      <c r="K1032" t="s">
        <v>101</v>
      </c>
      <c r="L1032" t="s">
        <v>124</v>
      </c>
      <c r="M1032" t="s">
        <v>125</v>
      </c>
      <c r="N1032">
        <v>2.5999999999999999E-2</v>
      </c>
      <c r="O1032">
        <v>1.7000000000000001E-2</v>
      </c>
      <c r="P1032">
        <v>1.2E-2</v>
      </c>
    </row>
    <row r="1033" spans="1:16">
      <c r="A1033" t="s">
        <v>98</v>
      </c>
      <c r="B1033" t="s">
        <v>172</v>
      </c>
      <c r="C1033" t="s">
        <v>1314</v>
      </c>
      <c r="D1033">
        <v>1</v>
      </c>
      <c r="E1033">
        <v>2000</v>
      </c>
      <c r="F1033">
        <v>0</v>
      </c>
      <c r="G1033">
        <v>20</v>
      </c>
      <c r="H1033" t="s">
        <v>101</v>
      </c>
      <c r="I1033" t="s">
        <v>106</v>
      </c>
      <c r="J1033" t="s">
        <v>214</v>
      </c>
      <c r="K1033" t="s">
        <v>108</v>
      </c>
      <c r="L1033" t="s">
        <v>222</v>
      </c>
      <c r="M1033" t="s">
        <v>110</v>
      </c>
      <c r="N1033">
        <v>2.5999999999999999E-2</v>
      </c>
      <c r="O1033">
        <v>1.7000000000000001E-2</v>
      </c>
      <c r="P1033">
        <v>1.2E-2</v>
      </c>
    </row>
    <row r="1034" spans="1:16" hidden="1">
      <c r="A1034" t="s">
        <v>98</v>
      </c>
      <c r="B1034" t="s">
        <v>114</v>
      </c>
      <c r="C1034" t="s">
        <v>1315</v>
      </c>
      <c r="D1034">
        <v>2</v>
      </c>
      <c r="E1034">
        <v>7500</v>
      </c>
      <c r="F1034">
        <v>32</v>
      </c>
      <c r="G1034">
        <v>420</v>
      </c>
      <c r="H1034" t="s">
        <v>101</v>
      </c>
      <c r="I1034" t="s">
        <v>102</v>
      </c>
      <c r="J1034" t="s">
        <v>101</v>
      </c>
      <c r="K1034" t="s">
        <v>101</v>
      </c>
      <c r="L1034" t="s">
        <v>117</v>
      </c>
      <c r="M1034" t="s">
        <v>103</v>
      </c>
      <c r="N1034">
        <v>0.13300000000000001</v>
      </c>
      <c r="O1034">
        <v>8.1000000000000003E-2</v>
      </c>
      <c r="P1034">
        <v>5.1999999999999998E-2</v>
      </c>
    </row>
    <row r="1035" spans="1:16" hidden="1">
      <c r="A1035" t="s">
        <v>98</v>
      </c>
      <c r="B1035" t="s">
        <v>172</v>
      </c>
      <c r="C1035" t="s">
        <v>1316</v>
      </c>
      <c r="D1035">
        <v>1</v>
      </c>
      <c r="E1035">
        <v>2000</v>
      </c>
      <c r="F1035">
        <v>0</v>
      </c>
      <c r="G1035">
        <v>20</v>
      </c>
      <c r="H1035" t="s">
        <v>101</v>
      </c>
      <c r="I1035" t="s">
        <v>102</v>
      </c>
      <c r="J1035" t="s">
        <v>101</v>
      </c>
      <c r="K1035" t="s">
        <v>101</v>
      </c>
      <c r="L1035" t="s">
        <v>117</v>
      </c>
      <c r="M1035" t="s">
        <v>103</v>
      </c>
      <c r="N1035">
        <v>2.5999999999999999E-2</v>
      </c>
      <c r="O1035">
        <v>1.7000000000000001E-2</v>
      </c>
      <c r="P1035">
        <v>1.2E-2</v>
      </c>
    </row>
    <row r="1036" spans="1:16" hidden="1">
      <c r="A1036" t="s">
        <v>98</v>
      </c>
      <c r="B1036" t="s">
        <v>267</v>
      </c>
      <c r="C1036" t="s">
        <v>1317</v>
      </c>
      <c r="D1036">
        <v>8</v>
      </c>
      <c r="E1036">
        <v>15000</v>
      </c>
      <c r="F1036">
        <v>160</v>
      </c>
      <c r="G1036">
        <v>20</v>
      </c>
      <c r="H1036" t="s">
        <v>101</v>
      </c>
      <c r="I1036" t="s">
        <v>102</v>
      </c>
      <c r="J1036" t="s">
        <v>101</v>
      </c>
      <c r="K1036" t="s">
        <v>101</v>
      </c>
      <c r="L1036" t="s">
        <v>101</v>
      </c>
      <c r="M1036" t="s">
        <v>103</v>
      </c>
      <c r="N1036">
        <v>0.42</v>
      </c>
      <c r="O1036">
        <v>0.248</v>
      </c>
      <c r="P1036">
        <v>0.157</v>
      </c>
    </row>
    <row r="1037" spans="1:16" hidden="1">
      <c r="A1037" t="s">
        <v>98</v>
      </c>
      <c r="B1037" t="s">
        <v>267</v>
      </c>
      <c r="C1037" t="s">
        <v>1318</v>
      </c>
      <c r="D1037">
        <v>8</v>
      </c>
      <c r="E1037">
        <v>15000</v>
      </c>
      <c r="F1037">
        <v>160</v>
      </c>
      <c r="G1037">
        <v>20</v>
      </c>
      <c r="H1037" t="s">
        <v>101</v>
      </c>
      <c r="I1037" t="s">
        <v>102</v>
      </c>
      <c r="J1037" t="s">
        <v>101</v>
      </c>
      <c r="K1037" t="s">
        <v>217</v>
      </c>
      <c r="L1037" t="s">
        <v>101</v>
      </c>
      <c r="M1037" t="s">
        <v>103</v>
      </c>
      <c r="N1037">
        <v>0.42</v>
      </c>
      <c r="O1037">
        <v>0.248</v>
      </c>
      <c r="P1037">
        <v>0.157</v>
      </c>
    </row>
    <row r="1038" spans="1:16" hidden="1">
      <c r="A1038" t="s">
        <v>98</v>
      </c>
      <c r="B1038" t="s">
        <v>267</v>
      </c>
      <c r="C1038" t="s">
        <v>1319</v>
      </c>
      <c r="D1038">
        <v>8</v>
      </c>
      <c r="E1038">
        <v>15000</v>
      </c>
      <c r="F1038">
        <v>160</v>
      </c>
      <c r="G1038">
        <v>20</v>
      </c>
      <c r="H1038" t="s">
        <v>101</v>
      </c>
      <c r="I1038" t="s">
        <v>102</v>
      </c>
      <c r="J1038" t="s">
        <v>101</v>
      </c>
      <c r="K1038" t="s">
        <v>217</v>
      </c>
      <c r="L1038" t="s">
        <v>101</v>
      </c>
      <c r="M1038" t="s">
        <v>103</v>
      </c>
      <c r="N1038">
        <v>0.42</v>
      </c>
      <c r="O1038">
        <v>0.248</v>
      </c>
      <c r="P1038">
        <v>0.157</v>
      </c>
    </row>
    <row r="1039" spans="1:16" hidden="1">
      <c r="A1039" t="s">
        <v>98</v>
      </c>
      <c r="B1039" t="s">
        <v>114</v>
      </c>
      <c r="C1039" t="s">
        <v>1320</v>
      </c>
      <c r="D1039">
        <v>2</v>
      </c>
      <c r="E1039">
        <v>7500</v>
      </c>
      <c r="F1039">
        <v>32</v>
      </c>
      <c r="G1039">
        <v>420</v>
      </c>
      <c r="H1039" t="s">
        <v>101</v>
      </c>
      <c r="I1039" t="s">
        <v>102</v>
      </c>
      <c r="J1039" t="s">
        <v>101</v>
      </c>
      <c r="K1039" t="s">
        <v>101</v>
      </c>
      <c r="L1039" t="s">
        <v>117</v>
      </c>
      <c r="M1039" t="s">
        <v>103</v>
      </c>
      <c r="N1039">
        <v>0.13300000000000001</v>
      </c>
      <c r="O1039">
        <v>8.1000000000000003E-2</v>
      </c>
      <c r="P1039">
        <v>5.1999999999999998E-2</v>
      </c>
    </row>
    <row r="1040" spans="1:16" hidden="1">
      <c r="A1040" t="s">
        <v>98</v>
      </c>
      <c r="B1040" t="s">
        <v>114</v>
      </c>
      <c r="C1040" t="s">
        <v>1321</v>
      </c>
      <c r="D1040">
        <v>2</v>
      </c>
      <c r="E1040">
        <v>7500</v>
      </c>
      <c r="F1040">
        <v>32</v>
      </c>
      <c r="G1040">
        <v>420</v>
      </c>
      <c r="H1040" t="s">
        <v>101</v>
      </c>
      <c r="I1040" t="s">
        <v>102</v>
      </c>
      <c r="J1040" t="s">
        <v>101</v>
      </c>
      <c r="K1040" t="s">
        <v>101</v>
      </c>
      <c r="L1040" t="s">
        <v>117</v>
      </c>
      <c r="M1040" t="s">
        <v>103</v>
      </c>
      <c r="N1040">
        <v>0.13300000000000001</v>
      </c>
      <c r="O1040">
        <v>8.1000000000000003E-2</v>
      </c>
      <c r="P1040">
        <v>5.1999999999999998E-2</v>
      </c>
    </row>
    <row r="1041" spans="1:16" hidden="1">
      <c r="A1041" t="s">
        <v>98</v>
      </c>
      <c r="B1041" t="s">
        <v>114</v>
      </c>
      <c r="C1041" t="s">
        <v>1322</v>
      </c>
      <c r="D1041">
        <v>2</v>
      </c>
      <c r="E1041">
        <v>7500</v>
      </c>
      <c r="F1041">
        <v>32</v>
      </c>
      <c r="G1041">
        <v>820</v>
      </c>
      <c r="H1041" t="s">
        <v>101</v>
      </c>
      <c r="I1041" t="s">
        <v>102</v>
      </c>
      <c r="J1041" t="s">
        <v>101</v>
      </c>
      <c r="K1041" t="s">
        <v>101</v>
      </c>
      <c r="L1041" t="s">
        <v>117</v>
      </c>
      <c r="M1041" t="s">
        <v>103</v>
      </c>
      <c r="N1041">
        <v>0.13300000000000001</v>
      </c>
      <c r="O1041">
        <v>8.1000000000000003E-2</v>
      </c>
      <c r="P1041">
        <v>5.1999999999999998E-2</v>
      </c>
    </row>
    <row r="1042" spans="1:16" hidden="1">
      <c r="A1042" t="s">
        <v>98</v>
      </c>
      <c r="B1042" t="s">
        <v>267</v>
      </c>
      <c r="C1042" t="s">
        <v>1323</v>
      </c>
      <c r="D1042">
        <v>8</v>
      </c>
      <c r="E1042">
        <v>15000</v>
      </c>
      <c r="F1042">
        <v>160</v>
      </c>
      <c r="G1042">
        <v>20</v>
      </c>
      <c r="H1042" t="s">
        <v>101</v>
      </c>
      <c r="I1042" t="s">
        <v>102</v>
      </c>
      <c r="J1042" t="s">
        <v>101</v>
      </c>
      <c r="K1042" t="s">
        <v>217</v>
      </c>
      <c r="L1042" t="s">
        <v>101</v>
      </c>
      <c r="M1042" t="s">
        <v>103</v>
      </c>
      <c r="N1042">
        <v>0.42</v>
      </c>
      <c r="O1042">
        <v>0.248</v>
      </c>
      <c r="P1042">
        <v>0.157</v>
      </c>
    </row>
    <row r="1043" spans="1:16" hidden="1">
      <c r="A1043" t="s">
        <v>98</v>
      </c>
      <c r="B1043" t="s">
        <v>99</v>
      </c>
      <c r="C1043" t="s">
        <v>1324</v>
      </c>
      <c r="D1043">
        <v>2</v>
      </c>
      <c r="E1043">
        <v>3750</v>
      </c>
      <c r="F1043">
        <v>32</v>
      </c>
      <c r="G1043">
        <v>20</v>
      </c>
      <c r="H1043" t="s">
        <v>101</v>
      </c>
      <c r="I1043" t="s">
        <v>102</v>
      </c>
      <c r="J1043" t="s">
        <v>101</v>
      </c>
      <c r="K1043" t="s">
        <v>754</v>
      </c>
      <c r="L1043" t="s">
        <v>101</v>
      </c>
      <c r="M1043" t="s">
        <v>103</v>
      </c>
      <c r="N1043">
        <v>0.105</v>
      </c>
      <c r="O1043">
        <v>6.2E-2</v>
      </c>
      <c r="P1043">
        <v>3.9E-2</v>
      </c>
    </row>
    <row r="1044" spans="1:16">
      <c r="A1044" t="s">
        <v>98</v>
      </c>
      <c r="B1044" t="s">
        <v>148</v>
      </c>
      <c r="C1044" t="s">
        <v>1325</v>
      </c>
      <c r="D1044">
        <v>2</v>
      </c>
      <c r="E1044">
        <v>4000</v>
      </c>
      <c r="F1044">
        <v>0</v>
      </c>
      <c r="G1044">
        <v>20</v>
      </c>
      <c r="H1044" t="s">
        <v>101</v>
      </c>
      <c r="I1044" t="s">
        <v>106</v>
      </c>
      <c r="J1044" t="s">
        <v>1047</v>
      </c>
      <c r="K1044" t="s">
        <v>108</v>
      </c>
      <c r="L1044" t="s">
        <v>121</v>
      </c>
      <c r="M1044" t="s">
        <v>110</v>
      </c>
      <c r="N1044">
        <v>5.1999999999999998E-2</v>
      </c>
      <c r="O1044">
        <v>3.4000000000000002E-2</v>
      </c>
      <c r="P1044">
        <v>2.3E-2</v>
      </c>
    </row>
    <row r="1045" spans="1:16">
      <c r="A1045" t="s">
        <v>98</v>
      </c>
      <c r="B1045" t="s">
        <v>104</v>
      </c>
      <c r="C1045" t="s">
        <v>1326</v>
      </c>
      <c r="D1045">
        <v>1</v>
      </c>
      <c r="E1045">
        <v>1700</v>
      </c>
      <c r="F1045">
        <v>160</v>
      </c>
      <c r="G1045">
        <v>20</v>
      </c>
      <c r="H1045" t="s">
        <v>101</v>
      </c>
      <c r="I1045" t="s">
        <v>106</v>
      </c>
      <c r="J1045" t="s">
        <v>107</v>
      </c>
      <c r="K1045" t="s">
        <v>108</v>
      </c>
      <c r="L1045" t="s">
        <v>109</v>
      </c>
      <c r="M1045" t="s">
        <v>110</v>
      </c>
      <c r="N1045">
        <v>4.3999999999999997E-2</v>
      </c>
      <c r="O1045">
        <v>2.4E-2</v>
      </c>
      <c r="P1045">
        <v>1.4999999999999999E-2</v>
      </c>
    </row>
    <row r="1046" spans="1:16">
      <c r="A1046" t="s">
        <v>98</v>
      </c>
      <c r="B1046" t="s">
        <v>172</v>
      </c>
      <c r="C1046" t="s">
        <v>1327</v>
      </c>
      <c r="D1046">
        <v>1</v>
      </c>
      <c r="E1046">
        <v>2000</v>
      </c>
      <c r="F1046">
        <v>0</v>
      </c>
      <c r="G1046">
        <v>20</v>
      </c>
      <c r="H1046" t="s">
        <v>101</v>
      </c>
      <c r="I1046" t="s">
        <v>106</v>
      </c>
      <c r="J1046" t="s">
        <v>174</v>
      </c>
      <c r="K1046" t="s">
        <v>108</v>
      </c>
      <c r="L1046" t="s">
        <v>222</v>
      </c>
      <c r="M1046" t="s">
        <v>110</v>
      </c>
      <c r="N1046">
        <v>2.5999999999999999E-2</v>
      </c>
      <c r="O1046">
        <v>1.7000000000000001E-2</v>
      </c>
      <c r="P1046">
        <v>1.2E-2</v>
      </c>
    </row>
    <row r="1047" spans="1:16">
      <c r="A1047" t="s">
        <v>98</v>
      </c>
      <c r="B1047" t="s">
        <v>172</v>
      </c>
      <c r="C1047" t="s">
        <v>1328</v>
      </c>
      <c r="D1047">
        <v>1</v>
      </c>
      <c r="E1047">
        <v>2000</v>
      </c>
      <c r="F1047">
        <v>0</v>
      </c>
      <c r="G1047">
        <v>20</v>
      </c>
      <c r="H1047" t="s">
        <v>101</v>
      </c>
      <c r="I1047" t="s">
        <v>106</v>
      </c>
      <c r="J1047" t="s">
        <v>107</v>
      </c>
      <c r="K1047" t="s">
        <v>108</v>
      </c>
      <c r="L1047" t="s">
        <v>109</v>
      </c>
      <c r="M1047" t="s">
        <v>110</v>
      </c>
      <c r="N1047">
        <v>2.5999999999999999E-2</v>
      </c>
      <c r="O1047">
        <v>1.7000000000000001E-2</v>
      </c>
      <c r="P1047">
        <v>1.2E-2</v>
      </c>
    </row>
    <row r="1048" spans="1:16" hidden="1">
      <c r="A1048" t="s">
        <v>98</v>
      </c>
      <c r="B1048" t="s">
        <v>148</v>
      </c>
      <c r="C1048" t="s">
        <v>1329</v>
      </c>
      <c r="D1048">
        <v>2</v>
      </c>
      <c r="E1048">
        <v>4000</v>
      </c>
      <c r="F1048">
        <v>0</v>
      </c>
      <c r="G1048">
        <v>20</v>
      </c>
      <c r="H1048" t="s">
        <v>101</v>
      </c>
      <c r="I1048" t="s">
        <v>102</v>
      </c>
      <c r="J1048" t="s">
        <v>101</v>
      </c>
      <c r="K1048" t="s">
        <v>101</v>
      </c>
      <c r="L1048" t="s">
        <v>117</v>
      </c>
      <c r="M1048" t="s">
        <v>138</v>
      </c>
      <c r="N1048">
        <v>5.1999999999999998E-2</v>
      </c>
      <c r="O1048">
        <v>3.4000000000000002E-2</v>
      </c>
      <c r="P1048">
        <v>2.3E-2</v>
      </c>
    </row>
    <row r="1049" spans="1:16" hidden="1">
      <c r="A1049" t="s">
        <v>98</v>
      </c>
      <c r="B1049" t="s">
        <v>114</v>
      </c>
      <c r="C1049" t="s">
        <v>1330</v>
      </c>
      <c r="D1049">
        <v>2</v>
      </c>
      <c r="E1049">
        <v>7500</v>
      </c>
      <c r="F1049">
        <v>32</v>
      </c>
      <c r="G1049">
        <v>420</v>
      </c>
      <c r="H1049" t="s">
        <v>101</v>
      </c>
      <c r="I1049" t="s">
        <v>102</v>
      </c>
      <c r="J1049" t="s">
        <v>101</v>
      </c>
      <c r="K1049" t="s">
        <v>101</v>
      </c>
      <c r="L1049" t="s">
        <v>117</v>
      </c>
      <c r="M1049" t="s">
        <v>138</v>
      </c>
      <c r="N1049">
        <v>0.13300000000000001</v>
      </c>
      <c r="O1049">
        <v>8.1000000000000003E-2</v>
      </c>
      <c r="P1049">
        <v>5.1999999999999998E-2</v>
      </c>
    </row>
    <row r="1050" spans="1:16" hidden="1">
      <c r="A1050" t="s">
        <v>98</v>
      </c>
      <c r="B1050" t="s">
        <v>114</v>
      </c>
      <c r="C1050" t="s">
        <v>1331</v>
      </c>
      <c r="D1050">
        <v>2</v>
      </c>
      <c r="E1050">
        <v>7500</v>
      </c>
      <c r="F1050">
        <v>32</v>
      </c>
      <c r="G1050">
        <v>420</v>
      </c>
      <c r="H1050" t="s">
        <v>101</v>
      </c>
      <c r="I1050" t="s">
        <v>102</v>
      </c>
      <c r="J1050" t="s">
        <v>101</v>
      </c>
      <c r="K1050" t="s">
        <v>101</v>
      </c>
      <c r="L1050" t="s">
        <v>117</v>
      </c>
      <c r="M1050" t="s">
        <v>138</v>
      </c>
      <c r="N1050">
        <v>0.13300000000000001</v>
      </c>
      <c r="O1050">
        <v>8.1000000000000003E-2</v>
      </c>
      <c r="P1050">
        <v>5.1999999999999998E-2</v>
      </c>
    </row>
    <row r="1051" spans="1:16" hidden="1">
      <c r="A1051" t="s">
        <v>98</v>
      </c>
      <c r="B1051" t="s">
        <v>114</v>
      </c>
      <c r="C1051" t="s">
        <v>1332</v>
      </c>
      <c r="D1051">
        <v>2</v>
      </c>
      <c r="E1051">
        <v>7500</v>
      </c>
      <c r="F1051">
        <v>32</v>
      </c>
      <c r="G1051">
        <v>420</v>
      </c>
      <c r="H1051" t="s">
        <v>101</v>
      </c>
      <c r="I1051" t="s">
        <v>102</v>
      </c>
      <c r="J1051" t="s">
        <v>101</v>
      </c>
      <c r="K1051" t="s">
        <v>101</v>
      </c>
      <c r="L1051" t="s">
        <v>117</v>
      </c>
      <c r="M1051" t="s">
        <v>138</v>
      </c>
      <c r="N1051">
        <v>0.13300000000000001</v>
      </c>
      <c r="O1051">
        <v>8.1000000000000003E-2</v>
      </c>
      <c r="P1051">
        <v>5.1999999999999998E-2</v>
      </c>
    </row>
    <row r="1052" spans="1:16" hidden="1">
      <c r="A1052" t="s">
        <v>98</v>
      </c>
      <c r="B1052" t="s">
        <v>114</v>
      </c>
      <c r="C1052" t="s">
        <v>1333</v>
      </c>
      <c r="D1052">
        <v>2</v>
      </c>
      <c r="E1052">
        <v>7500</v>
      </c>
      <c r="F1052">
        <v>32</v>
      </c>
      <c r="G1052">
        <v>1420</v>
      </c>
      <c r="H1052" t="s">
        <v>101</v>
      </c>
      <c r="I1052" t="s">
        <v>102</v>
      </c>
      <c r="J1052" t="s">
        <v>101</v>
      </c>
      <c r="K1052" t="s">
        <v>101</v>
      </c>
      <c r="L1052" t="s">
        <v>117</v>
      </c>
      <c r="M1052" t="s">
        <v>138</v>
      </c>
      <c r="N1052">
        <v>0.13300000000000001</v>
      </c>
      <c r="O1052">
        <v>8.1000000000000003E-2</v>
      </c>
      <c r="P1052">
        <v>5.1999999999999998E-2</v>
      </c>
    </row>
    <row r="1053" spans="1:16" hidden="1">
      <c r="A1053" t="s">
        <v>98</v>
      </c>
      <c r="B1053" t="s">
        <v>114</v>
      </c>
      <c r="C1053" t="s">
        <v>1334</v>
      </c>
      <c r="D1053">
        <v>2</v>
      </c>
      <c r="E1053">
        <v>7500</v>
      </c>
      <c r="F1053">
        <v>32</v>
      </c>
      <c r="G1053">
        <v>20</v>
      </c>
      <c r="H1053" t="s">
        <v>101</v>
      </c>
      <c r="I1053" t="s">
        <v>102</v>
      </c>
      <c r="J1053" t="s">
        <v>101</v>
      </c>
      <c r="K1053" t="s">
        <v>101</v>
      </c>
      <c r="L1053" t="s">
        <v>124</v>
      </c>
      <c r="M1053" t="s">
        <v>138</v>
      </c>
      <c r="N1053">
        <v>0.13300000000000001</v>
      </c>
      <c r="O1053">
        <v>8.1000000000000003E-2</v>
      </c>
      <c r="P1053">
        <v>5.1999999999999998E-2</v>
      </c>
    </row>
    <row r="1054" spans="1:16" hidden="1">
      <c r="A1054" t="s">
        <v>98</v>
      </c>
      <c r="B1054" t="s">
        <v>114</v>
      </c>
      <c r="C1054" t="s">
        <v>1335</v>
      </c>
      <c r="D1054">
        <v>2</v>
      </c>
      <c r="E1054">
        <v>7500</v>
      </c>
      <c r="F1054">
        <v>32</v>
      </c>
      <c r="G1054">
        <v>20</v>
      </c>
      <c r="H1054" t="s">
        <v>101</v>
      </c>
      <c r="I1054" t="s">
        <v>102</v>
      </c>
      <c r="J1054" t="s">
        <v>101</v>
      </c>
      <c r="K1054" t="s">
        <v>101</v>
      </c>
      <c r="L1054" t="s">
        <v>124</v>
      </c>
      <c r="M1054" t="s">
        <v>138</v>
      </c>
      <c r="N1054">
        <v>0.13300000000000001</v>
      </c>
      <c r="O1054">
        <v>8.1000000000000003E-2</v>
      </c>
      <c r="P1054">
        <v>5.1999999999999998E-2</v>
      </c>
    </row>
    <row r="1055" spans="1:16" hidden="1">
      <c r="A1055" t="s">
        <v>98</v>
      </c>
      <c r="B1055" t="s">
        <v>114</v>
      </c>
      <c r="C1055" t="s">
        <v>1336</v>
      </c>
      <c r="D1055">
        <v>2</v>
      </c>
      <c r="E1055">
        <v>7500</v>
      </c>
      <c r="F1055">
        <v>32</v>
      </c>
      <c r="G1055">
        <v>20</v>
      </c>
      <c r="H1055" t="s">
        <v>101</v>
      </c>
      <c r="I1055" t="s">
        <v>102</v>
      </c>
      <c r="J1055" t="s">
        <v>101</v>
      </c>
      <c r="K1055" t="s">
        <v>101</v>
      </c>
      <c r="L1055" t="s">
        <v>101</v>
      </c>
      <c r="M1055" t="s">
        <v>138</v>
      </c>
      <c r="N1055">
        <v>0.13300000000000001</v>
      </c>
      <c r="O1055">
        <v>8.1000000000000003E-2</v>
      </c>
      <c r="P1055">
        <v>5.1999999999999998E-2</v>
      </c>
    </row>
    <row r="1056" spans="1:16" hidden="1">
      <c r="A1056" t="s">
        <v>98</v>
      </c>
      <c r="B1056" t="s">
        <v>114</v>
      </c>
      <c r="C1056" t="s">
        <v>1337</v>
      </c>
      <c r="D1056">
        <v>2</v>
      </c>
      <c r="E1056">
        <v>7500</v>
      </c>
      <c r="F1056">
        <v>32</v>
      </c>
      <c r="G1056">
        <v>20</v>
      </c>
      <c r="H1056" t="s">
        <v>101</v>
      </c>
      <c r="I1056" t="s">
        <v>102</v>
      </c>
      <c r="J1056" t="s">
        <v>101</v>
      </c>
      <c r="K1056" t="s">
        <v>101</v>
      </c>
      <c r="L1056" t="s">
        <v>101</v>
      </c>
      <c r="M1056" t="s">
        <v>138</v>
      </c>
      <c r="N1056">
        <v>0.13300000000000001</v>
      </c>
      <c r="O1056">
        <v>8.1000000000000003E-2</v>
      </c>
      <c r="P1056">
        <v>5.1999999999999998E-2</v>
      </c>
    </row>
    <row r="1057" spans="1:16" hidden="1">
      <c r="A1057" t="s">
        <v>98</v>
      </c>
      <c r="B1057" t="s">
        <v>114</v>
      </c>
      <c r="C1057" t="s">
        <v>1338</v>
      </c>
      <c r="D1057">
        <v>2</v>
      </c>
      <c r="E1057">
        <v>7500</v>
      </c>
      <c r="F1057">
        <v>32</v>
      </c>
      <c r="G1057">
        <v>20</v>
      </c>
      <c r="H1057" t="s">
        <v>101</v>
      </c>
      <c r="I1057" t="s">
        <v>102</v>
      </c>
      <c r="J1057" t="s">
        <v>101</v>
      </c>
      <c r="K1057" t="s">
        <v>101</v>
      </c>
      <c r="L1057" t="s">
        <v>124</v>
      </c>
      <c r="M1057" t="s">
        <v>138</v>
      </c>
      <c r="N1057">
        <v>0.13300000000000001</v>
      </c>
      <c r="O1057">
        <v>8.1000000000000003E-2</v>
      </c>
      <c r="P1057">
        <v>5.1999999999999998E-2</v>
      </c>
    </row>
    <row r="1058" spans="1:16">
      <c r="A1058" t="s">
        <v>98</v>
      </c>
      <c r="B1058" t="s">
        <v>172</v>
      </c>
      <c r="C1058" t="s">
        <v>1339</v>
      </c>
      <c r="D1058">
        <v>1</v>
      </c>
      <c r="E1058">
        <v>2000</v>
      </c>
      <c r="F1058">
        <v>0</v>
      </c>
      <c r="G1058">
        <v>20</v>
      </c>
      <c r="H1058" t="s">
        <v>101</v>
      </c>
      <c r="I1058" t="s">
        <v>106</v>
      </c>
      <c r="J1058" t="s">
        <v>120</v>
      </c>
      <c r="K1058" t="s">
        <v>108</v>
      </c>
      <c r="L1058" t="s">
        <v>121</v>
      </c>
      <c r="M1058" t="s">
        <v>110</v>
      </c>
      <c r="N1058">
        <v>2.5999999999999999E-2</v>
      </c>
      <c r="O1058">
        <v>1.7000000000000001E-2</v>
      </c>
      <c r="P1058">
        <v>1.2E-2</v>
      </c>
    </row>
    <row r="1059" spans="1:16">
      <c r="A1059" t="s">
        <v>98</v>
      </c>
      <c r="B1059" t="s">
        <v>172</v>
      </c>
      <c r="C1059" t="s">
        <v>1340</v>
      </c>
      <c r="D1059">
        <v>1</v>
      </c>
      <c r="E1059">
        <v>2000</v>
      </c>
      <c r="F1059">
        <v>0</v>
      </c>
      <c r="G1059">
        <v>20</v>
      </c>
      <c r="H1059" t="s">
        <v>101</v>
      </c>
      <c r="I1059" t="s">
        <v>106</v>
      </c>
      <c r="J1059" t="s">
        <v>120</v>
      </c>
      <c r="K1059" t="s">
        <v>108</v>
      </c>
      <c r="L1059" t="s">
        <v>121</v>
      </c>
      <c r="M1059" t="s">
        <v>110</v>
      </c>
      <c r="N1059">
        <v>2.5999999999999999E-2</v>
      </c>
      <c r="O1059">
        <v>1.7000000000000001E-2</v>
      </c>
      <c r="P1059">
        <v>1.2E-2</v>
      </c>
    </row>
    <row r="1060" spans="1:16">
      <c r="A1060" t="s">
        <v>98</v>
      </c>
      <c r="B1060" t="s">
        <v>172</v>
      </c>
      <c r="C1060" t="s">
        <v>1341</v>
      </c>
      <c r="D1060">
        <v>1</v>
      </c>
      <c r="E1060">
        <v>2000</v>
      </c>
      <c r="F1060">
        <v>0</v>
      </c>
      <c r="G1060">
        <v>20</v>
      </c>
      <c r="H1060" t="s">
        <v>101</v>
      </c>
      <c r="I1060" t="s">
        <v>106</v>
      </c>
      <c r="J1060" t="s">
        <v>120</v>
      </c>
      <c r="K1060" t="s">
        <v>108</v>
      </c>
      <c r="L1060" t="s">
        <v>541</v>
      </c>
      <c r="M1060" t="s">
        <v>110</v>
      </c>
      <c r="N1060">
        <v>2.5999999999999999E-2</v>
      </c>
      <c r="O1060">
        <v>1.7000000000000001E-2</v>
      </c>
      <c r="P1060">
        <v>1.2E-2</v>
      </c>
    </row>
    <row r="1061" spans="1:16">
      <c r="A1061" t="s">
        <v>98</v>
      </c>
      <c r="B1061" t="s">
        <v>172</v>
      </c>
      <c r="C1061" t="s">
        <v>1342</v>
      </c>
      <c r="D1061">
        <v>1</v>
      </c>
      <c r="E1061">
        <v>2000</v>
      </c>
      <c r="F1061">
        <v>0</v>
      </c>
      <c r="G1061">
        <v>20</v>
      </c>
      <c r="H1061" t="s">
        <v>101</v>
      </c>
      <c r="I1061" t="s">
        <v>106</v>
      </c>
      <c r="J1061" t="s">
        <v>120</v>
      </c>
      <c r="K1061" t="s">
        <v>108</v>
      </c>
      <c r="L1061" t="s">
        <v>541</v>
      </c>
      <c r="M1061" t="s">
        <v>110</v>
      </c>
      <c r="N1061">
        <v>2.5999999999999999E-2</v>
      </c>
      <c r="O1061">
        <v>1.7000000000000001E-2</v>
      </c>
      <c r="P1061">
        <v>1.2E-2</v>
      </c>
    </row>
    <row r="1062" spans="1:16">
      <c r="A1062" t="s">
        <v>98</v>
      </c>
      <c r="B1062" t="s">
        <v>104</v>
      </c>
      <c r="C1062" t="s">
        <v>1343</v>
      </c>
      <c r="D1062">
        <v>1</v>
      </c>
      <c r="E1062">
        <v>1700</v>
      </c>
      <c r="F1062">
        <v>160</v>
      </c>
      <c r="G1062">
        <v>20</v>
      </c>
      <c r="H1062" t="s">
        <v>101</v>
      </c>
      <c r="I1062" t="s">
        <v>106</v>
      </c>
      <c r="J1062" t="s">
        <v>498</v>
      </c>
      <c r="K1062" t="s">
        <v>108</v>
      </c>
      <c r="L1062" t="s">
        <v>210</v>
      </c>
      <c r="M1062" t="s">
        <v>110</v>
      </c>
      <c r="N1062">
        <v>4.3999999999999997E-2</v>
      </c>
      <c r="O1062">
        <v>2.4E-2</v>
      </c>
      <c r="P1062">
        <v>1.4999999999999999E-2</v>
      </c>
    </row>
    <row r="1063" spans="1:16" hidden="1">
      <c r="A1063" t="s">
        <v>98</v>
      </c>
      <c r="B1063" t="s">
        <v>99</v>
      </c>
      <c r="C1063" t="s">
        <v>1344</v>
      </c>
      <c r="D1063">
        <v>2</v>
      </c>
      <c r="E1063">
        <v>3750</v>
      </c>
      <c r="F1063">
        <v>32</v>
      </c>
      <c r="G1063">
        <v>20</v>
      </c>
      <c r="H1063" t="s">
        <v>101</v>
      </c>
      <c r="I1063" t="s">
        <v>102</v>
      </c>
      <c r="J1063" t="s">
        <v>101</v>
      </c>
      <c r="K1063" t="s">
        <v>101</v>
      </c>
      <c r="L1063" t="s">
        <v>124</v>
      </c>
      <c r="M1063" t="s">
        <v>138</v>
      </c>
      <c r="N1063">
        <v>0.105</v>
      </c>
      <c r="O1063">
        <v>6.2E-2</v>
      </c>
      <c r="P1063">
        <v>3.9E-2</v>
      </c>
    </row>
    <row r="1064" spans="1:16" hidden="1">
      <c r="A1064" t="s">
        <v>98</v>
      </c>
      <c r="B1064" t="s">
        <v>114</v>
      </c>
      <c r="C1064" t="s">
        <v>1345</v>
      </c>
      <c r="D1064">
        <v>2</v>
      </c>
      <c r="E1064">
        <v>7500</v>
      </c>
      <c r="F1064">
        <v>32</v>
      </c>
      <c r="G1064">
        <v>420</v>
      </c>
      <c r="H1064" t="s">
        <v>101</v>
      </c>
      <c r="I1064" t="s">
        <v>102</v>
      </c>
      <c r="J1064" t="s">
        <v>101</v>
      </c>
      <c r="K1064" t="s">
        <v>101</v>
      </c>
      <c r="L1064" t="s">
        <v>117</v>
      </c>
      <c r="M1064" t="s">
        <v>138</v>
      </c>
      <c r="N1064">
        <v>0.13300000000000001</v>
      </c>
      <c r="O1064">
        <v>8.1000000000000003E-2</v>
      </c>
      <c r="P1064">
        <v>5.1999999999999998E-2</v>
      </c>
    </row>
    <row r="1065" spans="1:16" hidden="1">
      <c r="A1065" t="s">
        <v>98</v>
      </c>
      <c r="B1065" t="s">
        <v>99</v>
      </c>
      <c r="C1065" t="s">
        <v>1346</v>
      </c>
      <c r="D1065">
        <v>2</v>
      </c>
      <c r="E1065">
        <v>3750</v>
      </c>
      <c r="F1065">
        <v>32</v>
      </c>
      <c r="G1065">
        <v>20</v>
      </c>
      <c r="H1065" t="s">
        <v>101</v>
      </c>
      <c r="I1065" t="s">
        <v>102</v>
      </c>
      <c r="J1065" t="s">
        <v>101</v>
      </c>
      <c r="K1065" t="s">
        <v>101</v>
      </c>
      <c r="L1065" t="s">
        <v>124</v>
      </c>
      <c r="M1065" t="s">
        <v>138</v>
      </c>
      <c r="N1065">
        <v>0.105</v>
      </c>
      <c r="O1065">
        <v>6.2E-2</v>
      </c>
      <c r="P1065">
        <v>3.9E-2</v>
      </c>
    </row>
    <row r="1066" spans="1:16" hidden="1">
      <c r="A1066" t="s">
        <v>98</v>
      </c>
      <c r="B1066" t="s">
        <v>99</v>
      </c>
      <c r="C1066" t="s">
        <v>1347</v>
      </c>
      <c r="D1066">
        <v>2</v>
      </c>
      <c r="E1066">
        <v>3750</v>
      </c>
      <c r="F1066">
        <v>32</v>
      </c>
      <c r="G1066">
        <v>20</v>
      </c>
      <c r="H1066" t="s">
        <v>101</v>
      </c>
      <c r="I1066" t="s">
        <v>102</v>
      </c>
      <c r="J1066" t="s">
        <v>101</v>
      </c>
      <c r="K1066" t="s">
        <v>101</v>
      </c>
      <c r="L1066" t="s">
        <v>124</v>
      </c>
      <c r="M1066" t="s">
        <v>138</v>
      </c>
      <c r="N1066">
        <v>0.105</v>
      </c>
      <c r="O1066">
        <v>6.2E-2</v>
      </c>
      <c r="P1066">
        <v>3.9E-2</v>
      </c>
    </row>
    <row r="1067" spans="1:16" hidden="1">
      <c r="A1067" t="s">
        <v>98</v>
      </c>
      <c r="B1067" t="s">
        <v>114</v>
      </c>
      <c r="C1067" t="s">
        <v>1348</v>
      </c>
      <c r="D1067">
        <v>2</v>
      </c>
      <c r="E1067">
        <v>7500</v>
      </c>
      <c r="F1067">
        <v>32</v>
      </c>
      <c r="G1067">
        <v>820</v>
      </c>
      <c r="H1067" t="s">
        <v>101</v>
      </c>
      <c r="I1067" t="s">
        <v>102</v>
      </c>
      <c r="J1067" t="s">
        <v>101</v>
      </c>
      <c r="K1067" t="s">
        <v>101</v>
      </c>
      <c r="L1067" t="s">
        <v>117</v>
      </c>
      <c r="M1067" t="s">
        <v>138</v>
      </c>
      <c r="N1067">
        <v>0.13300000000000001</v>
      </c>
      <c r="O1067">
        <v>8.1000000000000003E-2</v>
      </c>
      <c r="P1067">
        <v>5.1999999999999998E-2</v>
      </c>
    </row>
    <row r="1068" spans="1:16" hidden="1">
      <c r="A1068" t="s">
        <v>98</v>
      </c>
      <c r="B1068" t="s">
        <v>114</v>
      </c>
      <c r="C1068" t="s">
        <v>1349</v>
      </c>
      <c r="D1068">
        <v>2</v>
      </c>
      <c r="E1068">
        <v>7500</v>
      </c>
      <c r="F1068">
        <v>32</v>
      </c>
      <c r="G1068">
        <v>420</v>
      </c>
      <c r="H1068" t="s">
        <v>101</v>
      </c>
      <c r="I1068" t="s">
        <v>102</v>
      </c>
      <c r="J1068" t="s">
        <v>101</v>
      </c>
      <c r="K1068" t="s">
        <v>101</v>
      </c>
      <c r="L1068" t="s">
        <v>117</v>
      </c>
      <c r="M1068" t="s">
        <v>138</v>
      </c>
      <c r="N1068">
        <v>0.13300000000000001</v>
      </c>
      <c r="O1068">
        <v>8.1000000000000003E-2</v>
      </c>
      <c r="P1068">
        <v>5.1999999999999998E-2</v>
      </c>
    </row>
    <row r="1069" spans="1:16" hidden="1">
      <c r="A1069" t="s">
        <v>98</v>
      </c>
      <c r="B1069" t="s">
        <v>148</v>
      </c>
      <c r="C1069" t="s">
        <v>1350</v>
      </c>
      <c r="D1069">
        <v>2</v>
      </c>
      <c r="E1069">
        <v>4000</v>
      </c>
      <c r="F1069">
        <v>0</v>
      </c>
      <c r="G1069">
        <v>20</v>
      </c>
      <c r="H1069" t="s">
        <v>101</v>
      </c>
      <c r="I1069" t="s">
        <v>102</v>
      </c>
      <c r="J1069" t="s">
        <v>101</v>
      </c>
      <c r="K1069" t="s">
        <v>101</v>
      </c>
      <c r="L1069" t="s">
        <v>117</v>
      </c>
      <c r="M1069" t="s">
        <v>138</v>
      </c>
      <c r="N1069">
        <v>5.1999999999999998E-2</v>
      </c>
      <c r="O1069">
        <v>3.4000000000000002E-2</v>
      </c>
      <c r="P1069">
        <v>2.3E-2</v>
      </c>
    </row>
    <row r="1070" spans="1:16" hidden="1">
      <c r="A1070" t="s">
        <v>98</v>
      </c>
      <c r="B1070" t="s">
        <v>114</v>
      </c>
      <c r="C1070" t="s">
        <v>1351</v>
      </c>
      <c r="D1070">
        <v>2</v>
      </c>
      <c r="E1070">
        <v>7500</v>
      </c>
      <c r="F1070">
        <v>32</v>
      </c>
      <c r="G1070">
        <v>420</v>
      </c>
      <c r="H1070" t="s">
        <v>101</v>
      </c>
      <c r="I1070" t="s">
        <v>102</v>
      </c>
      <c r="J1070" t="s">
        <v>101</v>
      </c>
      <c r="K1070" t="s">
        <v>101</v>
      </c>
      <c r="L1070" t="s">
        <v>117</v>
      </c>
      <c r="M1070" t="s">
        <v>138</v>
      </c>
      <c r="N1070">
        <v>0.13300000000000001</v>
      </c>
      <c r="O1070">
        <v>8.1000000000000003E-2</v>
      </c>
      <c r="P1070">
        <v>5.1999999999999998E-2</v>
      </c>
    </row>
    <row r="1071" spans="1:16" hidden="1">
      <c r="A1071" t="s">
        <v>98</v>
      </c>
      <c r="B1071" t="s">
        <v>99</v>
      </c>
      <c r="C1071" t="s">
        <v>1352</v>
      </c>
      <c r="D1071">
        <v>2</v>
      </c>
      <c r="E1071">
        <v>3750</v>
      </c>
      <c r="F1071">
        <v>32</v>
      </c>
      <c r="G1071">
        <v>20</v>
      </c>
      <c r="H1071" t="s">
        <v>101</v>
      </c>
      <c r="I1071" t="s">
        <v>102</v>
      </c>
      <c r="J1071" t="s">
        <v>101</v>
      </c>
      <c r="K1071" t="s">
        <v>101</v>
      </c>
      <c r="L1071" t="s">
        <v>101</v>
      </c>
      <c r="M1071" t="s">
        <v>138</v>
      </c>
      <c r="N1071">
        <v>0.105</v>
      </c>
      <c r="O1071">
        <v>6.2E-2</v>
      </c>
      <c r="P1071">
        <v>3.9E-2</v>
      </c>
    </row>
    <row r="1072" spans="1:16" hidden="1">
      <c r="A1072" t="s">
        <v>98</v>
      </c>
      <c r="B1072" t="s">
        <v>99</v>
      </c>
      <c r="C1072" t="s">
        <v>1353</v>
      </c>
      <c r="D1072">
        <v>2</v>
      </c>
      <c r="E1072">
        <v>3750</v>
      </c>
      <c r="F1072">
        <v>32</v>
      </c>
      <c r="G1072">
        <v>20</v>
      </c>
      <c r="H1072" t="s">
        <v>101</v>
      </c>
      <c r="I1072" t="s">
        <v>102</v>
      </c>
      <c r="J1072" t="s">
        <v>101</v>
      </c>
      <c r="K1072" t="s">
        <v>101</v>
      </c>
      <c r="L1072" t="s">
        <v>101</v>
      </c>
      <c r="M1072" t="s">
        <v>138</v>
      </c>
      <c r="N1072">
        <v>0.105</v>
      </c>
      <c r="O1072">
        <v>6.2E-2</v>
      </c>
      <c r="P1072">
        <v>3.9E-2</v>
      </c>
    </row>
    <row r="1073" spans="1:16" hidden="1">
      <c r="A1073" t="s">
        <v>98</v>
      </c>
      <c r="B1073" t="s">
        <v>99</v>
      </c>
      <c r="C1073" t="s">
        <v>1354</v>
      </c>
      <c r="D1073">
        <v>2</v>
      </c>
      <c r="E1073">
        <v>3750</v>
      </c>
      <c r="F1073">
        <v>32</v>
      </c>
      <c r="G1073">
        <v>20</v>
      </c>
      <c r="H1073" t="s">
        <v>101</v>
      </c>
      <c r="I1073" t="s">
        <v>102</v>
      </c>
      <c r="J1073" t="s">
        <v>101</v>
      </c>
      <c r="K1073" t="s">
        <v>754</v>
      </c>
      <c r="L1073" t="s">
        <v>101</v>
      </c>
      <c r="M1073" t="s">
        <v>103</v>
      </c>
      <c r="N1073">
        <v>0.105</v>
      </c>
      <c r="O1073">
        <v>6.2E-2</v>
      </c>
      <c r="P1073">
        <v>3.9E-2</v>
      </c>
    </row>
    <row r="1074" spans="1:16">
      <c r="A1074" t="s">
        <v>98</v>
      </c>
      <c r="B1074" t="s">
        <v>172</v>
      </c>
      <c r="C1074" t="s">
        <v>1355</v>
      </c>
      <c r="D1074">
        <v>1</v>
      </c>
      <c r="E1074">
        <v>2000</v>
      </c>
      <c r="F1074">
        <v>0</v>
      </c>
      <c r="G1074">
        <v>20</v>
      </c>
      <c r="H1074" t="s">
        <v>101</v>
      </c>
      <c r="I1074" t="s">
        <v>106</v>
      </c>
      <c r="J1074" t="s">
        <v>661</v>
      </c>
      <c r="K1074" t="s">
        <v>108</v>
      </c>
      <c r="L1074" t="s">
        <v>222</v>
      </c>
      <c r="M1074" t="s">
        <v>110</v>
      </c>
      <c r="N1074">
        <v>2.5999999999999999E-2</v>
      </c>
      <c r="O1074">
        <v>1.7000000000000001E-2</v>
      </c>
      <c r="P1074">
        <v>1.2E-2</v>
      </c>
    </row>
    <row r="1075" spans="1:16">
      <c r="A1075" t="s">
        <v>98</v>
      </c>
      <c r="B1075" t="s">
        <v>172</v>
      </c>
      <c r="C1075" t="s">
        <v>1356</v>
      </c>
      <c r="D1075">
        <v>1</v>
      </c>
      <c r="E1075">
        <v>2000</v>
      </c>
      <c r="F1075">
        <v>0</v>
      </c>
      <c r="G1075">
        <v>20</v>
      </c>
      <c r="H1075" t="s">
        <v>101</v>
      </c>
      <c r="I1075" t="s">
        <v>106</v>
      </c>
      <c r="J1075" t="s">
        <v>752</v>
      </c>
      <c r="K1075" t="s">
        <v>108</v>
      </c>
      <c r="L1075" t="s">
        <v>154</v>
      </c>
      <c r="M1075" t="s">
        <v>110</v>
      </c>
      <c r="N1075">
        <v>2.5999999999999999E-2</v>
      </c>
      <c r="O1075">
        <v>1.7000000000000001E-2</v>
      </c>
      <c r="P1075">
        <v>1.2E-2</v>
      </c>
    </row>
    <row r="1076" spans="1:16" hidden="1">
      <c r="A1076" t="s">
        <v>98</v>
      </c>
      <c r="B1076" t="s">
        <v>172</v>
      </c>
      <c r="C1076" t="s">
        <v>1357</v>
      </c>
      <c r="D1076">
        <v>1</v>
      </c>
      <c r="E1076">
        <v>2000</v>
      </c>
      <c r="F1076">
        <v>0</v>
      </c>
      <c r="G1076">
        <v>20</v>
      </c>
      <c r="H1076" t="s">
        <v>101</v>
      </c>
      <c r="I1076" t="s">
        <v>102</v>
      </c>
      <c r="J1076" t="s">
        <v>101</v>
      </c>
      <c r="K1076" t="s">
        <v>101</v>
      </c>
      <c r="L1076" t="s">
        <v>124</v>
      </c>
      <c r="M1076" t="s">
        <v>125</v>
      </c>
      <c r="N1076">
        <v>2.5999999999999999E-2</v>
      </c>
      <c r="O1076">
        <v>1.7000000000000001E-2</v>
      </c>
      <c r="P1076">
        <v>1.2E-2</v>
      </c>
    </row>
    <row r="1077" spans="1:16">
      <c r="A1077" t="s">
        <v>98</v>
      </c>
      <c r="B1077" t="s">
        <v>157</v>
      </c>
      <c r="C1077" t="s">
        <v>1358</v>
      </c>
      <c r="D1077">
        <v>1</v>
      </c>
      <c r="E1077">
        <v>3750</v>
      </c>
      <c r="F1077">
        <v>410</v>
      </c>
      <c r="G1077">
        <v>20</v>
      </c>
      <c r="H1077" t="s">
        <v>101</v>
      </c>
      <c r="I1077" t="s">
        <v>106</v>
      </c>
      <c r="J1077" t="s">
        <v>386</v>
      </c>
      <c r="K1077" t="s">
        <v>108</v>
      </c>
      <c r="L1077" t="s">
        <v>782</v>
      </c>
      <c r="M1077" t="s">
        <v>110</v>
      </c>
      <c r="N1077">
        <v>8.6999999999999994E-2</v>
      </c>
      <c r="O1077">
        <v>4.7E-2</v>
      </c>
      <c r="P1077">
        <v>2.9000000000000001E-2</v>
      </c>
    </row>
    <row r="1078" spans="1:16" hidden="1">
      <c r="A1078" t="s">
        <v>98</v>
      </c>
      <c r="B1078" t="s">
        <v>99</v>
      </c>
      <c r="C1078" t="s">
        <v>1359</v>
      </c>
      <c r="D1078">
        <v>2</v>
      </c>
      <c r="E1078">
        <v>3750</v>
      </c>
      <c r="F1078">
        <v>32</v>
      </c>
      <c r="G1078">
        <v>20</v>
      </c>
      <c r="H1078" t="s">
        <v>101</v>
      </c>
      <c r="I1078" t="s">
        <v>102</v>
      </c>
      <c r="J1078" t="s">
        <v>101</v>
      </c>
      <c r="K1078" t="s">
        <v>101</v>
      </c>
      <c r="L1078" t="s">
        <v>101</v>
      </c>
      <c r="M1078" t="s">
        <v>406</v>
      </c>
      <c r="N1078">
        <v>0.105</v>
      </c>
      <c r="O1078">
        <v>6.2E-2</v>
      </c>
      <c r="P1078">
        <v>3.9E-2</v>
      </c>
    </row>
    <row r="1079" spans="1:16" hidden="1">
      <c r="A1079" t="s">
        <v>98</v>
      </c>
      <c r="B1079" t="s">
        <v>99</v>
      </c>
      <c r="C1079" t="s">
        <v>1360</v>
      </c>
      <c r="D1079">
        <v>2</v>
      </c>
      <c r="E1079">
        <v>3750</v>
      </c>
      <c r="F1079">
        <v>32</v>
      </c>
      <c r="G1079">
        <v>20</v>
      </c>
      <c r="H1079" t="s">
        <v>101</v>
      </c>
      <c r="I1079" t="s">
        <v>102</v>
      </c>
      <c r="J1079" t="s">
        <v>101</v>
      </c>
      <c r="K1079" t="s">
        <v>101</v>
      </c>
      <c r="L1079" t="s">
        <v>101</v>
      </c>
      <c r="M1079" t="s">
        <v>406</v>
      </c>
      <c r="N1079">
        <v>0.105</v>
      </c>
      <c r="O1079">
        <v>6.2E-2</v>
      </c>
      <c r="P1079">
        <v>3.9E-2</v>
      </c>
    </row>
    <row r="1080" spans="1:16" hidden="1">
      <c r="A1080" t="s">
        <v>98</v>
      </c>
      <c r="B1080" t="s">
        <v>99</v>
      </c>
      <c r="C1080" t="s">
        <v>1361</v>
      </c>
      <c r="D1080">
        <v>2</v>
      </c>
      <c r="E1080">
        <v>3750</v>
      </c>
      <c r="F1080">
        <v>32</v>
      </c>
      <c r="G1080">
        <v>20</v>
      </c>
      <c r="H1080" t="s">
        <v>101</v>
      </c>
      <c r="I1080" t="s">
        <v>102</v>
      </c>
      <c r="J1080" t="s">
        <v>101</v>
      </c>
      <c r="K1080" t="s">
        <v>101</v>
      </c>
      <c r="L1080" t="s">
        <v>101</v>
      </c>
      <c r="M1080" t="s">
        <v>406</v>
      </c>
      <c r="N1080">
        <v>0.105</v>
      </c>
      <c r="O1080">
        <v>6.2E-2</v>
      </c>
      <c r="P1080">
        <v>3.9E-2</v>
      </c>
    </row>
    <row r="1081" spans="1:16" hidden="1">
      <c r="A1081" t="s">
        <v>98</v>
      </c>
      <c r="B1081" t="s">
        <v>99</v>
      </c>
      <c r="C1081" t="s">
        <v>1362</v>
      </c>
      <c r="D1081">
        <v>2</v>
      </c>
      <c r="E1081">
        <v>3750</v>
      </c>
      <c r="F1081">
        <v>32</v>
      </c>
      <c r="G1081">
        <v>20</v>
      </c>
      <c r="H1081" t="s">
        <v>101</v>
      </c>
      <c r="I1081" t="s">
        <v>102</v>
      </c>
      <c r="J1081" t="s">
        <v>101</v>
      </c>
      <c r="K1081" t="s">
        <v>101</v>
      </c>
      <c r="L1081" t="s">
        <v>101</v>
      </c>
      <c r="M1081" t="s">
        <v>406</v>
      </c>
      <c r="N1081">
        <v>0.105</v>
      </c>
      <c r="O1081">
        <v>6.2E-2</v>
      </c>
      <c r="P1081">
        <v>3.9E-2</v>
      </c>
    </row>
    <row r="1082" spans="1:16">
      <c r="A1082" t="s">
        <v>98</v>
      </c>
      <c r="B1082" t="s">
        <v>437</v>
      </c>
      <c r="C1082" t="s">
        <v>1363</v>
      </c>
      <c r="D1082">
        <v>8</v>
      </c>
      <c r="E1082">
        <v>61000</v>
      </c>
      <c r="F1082">
        <v>1440</v>
      </c>
      <c r="G1082">
        <v>20</v>
      </c>
      <c r="H1082" t="s">
        <v>101</v>
      </c>
      <c r="I1082" t="s">
        <v>106</v>
      </c>
      <c r="J1082" t="s">
        <v>153</v>
      </c>
      <c r="K1082" t="s">
        <v>108</v>
      </c>
      <c r="L1082" t="s">
        <v>117</v>
      </c>
      <c r="M1082" t="s">
        <v>110</v>
      </c>
      <c r="N1082">
        <v>1.7050000000000001</v>
      </c>
      <c r="O1082">
        <v>0.71199999999999997</v>
      </c>
      <c r="P1082">
        <v>0.42299999999999999</v>
      </c>
    </row>
    <row r="1083" spans="1:16">
      <c r="A1083" t="s">
        <v>98</v>
      </c>
      <c r="B1083" t="s">
        <v>437</v>
      </c>
      <c r="C1083" t="s">
        <v>1364</v>
      </c>
      <c r="D1083">
        <v>8</v>
      </c>
      <c r="E1083">
        <v>61000</v>
      </c>
      <c r="F1083">
        <v>1440</v>
      </c>
      <c r="G1083">
        <v>20</v>
      </c>
      <c r="H1083" t="s">
        <v>101</v>
      </c>
      <c r="I1083" t="s">
        <v>106</v>
      </c>
      <c r="J1083" t="s">
        <v>153</v>
      </c>
      <c r="K1083" t="s">
        <v>108</v>
      </c>
      <c r="L1083" t="s">
        <v>117</v>
      </c>
      <c r="M1083" t="s">
        <v>110</v>
      </c>
      <c r="N1083">
        <v>1.7050000000000001</v>
      </c>
      <c r="O1083">
        <v>0.71199999999999997</v>
      </c>
      <c r="P1083">
        <v>0.42299999999999999</v>
      </c>
    </row>
    <row r="1084" spans="1:16">
      <c r="A1084" t="s">
        <v>98</v>
      </c>
      <c r="B1084" t="s">
        <v>99</v>
      </c>
      <c r="C1084" t="s">
        <v>1365</v>
      </c>
      <c r="D1084">
        <v>2</v>
      </c>
      <c r="E1084">
        <v>3750</v>
      </c>
      <c r="F1084">
        <v>32</v>
      </c>
      <c r="G1084">
        <v>20</v>
      </c>
      <c r="H1084" t="s">
        <v>101</v>
      </c>
      <c r="I1084" t="s">
        <v>106</v>
      </c>
      <c r="J1084" t="s">
        <v>180</v>
      </c>
      <c r="K1084" t="s">
        <v>108</v>
      </c>
      <c r="L1084" t="s">
        <v>1366</v>
      </c>
      <c r="M1084" t="s">
        <v>110</v>
      </c>
      <c r="N1084">
        <v>0.105</v>
      </c>
      <c r="O1084">
        <v>6.2E-2</v>
      </c>
      <c r="P1084">
        <v>3.9E-2</v>
      </c>
    </row>
    <row r="1085" spans="1:16">
      <c r="A1085" t="s">
        <v>98</v>
      </c>
      <c r="B1085" t="s">
        <v>99</v>
      </c>
      <c r="C1085" t="s">
        <v>1367</v>
      </c>
      <c r="D1085">
        <v>2</v>
      </c>
      <c r="E1085">
        <v>3750</v>
      </c>
      <c r="F1085">
        <v>32</v>
      </c>
      <c r="G1085">
        <v>20</v>
      </c>
      <c r="H1085" t="s">
        <v>101</v>
      </c>
      <c r="I1085" t="s">
        <v>106</v>
      </c>
      <c r="J1085" t="s">
        <v>180</v>
      </c>
      <c r="K1085" t="s">
        <v>108</v>
      </c>
      <c r="L1085" t="s">
        <v>1366</v>
      </c>
      <c r="M1085" t="s">
        <v>110</v>
      </c>
      <c r="N1085">
        <v>0.105</v>
      </c>
      <c r="O1085">
        <v>6.2E-2</v>
      </c>
      <c r="P1085">
        <v>3.9E-2</v>
      </c>
    </row>
    <row r="1086" spans="1:16">
      <c r="A1086" t="s">
        <v>98</v>
      </c>
      <c r="B1086" t="s">
        <v>99</v>
      </c>
      <c r="C1086" t="s">
        <v>1368</v>
      </c>
      <c r="D1086">
        <v>2</v>
      </c>
      <c r="E1086">
        <v>3750</v>
      </c>
      <c r="F1086">
        <v>32</v>
      </c>
      <c r="G1086">
        <v>20</v>
      </c>
      <c r="H1086" t="s">
        <v>101</v>
      </c>
      <c r="I1086" t="s">
        <v>106</v>
      </c>
      <c r="J1086" t="s">
        <v>180</v>
      </c>
      <c r="K1086" t="s">
        <v>108</v>
      </c>
      <c r="L1086" t="s">
        <v>1366</v>
      </c>
      <c r="M1086" t="s">
        <v>110</v>
      </c>
      <c r="N1086">
        <v>0.105</v>
      </c>
      <c r="O1086">
        <v>6.2E-2</v>
      </c>
      <c r="P1086">
        <v>3.9E-2</v>
      </c>
    </row>
    <row r="1087" spans="1:16">
      <c r="A1087" t="s">
        <v>98</v>
      </c>
      <c r="B1087" t="s">
        <v>99</v>
      </c>
      <c r="C1087" t="s">
        <v>1369</v>
      </c>
      <c r="D1087">
        <v>2</v>
      </c>
      <c r="E1087">
        <v>3750</v>
      </c>
      <c r="F1087">
        <v>32</v>
      </c>
      <c r="G1087">
        <v>20</v>
      </c>
      <c r="H1087" t="s">
        <v>101</v>
      </c>
      <c r="I1087" t="s">
        <v>106</v>
      </c>
      <c r="J1087" t="s">
        <v>180</v>
      </c>
      <c r="K1087" t="s">
        <v>108</v>
      </c>
      <c r="L1087" t="s">
        <v>1366</v>
      </c>
      <c r="M1087" t="s">
        <v>110</v>
      </c>
      <c r="N1087">
        <v>0.105</v>
      </c>
      <c r="O1087">
        <v>6.2E-2</v>
      </c>
      <c r="P1087">
        <v>3.9E-2</v>
      </c>
    </row>
    <row r="1088" spans="1:16">
      <c r="A1088" t="s">
        <v>98</v>
      </c>
      <c r="B1088" t="s">
        <v>99</v>
      </c>
      <c r="C1088" t="s">
        <v>1370</v>
      </c>
      <c r="D1088">
        <v>2</v>
      </c>
      <c r="E1088">
        <v>3750</v>
      </c>
      <c r="F1088">
        <v>32</v>
      </c>
      <c r="G1088">
        <v>20</v>
      </c>
      <c r="H1088" t="s">
        <v>101</v>
      </c>
      <c r="I1088" t="s">
        <v>106</v>
      </c>
      <c r="J1088" t="s">
        <v>180</v>
      </c>
      <c r="K1088" t="s">
        <v>108</v>
      </c>
      <c r="L1088" t="s">
        <v>1366</v>
      </c>
      <c r="M1088" t="s">
        <v>110</v>
      </c>
      <c r="N1088">
        <v>0.105</v>
      </c>
      <c r="O1088">
        <v>6.2E-2</v>
      </c>
      <c r="P1088">
        <v>3.9E-2</v>
      </c>
    </row>
    <row r="1089" spans="1:16">
      <c r="A1089" t="s">
        <v>98</v>
      </c>
      <c r="B1089" t="s">
        <v>99</v>
      </c>
      <c r="C1089" t="s">
        <v>1371</v>
      </c>
      <c r="D1089">
        <v>2</v>
      </c>
      <c r="E1089">
        <v>3750</v>
      </c>
      <c r="F1089">
        <v>32</v>
      </c>
      <c r="G1089">
        <v>20</v>
      </c>
      <c r="H1089" t="s">
        <v>101</v>
      </c>
      <c r="I1089" t="s">
        <v>106</v>
      </c>
      <c r="J1089" t="s">
        <v>180</v>
      </c>
      <c r="K1089" t="s">
        <v>108</v>
      </c>
      <c r="L1089" t="s">
        <v>1366</v>
      </c>
      <c r="M1089" t="s">
        <v>110</v>
      </c>
      <c r="N1089">
        <v>0.105</v>
      </c>
      <c r="O1089">
        <v>6.2E-2</v>
      </c>
      <c r="P1089">
        <v>3.9E-2</v>
      </c>
    </row>
    <row r="1090" spans="1:16">
      <c r="A1090" t="s">
        <v>98</v>
      </c>
      <c r="B1090" t="s">
        <v>99</v>
      </c>
      <c r="C1090" t="s">
        <v>1372</v>
      </c>
      <c r="D1090">
        <v>2</v>
      </c>
      <c r="E1090">
        <v>3750</v>
      </c>
      <c r="F1090">
        <v>32</v>
      </c>
      <c r="G1090">
        <v>20</v>
      </c>
      <c r="H1090" t="s">
        <v>101</v>
      </c>
      <c r="I1090" t="s">
        <v>106</v>
      </c>
      <c r="J1090" t="s">
        <v>180</v>
      </c>
      <c r="K1090" t="s">
        <v>108</v>
      </c>
      <c r="L1090" t="s">
        <v>1366</v>
      </c>
      <c r="M1090" t="s">
        <v>110</v>
      </c>
      <c r="N1090">
        <v>0.105</v>
      </c>
      <c r="O1090">
        <v>6.2E-2</v>
      </c>
      <c r="P1090">
        <v>3.9E-2</v>
      </c>
    </row>
    <row r="1091" spans="1:16">
      <c r="A1091" t="s">
        <v>98</v>
      </c>
      <c r="B1091" t="s">
        <v>99</v>
      </c>
      <c r="C1091" t="s">
        <v>1373</v>
      </c>
      <c r="D1091">
        <v>2</v>
      </c>
      <c r="E1091">
        <v>3750</v>
      </c>
      <c r="F1091">
        <v>32</v>
      </c>
      <c r="G1091">
        <v>20</v>
      </c>
      <c r="H1091" t="s">
        <v>101</v>
      </c>
      <c r="I1091" t="s">
        <v>106</v>
      </c>
      <c r="J1091" t="s">
        <v>180</v>
      </c>
      <c r="K1091" t="s">
        <v>108</v>
      </c>
      <c r="L1091" t="s">
        <v>1366</v>
      </c>
      <c r="M1091" t="s">
        <v>110</v>
      </c>
      <c r="N1091">
        <v>0.105</v>
      </c>
      <c r="O1091">
        <v>6.2E-2</v>
      </c>
      <c r="P1091">
        <v>3.9E-2</v>
      </c>
    </row>
    <row r="1092" spans="1:16" hidden="1">
      <c r="A1092" t="s">
        <v>98</v>
      </c>
      <c r="B1092" t="s">
        <v>99</v>
      </c>
      <c r="C1092" t="s">
        <v>1374</v>
      </c>
      <c r="D1092">
        <v>2</v>
      </c>
      <c r="E1092">
        <v>3750</v>
      </c>
      <c r="F1092">
        <v>32</v>
      </c>
      <c r="G1092">
        <v>20</v>
      </c>
      <c r="H1092" t="s">
        <v>101</v>
      </c>
      <c r="I1092" t="s">
        <v>102</v>
      </c>
      <c r="J1092" t="s">
        <v>101</v>
      </c>
      <c r="K1092" t="s">
        <v>612</v>
      </c>
      <c r="L1092" t="s">
        <v>101</v>
      </c>
      <c r="M1092" t="s">
        <v>118</v>
      </c>
      <c r="N1092">
        <v>0.105</v>
      </c>
      <c r="O1092">
        <v>6.2E-2</v>
      </c>
      <c r="P1092">
        <v>3.9E-2</v>
      </c>
    </row>
    <row r="1093" spans="1:16">
      <c r="A1093" t="s">
        <v>98</v>
      </c>
      <c r="B1093" t="s">
        <v>104</v>
      </c>
      <c r="C1093" t="s">
        <v>1375</v>
      </c>
      <c r="D1093">
        <v>1</v>
      </c>
      <c r="E1093">
        <v>1700</v>
      </c>
      <c r="F1093">
        <v>160</v>
      </c>
      <c r="G1093">
        <v>20</v>
      </c>
      <c r="H1093" t="s">
        <v>101</v>
      </c>
      <c r="I1093" t="s">
        <v>106</v>
      </c>
      <c r="J1093" t="s">
        <v>466</v>
      </c>
      <c r="K1093" t="s">
        <v>108</v>
      </c>
      <c r="L1093" t="s">
        <v>322</v>
      </c>
      <c r="M1093" t="s">
        <v>110</v>
      </c>
      <c r="N1093">
        <v>4.3999999999999997E-2</v>
      </c>
      <c r="O1093">
        <v>2.4E-2</v>
      </c>
      <c r="P1093">
        <v>1.4999999999999999E-2</v>
      </c>
    </row>
    <row r="1094" spans="1:16">
      <c r="A1094" t="s">
        <v>98</v>
      </c>
      <c r="B1094" t="s">
        <v>275</v>
      </c>
      <c r="C1094" t="s">
        <v>1376</v>
      </c>
      <c r="D1094">
        <v>16</v>
      </c>
      <c r="E1094">
        <v>30000</v>
      </c>
      <c r="F1094">
        <v>320</v>
      </c>
      <c r="G1094">
        <v>20</v>
      </c>
      <c r="H1094" t="s">
        <v>101</v>
      </c>
      <c r="I1094" t="s">
        <v>106</v>
      </c>
      <c r="J1094" t="s">
        <v>153</v>
      </c>
      <c r="K1094" t="s">
        <v>108</v>
      </c>
      <c r="L1094" t="s">
        <v>117</v>
      </c>
      <c r="M1094" t="s">
        <v>110</v>
      </c>
      <c r="N1094">
        <v>0.84</v>
      </c>
      <c r="O1094">
        <v>0.497</v>
      </c>
      <c r="P1094">
        <v>0.314</v>
      </c>
    </row>
    <row r="1095" spans="1:16">
      <c r="A1095" t="s">
        <v>98</v>
      </c>
      <c r="B1095" t="s">
        <v>275</v>
      </c>
      <c r="C1095" t="s">
        <v>1377</v>
      </c>
      <c r="D1095">
        <v>16</v>
      </c>
      <c r="E1095">
        <v>30000</v>
      </c>
      <c r="F1095">
        <v>320</v>
      </c>
      <c r="G1095">
        <v>20</v>
      </c>
      <c r="H1095" t="s">
        <v>101</v>
      </c>
      <c r="I1095" t="s">
        <v>106</v>
      </c>
      <c r="J1095" t="s">
        <v>153</v>
      </c>
      <c r="K1095" t="s">
        <v>108</v>
      </c>
      <c r="L1095" t="s">
        <v>117</v>
      </c>
      <c r="M1095" t="s">
        <v>110</v>
      </c>
      <c r="N1095">
        <v>0.84</v>
      </c>
      <c r="O1095">
        <v>0.497</v>
      </c>
      <c r="P1095">
        <v>0.314</v>
      </c>
    </row>
    <row r="1096" spans="1:16">
      <c r="A1096" t="s">
        <v>98</v>
      </c>
      <c r="B1096" t="s">
        <v>104</v>
      </c>
      <c r="C1096" t="s">
        <v>1378</v>
      </c>
      <c r="D1096">
        <v>1</v>
      </c>
      <c r="E1096">
        <v>1700</v>
      </c>
      <c r="F1096">
        <v>160</v>
      </c>
      <c r="G1096">
        <v>20</v>
      </c>
      <c r="H1096" t="s">
        <v>101</v>
      </c>
      <c r="I1096" t="s">
        <v>106</v>
      </c>
      <c r="J1096" t="s">
        <v>344</v>
      </c>
      <c r="K1096" t="s">
        <v>108</v>
      </c>
      <c r="L1096" t="s">
        <v>434</v>
      </c>
      <c r="M1096" t="s">
        <v>110</v>
      </c>
      <c r="N1096">
        <v>4.3999999999999997E-2</v>
      </c>
      <c r="O1096">
        <v>2.4E-2</v>
      </c>
      <c r="P1096">
        <v>1.4999999999999999E-2</v>
      </c>
    </row>
    <row r="1097" spans="1:16">
      <c r="A1097" t="s">
        <v>98</v>
      </c>
      <c r="B1097" t="s">
        <v>148</v>
      </c>
      <c r="C1097" t="s">
        <v>1379</v>
      </c>
      <c r="D1097">
        <v>2</v>
      </c>
      <c r="E1097">
        <v>4000</v>
      </c>
      <c r="F1097">
        <v>0</v>
      </c>
      <c r="G1097">
        <v>20</v>
      </c>
      <c r="H1097" t="s">
        <v>101</v>
      </c>
      <c r="I1097" t="s">
        <v>106</v>
      </c>
      <c r="J1097" t="s">
        <v>1047</v>
      </c>
      <c r="K1097" t="s">
        <v>108</v>
      </c>
      <c r="L1097" t="s">
        <v>541</v>
      </c>
      <c r="M1097" t="s">
        <v>110</v>
      </c>
      <c r="N1097">
        <v>5.1999999999999998E-2</v>
      </c>
      <c r="O1097">
        <v>3.4000000000000002E-2</v>
      </c>
      <c r="P1097">
        <v>2.3E-2</v>
      </c>
    </row>
    <row r="1098" spans="1:16">
      <c r="A1098" t="s">
        <v>98</v>
      </c>
      <c r="B1098" t="s">
        <v>148</v>
      </c>
      <c r="C1098" t="s">
        <v>1380</v>
      </c>
      <c r="D1098">
        <v>2</v>
      </c>
      <c r="E1098">
        <v>4000</v>
      </c>
      <c r="F1098">
        <v>0</v>
      </c>
      <c r="G1098">
        <v>20</v>
      </c>
      <c r="H1098" t="s">
        <v>101</v>
      </c>
      <c r="I1098" t="s">
        <v>106</v>
      </c>
      <c r="J1098" t="s">
        <v>1047</v>
      </c>
      <c r="K1098" t="s">
        <v>108</v>
      </c>
      <c r="L1098" t="s">
        <v>541</v>
      </c>
      <c r="M1098" t="s">
        <v>110</v>
      </c>
      <c r="N1098">
        <v>5.1999999999999998E-2</v>
      </c>
      <c r="O1098">
        <v>3.4000000000000002E-2</v>
      </c>
      <c r="P1098">
        <v>2.3E-2</v>
      </c>
    </row>
    <row r="1099" spans="1:16" hidden="1">
      <c r="A1099" t="s">
        <v>98</v>
      </c>
      <c r="B1099" t="s">
        <v>104</v>
      </c>
      <c r="C1099" t="s">
        <v>1381</v>
      </c>
      <c r="D1099">
        <v>1</v>
      </c>
      <c r="E1099">
        <v>1700</v>
      </c>
      <c r="F1099">
        <v>160</v>
      </c>
      <c r="G1099">
        <v>20</v>
      </c>
      <c r="H1099" t="s">
        <v>101</v>
      </c>
      <c r="I1099" t="s">
        <v>102</v>
      </c>
      <c r="J1099" t="s">
        <v>101</v>
      </c>
      <c r="K1099" t="s">
        <v>169</v>
      </c>
      <c r="L1099" t="s">
        <v>311</v>
      </c>
      <c r="M1099" t="s">
        <v>125</v>
      </c>
      <c r="N1099">
        <v>4.3999999999999997E-2</v>
      </c>
      <c r="O1099">
        <v>2.4E-2</v>
      </c>
      <c r="P1099">
        <v>1.4999999999999999E-2</v>
      </c>
    </row>
    <row r="1100" spans="1:16">
      <c r="A1100" t="s">
        <v>98</v>
      </c>
      <c r="B1100" t="s">
        <v>172</v>
      </c>
      <c r="C1100" t="s">
        <v>1382</v>
      </c>
      <c r="D1100">
        <v>1</v>
      </c>
      <c r="E1100">
        <v>2000</v>
      </c>
      <c r="F1100">
        <v>0</v>
      </c>
      <c r="G1100">
        <v>20</v>
      </c>
      <c r="H1100" t="s">
        <v>101</v>
      </c>
      <c r="I1100" t="s">
        <v>106</v>
      </c>
      <c r="J1100" t="s">
        <v>214</v>
      </c>
      <c r="K1100" t="s">
        <v>108</v>
      </c>
      <c r="L1100" t="s">
        <v>203</v>
      </c>
      <c r="M1100" t="s">
        <v>110</v>
      </c>
      <c r="N1100">
        <v>2.5999999999999999E-2</v>
      </c>
      <c r="O1100">
        <v>1.7000000000000001E-2</v>
      </c>
      <c r="P1100">
        <v>1.2E-2</v>
      </c>
    </row>
    <row r="1101" spans="1:16" hidden="1">
      <c r="A1101" t="s">
        <v>98</v>
      </c>
      <c r="B1101" t="s">
        <v>172</v>
      </c>
      <c r="C1101" t="s">
        <v>1383</v>
      </c>
      <c r="D1101">
        <v>1</v>
      </c>
      <c r="E1101">
        <v>2000</v>
      </c>
      <c r="F1101">
        <v>0</v>
      </c>
      <c r="G1101">
        <v>20</v>
      </c>
      <c r="H1101" t="s">
        <v>101</v>
      </c>
      <c r="I1101" t="s">
        <v>101</v>
      </c>
      <c r="J1101" t="s">
        <v>101</v>
      </c>
      <c r="K1101" t="s">
        <v>101</v>
      </c>
      <c r="L1101" t="s">
        <v>192</v>
      </c>
      <c r="M1101" t="s">
        <v>110</v>
      </c>
      <c r="N1101">
        <v>2.5999999999999999E-2</v>
      </c>
      <c r="O1101">
        <v>1.7000000000000001E-2</v>
      </c>
      <c r="P1101">
        <v>1.2E-2</v>
      </c>
    </row>
    <row r="1102" spans="1:16" hidden="1">
      <c r="A1102" t="s">
        <v>98</v>
      </c>
      <c r="B1102" t="s">
        <v>172</v>
      </c>
      <c r="C1102" t="s">
        <v>1384</v>
      </c>
      <c r="D1102">
        <v>1</v>
      </c>
      <c r="E1102">
        <v>2000</v>
      </c>
      <c r="F1102">
        <v>0</v>
      </c>
      <c r="G1102">
        <v>20</v>
      </c>
      <c r="H1102" t="s">
        <v>101</v>
      </c>
      <c r="I1102" t="s">
        <v>101</v>
      </c>
      <c r="J1102" t="s">
        <v>101</v>
      </c>
      <c r="K1102" t="s">
        <v>101</v>
      </c>
      <c r="L1102" t="s">
        <v>192</v>
      </c>
      <c r="M1102" t="s">
        <v>110</v>
      </c>
      <c r="N1102">
        <v>2.5999999999999999E-2</v>
      </c>
      <c r="O1102">
        <v>1.7000000000000001E-2</v>
      </c>
      <c r="P1102">
        <v>1.2E-2</v>
      </c>
    </row>
    <row r="1103" spans="1:16">
      <c r="A1103" t="s">
        <v>98</v>
      </c>
      <c r="B1103" t="s">
        <v>275</v>
      </c>
      <c r="C1103" t="s">
        <v>1385</v>
      </c>
      <c r="D1103">
        <v>16</v>
      </c>
      <c r="E1103">
        <v>30000</v>
      </c>
      <c r="F1103">
        <v>320</v>
      </c>
      <c r="G1103">
        <v>20</v>
      </c>
      <c r="H1103" t="s">
        <v>101</v>
      </c>
      <c r="I1103" t="s">
        <v>106</v>
      </c>
      <c r="J1103" t="s">
        <v>153</v>
      </c>
      <c r="K1103" t="s">
        <v>108</v>
      </c>
      <c r="L1103" t="s">
        <v>117</v>
      </c>
      <c r="M1103" t="s">
        <v>110</v>
      </c>
      <c r="N1103">
        <v>0.84</v>
      </c>
      <c r="O1103">
        <v>0.497</v>
      </c>
      <c r="P1103">
        <v>0.314</v>
      </c>
    </row>
    <row r="1104" spans="1:16">
      <c r="A1104" t="s">
        <v>98</v>
      </c>
      <c r="B1104" t="s">
        <v>148</v>
      </c>
      <c r="C1104" t="s">
        <v>1386</v>
      </c>
      <c r="D1104">
        <v>2</v>
      </c>
      <c r="E1104">
        <v>4000</v>
      </c>
      <c r="F1104">
        <v>0</v>
      </c>
      <c r="G1104">
        <v>20</v>
      </c>
      <c r="H1104" t="s">
        <v>101</v>
      </c>
      <c r="I1104" t="s">
        <v>106</v>
      </c>
      <c r="J1104" t="s">
        <v>1047</v>
      </c>
      <c r="K1104" t="s">
        <v>108</v>
      </c>
      <c r="L1104" t="s">
        <v>121</v>
      </c>
      <c r="M1104" t="s">
        <v>110</v>
      </c>
      <c r="N1104">
        <v>5.1999999999999998E-2</v>
      </c>
      <c r="O1104">
        <v>3.4000000000000002E-2</v>
      </c>
      <c r="P1104">
        <v>2.3E-2</v>
      </c>
    </row>
    <row r="1105" spans="1:16">
      <c r="A1105" t="s">
        <v>98</v>
      </c>
      <c r="B1105" t="s">
        <v>172</v>
      </c>
      <c r="C1105" t="s">
        <v>1387</v>
      </c>
      <c r="D1105">
        <v>1</v>
      </c>
      <c r="E1105">
        <v>2000</v>
      </c>
      <c r="F1105">
        <v>0</v>
      </c>
      <c r="G1105">
        <v>20</v>
      </c>
      <c r="H1105" t="s">
        <v>101</v>
      </c>
      <c r="I1105" t="s">
        <v>106</v>
      </c>
      <c r="J1105" t="s">
        <v>120</v>
      </c>
      <c r="K1105" t="s">
        <v>108</v>
      </c>
      <c r="L1105" t="s">
        <v>1069</v>
      </c>
      <c r="M1105" t="s">
        <v>110</v>
      </c>
      <c r="N1105">
        <v>2.5999999999999999E-2</v>
      </c>
      <c r="O1105">
        <v>1.7000000000000001E-2</v>
      </c>
      <c r="P1105">
        <v>1.2E-2</v>
      </c>
    </row>
    <row r="1106" spans="1:16">
      <c r="A1106" t="s">
        <v>98</v>
      </c>
      <c r="B1106" t="s">
        <v>104</v>
      </c>
      <c r="C1106" t="s">
        <v>1388</v>
      </c>
      <c r="D1106">
        <v>1</v>
      </c>
      <c r="E1106">
        <v>1700</v>
      </c>
      <c r="F1106">
        <v>160</v>
      </c>
      <c r="G1106">
        <v>20</v>
      </c>
      <c r="H1106" t="s">
        <v>101</v>
      </c>
      <c r="I1106" t="s">
        <v>106</v>
      </c>
      <c r="J1106" t="s">
        <v>749</v>
      </c>
      <c r="K1106" t="s">
        <v>108</v>
      </c>
      <c r="L1106" t="s">
        <v>192</v>
      </c>
      <c r="M1106" t="s">
        <v>110</v>
      </c>
      <c r="N1106">
        <v>4.3999999999999997E-2</v>
      </c>
      <c r="O1106">
        <v>2.4E-2</v>
      </c>
      <c r="P1106">
        <v>1.4999999999999999E-2</v>
      </c>
    </row>
    <row r="1107" spans="1:16">
      <c r="A1107" t="s">
        <v>98</v>
      </c>
      <c r="B1107" t="s">
        <v>172</v>
      </c>
      <c r="C1107" t="s">
        <v>1389</v>
      </c>
      <c r="D1107">
        <v>1</v>
      </c>
      <c r="E1107">
        <v>2000</v>
      </c>
      <c r="F1107">
        <v>0</v>
      </c>
      <c r="G1107">
        <v>20</v>
      </c>
      <c r="H1107" t="s">
        <v>101</v>
      </c>
      <c r="I1107" t="s">
        <v>106</v>
      </c>
      <c r="J1107" t="s">
        <v>120</v>
      </c>
      <c r="K1107" t="s">
        <v>108</v>
      </c>
      <c r="L1107" t="s">
        <v>1069</v>
      </c>
      <c r="M1107" t="s">
        <v>110</v>
      </c>
      <c r="N1107">
        <v>2.5999999999999999E-2</v>
      </c>
      <c r="O1107">
        <v>1.7000000000000001E-2</v>
      </c>
      <c r="P1107">
        <v>1.2E-2</v>
      </c>
    </row>
    <row r="1108" spans="1:16" hidden="1">
      <c r="A1108" t="s">
        <v>98</v>
      </c>
      <c r="B1108" t="s">
        <v>99</v>
      </c>
      <c r="C1108" t="s">
        <v>1390</v>
      </c>
      <c r="D1108">
        <v>2</v>
      </c>
      <c r="E1108">
        <v>3750</v>
      </c>
      <c r="F1108">
        <v>32</v>
      </c>
      <c r="G1108">
        <v>8</v>
      </c>
      <c r="H1108" t="s">
        <v>101</v>
      </c>
      <c r="I1108" t="s">
        <v>101</v>
      </c>
      <c r="J1108" t="s">
        <v>101</v>
      </c>
      <c r="K1108" t="s">
        <v>785</v>
      </c>
      <c r="L1108" t="s">
        <v>101</v>
      </c>
      <c r="M1108" t="s">
        <v>138</v>
      </c>
      <c r="N1108">
        <v>0.105</v>
      </c>
      <c r="O1108">
        <v>6.2E-2</v>
      </c>
      <c r="P1108">
        <v>3.9E-2</v>
      </c>
    </row>
    <row r="1109" spans="1:16">
      <c r="A1109" t="s">
        <v>98</v>
      </c>
      <c r="B1109" t="s">
        <v>172</v>
      </c>
      <c r="C1109" t="s">
        <v>1391</v>
      </c>
      <c r="D1109">
        <v>1</v>
      </c>
      <c r="E1109">
        <v>2000</v>
      </c>
      <c r="F1109">
        <v>0</v>
      </c>
      <c r="G1109">
        <v>20</v>
      </c>
      <c r="H1109" t="s">
        <v>101</v>
      </c>
      <c r="I1109" t="s">
        <v>106</v>
      </c>
      <c r="J1109" t="s">
        <v>214</v>
      </c>
      <c r="K1109" t="s">
        <v>108</v>
      </c>
      <c r="L1109" t="s">
        <v>175</v>
      </c>
      <c r="M1109" t="s">
        <v>110</v>
      </c>
      <c r="N1109">
        <v>2.5999999999999999E-2</v>
      </c>
      <c r="O1109">
        <v>1.7000000000000001E-2</v>
      </c>
      <c r="P1109">
        <v>1.2E-2</v>
      </c>
    </row>
    <row r="1110" spans="1:16">
      <c r="A1110" t="s">
        <v>98</v>
      </c>
      <c r="B1110" t="s">
        <v>172</v>
      </c>
      <c r="C1110" t="s">
        <v>1392</v>
      </c>
      <c r="D1110">
        <v>1</v>
      </c>
      <c r="E1110">
        <v>2000</v>
      </c>
      <c r="F1110">
        <v>0</v>
      </c>
      <c r="G1110">
        <v>20</v>
      </c>
      <c r="H1110" t="s">
        <v>101</v>
      </c>
      <c r="I1110" t="s">
        <v>106</v>
      </c>
      <c r="J1110" t="s">
        <v>214</v>
      </c>
      <c r="K1110" t="s">
        <v>108</v>
      </c>
      <c r="L1110" t="s">
        <v>322</v>
      </c>
      <c r="M1110" t="s">
        <v>110</v>
      </c>
      <c r="N1110">
        <v>2.5999999999999999E-2</v>
      </c>
      <c r="O1110">
        <v>1.7000000000000001E-2</v>
      </c>
      <c r="P1110">
        <v>1.2E-2</v>
      </c>
    </row>
    <row r="1111" spans="1:16" hidden="1">
      <c r="A1111" t="s">
        <v>98</v>
      </c>
      <c r="B1111" t="s">
        <v>172</v>
      </c>
      <c r="C1111" t="s">
        <v>1393</v>
      </c>
      <c r="D1111">
        <v>1</v>
      </c>
      <c r="E1111">
        <v>2000</v>
      </c>
      <c r="F1111">
        <v>0</v>
      </c>
      <c r="G1111">
        <v>20</v>
      </c>
      <c r="H1111" t="s">
        <v>101</v>
      </c>
      <c r="I1111" t="s">
        <v>102</v>
      </c>
      <c r="J1111" t="s">
        <v>101</v>
      </c>
      <c r="K1111" t="s">
        <v>766</v>
      </c>
      <c r="L1111" t="s">
        <v>124</v>
      </c>
      <c r="M1111" t="s">
        <v>125</v>
      </c>
      <c r="N1111">
        <v>2.5999999999999999E-2</v>
      </c>
      <c r="O1111">
        <v>1.7000000000000001E-2</v>
      </c>
      <c r="P1111">
        <v>1.2E-2</v>
      </c>
    </row>
    <row r="1112" spans="1:16" hidden="1">
      <c r="A1112" t="s">
        <v>98</v>
      </c>
      <c r="B1112" t="s">
        <v>172</v>
      </c>
      <c r="C1112" t="s">
        <v>1394</v>
      </c>
      <c r="D1112">
        <v>1</v>
      </c>
      <c r="E1112">
        <v>2000</v>
      </c>
      <c r="F1112">
        <v>0</v>
      </c>
      <c r="G1112">
        <v>20</v>
      </c>
      <c r="H1112" t="s">
        <v>101</v>
      </c>
      <c r="I1112" t="s">
        <v>102</v>
      </c>
      <c r="J1112" t="s">
        <v>101</v>
      </c>
      <c r="K1112" t="s">
        <v>766</v>
      </c>
      <c r="L1112" t="s">
        <v>124</v>
      </c>
      <c r="M1112" t="s">
        <v>125</v>
      </c>
      <c r="N1112">
        <v>2.5999999999999999E-2</v>
      </c>
      <c r="O1112">
        <v>1.7000000000000001E-2</v>
      </c>
      <c r="P1112">
        <v>1.2E-2</v>
      </c>
    </row>
    <row r="1113" spans="1:16" hidden="1">
      <c r="A1113" t="s">
        <v>98</v>
      </c>
      <c r="B1113" t="s">
        <v>172</v>
      </c>
      <c r="C1113" t="s">
        <v>1395</v>
      </c>
      <c r="D1113">
        <v>1</v>
      </c>
      <c r="E1113">
        <v>2000</v>
      </c>
      <c r="F1113">
        <v>0</v>
      </c>
      <c r="G1113">
        <v>20</v>
      </c>
      <c r="H1113" t="s">
        <v>101</v>
      </c>
      <c r="I1113" t="s">
        <v>102</v>
      </c>
      <c r="J1113" t="s">
        <v>101</v>
      </c>
      <c r="K1113" t="s">
        <v>766</v>
      </c>
      <c r="L1113" t="s">
        <v>311</v>
      </c>
      <c r="M1113" t="s">
        <v>125</v>
      </c>
      <c r="N1113">
        <v>2.5999999999999999E-2</v>
      </c>
      <c r="O1113">
        <v>1.7000000000000001E-2</v>
      </c>
      <c r="P1113">
        <v>1.2E-2</v>
      </c>
    </row>
    <row r="1114" spans="1:16" hidden="1">
      <c r="A1114" t="s">
        <v>98</v>
      </c>
      <c r="B1114" t="s">
        <v>172</v>
      </c>
      <c r="C1114" t="s">
        <v>1396</v>
      </c>
      <c r="D1114">
        <v>1</v>
      </c>
      <c r="E1114">
        <v>2000</v>
      </c>
      <c r="F1114">
        <v>0</v>
      </c>
      <c r="G1114">
        <v>20</v>
      </c>
      <c r="H1114" t="s">
        <v>101</v>
      </c>
      <c r="I1114" t="s">
        <v>102</v>
      </c>
      <c r="J1114" t="s">
        <v>101</v>
      </c>
      <c r="K1114" t="s">
        <v>766</v>
      </c>
      <c r="L1114" t="s">
        <v>311</v>
      </c>
      <c r="M1114" t="s">
        <v>125</v>
      </c>
      <c r="N1114">
        <v>2.5999999999999999E-2</v>
      </c>
      <c r="O1114">
        <v>1.7000000000000001E-2</v>
      </c>
      <c r="P1114">
        <v>1.2E-2</v>
      </c>
    </row>
    <row r="1115" spans="1:16" hidden="1">
      <c r="A1115" t="s">
        <v>98</v>
      </c>
      <c r="B1115" t="s">
        <v>172</v>
      </c>
      <c r="C1115" t="s">
        <v>1397</v>
      </c>
      <c r="D1115">
        <v>1</v>
      </c>
      <c r="E1115">
        <v>2000</v>
      </c>
      <c r="F1115">
        <v>0</v>
      </c>
      <c r="G1115">
        <v>20</v>
      </c>
      <c r="H1115" t="s">
        <v>101</v>
      </c>
      <c r="I1115" t="s">
        <v>101</v>
      </c>
      <c r="J1115" t="s">
        <v>101</v>
      </c>
      <c r="K1115" t="s">
        <v>101</v>
      </c>
      <c r="L1115" t="s">
        <v>101</v>
      </c>
      <c r="M1115" t="s">
        <v>110</v>
      </c>
      <c r="N1115">
        <v>2.5999999999999999E-2</v>
      </c>
      <c r="O1115">
        <v>1.7000000000000001E-2</v>
      </c>
      <c r="P1115">
        <v>1.2E-2</v>
      </c>
    </row>
    <row r="1116" spans="1:16" hidden="1">
      <c r="A1116" t="s">
        <v>98</v>
      </c>
      <c r="B1116" t="s">
        <v>99</v>
      </c>
      <c r="C1116" t="s">
        <v>1390</v>
      </c>
      <c r="D1116">
        <v>2</v>
      </c>
      <c r="E1116">
        <v>3750</v>
      </c>
      <c r="F1116">
        <v>32</v>
      </c>
      <c r="G1116">
        <v>8</v>
      </c>
      <c r="H1116" t="s">
        <v>101</v>
      </c>
      <c r="I1116" t="s">
        <v>101</v>
      </c>
      <c r="J1116" t="s">
        <v>101</v>
      </c>
      <c r="K1116" t="s">
        <v>785</v>
      </c>
      <c r="L1116" t="s">
        <v>101</v>
      </c>
      <c r="M1116" t="s">
        <v>138</v>
      </c>
      <c r="N1116">
        <v>0.105</v>
      </c>
      <c r="O1116">
        <v>6.2E-2</v>
      </c>
      <c r="P1116">
        <v>3.9E-2</v>
      </c>
    </row>
    <row r="1117" spans="1:16" hidden="1">
      <c r="A1117" t="s">
        <v>98</v>
      </c>
      <c r="B1117" t="s">
        <v>99</v>
      </c>
      <c r="C1117" t="s">
        <v>1390</v>
      </c>
      <c r="D1117">
        <v>2</v>
      </c>
      <c r="E1117">
        <v>3750</v>
      </c>
      <c r="F1117">
        <v>32</v>
      </c>
      <c r="G1117">
        <v>8</v>
      </c>
      <c r="H1117" t="s">
        <v>101</v>
      </c>
      <c r="I1117" t="s">
        <v>101</v>
      </c>
      <c r="J1117" t="s">
        <v>101</v>
      </c>
      <c r="K1117" t="s">
        <v>785</v>
      </c>
      <c r="L1117" t="s">
        <v>101</v>
      </c>
      <c r="M1117" t="s">
        <v>138</v>
      </c>
      <c r="N1117">
        <v>0.105</v>
      </c>
      <c r="O1117">
        <v>6.2E-2</v>
      </c>
      <c r="P1117">
        <v>3.9E-2</v>
      </c>
    </row>
    <row r="1118" spans="1:16" hidden="1">
      <c r="A1118" t="s">
        <v>98</v>
      </c>
      <c r="B1118" t="s">
        <v>99</v>
      </c>
      <c r="C1118" t="s">
        <v>1390</v>
      </c>
      <c r="D1118">
        <v>2</v>
      </c>
      <c r="E1118">
        <v>3750</v>
      </c>
      <c r="F1118">
        <v>32</v>
      </c>
      <c r="G1118">
        <v>8</v>
      </c>
      <c r="H1118" t="s">
        <v>101</v>
      </c>
      <c r="I1118" t="s">
        <v>101</v>
      </c>
      <c r="J1118" t="s">
        <v>101</v>
      </c>
      <c r="K1118" t="s">
        <v>785</v>
      </c>
      <c r="L1118" t="s">
        <v>101</v>
      </c>
      <c r="M1118" t="s">
        <v>138</v>
      </c>
      <c r="N1118">
        <v>0.105</v>
      </c>
      <c r="O1118">
        <v>6.2E-2</v>
      </c>
      <c r="P1118">
        <v>3.9E-2</v>
      </c>
    </row>
    <row r="1119" spans="1:16" hidden="1">
      <c r="A1119" t="s">
        <v>98</v>
      </c>
      <c r="B1119" t="s">
        <v>114</v>
      </c>
      <c r="C1119" t="s">
        <v>1398</v>
      </c>
      <c r="D1119">
        <v>2</v>
      </c>
      <c r="E1119">
        <v>7500</v>
      </c>
      <c r="F1119">
        <v>32</v>
      </c>
      <c r="G1119">
        <v>420</v>
      </c>
      <c r="H1119" t="s">
        <v>101</v>
      </c>
      <c r="I1119" t="s">
        <v>101</v>
      </c>
      <c r="J1119" t="s">
        <v>101</v>
      </c>
      <c r="K1119" t="s">
        <v>101</v>
      </c>
      <c r="L1119" t="s">
        <v>117</v>
      </c>
      <c r="M1119" t="s">
        <v>110</v>
      </c>
      <c r="N1119">
        <v>0.13300000000000001</v>
      </c>
      <c r="O1119">
        <v>8.1000000000000003E-2</v>
      </c>
      <c r="P1119">
        <v>5.1999999999999998E-2</v>
      </c>
    </row>
    <row r="1120" spans="1:16" hidden="1">
      <c r="A1120" t="s">
        <v>98</v>
      </c>
      <c r="B1120" t="s">
        <v>114</v>
      </c>
      <c r="C1120" t="s">
        <v>1399</v>
      </c>
      <c r="D1120">
        <v>2</v>
      </c>
      <c r="E1120">
        <v>7500</v>
      </c>
      <c r="F1120">
        <v>32</v>
      </c>
      <c r="G1120">
        <v>420</v>
      </c>
      <c r="H1120" t="s">
        <v>101</v>
      </c>
      <c r="I1120" t="s">
        <v>101</v>
      </c>
      <c r="J1120" t="s">
        <v>101</v>
      </c>
      <c r="K1120" t="s">
        <v>101</v>
      </c>
      <c r="L1120" t="s">
        <v>117</v>
      </c>
      <c r="M1120" t="s">
        <v>110</v>
      </c>
      <c r="N1120">
        <v>0.13300000000000001</v>
      </c>
      <c r="O1120">
        <v>8.1000000000000003E-2</v>
      </c>
      <c r="P1120">
        <v>5.1999999999999998E-2</v>
      </c>
    </row>
    <row r="1121" spans="1:16" hidden="1">
      <c r="A1121" t="s">
        <v>98</v>
      </c>
      <c r="B1121" t="s">
        <v>148</v>
      </c>
      <c r="C1121" t="s">
        <v>1400</v>
      </c>
      <c r="D1121">
        <v>2</v>
      </c>
      <c r="E1121">
        <v>4000</v>
      </c>
      <c r="F1121">
        <v>0</v>
      </c>
      <c r="G1121">
        <v>20</v>
      </c>
      <c r="H1121" t="s">
        <v>101</v>
      </c>
      <c r="I1121" t="s">
        <v>101</v>
      </c>
      <c r="J1121" t="s">
        <v>101</v>
      </c>
      <c r="K1121" t="s">
        <v>101</v>
      </c>
      <c r="L1121" t="s">
        <v>117</v>
      </c>
      <c r="M1121" t="s">
        <v>110</v>
      </c>
      <c r="N1121">
        <v>5.1999999999999998E-2</v>
      </c>
      <c r="O1121">
        <v>3.4000000000000002E-2</v>
      </c>
      <c r="P1121">
        <v>2.3E-2</v>
      </c>
    </row>
    <row r="1122" spans="1:16" hidden="1">
      <c r="A1122" t="s">
        <v>98</v>
      </c>
      <c r="B1122" t="s">
        <v>114</v>
      </c>
      <c r="C1122" t="s">
        <v>1401</v>
      </c>
      <c r="D1122">
        <v>2</v>
      </c>
      <c r="E1122">
        <v>7500</v>
      </c>
      <c r="F1122">
        <v>32</v>
      </c>
      <c r="G1122">
        <v>420</v>
      </c>
      <c r="H1122" t="s">
        <v>101</v>
      </c>
      <c r="I1122" t="s">
        <v>101</v>
      </c>
      <c r="J1122" t="s">
        <v>101</v>
      </c>
      <c r="K1122" t="s">
        <v>101</v>
      </c>
      <c r="L1122" t="s">
        <v>117</v>
      </c>
      <c r="M1122" t="s">
        <v>110</v>
      </c>
      <c r="N1122">
        <v>0.13300000000000001</v>
      </c>
      <c r="O1122">
        <v>8.1000000000000003E-2</v>
      </c>
      <c r="P1122">
        <v>5.1999999999999998E-2</v>
      </c>
    </row>
    <row r="1123" spans="1:16" hidden="1">
      <c r="A1123" t="s">
        <v>98</v>
      </c>
      <c r="B1123" t="s">
        <v>114</v>
      </c>
      <c r="C1123" t="s">
        <v>1402</v>
      </c>
      <c r="D1123">
        <v>2</v>
      </c>
      <c r="E1123">
        <v>7500</v>
      </c>
      <c r="F1123">
        <v>32</v>
      </c>
      <c r="G1123">
        <v>820</v>
      </c>
      <c r="H1123" t="s">
        <v>101</v>
      </c>
      <c r="I1123" t="s">
        <v>101</v>
      </c>
      <c r="J1123" t="s">
        <v>101</v>
      </c>
      <c r="K1123" t="s">
        <v>101</v>
      </c>
      <c r="L1123" t="s">
        <v>117</v>
      </c>
      <c r="M1123" t="s">
        <v>110</v>
      </c>
      <c r="N1123">
        <v>0.13300000000000001</v>
      </c>
      <c r="O1123">
        <v>8.1000000000000003E-2</v>
      </c>
      <c r="P1123">
        <v>5.1999999999999998E-2</v>
      </c>
    </row>
    <row r="1124" spans="1:16" hidden="1">
      <c r="A1124" t="s">
        <v>98</v>
      </c>
      <c r="B1124" t="s">
        <v>99</v>
      </c>
      <c r="C1124" t="s">
        <v>1403</v>
      </c>
      <c r="D1124">
        <v>2</v>
      </c>
      <c r="E1124">
        <v>3750</v>
      </c>
      <c r="F1124">
        <v>32</v>
      </c>
      <c r="G1124">
        <v>20</v>
      </c>
      <c r="H1124" t="s">
        <v>101</v>
      </c>
      <c r="I1124" t="s">
        <v>101</v>
      </c>
      <c r="J1124" t="s">
        <v>101</v>
      </c>
      <c r="K1124" t="s">
        <v>101</v>
      </c>
      <c r="L1124" t="s">
        <v>1366</v>
      </c>
      <c r="M1124" t="s">
        <v>110</v>
      </c>
      <c r="N1124">
        <v>0.105</v>
      </c>
      <c r="O1124">
        <v>6.2E-2</v>
      </c>
      <c r="P1124">
        <v>3.9E-2</v>
      </c>
    </row>
    <row r="1125" spans="1:16" hidden="1">
      <c r="A1125" t="s">
        <v>98</v>
      </c>
      <c r="B1125" t="s">
        <v>99</v>
      </c>
      <c r="C1125" t="s">
        <v>1404</v>
      </c>
      <c r="D1125">
        <v>2</v>
      </c>
      <c r="E1125">
        <v>3750</v>
      </c>
      <c r="F1125">
        <v>32</v>
      </c>
      <c r="G1125">
        <v>20</v>
      </c>
      <c r="H1125" t="s">
        <v>101</v>
      </c>
      <c r="I1125" t="s">
        <v>101</v>
      </c>
      <c r="J1125" t="s">
        <v>101</v>
      </c>
      <c r="K1125" t="s">
        <v>101</v>
      </c>
      <c r="L1125" t="s">
        <v>1366</v>
      </c>
      <c r="M1125" t="s">
        <v>110</v>
      </c>
      <c r="N1125">
        <v>0.105</v>
      </c>
      <c r="O1125">
        <v>6.2E-2</v>
      </c>
      <c r="P1125">
        <v>3.9E-2</v>
      </c>
    </row>
    <row r="1126" spans="1:16" hidden="1">
      <c r="A1126" t="s">
        <v>98</v>
      </c>
      <c r="B1126" t="s">
        <v>99</v>
      </c>
      <c r="C1126" t="s">
        <v>1405</v>
      </c>
      <c r="D1126">
        <v>2</v>
      </c>
      <c r="E1126">
        <v>3750</v>
      </c>
      <c r="F1126">
        <v>32</v>
      </c>
      <c r="G1126">
        <v>20</v>
      </c>
      <c r="H1126" t="s">
        <v>101</v>
      </c>
      <c r="I1126" t="s">
        <v>101</v>
      </c>
      <c r="J1126" t="s">
        <v>101</v>
      </c>
      <c r="K1126" t="s">
        <v>101</v>
      </c>
      <c r="L1126" t="s">
        <v>101</v>
      </c>
      <c r="M1126" t="s">
        <v>110</v>
      </c>
      <c r="N1126">
        <v>0.105</v>
      </c>
      <c r="O1126">
        <v>6.2E-2</v>
      </c>
      <c r="P1126">
        <v>3.9E-2</v>
      </c>
    </row>
    <row r="1127" spans="1:16" hidden="1">
      <c r="A1127" t="s">
        <v>98</v>
      </c>
      <c r="B1127" t="s">
        <v>99</v>
      </c>
      <c r="C1127" t="s">
        <v>1406</v>
      </c>
      <c r="D1127">
        <v>2</v>
      </c>
      <c r="E1127">
        <v>3750</v>
      </c>
      <c r="F1127">
        <v>32</v>
      </c>
      <c r="G1127">
        <v>20</v>
      </c>
      <c r="H1127" t="s">
        <v>101</v>
      </c>
      <c r="I1127" t="s">
        <v>101</v>
      </c>
      <c r="J1127" t="s">
        <v>101</v>
      </c>
      <c r="K1127" t="s">
        <v>101</v>
      </c>
      <c r="L1127" t="s">
        <v>101</v>
      </c>
      <c r="M1127" t="s">
        <v>110</v>
      </c>
      <c r="N1127">
        <v>0.105</v>
      </c>
      <c r="O1127">
        <v>6.2E-2</v>
      </c>
      <c r="P1127">
        <v>3.9E-2</v>
      </c>
    </row>
    <row r="1128" spans="1:16">
      <c r="A1128" t="s">
        <v>98</v>
      </c>
      <c r="B1128" t="s">
        <v>99</v>
      </c>
      <c r="C1128" t="s">
        <v>1407</v>
      </c>
      <c r="D1128">
        <v>2</v>
      </c>
      <c r="E1128">
        <v>3750</v>
      </c>
      <c r="F1128">
        <v>32</v>
      </c>
      <c r="G1128">
        <v>20</v>
      </c>
      <c r="H1128" t="s">
        <v>101</v>
      </c>
      <c r="I1128" t="s">
        <v>106</v>
      </c>
      <c r="J1128" t="s">
        <v>180</v>
      </c>
      <c r="K1128" t="s">
        <v>108</v>
      </c>
      <c r="L1128" t="s">
        <v>1366</v>
      </c>
      <c r="M1128" t="s">
        <v>110</v>
      </c>
      <c r="N1128">
        <v>0.105</v>
      </c>
      <c r="O1128">
        <v>6.2E-2</v>
      </c>
      <c r="P1128">
        <v>3.9E-2</v>
      </c>
    </row>
    <row r="1129" spans="1:16">
      <c r="A1129" t="s">
        <v>98</v>
      </c>
      <c r="B1129" t="s">
        <v>99</v>
      </c>
      <c r="C1129" t="s">
        <v>1408</v>
      </c>
      <c r="D1129">
        <v>2</v>
      </c>
      <c r="E1129">
        <v>3750</v>
      </c>
      <c r="F1129">
        <v>32</v>
      </c>
      <c r="G1129">
        <v>20</v>
      </c>
      <c r="H1129" t="s">
        <v>101</v>
      </c>
      <c r="I1129" t="s">
        <v>106</v>
      </c>
      <c r="J1129" t="s">
        <v>180</v>
      </c>
      <c r="K1129" t="s">
        <v>108</v>
      </c>
      <c r="L1129" t="s">
        <v>1366</v>
      </c>
      <c r="M1129" t="s">
        <v>110</v>
      </c>
      <c r="N1129">
        <v>0.105</v>
      </c>
      <c r="O1129">
        <v>6.2E-2</v>
      </c>
      <c r="P1129">
        <v>3.9E-2</v>
      </c>
    </row>
    <row r="1130" spans="1:16">
      <c r="A1130" t="s">
        <v>98</v>
      </c>
      <c r="B1130" t="s">
        <v>99</v>
      </c>
      <c r="C1130" t="s">
        <v>1409</v>
      </c>
      <c r="D1130">
        <v>2</v>
      </c>
      <c r="E1130">
        <v>3750</v>
      </c>
      <c r="F1130">
        <v>32</v>
      </c>
      <c r="G1130">
        <v>20</v>
      </c>
      <c r="H1130" t="s">
        <v>101</v>
      </c>
      <c r="I1130" t="s">
        <v>106</v>
      </c>
      <c r="J1130" t="s">
        <v>180</v>
      </c>
      <c r="K1130" t="s">
        <v>108</v>
      </c>
      <c r="L1130" t="s">
        <v>1366</v>
      </c>
      <c r="M1130" t="s">
        <v>110</v>
      </c>
      <c r="N1130">
        <v>0.105</v>
      </c>
      <c r="O1130">
        <v>6.2E-2</v>
      </c>
      <c r="P1130">
        <v>3.9E-2</v>
      </c>
    </row>
    <row r="1131" spans="1:16">
      <c r="A1131" t="s">
        <v>98</v>
      </c>
      <c r="B1131" t="s">
        <v>99</v>
      </c>
      <c r="C1131" t="s">
        <v>1410</v>
      </c>
      <c r="D1131">
        <v>2</v>
      </c>
      <c r="E1131">
        <v>3750</v>
      </c>
      <c r="F1131">
        <v>32</v>
      </c>
      <c r="G1131">
        <v>20</v>
      </c>
      <c r="H1131" t="s">
        <v>101</v>
      </c>
      <c r="I1131" t="s">
        <v>106</v>
      </c>
      <c r="J1131" t="s">
        <v>180</v>
      </c>
      <c r="K1131" t="s">
        <v>108</v>
      </c>
      <c r="L1131" t="s">
        <v>1366</v>
      </c>
      <c r="M1131" t="s">
        <v>110</v>
      </c>
      <c r="N1131">
        <v>0.105</v>
      </c>
      <c r="O1131">
        <v>6.2E-2</v>
      </c>
      <c r="P1131">
        <v>3.9E-2</v>
      </c>
    </row>
    <row r="1132" spans="1:16">
      <c r="A1132" t="s">
        <v>98</v>
      </c>
      <c r="B1132" t="s">
        <v>99</v>
      </c>
      <c r="C1132" t="s">
        <v>1411</v>
      </c>
      <c r="D1132">
        <v>2</v>
      </c>
      <c r="E1132">
        <v>3750</v>
      </c>
      <c r="F1132">
        <v>32</v>
      </c>
      <c r="G1132">
        <v>20</v>
      </c>
      <c r="H1132" t="s">
        <v>101</v>
      </c>
      <c r="I1132" t="s">
        <v>106</v>
      </c>
      <c r="J1132" t="s">
        <v>227</v>
      </c>
      <c r="K1132" t="s">
        <v>108</v>
      </c>
      <c r="L1132" t="s">
        <v>228</v>
      </c>
      <c r="M1132" t="s">
        <v>110</v>
      </c>
      <c r="N1132">
        <v>0.105</v>
      </c>
      <c r="O1132">
        <v>6.2E-2</v>
      </c>
      <c r="P1132">
        <v>3.9E-2</v>
      </c>
    </row>
    <row r="1133" spans="1:16">
      <c r="A1133" t="s">
        <v>98</v>
      </c>
      <c r="B1133" t="s">
        <v>99</v>
      </c>
      <c r="C1133" t="s">
        <v>1412</v>
      </c>
      <c r="D1133">
        <v>2</v>
      </c>
      <c r="E1133">
        <v>3750</v>
      </c>
      <c r="F1133">
        <v>32</v>
      </c>
      <c r="G1133">
        <v>20</v>
      </c>
      <c r="H1133" t="s">
        <v>101</v>
      </c>
      <c r="I1133" t="s">
        <v>106</v>
      </c>
      <c r="J1133" t="s">
        <v>227</v>
      </c>
      <c r="K1133" t="s">
        <v>108</v>
      </c>
      <c r="L1133" t="s">
        <v>228</v>
      </c>
      <c r="M1133" t="s">
        <v>110</v>
      </c>
      <c r="N1133">
        <v>0.105</v>
      </c>
      <c r="O1133">
        <v>6.2E-2</v>
      </c>
      <c r="P1133">
        <v>3.9E-2</v>
      </c>
    </row>
    <row r="1134" spans="1:16">
      <c r="A1134" t="s">
        <v>98</v>
      </c>
      <c r="B1134" t="s">
        <v>99</v>
      </c>
      <c r="C1134" t="s">
        <v>1413</v>
      </c>
      <c r="D1134">
        <v>2</v>
      </c>
      <c r="E1134">
        <v>3750</v>
      </c>
      <c r="F1134">
        <v>32</v>
      </c>
      <c r="G1134">
        <v>20</v>
      </c>
      <c r="H1134" t="s">
        <v>101</v>
      </c>
      <c r="I1134" t="s">
        <v>106</v>
      </c>
      <c r="J1134" t="s">
        <v>227</v>
      </c>
      <c r="K1134" t="s">
        <v>108</v>
      </c>
      <c r="L1134" t="s">
        <v>228</v>
      </c>
      <c r="M1134" t="s">
        <v>110</v>
      </c>
      <c r="N1134">
        <v>0.105</v>
      </c>
      <c r="O1134">
        <v>6.2E-2</v>
      </c>
      <c r="P1134">
        <v>3.9E-2</v>
      </c>
    </row>
    <row r="1135" spans="1:16">
      <c r="A1135" t="s">
        <v>98</v>
      </c>
      <c r="B1135" t="s">
        <v>99</v>
      </c>
      <c r="C1135" t="s">
        <v>1414</v>
      </c>
      <c r="D1135">
        <v>2</v>
      </c>
      <c r="E1135">
        <v>3750</v>
      </c>
      <c r="F1135">
        <v>32</v>
      </c>
      <c r="G1135">
        <v>20</v>
      </c>
      <c r="H1135" t="s">
        <v>101</v>
      </c>
      <c r="I1135" t="s">
        <v>106</v>
      </c>
      <c r="J1135" t="s">
        <v>227</v>
      </c>
      <c r="K1135" t="s">
        <v>108</v>
      </c>
      <c r="L1135" t="s">
        <v>228</v>
      </c>
      <c r="M1135" t="s">
        <v>110</v>
      </c>
      <c r="N1135">
        <v>0.105</v>
      </c>
      <c r="O1135">
        <v>6.2E-2</v>
      </c>
      <c r="P1135">
        <v>3.9E-2</v>
      </c>
    </row>
    <row r="1136" spans="1:16">
      <c r="A1136" t="s">
        <v>98</v>
      </c>
      <c r="B1136" t="s">
        <v>99</v>
      </c>
      <c r="C1136" t="s">
        <v>1415</v>
      </c>
      <c r="D1136">
        <v>2</v>
      </c>
      <c r="E1136">
        <v>3750</v>
      </c>
      <c r="F1136">
        <v>32</v>
      </c>
      <c r="G1136">
        <v>20</v>
      </c>
      <c r="H1136" t="s">
        <v>101</v>
      </c>
      <c r="I1136" t="s">
        <v>106</v>
      </c>
      <c r="J1136" t="s">
        <v>227</v>
      </c>
      <c r="K1136" t="s">
        <v>108</v>
      </c>
      <c r="L1136" t="s">
        <v>228</v>
      </c>
      <c r="M1136" t="s">
        <v>110</v>
      </c>
      <c r="N1136">
        <v>0.105</v>
      </c>
      <c r="O1136">
        <v>6.2E-2</v>
      </c>
      <c r="P1136">
        <v>3.9E-2</v>
      </c>
    </row>
    <row r="1137" spans="1:16">
      <c r="A1137" t="s">
        <v>98</v>
      </c>
      <c r="B1137" t="s">
        <v>99</v>
      </c>
      <c r="C1137" t="s">
        <v>1416</v>
      </c>
      <c r="D1137">
        <v>2</v>
      </c>
      <c r="E1137">
        <v>3750</v>
      </c>
      <c r="F1137">
        <v>32</v>
      </c>
      <c r="G1137">
        <v>20</v>
      </c>
      <c r="H1137" t="s">
        <v>101</v>
      </c>
      <c r="I1137" t="s">
        <v>106</v>
      </c>
      <c r="J1137" t="s">
        <v>227</v>
      </c>
      <c r="K1137" t="s">
        <v>108</v>
      </c>
      <c r="L1137" t="s">
        <v>228</v>
      </c>
      <c r="M1137" t="s">
        <v>110</v>
      </c>
      <c r="N1137">
        <v>0.105</v>
      </c>
      <c r="O1137">
        <v>6.2E-2</v>
      </c>
      <c r="P1137">
        <v>3.9E-2</v>
      </c>
    </row>
    <row r="1138" spans="1:16">
      <c r="A1138" t="s">
        <v>98</v>
      </c>
      <c r="B1138" t="s">
        <v>99</v>
      </c>
      <c r="C1138" t="s">
        <v>1417</v>
      </c>
      <c r="D1138">
        <v>2</v>
      </c>
      <c r="E1138">
        <v>3750</v>
      </c>
      <c r="F1138">
        <v>32</v>
      </c>
      <c r="G1138">
        <v>20</v>
      </c>
      <c r="H1138" t="s">
        <v>101</v>
      </c>
      <c r="I1138" t="s">
        <v>106</v>
      </c>
      <c r="J1138" t="s">
        <v>227</v>
      </c>
      <c r="K1138" t="s">
        <v>108</v>
      </c>
      <c r="L1138" t="s">
        <v>228</v>
      </c>
      <c r="M1138" t="s">
        <v>110</v>
      </c>
      <c r="N1138">
        <v>0.105</v>
      </c>
      <c r="O1138">
        <v>6.2E-2</v>
      </c>
      <c r="P1138">
        <v>3.9E-2</v>
      </c>
    </row>
    <row r="1139" spans="1:16">
      <c r="A1139" t="s">
        <v>98</v>
      </c>
      <c r="B1139" t="s">
        <v>148</v>
      </c>
      <c r="C1139" t="s">
        <v>1418</v>
      </c>
      <c r="D1139">
        <v>2</v>
      </c>
      <c r="E1139">
        <v>4000</v>
      </c>
      <c r="F1139">
        <v>0</v>
      </c>
      <c r="G1139">
        <v>20</v>
      </c>
      <c r="H1139" t="s">
        <v>101</v>
      </c>
      <c r="I1139" t="s">
        <v>106</v>
      </c>
      <c r="J1139" t="s">
        <v>153</v>
      </c>
      <c r="K1139" t="s">
        <v>108</v>
      </c>
      <c r="L1139" t="s">
        <v>1419</v>
      </c>
      <c r="M1139" t="s">
        <v>110</v>
      </c>
      <c r="N1139">
        <v>5.1999999999999998E-2</v>
      </c>
      <c r="O1139">
        <v>3.4000000000000002E-2</v>
      </c>
      <c r="P1139">
        <v>2.3E-2</v>
      </c>
    </row>
    <row r="1140" spans="1:16">
      <c r="A1140" t="s">
        <v>98</v>
      </c>
      <c r="B1140" t="s">
        <v>141</v>
      </c>
      <c r="C1140" t="s">
        <v>1420</v>
      </c>
      <c r="D1140">
        <v>4</v>
      </c>
      <c r="E1140">
        <v>15000</v>
      </c>
      <c r="F1140">
        <v>80</v>
      </c>
      <c r="G1140">
        <v>1420</v>
      </c>
      <c r="H1140" t="s">
        <v>101</v>
      </c>
      <c r="I1140" t="s">
        <v>106</v>
      </c>
      <c r="J1140" t="s">
        <v>153</v>
      </c>
      <c r="K1140" t="s">
        <v>108</v>
      </c>
      <c r="L1140" t="s">
        <v>1419</v>
      </c>
      <c r="M1140" t="s">
        <v>110</v>
      </c>
      <c r="N1140">
        <v>0.26600000000000001</v>
      </c>
      <c r="O1140">
        <v>0.16300000000000001</v>
      </c>
      <c r="P1140">
        <v>0.104</v>
      </c>
    </row>
    <row r="1141" spans="1:16">
      <c r="A1141" t="s">
        <v>98</v>
      </c>
      <c r="B1141" t="s">
        <v>141</v>
      </c>
      <c r="C1141" t="s">
        <v>1421</v>
      </c>
      <c r="D1141">
        <v>4</v>
      </c>
      <c r="E1141">
        <v>15000</v>
      </c>
      <c r="F1141">
        <v>80</v>
      </c>
      <c r="G1141">
        <v>420</v>
      </c>
      <c r="H1141" t="s">
        <v>101</v>
      </c>
      <c r="I1141" t="s">
        <v>106</v>
      </c>
      <c r="J1141" t="s">
        <v>153</v>
      </c>
      <c r="K1141" t="s">
        <v>108</v>
      </c>
      <c r="L1141" t="s">
        <v>1419</v>
      </c>
      <c r="M1141" t="s">
        <v>110</v>
      </c>
      <c r="N1141">
        <v>0.26600000000000001</v>
      </c>
      <c r="O1141">
        <v>0.16300000000000001</v>
      </c>
      <c r="P1141">
        <v>0.104</v>
      </c>
    </row>
    <row r="1142" spans="1:16">
      <c r="A1142" t="s">
        <v>98</v>
      </c>
      <c r="B1142" t="s">
        <v>141</v>
      </c>
      <c r="C1142" t="s">
        <v>1422</v>
      </c>
      <c r="D1142">
        <v>4</v>
      </c>
      <c r="E1142">
        <v>15000</v>
      </c>
      <c r="F1142">
        <v>80</v>
      </c>
      <c r="G1142">
        <v>420</v>
      </c>
      <c r="H1142" t="s">
        <v>101</v>
      </c>
      <c r="I1142" t="s">
        <v>106</v>
      </c>
      <c r="J1142" t="s">
        <v>153</v>
      </c>
      <c r="K1142" t="s">
        <v>108</v>
      </c>
      <c r="L1142" t="s">
        <v>1419</v>
      </c>
      <c r="M1142" t="s">
        <v>110</v>
      </c>
      <c r="N1142">
        <v>0.26600000000000001</v>
      </c>
      <c r="O1142">
        <v>0.16300000000000001</v>
      </c>
      <c r="P1142">
        <v>0.104</v>
      </c>
    </row>
    <row r="1143" spans="1:16">
      <c r="A1143" t="s">
        <v>98</v>
      </c>
      <c r="B1143" t="s">
        <v>141</v>
      </c>
      <c r="C1143" t="s">
        <v>1423</v>
      </c>
      <c r="D1143">
        <v>4</v>
      </c>
      <c r="E1143">
        <v>15000</v>
      </c>
      <c r="F1143">
        <v>80</v>
      </c>
      <c r="G1143">
        <v>420</v>
      </c>
      <c r="H1143" t="s">
        <v>101</v>
      </c>
      <c r="I1143" t="s">
        <v>106</v>
      </c>
      <c r="J1143" t="s">
        <v>153</v>
      </c>
      <c r="K1143" t="s">
        <v>108</v>
      </c>
      <c r="L1143" t="s">
        <v>1419</v>
      </c>
      <c r="M1143" t="s">
        <v>110</v>
      </c>
      <c r="N1143">
        <v>0.26600000000000001</v>
      </c>
      <c r="O1143">
        <v>0.16300000000000001</v>
      </c>
      <c r="P1143">
        <v>0.104</v>
      </c>
    </row>
    <row r="1144" spans="1:16" hidden="1">
      <c r="A1144" t="s">
        <v>98</v>
      </c>
      <c r="B1144" t="s">
        <v>99</v>
      </c>
      <c r="C1144" t="s">
        <v>1424</v>
      </c>
      <c r="D1144">
        <v>2</v>
      </c>
      <c r="E1144">
        <v>3750</v>
      </c>
      <c r="F1144">
        <v>32</v>
      </c>
      <c r="G1144">
        <v>20</v>
      </c>
      <c r="H1144" t="s">
        <v>101</v>
      </c>
      <c r="I1144" t="s">
        <v>101</v>
      </c>
      <c r="J1144" t="s">
        <v>101</v>
      </c>
      <c r="K1144" t="s">
        <v>101</v>
      </c>
      <c r="L1144" t="s">
        <v>124</v>
      </c>
      <c r="M1144" t="s">
        <v>110</v>
      </c>
      <c r="N1144">
        <v>0.105</v>
      </c>
      <c r="O1144">
        <v>6.2E-2</v>
      </c>
      <c r="P1144">
        <v>3.9E-2</v>
      </c>
    </row>
    <row r="1145" spans="1:16">
      <c r="A1145" t="s">
        <v>98</v>
      </c>
      <c r="B1145" t="s">
        <v>99</v>
      </c>
      <c r="C1145" t="s">
        <v>1425</v>
      </c>
      <c r="D1145">
        <v>2</v>
      </c>
      <c r="E1145">
        <v>3750</v>
      </c>
      <c r="F1145">
        <v>32</v>
      </c>
      <c r="G1145">
        <v>20</v>
      </c>
      <c r="H1145" t="s">
        <v>101</v>
      </c>
      <c r="I1145" t="s">
        <v>106</v>
      </c>
      <c r="J1145" t="s">
        <v>297</v>
      </c>
      <c r="K1145" t="s">
        <v>108</v>
      </c>
      <c r="L1145" t="s">
        <v>1366</v>
      </c>
      <c r="M1145" t="s">
        <v>110</v>
      </c>
      <c r="N1145">
        <v>0.105</v>
      </c>
      <c r="O1145">
        <v>6.2E-2</v>
      </c>
      <c r="P1145">
        <v>3.9E-2</v>
      </c>
    </row>
    <row r="1146" spans="1:16">
      <c r="A1146" t="s">
        <v>98</v>
      </c>
      <c r="B1146" t="s">
        <v>99</v>
      </c>
      <c r="C1146" t="s">
        <v>1426</v>
      </c>
      <c r="D1146">
        <v>2</v>
      </c>
      <c r="E1146">
        <v>3750</v>
      </c>
      <c r="F1146">
        <v>32</v>
      </c>
      <c r="G1146">
        <v>20</v>
      </c>
      <c r="H1146" t="s">
        <v>101</v>
      </c>
      <c r="I1146" t="s">
        <v>106</v>
      </c>
      <c r="J1146" t="s">
        <v>297</v>
      </c>
      <c r="K1146" t="s">
        <v>108</v>
      </c>
      <c r="L1146" t="s">
        <v>1366</v>
      </c>
      <c r="M1146" t="s">
        <v>110</v>
      </c>
      <c r="N1146">
        <v>0.105</v>
      </c>
      <c r="O1146">
        <v>6.2E-2</v>
      </c>
      <c r="P1146">
        <v>3.9E-2</v>
      </c>
    </row>
    <row r="1147" spans="1:16">
      <c r="A1147" t="s">
        <v>98</v>
      </c>
      <c r="B1147" t="s">
        <v>114</v>
      </c>
      <c r="C1147" t="s">
        <v>1427</v>
      </c>
      <c r="D1147">
        <v>2</v>
      </c>
      <c r="E1147">
        <v>7500</v>
      </c>
      <c r="F1147">
        <v>32</v>
      </c>
      <c r="G1147">
        <v>420</v>
      </c>
      <c r="H1147" t="s">
        <v>101</v>
      </c>
      <c r="I1147" t="s">
        <v>106</v>
      </c>
      <c r="J1147" t="s">
        <v>153</v>
      </c>
      <c r="K1147" t="s">
        <v>108</v>
      </c>
      <c r="L1147" t="s">
        <v>117</v>
      </c>
      <c r="M1147" t="s">
        <v>110</v>
      </c>
      <c r="N1147">
        <v>0.13300000000000001</v>
      </c>
      <c r="O1147">
        <v>8.1000000000000003E-2</v>
      </c>
      <c r="P1147">
        <v>5.1999999999999998E-2</v>
      </c>
    </row>
    <row r="1148" spans="1:16">
      <c r="A1148" t="s">
        <v>98</v>
      </c>
      <c r="B1148" t="s">
        <v>114</v>
      </c>
      <c r="C1148" t="s">
        <v>1428</v>
      </c>
      <c r="D1148">
        <v>2</v>
      </c>
      <c r="E1148">
        <v>7500</v>
      </c>
      <c r="F1148">
        <v>32</v>
      </c>
      <c r="G1148">
        <v>820</v>
      </c>
      <c r="H1148" t="s">
        <v>101</v>
      </c>
      <c r="I1148" t="s">
        <v>106</v>
      </c>
      <c r="J1148" t="s">
        <v>153</v>
      </c>
      <c r="K1148" t="s">
        <v>108</v>
      </c>
      <c r="L1148" t="s">
        <v>117</v>
      </c>
      <c r="M1148" t="s">
        <v>110</v>
      </c>
      <c r="N1148">
        <v>0.13300000000000001</v>
      </c>
      <c r="O1148">
        <v>8.1000000000000003E-2</v>
      </c>
      <c r="P1148">
        <v>5.1999999999999998E-2</v>
      </c>
    </row>
    <row r="1149" spans="1:16">
      <c r="A1149" t="s">
        <v>98</v>
      </c>
      <c r="B1149" t="s">
        <v>99</v>
      </c>
      <c r="C1149" t="s">
        <v>1429</v>
      </c>
      <c r="D1149">
        <v>2</v>
      </c>
      <c r="E1149">
        <v>3750</v>
      </c>
      <c r="F1149">
        <v>32</v>
      </c>
      <c r="G1149">
        <v>20</v>
      </c>
      <c r="H1149" t="s">
        <v>101</v>
      </c>
      <c r="I1149" t="s">
        <v>106</v>
      </c>
      <c r="J1149" t="s">
        <v>297</v>
      </c>
      <c r="K1149" t="s">
        <v>108</v>
      </c>
      <c r="L1149" t="s">
        <v>1366</v>
      </c>
      <c r="M1149" t="s">
        <v>110</v>
      </c>
      <c r="N1149">
        <v>0.105</v>
      </c>
      <c r="O1149">
        <v>6.2E-2</v>
      </c>
      <c r="P1149">
        <v>3.9E-2</v>
      </c>
    </row>
    <row r="1150" spans="1:16">
      <c r="A1150" t="s">
        <v>98</v>
      </c>
      <c r="B1150" t="s">
        <v>141</v>
      </c>
      <c r="C1150" t="s">
        <v>1430</v>
      </c>
      <c r="D1150">
        <v>4</v>
      </c>
      <c r="E1150">
        <v>15000</v>
      </c>
      <c r="F1150">
        <v>80</v>
      </c>
      <c r="G1150">
        <v>420</v>
      </c>
      <c r="H1150" t="s">
        <v>101</v>
      </c>
      <c r="I1150" t="s">
        <v>106</v>
      </c>
      <c r="J1150" t="s">
        <v>153</v>
      </c>
      <c r="K1150" t="s">
        <v>108</v>
      </c>
      <c r="L1150" t="s">
        <v>117</v>
      </c>
      <c r="M1150" t="s">
        <v>110</v>
      </c>
      <c r="N1150">
        <v>0.26600000000000001</v>
      </c>
      <c r="O1150">
        <v>0.16300000000000001</v>
      </c>
      <c r="P1150">
        <v>0.104</v>
      </c>
    </row>
    <row r="1151" spans="1:16">
      <c r="A1151" t="s">
        <v>98</v>
      </c>
      <c r="B1151" t="s">
        <v>148</v>
      </c>
      <c r="C1151" t="s">
        <v>1431</v>
      </c>
      <c r="D1151">
        <v>2</v>
      </c>
      <c r="E1151">
        <v>4000</v>
      </c>
      <c r="F1151">
        <v>0</v>
      </c>
      <c r="G1151">
        <v>20</v>
      </c>
      <c r="H1151" t="s">
        <v>101</v>
      </c>
      <c r="I1151" t="s">
        <v>106</v>
      </c>
      <c r="J1151" t="s">
        <v>153</v>
      </c>
      <c r="K1151" t="s">
        <v>108</v>
      </c>
      <c r="L1151" t="s">
        <v>117</v>
      </c>
      <c r="M1151" t="s">
        <v>110</v>
      </c>
      <c r="N1151">
        <v>5.1999999999999998E-2</v>
      </c>
      <c r="O1151">
        <v>3.4000000000000002E-2</v>
      </c>
      <c r="P1151">
        <v>2.3E-2</v>
      </c>
    </row>
    <row r="1152" spans="1:16">
      <c r="A1152" t="s">
        <v>98</v>
      </c>
      <c r="B1152" t="s">
        <v>141</v>
      </c>
      <c r="C1152" t="s">
        <v>1432</v>
      </c>
      <c r="D1152">
        <v>4</v>
      </c>
      <c r="E1152">
        <v>15000</v>
      </c>
      <c r="F1152">
        <v>80</v>
      </c>
      <c r="G1152">
        <v>420</v>
      </c>
      <c r="H1152" t="s">
        <v>101</v>
      </c>
      <c r="I1152" t="s">
        <v>106</v>
      </c>
      <c r="J1152" t="s">
        <v>153</v>
      </c>
      <c r="K1152" t="s">
        <v>108</v>
      </c>
      <c r="L1152" t="s">
        <v>117</v>
      </c>
      <c r="M1152" t="s">
        <v>110</v>
      </c>
      <c r="N1152">
        <v>0.26600000000000001</v>
      </c>
      <c r="O1152">
        <v>0.16300000000000001</v>
      </c>
      <c r="P1152">
        <v>0.104</v>
      </c>
    </row>
    <row r="1153" spans="1:16">
      <c r="A1153" t="s">
        <v>98</v>
      </c>
      <c r="B1153" t="s">
        <v>141</v>
      </c>
      <c r="C1153" t="s">
        <v>1433</v>
      </c>
      <c r="D1153">
        <v>4</v>
      </c>
      <c r="E1153">
        <v>15000</v>
      </c>
      <c r="F1153">
        <v>80</v>
      </c>
      <c r="G1153">
        <v>820</v>
      </c>
      <c r="H1153" t="s">
        <v>101</v>
      </c>
      <c r="I1153" t="s">
        <v>106</v>
      </c>
      <c r="J1153" t="s">
        <v>153</v>
      </c>
      <c r="K1153" t="s">
        <v>108</v>
      </c>
      <c r="L1153" t="s">
        <v>117</v>
      </c>
      <c r="M1153" t="s">
        <v>110</v>
      </c>
      <c r="N1153">
        <v>0.26600000000000001</v>
      </c>
      <c r="O1153">
        <v>0.16300000000000001</v>
      </c>
      <c r="P1153">
        <v>0.104</v>
      </c>
    </row>
    <row r="1154" spans="1:16">
      <c r="A1154" t="s">
        <v>98</v>
      </c>
      <c r="B1154" t="s">
        <v>148</v>
      </c>
      <c r="C1154" t="s">
        <v>1434</v>
      </c>
      <c r="D1154">
        <v>2</v>
      </c>
      <c r="E1154">
        <v>4000</v>
      </c>
      <c r="F1154">
        <v>0</v>
      </c>
      <c r="G1154">
        <v>20</v>
      </c>
      <c r="H1154" t="s">
        <v>101</v>
      </c>
      <c r="I1154" t="s">
        <v>106</v>
      </c>
      <c r="J1154" t="s">
        <v>153</v>
      </c>
      <c r="K1154" t="s">
        <v>108</v>
      </c>
      <c r="L1154" t="s">
        <v>117</v>
      </c>
      <c r="M1154" t="s">
        <v>110</v>
      </c>
      <c r="N1154">
        <v>5.1999999999999998E-2</v>
      </c>
      <c r="O1154">
        <v>3.4000000000000002E-2</v>
      </c>
      <c r="P1154">
        <v>2.3E-2</v>
      </c>
    </row>
    <row r="1155" spans="1:16">
      <c r="A1155" t="s">
        <v>98</v>
      </c>
      <c r="B1155" t="s">
        <v>114</v>
      </c>
      <c r="C1155" t="s">
        <v>1435</v>
      </c>
      <c r="D1155">
        <v>2</v>
      </c>
      <c r="E1155">
        <v>7500</v>
      </c>
      <c r="F1155">
        <v>32</v>
      </c>
      <c r="G1155">
        <v>420</v>
      </c>
      <c r="H1155" t="s">
        <v>101</v>
      </c>
      <c r="I1155" t="s">
        <v>106</v>
      </c>
      <c r="J1155" t="s">
        <v>153</v>
      </c>
      <c r="K1155" t="s">
        <v>108</v>
      </c>
      <c r="L1155" t="s">
        <v>117</v>
      </c>
      <c r="M1155" t="s">
        <v>110</v>
      </c>
      <c r="N1155">
        <v>0.13300000000000001</v>
      </c>
      <c r="O1155">
        <v>8.1000000000000003E-2</v>
      </c>
      <c r="P1155">
        <v>5.1999999999999998E-2</v>
      </c>
    </row>
    <row r="1156" spans="1:16">
      <c r="A1156" t="s">
        <v>98</v>
      </c>
      <c r="B1156" t="s">
        <v>141</v>
      </c>
      <c r="C1156" t="s">
        <v>1436</v>
      </c>
      <c r="D1156">
        <v>4</v>
      </c>
      <c r="E1156">
        <v>15000</v>
      </c>
      <c r="F1156">
        <v>80</v>
      </c>
      <c r="G1156">
        <v>420</v>
      </c>
      <c r="H1156" t="s">
        <v>101</v>
      </c>
      <c r="I1156" t="s">
        <v>106</v>
      </c>
      <c r="J1156" t="s">
        <v>153</v>
      </c>
      <c r="K1156" t="s">
        <v>108</v>
      </c>
      <c r="L1156" t="s">
        <v>117</v>
      </c>
      <c r="M1156" t="s">
        <v>110</v>
      </c>
      <c r="N1156">
        <v>0.26600000000000001</v>
      </c>
      <c r="O1156">
        <v>0.16300000000000001</v>
      </c>
      <c r="P1156">
        <v>0.104</v>
      </c>
    </row>
    <row r="1157" spans="1:16">
      <c r="A1157" t="s">
        <v>98</v>
      </c>
      <c r="B1157" t="s">
        <v>114</v>
      </c>
      <c r="C1157" t="s">
        <v>1437</v>
      </c>
      <c r="D1157">
        <v>2</v>
      </c>
      <c r="E1157">
        <v>7500</v>
      </c>
      <c r="F1157">
        <v>32</v>
      </c>
      <c r="G1157">
        <v>420</v>
      </c>
      <c r="H1157" t="s">
        <v>101</v>
      </c>
      <c r="I1157" t="s">
        <v>106</v>
      </c>
      <c r="J1157" t="s">
        <v>153</v>
      </c>
      <c r="K1157" t="s">
        <v>108</v>
      </c>
      <c r="L1157" t="s">
        <v>117</v>
      </c>
      <c r="M1157" t="s">
        <v>110</v>
      </c>
      <c r="N1157">
        <v>0.13300000000000001</v>
      </c>
      <c r="O1157">
        <v>8.1000000000000003E-2</v>
      </c>
      <c r="P1157">
        <v>5.1999999999999998E-2</v>
      </c>
    </row>
    <row r="1158" spans="1:16">
      <c r="A1158" t="s">
        <v>98</v>
      </c>
      <c r="B1158" t="s">
        <v>99</v>
      </c>
      <c r="C1158" t="s">
        <v>1438</v>
      </c>
      <c r="D1158">
        <v>2</v>
      </c>
      <c r="E1158">
        <v>3750</v>
      </c>
      <c r="F1158">
        <v>32</v>
      </c>
      <c r="G1158">
        <v>20</v>
      </c>
      <c r="H1158" t="s">
        <v>101</v>
      </c>
      <c r="I1158" t="s">
        <v>106</v>
      </c>
      <c r="J1158" t="s">
        <v>297</v>
      </c>
      <c r="K1158" t="s">
        <v>108</v>
      </c>
      <c r="L1158" t="s">
        <v>124</v>
      </c>
      <c r="M1158" t="s">
        <v>110</v>
      </c>
      <c r="N1158">
        <v>0.105</v>
      </c>
      <c r="O1158">
        <v>6.2E-2</v>
      </c>
      <c r="P1158">
        <v>3.9E-2</v>
      </c>
    </row>
    <row r="1159" spans="1:16">
      <c r="A1159" t="s">
        <v>98</v>
      </c>
      <c r="B1159" t="s">
        <v>114</v>
      </c>
      <c r="C1159" t="s">
        <v>1439</v>
      </c>
      <c r="D1159">
        <v>2</v>
      </c>
      <c r="E1159">
        <v>7500</v>
      </c>
      <c r="F1159">
        <v>32</v>
      </c>
      <c r="G1159">
        <v>20</v>
      </c>
      <c r="H1159" t="s">
        <v>101</v>
      </c>
      <c r="I1159" t="s">
        <v>106</v>
      </c>
      <c r="J1159" t="s">
        <v>251</v>
      </c>
      <c r="K1159" t="s">
        <v>108</v>
      </c>
      <c r="L1159" t="s">
        <v>1419</v>
      </c>
      <c r="M1159" t="s">
        <v>110</v>
      </c>
      <c r="N1159">
        <v>0.13300000000000001</v>
      </c>
      <c r="O1159">
        <v>8.1000000000000003E-2</v>
      </c>
      <c r="P1159">
        <v>5.1999999999999998E-2</v>
      </c>
    </row>
    <row r="1160" spans="1:16">
      <c r="A1160" t="s">
        <v>98</v>
      </c>
      <c r="B1160" t="s">
        <v>99</v>
      </c>
      <c r="C1160" t="s">
        <v>1440</v>
      </c>
      <c r="D1160">
        <v>2</v>
      </c>
      <c r="E1160">
        <v>3750</v>
      </c>
      <c r="F1160">
        <v>32</v>
      </c>
      <c r="G1160">
        <v>20</v>
      </c>
      <c r="H1160" t="s">
        <v>101</v>
      </c>
      <c r="I1160" t="s">
        <v>106</v>
      </c>
      <c r="J1160" t="s">
        <v>297</v>
      </c>
      <c r="K1160" t="s">
        <v>108</v>
      </c>
      <c r="L1160" t="s">
        <v>124</v>
      </c>
      <c r="M1160" t="s">
        <v>110</v>
      </c>
      <c r="N1160">
        <v>0.105</v>
      </c>
      <c r="O1160">
        <v>6.2E-2</v>
      </c>
      <c r="P1160">
        <v>3.9E-2</v>
      </c>
    </row>
    <row r="1161" spans="1:16" hidden="1">
      <c r="A1161" t="s">
        <v>98</v>
      </c>
      <c r="B1161" t="s">
        <v>99</v>
      </c>
      <c r="C1161" t="s">
        <v>1441</v>
      </c>
      <c r="D1161">
        <v>2</v>
      </c>
      <c r="E1161">
        <v>3750</v>
      </c>
      <c r="F1161">
        <v>32</v>
      </c>
      <c r="G1161">
        <v>20</v>
      </c>
      <c r="H1161" t="s">
        <v>101</v>
      </c>
      <c r="I1161" t="s">
        <v>101</v>
      </c>
      <c r="J1161" t="s">
        <v>101</v>
      </c>
      <c r="K1161" t="s">
        <v>101</v>
      </c>
      <c r="L1161" t="s">
        <v>124</v>
      </c>
      <c r="M1161" t="s">
        <v>110</v>
      </c>
      <c r="N1161">
        <v>0.105</v>
      </c>
      <c r="O1161">
        <v>6.2E-2</v>
      </c>
      <c r="P1161">
        <v>3.9E-2</v>
      </c>
    </row>
    <row r="1162" spans="1:16">
      <c r="A1162" t="s">
        <v>98</v>
      </c>
      <c r="B1162" t="s">
        <v>99</v>
      </c>
      <c r="C1162" t="s">
        <v>1442</v>
      </c>
      <c r="D1162">
        <v>2</v>
      </c>
      <c r="E1162">
        <v>3750</v>
      </c>
      <c r="F1162">
        <v>32</v>
      </c>
      <c r="G1162">
        <v>20</v>
      </c>
      <c r="H1162" t="s">
        <v>101</v>
      </c>
      <c r="I1162" t="s">
        <v>106</v>
      </c>
      <c r="J1162" t="s">
        <v>563</v>
      </c>
      <c r="K1162" t="s">
        <v>108</v>
      </c>
      <c r="L1162" t="s">
        <v>1366</v>
      </c>
      <c r="M1162" t="s">
        <v>110</v>
      </c>
      <c r="N1162">
        <v>0.105</v>
      </c>
      <c r="O1162">
        <v>6.2E-2</v>
      </c>
      <c r="P1162">
        <v>3.9E-2</v>
      </c>
    </row>
    <row r="1163" spans="1:16">
      <c r="A1163" t="s">
        <v>98</v>
      </c>
      <c r="B1163" t="s">
        <v>99</v>
      </c>
      <c r="C1163" t="s">
        <v>1443</v>
      </c>
      <c r="D1163">
        <v>2</v>
      </c>
      <c r="E1163">
        <v>3750</v>
      </c>
      <c r="F1163">
        <v>32</v>
      </c>
      <c r="G1163">
        <v>20</v>
      </c>
      <c r="H1163" t="s">
        <v>101</v>
      </c>
      <c r="I1163" t="s">
        <v>106</v>
      </c>
      <c r="J1163" t="s">
        <v>563</v>
      </c>
      <c r="K1163" t="s">
        <v>108</v>
      </c>
      <c r="L1163" t="s">
        <v>1366</v>
      </c>
      <c r="M1163" t="s">
        <v>110</v>
      </c>
      <c r="N1163">
        <v>0.105</v>
      </c>
      <c r="O1163">
        <v>6.2E-2</v>
      </c>
      <c r="P1163">
        <v>3.9E-2</v>
      </c>
    </row>
    <row r="1164" spans="1:16">
      <c r="A1164" t="s">
        <v>98</v>
      </c>
      <c r="B1164" t="s">
        <v>114</v>
      </c>
      <c r="C1164" t="s">
        <v>1444</v>
      </c>
      <c r="D1164">
        <v>2</v>
      </c>
      <c r="E1164">
        <v>7500</v>
      </c>
      <c r="F1164">
        <v>32</v>
      </c>
      <c r="G1164">
        <v>20</v>
      </c>
      <c r="H1164" t="s">
        <v>101</v>
      </c>
      <c r="I1164" t="s">
        <v>106</v>
      </c>
      <c r="J1164" t="s">
        <v>251</v>
      </c>
      <c r="K1164" t="s">
        <v>108</v>
      </c>
      <c r="L1164" t="s">
        <v>1419</v>
      </c>
      <c r="M1164" t="s">
        <v>110</v>
      </c>
      <c r="N1164">
        <v>0.13300000000000001</v>
      </c>
      <c r="O1164">
        <v>8.1000000000000003E-2</v>
      </c>
      <c r="P1164">
        <v>5.1999999999999998E-2</v>
      </c>
    </row>
    <row r="1165" spans="1:16">
      <c r="A1165" t="s">
        <v>98</v>
      </c>
      <c r="B1165" t="s">
        <v>114</v>
      </c>
      <c r="C1165" t="s">
        <v>1445</v>
      </c>
      <c r="D1165">
        <v>2</v>
      </c>
      <c r="E1165">
        <v>7500</v>
      </c>
      <c r="F1165">
        <v>32</v>
      </c>
      <c r="G1165">
        <v>420</v>
      </c>
      <c r="H1165" t="s">
        <v>101</v>
      </c>
      <c r="I1165" t="s">
        <v>106</v>
      </c>
      <c r="J1165" t="s">
        <v>153</v>
      </c>
      <c r="K1165" t="s">
        <v>108</v>
      </c>
      <c r="L1165" t="s">
        <v>117</v>
      </c>
      <c r="M1165" t="s">
        <v>110</v>
      </c>
      <c r="N1165">
        <v>0.13300000000000001</v>
      </c>
      <c r="O1165">
        <v>8.1000000000000003E-2</v>
      </c>
      <c r="P1165">
        <v>5.1999999999999998E-2</v>
      </c>
    </row>
    <row r="1166" spans="1:16">
      <c r="A1166" t="s">
        <v>98</v>
      </c>
      <c r="B1166" t="s">
        <v>148</v>
      </c>
      <c r="C1166" t="s">
        <v>1446</v>
      </c>
      <c r="D1166">
        <v>2</v>
      </c>
      <c r="E1166">
        <v>4000</v>
      </c>
      <c r="F1166">
        <v>0</v>
      </c>
      <c r="G1166">
        <v>20</v>
      </c>
      <c r="H1166" t="s">
        <v>101</v>
      </c>
      <c r="I1166" t="s">
        <v>106</v>
      </c>
      <c r="J1166" t="s">
        <v>153</v>
      </c>
      <c r="K1166" t="s">
        <v>108</v>
      </c>
      <c r="L1166" t="s">
        <v>117</v>
      </c>
      <c r="M1166" t="s">
        <v>110</v>
      </c>
      <c r="N1166">
        <v>5.1999999999999998E-2</v>
      </c>
      <c r="O1166">
        <v>3.4000000000000002E-2</v>
      </c>
      <c r="P1166">
        <v>2.3E-2</v>
      </c>
    </row>
    <row r="1167" spans="1:16">
      <c r="A1167" t="s">
        <v>98</v>
      </c>
      <c r="B1167" t="s">
        <v>114</v>
      </c>
      <c r="C1167" t="s">
        <v>1447</v>
      </c>
      <c r="D1167">
        <v>2</v>
      </c>
      <c r="E1167">
        <v>7500</v>
      </c>
      <c r="F1167">
        <v>32</v>
      </c>
      <c r="G1167">
        <v>820</v>
      </c>
      <c r="H1167" t="s">
        <v>101</v>
      </c>
      <c r="I1167" t="s">
        <v>106</v>
      </c>
      <c r="J1167" t="s">
        <v>153</v>
      </c>
      <c r="K1167" t="s">
        <v>108</v>
      </c>
      <c r="L1167" t="s">
        <v>117</v>
      </c>
      <c r="M1167" t="s">
        <v>110</v>
      </c>
      <c r="N1167">
        <v>0.13300000000000001</v>
      </c>
      <c r="O1167">
        <v>8.1000000000000003E-2</v>
      </c>
      <c r="P1167">
        <v>5.1999999999999998E-2</v>
      </c>
    </row>
    <row r="1168" spans="1:16">
      <c r="A1168" t="s">
        <v>98</v>
      </c>
      <c r="B1168" t="s">
        <v>275</v>
      </c>
      <c r="C1168" t="s">
        <v>1448</v>
      </c>
      <c r="D1168">
        <v>16</v>
      </c>
      <c r="E1168">
        <v>30000</v>
      </c>
      <c r="F1168">
        <v>320</v>
      </c>
      <c r="G1168">
        <v>20</v>
      </c>
      <c r="H1168" t="s">
        <v>101</v>
      </c>
      <c r="I1168" t="s">
        <v>106</v>
      </c>
      <c r="J1168" t="s">
        <v>835</v>
      </c>
      <c r="K1168" t="s">
        <v>108</v>
      </c>
      <c r="L1168" t="s">
        <v>1449</v>
      </c>
      <c r="M1168" t="s">
        <v>110</v>
      </c>
      <c r="N1168">
        <v>0.84</v>
      </c>
      <c r="O1168">
        <v>0.497</v>
      </c>
      <c r="P1168">
        <v>0.314</v>
      </c>
    </row>
    <row r="1169" spans="1:16">
      <c r="A1169" t="s">
        <v>98</v>
      </c>
      <c r="B1169" t="s">
        <v>275</v>
      </c>
      <c r="C1169" t="s">
        <v>1450</v>
      </c>
      <c r="D1169">
        <v>16</v>
      </c>
      <c r="E1169">
        <v>30000</v>
      </c>
      <c r="F1169">
        <v>320</v>
      </c>
      <c r="G1169">
        <v>20</v>
      </c>
      <c r="H1169" t="s">
        <v>101</v>
      </c>
      <c r="I1169" t="s">
        <v>106</v>
      </c>
      <c r="J1169" t="s">
        <v>835</v>
      </c>
      <c r="K1169" t="s">
        <v>108</v>
      </c>
      <c r="L1169" t="s">
        <v>1449</v>
      </c>
      <c r="M1169" t="s">
        <v>110</v>
      </c>
      <c r="N1169">
        <v>0.84</v>
      </c>
      <c r="O1169">
        <v>0.497</v>
      </c>
      <c r="P1169">
        <v>0.314</v>
      </c>
    </row>
    <row r="1170" spans="1:16">
      <c r="A1170" t="s">
        <v>98</v>
      </c>
      <c r="B1170" t="s">
        <v>275</v>
      </c>
      <c r="C1170" t="s">
        <v>1451</v>
      </c>
      <c r="D1170">
        <v>16</v>
      </c>
      <c r="E1170">
        <v>30000</v>
      </c>
      <c r="F1170">
        <v>320</v>
      </c>
      <c r="G1170">
        <v>20</v>
      </c>
      <c r="H1170" t="s">
        <v>101</v>
      </c>
      <c r="I1170" t="s">
        <v>106</v>
      </c>
      <c r="J1170" t="s">
        <v>835</v>
      </c>
      <c r="K1170" t="s">
        <v>108</v>
      </c>
      <c r="L1170" t="s">
        <v>1449</v>
      </c>
      <c r="M1170" t="s">
        <v>110</v>
      </c>
      <c r="N1170">
        <v>0.84</v>
      </c>
      <c r="O1170">
        <v>0.497</v>
      </c>
      <c r="P1170">
        <v>0.314</v>
      </c>
    </row>
    <row r="1171" spans="1:16">
      <c r="A1171" t="s">
        <v>98</v>
      </c>
      <c r="B1171" t="s">
        <v>275</v>
      </c>
      <c r="C1171" t="s">
        <v>1452</v>
      </c>
      <c r="D1171">
        <v>16</v>
      </c>
      <c r="E1171">
        <v>30000</v>
      </c>
      <c r="F1171">
        <v>320</v>
      </c>
      <c r="G1171">
        <v>20</v>
      </c>
      <c r="H1171" t="s">
        <v>101</v>
      </c>
      <c r="I1171" t="s">
        <v>106</v>
      </c>
      <c r="J1171" t="s">
        <v>835</v>
      </c>
      <c r="K1171" t="s">
        <v>108</v>
      </c>
      <c r="L1171" t="s">
        <v>1449</v>
      </c>
      <c r="M1171" t="s">
        <v>110</v>
      </c>
      <c r="N1171">
        <v>0.84</v>
      </c>
      <c r="O1171">
        <v>0.497</v>
      </c>
      <c r="P1171">
        <v>0.314</v>
      </c>
    </row>
    <row r="1172" spans="1:16">
      <c r="A1172" t="s">
        <v>98</v>
      </c>
      <c r="B1172" t="s">
        <v>114</v>
      </c>
      <c r="C1172" t="s">
        <v>1453</v>
      </c>
      <c r="D1172">
        <v>2</v>
      </c>
      <c r="E1172">
        <v>7500</v>
      </c>
      <c r="F1172">
        <v>32</v>
      </c>
      <c r="G1172">
        <v>420</v>
      </c>
      <c r="H1172" t="s">
        <v>101</v>
      </c>
      <c r="I1172" t="s">
        <v>106</v>
      </c>
      <c r="J1172" t="s">
        <v>153</v>
      </c>
      <c r="K1172" t="s">
        <v>108</v>
      </c>
      <c r="L1172" t="s">
        <v>117</v>
      </c>
      <c r="M1172" t="s">
        <v>110</v>
      </c>
      <c r="N1172">
        <v>0.13300000000000001</v>
      </c>
      <c r="O1172">
        <v>8.1000000000000003E-2</v>
      </c>
      <c r="P1172">
        <v>5.1999999999999998E-2</v>
      </c>
    </row>
    <row r="1173" spans="1:16">
      <c r="A1173" t="s">
        <v>98</v>
      </c>
      <c r="B1173" t="s">
        <v>114</v>
      </c>
      <c r="C1173" t="s">
        <v>1454</v>
      </c>
      <c r="D1173">
        <v>2</v>
      </c>
      <c r="E1173">
        <v>7500</v>
      </c>
      <c r="F1173">
        <v>32</v>
      </c>
      <c r="G1173">
        <v>420</v>
      </c>
      <c r="H1173" t="s">
        <v>101</v>
      </c>
      <c r="I1173" t="s">
        <v>106</v>
      </c>
      <c r="J1173" t="s">
        <v>153</v>
      </c>
      <c r="K1173" t="s">
        <v>108</v>
      </c>
      <c r="L1173" t="s">
        <v>117</v>
      </c>
      <c r="M1173" t="s">
        <v>110</v>
      </c>
      <c r="N1173">
        <v>0.13300000000000001</v>
      </c>
      <c r="O1173">
        <v>8.1000000000000003E-2</v>
      </c>
      <c r="P1173">
        <v>5.1999999999999998E-2</v>
      </c>
    </row>
    <row r="1174" spans="1:16">
      <c r="A1174" t="s">
        <v>98</v>
      </c>
      <c r="B1174" t="s">
        <v>99</v>
      </c>
      <c r="C1174" t="s">
        <v>1455</v>
      </c>
      <c r="D1174">
        <v>2</v>
      </c>
      <c r="E1174">
        <v>3750</v>
      </c>
      <c r="F1174">
        <v>32</v>
      </c>
      <c r="G1174">
        <v>20</v>
      </c>
      <c r="H1174" t="s">
        <v>101</v>
      </c>
      <c r="I1174" t="s">
        <v>106</v>
      </c>
      <c r="J1174" t="s">
        <v>214</v>
      </c>
      <c r="K1174" t="s">
        <v>108</v>
      </c>
      <c r="L1174" t="s">
        <v>124</v>
      </c>
      <c r="M1174" t="s">
        <v>110</v>
      </c>
      <c r="N1174">
        <v>0.105</v>
      </c>
      <c r="O1174">
        <v>6.2E-2</v>
      </c>
      <c r="P1174">
        <v>3.9E-2</v>
      </c>
    </row>
    <row r="1175" spans="1:16">
      <c r="A1175" t="s">
        <v>98</v>
      </c>
      <c r="B1175" t="s">
        <v>99</v>
      </c>
      <c r="C1175" t="s">
        <v>1456</v>
      </c>
      <c r="D1175">
        <v>2</v>
      </c>
      <c r="E1175">
        <v>3750</v>
      </c>
      <c r="F1175">
        <v>32</v>
      </c>
      <c r="G1175">
        <v>20</v>
      </c>
      <c r="H1175" t="s">
        <v>101</v>
      </c>
      <c r="I1175" t="s">
        <v>106</v>
      </c>
      <c r="J1175" t="s">
        <v>214</v>
      </c>
      <c r="K1175" t="s">
        <v>108</v>
      </c>
      <c r="L1175" t="s">
        <v>1366</v>
      </c>
      <c r="M1175" t="s">
        <v>110</v>
      </c>
      <c r="N1175">
        <v>0.105</v>
      </c>
      <c r="O1175">
        <v>6.2E-2</v>
      </c>
      <c r="P1175">
        <v>3.9E-2</v>
      </c>
    </row>
    <row r="1176" spans="1:16">
      <c r="A1176" t="s">
        <v>98</v>
      </c>
      <c r="B1176" t="s">
        <v>99</v>
      </c>
      <c r="C1176" t="s">
        <v>1457</v>
      </c>
      <c r="D1176">
        <v>2</v>
      </c>
      <c r="E1176">
        <v>3750</v>
      </c>
      <c r="F1176">
        <v>32</v>
      </c>
      <c r="G1176">
        <v>20</v>
      </c>
      <c r="H1176" t="s">
        <v>101</v>
      </c>
      <c r="I1176" t="s">
        <v>106</v>
      </c>
      <c r="J1176" t="s">
        <v>107</v>
      </c>
      <c r="K1176" t="s">
        <v>108</v>
      </c>
      <c r="L1176" t="s">
        <v>1419</v>
      </c>
      <c r="M1176" t="s">
        <v>110</v>
      </c>
      <c r="N1176">
        <v>0.105</v>
      </c>
      <c r="O1176">
        <v>6.2E-2</v>
      </c>
      <c r="P1176">
        <v>3.9E-2</v>
      </c>
    </row>
    <row r="1177" spans="1:16">
      <c r="A1177" t="s">
        <v>98</v>
      </c>
      <c r="B1177" t="s">
        <v>99</v>
      </c>
      <c r="C1177" t="s">
        <v>1458</v>
      </c>
      <c r="D1177">
        <v>2</v>
      </c>
      <c r="E1177">
        <v>3750</v>
      </c>
      <c r="F1177">
        <v>32</v>
      </c>
      <c r="G1177">
        <v>20</v>
      </c>
      <c r="H1177" t="s">
        <v>101</v>
      </c>
      <c r="I1177" t="s">
        <v>106</v>
      </c>
      <c r="J1177" t="s">
        <v>107</v>
      </c>
      <c r="K1177" t="s">
        <v>108</v>
      </c>
      <c r="L1177" t="s">
        <v>1419</v>
      </c>
      <c r="M1177" t="s">
        <v>110</v>
      </c>
      <c r="N1177">
        <v>0.105</v>
      </c>
      <c r="O1177">
        <v>6.2E-2</v>
      </c>
      <c r="P1177">
        <v>3.9E-2</v>
      </c>
    </row>
    <row r="1178" spans="1:16">
      <c r="A1178" t="s">
        <v>98</v>
      </c>
      <c r="B1178" t="s">
        <v>99</v>
      </c>
      <c r="C1178" t="s">
        <v>1459</v>
      </c>
      <c r="D1178">
        <v>2</v>
      </c>
      <c r="E1178">
        <v>3750</v>
      </c>
      <c r="F1178">
        <v>32</v>
      </c>
      <c r="G1178">
        <v>20</v>
      </c>
      <c r="H1178" t="s">
        <v>101</v>
      </c>
      <c r="I1178" t="s">
        <v>106</v>
      </c>
      <c r="J1178" t="s">
        <v>107</v>
      </c>
      <c r="K1178" t="s">
        <v>108</v>
      </c>
      <c r="L1178" t="s">
        <v>1419</v>
      </c>
      <c r="M1178" t="s">
        <v>110</v>
      </c>
      <c r="N1178">
        <v>0.105</v>
      </c>
      <c r="O1178">
        <v>6.2E-2</v>
      </c>
      <c r="P1178">
        <v>3.9E-2</v>
      </c>
    </row>
    <row r="1179" spans="1:16">
      <c r="A1179" t="s">
        <v>98</v>
      </c>
      <c r="B1179" t="s">
        <v>99</v>
      </c>
      <c r="C1179" t="s">
        <v>1460</v>
      </c>
      <c r="D1179">
        <v>2</v>
      </c>
      <c r="E1179">
        <v>3750</v>
      </c>
      <c r="F1179">
        <v>32</v>
      </c>
      <c r="G1179">
        <v>20</v>
      </c>
      <c r="H1179" t="s">
        <v>101</v>
      </c>
      <c r="I1179" t="s">
        <v>106</v>
      </c>
      <c r="J1179" t="s">
        <v>107</v>
      </c>
      <c r="K1179" t="s">
        <v>108</v>
      </c>
      <c r="L1179" t="s">
        <v>1419</v>
      </c>
      <c r="M1179" t="s">
        <v>110</v>
      </c>
      <c r="N1179">
        <v>0.105</v>
      </c>
      <c r="O1179">
        <v>6.2E-2</v>
      </c>
      <c r="P1179">
        <v>3.9E-2</v>
      </c>
    </row>
    <row r="1180" spans="1:16" hidden="1">
      <c r="A1180" t="s">
        <v>98</v>
      </c>
      <c r="B1180" t="s">
        <v>114</v>
      </c>
      <c r="C1180" t="s">
        <v>1461</v>
      </c>
      <c r="D1180">
        <v>2</v>
      </c>
      <c r="E1180">
        <v>7500</v>
      </c>
      <c r="F1180">
        <v>32</v>
      </c>
      <c r="G1180">
        <v>420</v>
      </c>
      <c r="H1180" t="s">
        <v>101</v>
      </c>
      <c r="I1180" t="s">
        <v>102</v>
      </c>
      <c r="J1180" t="s">
        <v>101</v>
      </c>
      <c r="K1180" t="s">
        <v>766</v>
      </c>
      <c r="L1180" t="s">
        <v>117</v>
      </c>
      <c r="M1180" t="s">
        <v>118</v>
      </c>
      <c r="N1180">
        <v>0.13300000000000001</v>
      </c>
      <c r="O1180">
        <v>8.1000000000000003E-2</v>
      </c>
      <c r="P1180">
        <v>5.1999999999999998E-2</v>
      </c>
    </row>
    <row r="1181" spans="1:16" hidden="1">
      <c r="A1181" t="s">
        <v>98</v>
      </c>
      <c r="B1181" t="s">
        <v>114</v>
      </c>
      <c r="C1181" t="s">
        <v>1462</v>
      </c>
      <c r="D1181">
        <v>2</v>
      </c>
      <c r="E1181">
        <v>7500</v>
      </c>
      <c r="F1181">
        <v>32</v>
      </c>
      <c r="G1181">
        <v>820</v>
      </c>
      <c r="H1181" t="s">
        <v>101</v>
      </c>
      <c r="I1181" t="s">
        <v>102</v>
      </c>
      <c r="J1181" t="s">
        <v>101</v>
      </c>
      <c r="K1181" t="s">
        <v>766</v>
      </c>
      <c r="L1181" t="s">
        <v>117</v>
      </c>
      <c r="M1181" t="s">
        <v>118</v>
      </c>
      <c r="N1181">
        <v>0.13300000000000001</v>
      </c>
      <c r="O1181">
        <v>8.1000000000000003E-2</v>
      </c>
      <c r="P1181">
        <v>5.1999999999999998E-2</v>
      </c>
    </row>
    <row r="1182" spans="1:16">
      <c r="A1182" t="s">
        <v>98</v>
      </c>
      <c r="B1182" t="s">
        <v>99</v>
      </c>
      <c r="C1182" t="s">
        <v>1463</v>
      </c>
      <c r="D1182">
        <v>2</v>
      </c>
      <c r="E1182">
        <v>3750</v>
      </c>
      <c r="F1182">
        <v>32</v>
      </c>
      <c r="G1182">
        <v>20</v>
      </c>
      <c r="H1182" t="s">
        <v>101</v>
      </c>
      <c r="I1182" t="s">
        <v>106</v>
      </c>
      <c r="J1182" t="s">
        <v>214</v>
      </c>
      <c r="K1182" t="s">
        <v>108</v>
      </c>
      <c r="L1182" t="s">
        <v>124</v>
      </c>
      <c r="M1182" t="s">
        <v>118</v>
      </c>
      <c r="N1182">
        <v>0.105</v>
      </c>
      <c r="O1182">
        <v>6.2E-2</v>
      </c>
      <c r="P1182">
        <v>3.9E-2</v>
      </c>
    </row>
    <row r="1183" spans="1:16">
      <c r="A1183" t="s">
        <v>98</v>
      </c>
      <c r="B1183" t="s">
        <v>99</v>
      </c>
      <c r="C1183" t="s">
        <v>1464</v>
      </c>
      <c r="D1183">
        <v>2</v>
      </c>
      <c r="E1183">
        <v>3750</v>
      </c>
      <c r="F1183">
        <v>32</v>
      </c>
      <c r="G1183">
        <v>20</v>
      </c>
      <c r="H1183" t="s">
        <v>101</v>
      </c>
      <c r="I1183" t="s">
        <v>106</v>
      </c>
      <c r="J1183" t="s">
        <v>214</v>
      </c>
      <c r="K1183" t="s">
        <v>108</v>
      </c>
      <c r="L1183" t="s">
        <v>101</v>
      </c>
      <c r="M1183" t="s">
        <v>118</v>
      </c>
      <c r="N1183">
        <v>0.105</v>
      </c>
      <c r="O1183">
        <v>6.2E-2</v>
      </c>
      <c r="P1183">
        <v>3.9E-2</v>
      </c>
    </row>
    <row r="1184" spans="1:16" hidden="1">
      <c r="A1184" t="s">
        <v>98</v>
      </c>
      <c r="B1184" t="s">
        <v>114</v>
      </c>
      <c r="C1184" t="s">
        <v>1465</v>
      </c>
      <c r="D1184">
        <v>2</v>
      </c>
      <c r="E1184">
        <v>7500</v>
      </c>
      <c r="F1184">
        <v>32</v>
      </c>
      <c r="G1184">
        <v>420</v>
      </c>
      <c r="H1184" t="s">
        <v>101</v>
      </c>
      <c r="I1184" t="s">
        <v>102</v>
      </c>
      <c r="J1184" t="s">
        <v>101</v>
      </c>
      <c r="K1184" t="s">
        <v>766</v>
      </c>
      <c r="L1184" t="s">
        <v>117</v>
      </c>
      <c r="M1184" t="s">
        <v>118</v>
      </c>
      <c r="N1184">
        <v>0.13300000000000001</v>
      </c>
      <c r="O1184">
        <v>8.1000000000000003E-2</v>
      </c>
      <c r="P1184">
        <v>5.1999999999999998E-2</v>
      </c>
    </row>
    <row r="1185" spans="1:16" hidden="1">
      <c r="A1185" t="s">
        <v>98</v>
      </c>
      <c r="B1185" t="s">
        <v>172</v>
      </c>
      <c r="C1185" t="s">
        <v>1466</v>
      </c>
      <c r="D1185">
        <v>1</v>
      </c>
      <c r="E1185">
        <v>2000</v>
      </c>
      <c r="F1185">
        <v>0</v>
      </c>
      <c r="G1185">
        <v>20</v>
      </c>
      <c r="H1185" t="s">
        <v>101</v>
      </c>
      <c r="I1185" t="s">
        <v>102</v>
      </c>
      <c r="J1185" t="s">
        <v>101</v>
      </c>
      <c r="K1185" t="s">
        <v>766</v>
      </c>
      <c r="L1185" t="s">
        <v>117</v>
      </c>
      <c r="M1185" t="s">
        <v>118</v>
      </c>
      <c r="N1185">
        <v>2.5999999999999999E-2</v>
      </c>
      <c r="O1185">
        <v>1.7000000000000001E-2</v>
      </c>
      <c r="P1185">
        <v>1.2E-2</v>
      </c>
    </row>
    <row r="1186" spans="1:16" hidden="1">
      <c r="A1186" t="s">
        <v>98</v>
      </c>
      <c r="B1186" t="s">
        <v>114</v>
      </c>
      <c r="C1186" t="s">
        <v>1467</v>
      </c>
      <c r="D1186">
        <v>2</v>
      </c>
      <c r="E1186">
        <v>7500</v>
      </c>
      <c r="F1186">
        <v>32</v>
      </c>
      <c r="G1186">
        <v>420</v>
      </c>
      <c r="H1186" t="s">
        <v>101</v>
      </c>
      <c r="I1186" t="s">
        <v>102</v>
      </c>
      <c r="J1186" t="s">
        <v>101</v>
      </c>
      <c r="K1186" t="s">
        <v>766</v>
      </c>
      <c r="L1186" t="s">
        <v>117</v>
      </c>
      <c r="M1186" t="s">
        <v>118</v>
      </c>
      <c r="N1186">
        <v>0.13300000000000001</v>
      </c>
      <c r="O1186">
        <v>8.1000000000000003E-2</v>
      </c>
      <c r="P1186">
        <v>5.1999999999999998E-2</v>
      </c>
    </row>
    <row r="1187" spans="1:16">
      <c r="A1187" t="s">
        <v>98</v>
      </c>
      <c r="B1187" t="s">
        <v>99</v>
      </c>
      <c r="C1187" t="s">
        <v>1468</v>
      </c>
      <c r="D1187">
        <v>2</v>
      </c>
      <c r="E1187">
        <v>3750</v>
      </c>
      <c r="F1187">
        <v>32</v>
      </c>
      <c r="G1187">
        <v>20</v>
      </c>
      <c r="H1187" t="s">
        <v>101</v>
      </c>
      <c r="I1187" t="s">
        <v>106</v>
      </c>
      <c r="J1187" t="s">
        <v>214</v>
      </c>
      <c r="K1187" t="s">
        <v>108</v>
      </c>
      <c r="L1187" t="s">
        <v>124</v>
      </c>
      <c r="M1187" t="s">
        <v>118</v>
      </c>
      <c r="N1187">
        <v>0.105</v>
      </c>
      <c r="O1187">
        <v>6.2E-2</v>
      </c>
      <c r="P1187">
        <v>3.9E-2</v>
      </c>
    </row>
    <row r="1188" spans="1:16">
      <c r="A1188" t="s">
        <v>98</v>
      </c>
      <c r="B1188" t="s">
        <v>99</v>
      </c>
      <c r="C1188" t="s">
        <v>1469</v>
      </c>
      <c r="D1188">
        <v>2</v>
      </c>
      <c r="E1188">
        <v>3750</v>
      </c>
      <c r="F1188">
        <v>32</v>
      </c>
      <c r="G1188">
        <v>20</v>
      </c>
      <c r="H1188" t="s">
        <v>101</v>
      </c>
      <c r="I1188" t="s">
        <v>106</v>
      </c>
      <c r="J1188" t="s">
        <v>214</v>
      </c>
      <c r="K1188" t="s">
        <v>108</v>
      </c>
      <c r="L1188" t="s">
        <v>101</v>
      </c>
      <c r="M1188" t="s">
        <v>118</v>
      </c>
      <c r="N1188">
        <v>0.105</v>
      </c>
      <c r="O1188">
        <v>6.2E-2</v>
      </c>
      <c r="P1188">
        <v>3.9E-2</v>
      </c>
    </row>
    <row r="1189" spans="1:16">
      <c r="A1189" t="s">
        <v>98</v>
      </c>
      <c r="B1189" t="s">
        <v>148</v>
      </c>
      <c r="C1189" t="s">
        <v>1470</v>
      </c>
      <c r="D1189">
        <v>2</v>
      </c>
      <c r="E1189">
        <v>4000</v>
      </c>
      <c r="F1189">
        <v>0</v>
      </c>
      <c r="G1189">
        <v>20</v>
      </c>
      <c r="H1189" t="s">
        <v>101</v>
      </c>
      <c r="I1189" t="s">
        <v>106</v>
      </c>
      <c r="J1189" t="s">
        <v>1047</v>
      </c>
      <c r="K1189" t="s">
        <v>108</v>
      </c>
      <c r="L1189" t="s">
        <v>541</v>
      </c>
      <c r="M1189" t="s">
        <v>110</v>
      </c>
      <c r="N1189">
        <v>5.1999999999999998E-2</v>
      </c>
      <c r="O1189">
        <v>3.4000000000000002E-2</v>
      </c>
      <c r="P1189">
        <v>2.3E-2</v>
      </c>
    </row>
    <row r="1190" spans="1:16">
      <c r="A1190" t="s">
        <v>98</v>
      </c>
      <c r="B1190" t="s">
        <v>148</v>
      </c>
      <c r="C1190" t="s">
        <v>1471</v>
      </c>
      <c r="D1190">
        <v>2</v>
      </c>
      <c r="E1190">
        <v>4000</v>
      </c>
      <c r="F1190">
        <v>0</v>
      </c>
      <c r="G1190">
        <v>20</v>
      </c>
      <c r="H1190" t="s">
        <v>101</v>
      </c>
      <c r="I1190" t="s">
        <v>106</v>
      </c>
      <c r="J1190" t="s">
        <v>1047</v>
      </c>
      <c r="K1190" t="s">
        <v>108</v>
      </c>
      <c r="L1190" t="s">
        <v>541</v>
      </c>
      <c r="M1190" t="s">
        <v>110</v>
      </c>
      <c r="N1190">
        <v>5.1999999999999998E-2</v>
      </c>
      <c r="O1190">
        <v>3.4000000000000002E-2</v>
      </c>
      <c r="P1190">
        <v>2.3E-2</v>
      </c>
    </row>
    <row r="1191" spans="1:16">
      <c r="A1191" t="s">
        <v>98</v>
      </c>
      <c r="B1191" t="s">
        <v>267</v>
      </c>
      <c r="C1191" t="s">
        <v>1472</v>
      </c>
      <c r="D1191">
        <v>8</v>
      </c>
      <c r="E1191">
        <v>15000</v>
      </c>
      <c r="F1191">
        <v>160</v>
      </c>
      <c r="G1191">
        <v>20</v>
      </c>
      <c r="H1191" t="s">
        <v>101</v>
      </c>
      <c r="I1191" t="s">
        <v>106</v>
      </c>
      <c r="J1191" t="s">
        <v>998</v>
      </c>
      <c r="K1191" t="s">
        <v>108</v>
      </c>
      <c r="L1191" t="s">
        <v>228</v>
      </c>
      <c r="M1191" t="s">
        <v>110</v>
      </c>
      <c r="N1191">
        <v>0.42</v>
      </c>
      <c r="O1191">
        <v>0.248</v>
      </c>
      <c r="P1191">
        <v>0.157</v>
      </c>
    </row>
    <row r="1192" spans="1:16">
      <c r="A1192" t="s">
        <v>98</v>
      </c>
      <c r="B1192" t="s">
        <v>267</v>
      </c>
      <c r="C1192" t="s">
        <v>1473</v>
      </c>
      <c r="D1192">
        <v>8</v>
      </c>
      <c r="E1192">
        <v>15000</v>
      </c>
      <c r="F1192">
        <v>160</v>
      </c>
      <c r="G1192">
        <v>20</v>
      </c>
      <c r="H1192" t="s">
        <v>101</v>
      </c>
      <c r="I1192" t="s">
        <v>106</v>
      </c>
      <c r="J1192" t="s">
        <v>998</v>
      </c>
      <c r="K1192" t="s">
        <v>108</v>
      </c>
      <c r="L1192" t="s">
        <v>228</v>
      </c>
      <c r="M1192" t="s">
        <v>110</v>
      </c>
      <c r="N1192">
        <v>0.42</v>
      </c>
      <c r="O1192">
        <v>0.248</v>
      </c>
      <c r="P1192">
        <v>0.157</v>
      </c>
    </row>
    <row r="1193" spans="1:16" hidden="1">
      <c r="A1193" t="s">
        <v>98</v>
      </c>
      <c r="B1193" t="s">
        <v>588</v>
      </c>
      <c r="C1193" t="s">
        <v>1474</v>
      </c>
      <c r="D1193">
        <v>4</v>
      </c>
      <c r="E1193">
        <v>7500</v>
      </c>
      <c r="F1193">
        <v>80</v>
      </c>
      <c r="G1193">
        <v>0</v>
      </c>
      <c r="H1193" t="s">
        <v>101</v>
      </c>
      <c r="I1193" t="s">
        <v>101</v>
      </c>
      <c r="J1193" t="s">
        <v>101</v>
      </c>
      <c r="K1193" t="s">
        <v>101</v>
      </c>
      <c r="L1193" t="s">
        <v>101</v>
      </c>
      <c r="M1193" t="s">
        <v>110</v>
      </c>
      <c r="N1193">
        <v>0.21</v>
      </c>
      <c r="O1193">
        <v>0.125</v>
      </c>
      <c r="P1193">
        <v>7.9000000000000001E-2</v>
      </c>
    </row>
    <row r="1194" spans="1:16" hidden="1">
      <c r="A1194" t="s">
        <v>98</v>
      </c>
      <c r="B1194" t="s">
        <v>588</v>
      </c>
      <c r="C1194" t="s">
        <v>1475</v>
      </c>
      <c r="D1194">
        <v>4</v>
      </c>
      <c r="E1194">
        <v>7500</v>
      </c>
      <c r="F1194">
        <v>80</v>
      </c>
      <c r="G1194">
        <v>0</v>
      </c>
      <c r="H1194" t="s">
        <v>101</v>
      </c>
      <c r="I1194" t="s">
        <v>101</v>
      </c>
      <c r="J1194" t="s">
        <v>101</v>
      </c>
      <c r="K1194" t="s">
        <v>101</v>
      </c>
      <c r="L1194" t="s">
        <v>101</v>
      </c>
      <c r="M1194" t="s">
        <v>110</v>
      </c>
      <c r="N1194">
        <v>0.21</v>
      </c>
      <c r="O1194">
        <v>0.125</v>
      </c>
      <c r="P1194">
        <v>7.9000000000000001E-2</v>
      </c>
    </row>
    <row r="1195" spans="1:16" hidden="1">
      <c r="A1195" t="s">
        <v>98</v>
      </c>
      <c r="B1195" t="s">
        <v>588</v>
      </c>
      <c r="C1195" t="s">
        <v>1476</v>
      </c>
      <c r="D1195">
        <v>4</v>
      </c>
      <c r="E1195">
        <v>7500</v>
      </c>
      <c r="F1195">
        <v>80</v>
      </c>
      <c r="G1195">
        <v>0</v>
      </c>
      <c r="H1195" t="s">
        <v>101</v>
      </c>
      <c r="I1195" t="s">
        <v>101</v>
      </c>
      <c r="J1195" t="s">
        <v>101</v>
      </c>
      <c r="K1195" t="s">
        <v>101</v>
      </c>
      <c r="L1195" t="s">
        <v>101</v>
      </c>
      <c r="M1195" t="s">
        <v>110</v>
      </c>
      <c r="N1195">
        <v>0.21</v>
      </c>
      <c r="O1195">
        <v>0.125</v>
      </c>
      <c r="P1195">
        <v>7.9000000000000001E-2</v>
      </c>
    </row>
  </sheetData>
  <autoFilter ref="A1:P1195">
    <filterColumn colId="8">
      <filters>
        <filter val="Development"/>
      </filters>
    </filterColumn>
  </autoFilter>
  <phoneticPr fontId="33"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theme="4" tint="0.39997558519241921"/>
  </sheetPr>
  <dimension ref="A1:E25"/>
  <sheetViews>
    <sheetView workbookViewId="0">
      <selection activeCell="C28" sqref="C28"/>
    </sheetView>
  </sheetViews>
  <sheetFormatPr baseColWidth="10" defaultRowHeight="15" x14ac:dyDescent="0"/>
  <cols>
    <col min="1" max="1" width="13" customWidth="1"/>
    <col min="2" max="2" width="16.6640625" bestFit="1" customWidth="1"/>
    <col min="3" max="3" width="19.1640625" bestFit="1" customWidth="1"/>
    <col min="4" max="5" width="41.5" bestFit="1" customWidth="1"/>
    <col min="6" max="9" width="6.1640625" bestFit="1" customWidth="1"/>
    <col min="10" max="10" width="5.1640625" bestFit="1" customWidth="1"/>
    <col min="11" max="13" width="6.1640625" bestFit="1" customWidth="1"/>
    <col min="14" max="14" width="5.1640625" bestFit="1" customWidth="1"/>
    <col min="15" max="15" width="6.1640625" bestFit="1" customWidth="1"/>
    <col min="16" max="17" width="5.1640625" bestFit="1" customWidth="1"/>
    <col min="18" max="19" width="6.1640625" bestFit="1" customWidth="1"/>
    <col min="20" max="20" width="5.1640625" bestFit="1" customWidth="1"/>
    <col min="21" max="21" width="6.1640625" bestFit="1" customWidth="1"/>
    <col min="22" max="22" width="5.1640625" bestFit="1" customWidth="1"/>
    <col min="23" max="23" width="6.1640625" bestFit="1" customWidth="1"/>
  </cols>
  <sheetData>
    <row r="1" spans="1:5">
      <c r="A1" s="102" t="s">
        <v>90</v>
      </c>
      <c r="B1" t="s">
        <v>1901</v>
      </c>
    </row>
    <row r="3" spans="1:5">
      <c r="B3" s="102" t="s">
        <v>1704</v>
      </c>
    </row>
    <row r="4" spans="1:5">
      <c r="A4" s="102" t="s">
        <v>1478</v>
      </c>
      <c r="B4" t="s">
        <v>1703</v>
      </c>
      <c r="C4" t="s">
        <v>1705</v>
      </c>
      <c r="D4" t="s">
        <v>1706</v>
      </c>
      <c r="E4" t="s">
        <v>1707</v>
      </c>
    </row>
    <row r="5" spans="1:5">
      <c r="A5" s="104" t="s">
        <v>267</v>
      </c>
      <c r="B5" s="103">
        <v>25</v>
      </c>
      <c r="C5" s="103">
        <v>10.5</v>
      </c>
      <c r="D5" s="103">
        <v>6.2000000000000037</v>
      </c>
      <c r="E5" s="103">
        <v>3.9250000000000003</v>
      </c>
    </row>
    <row r="6" spans="1:5">
      <c r="A6" s="104" t="s">
        <v>275</v>
      </c>
      <c r="B6" s="103">
        <v>15</v>
      </c>
      <c r="C6" s="103">
        <v>12.6</v>
      </c>
      <c r="D6" s="103">
        <v>7.4549999999999992</v>
      </c>
      <c r="E6" s="103">
        <v>4.71</v>
      </c>
    </row>
    <row r="7" spans="1:5">
      <c r="A7" s="104" t="s">
        <v>197</v>
      </c>
      <c r="B7" s="103">
        <v>6</v>
      </c>
      <c r="C7" s="103">
        <v>10.08</v>
      </c>
      <c r="D7" s="103">
        <v>5.952</v>
      </c>
      <c r="E7" s="103">
        <v>3.7680000000000002</v>
      </c>
    </row>
    <row r="8" spans="1:5">
      <c r="A8" s="104" t="s">
        <v>99</v>
      </c>
      <c r="B8" s="103">
        <v>220</v>
      </c>
      <c r="C8" s="103">
        <v>23.100000000000076</v>
      </c>
      <c r="D8" s="103">
        <v>13.639999999999958</v>
      </c>
      <c r="E8" s="103">
        <v>8.5799999999999716</v>
      </c>
    </row>
    <row r="9" spans="1:5">
      <c r="A9" s="104" t="s">
        <v>588</v>
      </c>
      <c r="B9" s="103">
        <v>12</v>
      </c>
      <c r="C9" s="103">
        <v>2.52</v>
      </c>
      <c r="D9" s="103">
        <v>1.5</v>
      </c>
      <c r="E9" s="103">
        <v>0.94799999999999984</v>
      </c>
    </row>
    <row r="10" spans="1:5">
      <c r="A10" s="104" t="s">
        <v>437</v>
      </c>
      <c r="B10" s="103">
        <v>4</v>
      </c>
      <c r="C10" s="103">
        <v>6.82</v>
      </c>
      <c r="D10" s="103">
        <v>2.8479999999999999</v>
      </c>
      <c r="E10" s="103">
        <v>1.6919999999999999</v>
      </c>
    </row>
    <row r="11" spans="1:5">
      <c r="A11" s="104" t="s">
        <v>809</v>
      </c>
      <c r="B11" s="103">
        <v>4</v>
      </c>
      <c r="C11" s="103">
        <v>3.4119999999999999</v>
      </c>
      <c r="D11" s="103">
        <v>1.42</v>
      </c>
      <c r="E11" s="103">
        <v>0.84799999999999998</v>
      </c>
    </row>
    <row r="12" spans="1:5">
      <c r="A12" s="104" t="s">
        <v>132</v>
      </c>
      <c r="B12" s="103">
        <v>7</v>
      </c>
      <c r="C12" s="103">
        <v>1.2250000000000001</v>
      </c>
      <c r="D12" s="103">
        <v>0.66499999999999992</v>
      </c>
      <c r="E12" s="103">
        <v>0.41299999999999998</v>
      </c>
    </row>
    <row r="13" spans="1:5">
      <c r="A13" s="104" t="s">
        <v>157</v>
      </c>
      <c r="B13" s="103">
        <v>19</v>
      </c>
      <c r="C13" s="103">
        <v>1.7769999999999995</v>
      </c>
      <c r="D13" s="103">
        <v>0.99100000000000021</v>
      </c>
      <c r="E13" s="103">
        <v>0.63700000000000023</v>
      </c>
    </row>
    <row r="14" spans="1:5">
      <c r="A14" s="104" t="s">
        <v>104</v>
      </c>
      <c r="B14" s="103">
        <v>286</v>
      </c>
      <c r="C14" s="103">
        <v>12.584000000000016</v>
      </c>
      <c r="D14" s="103">
        <v>6.8640000000000052</v>
      </c>
      <c r="E14" s="103">
        <v>4.2900000000000045</v>
      </c>
    </row>
    <row r="15" spans="1:5">
      <c r="A15" s="104" t="s">
        <v>791</v>
      </c>
      <c r="B15" s="103">
        <v>1</v>
      </c>
      <c r="C15" s="103">
        <v>0.35</v>
      </c>
      <c r="D15" s="103">
        <v>0.191</v>
      </c>
      <c r="E15" s="103">
        <v>0.11700000000000001</v>
      </c>
    </row>
    <row r="16" spans="1:5">
      <c r="A16" s="104" t="s">
        <v>164</v>
      </c>
      <c r="B16" s="103">
        <v>21</v>
      </c>
      <c r="C16" s="103">
        <v>11.172000000000001</v>
      </c>
      <c r="D16" s="103">
        <v>6.8039999999999985</v>
      </c>
      <c r="E16" s="103">
        <v>4.3890000000000002</v>
      </c>
    </row>
    <row r="17" spans="1:5">
      <c r="A17" s="104" t="s">
        <v>114</v>
      </c>
      <c r="B17" s="103">
        <v>92</v>
      </c>
      <c r="C17" s="103">
        <v>12.235999999999972</v>
      </c>
      <c r="D17" s="103">
        <v>7.4520000000000159</v>
      </c>
      <c r="E17" s="103">
        <v>4.7839999999999971</v>
      </c>
    </row>
    <row r="18" spans="1:5">
      <c r="A18" s="104" t="s">
        <v>135</v>
      </c>
      <c r="B18" s="103">
        <v>52</v>
      </c>
      <c r="C18" s="103">
        <v>3.5470000000000028</v>
      </c>
      <c r="D18" s="103">
        <v>2.124000000000001</v>
      </c>
      <c r="E18" s="103">
        <v>1.390000000000001</v>
      </c>
    </row>
    <row r="19" spans="1:5">
      <c r="A19" s="104" t="s">
        <v>141</v>
      </c>
      <c r="B19" s="103">
        <v>55</v>
      </c>
      <c r="C19" s="103">
        <v>14.882000000000001</v>
      </c>
      <c r="D19" s="103">
        <v>9.1340000000000057</v>
      </c>
      <c r="E19" s="103">
        <v>5.871000000000004</v>
      </c>
    </row>
    <row r="20" spans="1:5">
      <c r="A20" s="104" t="s">
        <v>193</v>
      </c>
      <c r="B20" s="103">
        <v>2</v>
      </c>
      <c r="C20" s="103">
        <v>0.35</v>
      </c>
      <c r="D20" s="103">
        <v>0.186</v>
      </c>
      <c r="E20" s="103">
        <v>0.122</v>
      </c>
    </row>
    <row r="21" spans="1:5">
      <c r="A21" s="104" t="s">
        <v>176</v>
      </c>
      <c r="B21" s="103">
        <v>9</v>
      </c>
      <c r="C21" s="103">
        <v>0.18</v>
      </c>
      <c r="D21" s="103">
        <v>0.10799999999999998</v>
      </c>
      <c r="E21" s="103">
        <v>7.2000000000000008E-2</v>
      </c>
    </row>
    <row r="22" spans="1:5">
      <c r="A22" s="104" t="s">
        <v>148</v>
      </c>
      <c r="B22" s="103">
        <v>59</v>
      </c>
      <c r="C22" s="103">
        <v>3.0680000000000023</v>
      </c>
      <c r="D22" s="103">
        <v>2.0060000000000016</v>
      </c>
      <c r="E22" s="103">
        <v>1.3569999999999991</v>
      </c>
    </row>
    <row r="23" spans="1:5">
      <c r="A23" s="104" t="s">
        <v>212</v>
      </c>
      <c r="B23" s="103">
        <v>4</v>
      </c>
      <c r="C23" s="103">
        <v>5.1999999999999998E-2</v>
      </c>
      <c r="D23" s="103">
        <v>3.5999999999999997E-2</v>
      </c>
      <c r="E23" s="103">
        <v>2.4E-2</v>
      </c>
    </row>
    <row r="24" spans="1:5">
      <c r="A24" s="104" t="s">
        <v>172</v>
      </c>
      <c r="B24" s="103">
        <v>301</v>
      </c>
      <c r="C24" s="103">
        <v>7.825999999999957</v>
      </c>
      <c r="D24" s="103">
        <v>5.1170000000000071</v>
      </c>
      <c r="E24" s="103">
        <v>3.6120000000000028</v>
      </c>
    </row>
    <row r="25" spans="1:5">
      <c r="A25" s="104" t="s">
        <v>1479</v>
      </c>
      <c r="B25" s="103">
        <v>1194</v>
      </c>
      <c r="C25" s="103">
        <v>138.28100000000077</v>
      </c>
      <c r="D25" s="103">
        <v>80.692999999999557</v>
      </c>
      <c r="E25" s="103">
        <v>51.54900000000081</v>
      </c>
    </row>
  </sheetData>
  <phoneticPr fontId="33"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theme="4" tint="0.39997558519241921"/>
  </sheetPr>
  <dimension ref="A1:C40"/>
  <sheetViews>
    <sheetView workbookViewId="0">
      <selection activeCell="F14" sqref="F14"/>
    </sheetView>
  </sheetViews>
  <sheetFormatPr baseColWidth="10" defaultRowHeight="15" x14ac:dyDescent="0"/>
  <cols>
    <col min="1" max="1" width="13" bestFit="1" customWidth="1"/>
    <col min="2" max="2" width="19.5" bestFit="1" customWidth="1"/>
    <col min="3" max="3" width="20" bestFit="1" customWidth="1"/>
  </cols>
  <sheetData>
    <row r="1" spans="1:3">
      <c r="A1" s="102" t="s">
        <v>90</v>
      </c>
      <c r="B1" t="s">
        <v>1901</v>
      </c>
    </row>
    <row r="3" spans="1:3">
      <c r="B3" s="102" t="s">
        <v>1704</v>
      </c>
    </row>
    <row r="4" spans="1:3">
      <c r="A4" s="102" t="s">
        <v>1478</v>
      </c>
      <c r="B4" t="s">
        <v>1708</v>
      </c>
      <c r="C4" t="s">
        <v>1902</v>
      </c>
    </row>
    <row r="5" spans="1:3">
      <c r="A5" s="104">
        <v>8</v>
      </c>
      <c r="B5" s="103">
        <v>15</v>
      </c>
      <c r="C5" s="103">
        <v>15</v>
      </c>
    </row>
    <row r="6" spans="1:3">
      <c r="A6" s="104">
        <v>20</v>
      </c>
      <c r="B6" s="103">
        <v>873</v>
      </c>
      <c r="C6" s="103">
        <v>873</v>
      </c>
    </row>
    <row r="7" spans="1:3">
      <c r="A7" s="104">
        <v>30</v>
      </c>
      <c r="B7" s="103">
        <v>4</v>
      </c>
      <c r="C7" s="103">
        <v>4</v>
      </c>
    </row>
    <row r="8" spans="1:3">
      <c r="A8" s="104">
        <v>50</v>
      </c>
      <c r="B8" s="103">
        <v>1</v>
      </c>
      <c r="C8" s="103">
        <v>1</v>
      </c>
    </row>
    <row r="9" spans="1:3">
      <c r="A9" s="104">
        <v>70</v>
      </c>
      <c r="B9" s="103">
        <v>13</v>
      </c>
      <c r="C9" s="103">
        <v>13</v>
      </c>
    </row>
    <row r="10" spans="1:3">
      <c r="A10" s="104">
        <v>100</v>
      </c>
      <c r="B10" s="103">
        <v>1</v>
      </c>
      <c r="C10" s="103">
        <v>1</v>
      </c>
    </row>
    <row r="11" spans="1:3">
      <c r="A11" s="104">
        <v>108</v>
      </c>
      <c r="B11" s="103">
        <v>3</v>
      </c>
      <c r="C11" s="103">
        <v>3</v>
      </c>
    </row>
    <row r="12" spans="1:3">
      <c r="A12" s="104">
        <v>120</v>
      </c>
      <c r="B12" s="103">
        <v>6</v>
      </c>
      <c r="C12" s="103">
        <v>6</v>
      </c>
    </row>
    <row r="13" spans="1:3">
      <c r="A13" s="104">
        <v>130</v>
      </c>
      <c r="B13" s="103">
        <v>1</v>
      </c>
      <c r="C13" s="103">
        <v>1</v>
      </c>
    </row>
    <row r="14" spans="1:3">
      <c r="A14" s="104">
        <v>200</v>
      </c>
      <c r="B14" s="103">
        <v>1</v>
      </c>
      <c r="C14" s="103">
        <v>1</v>
      </c>
    </row>
    <row r="15" spans="1:3">
      <c r="A15" s="104">
        <v>220</v>
      </c>
      <c r="B15" s="103">
        <v>23</v>
      </c>
      <c r="C15" s="103">
        <v>23</v>
      </c>
    </row>
    <row r="16" spans="1:3">
      <c r="A16" s="104">
        <v>270</v>
      </c>
      <c r="B16" s="103">
        <v>3</v>
      </c>
      <c r="C16" s="103">
        <v>3</v>
      </c>
    </row>
    <row r="17" spans="1:3">
      <c r="A17" s="104">
        <v>420</v>
      </c>
      <c r="B17" s="103">
        <v>137</v>
      </c>
      <c r="C17" s="103">
        <v>137</v>
      </c>
    </row>
    <row r="18" spans="1:3">
      <c r="A18" s="104">
        <v>470</v>
      </c>
      <c r="B18" s="103">
        <v>1</v>
      </c>
      <c r="C18" s="103">
        <v>1</v>
      </c>
    </row>
    <row r="19" spans="1:3">
      <c r="A19" s="104">
        <v>520</v>
      </c>
      <c r="B19" s="103">
        <v>6</v>
      </c>
      <c r="C19" s="103">
        <v>6</v>
      </c>
    </row>
    <row r="20" spans="1:3">
      <c r="A20" s="104">
        <v>590</v>
      </c>
      <c r="B20" s="103">
        <v>1</v>
      </c>
      <c r="C20" s="103">
        <v>1</v>
      </c>
    </row>
    <row r="21" spans="1:3">
      <c r="A21" s="104">
        <v>620</v>
      </c>
      <c r="B21" s="103">
        <v>1</v>
      </c>
      <c r="C21" s="103">
        <v>1</v>
      </c>
    </row>
    <row r="22" spans="1:3">
      <c r="A22" s="104">
        <v>670</v>
      </c>
      <c r="B22" s="103">
        <v>1</v>
      </c>
      <c r="C22" s="103">
        <v>1</v>
      </c>
    </row>
    <row r="23" spans="1:3">
      <c r="A23" s="104">
        <v>820</v>
      </c>
      <c r="B23" s="103">
        <v>59</v>
      </c>
      <c r="C23" s="103">
        <v>59</v>
      </c>
    </row>
    <row r="24" spans="1:3">
      <c r="A24" s="104">
        <v>1020</v>
      </c>
      <c r="B24" s="103">
        <v>3</v>
      </c>
      <c r="C24" s="103">
        <v>3</v>
      </c>
    </row>
    <row r="25" spans="1:3">
      <c r="A25" s="104">
        <v>1128</v>
      </c>
      <c r="B25" s="103">
        <v>1</v>
      </c>
      <c r="C25" s="103">
        <v>1</v>
      </c>
    </row>
    <row r="26" spans="1:3">
      <c r="A26" s="104">
        <v>1220</v>
      </c>
      <c r="B26" s="103">
        <v>3</v>
      </c>
      <c r="C26" s="103">
        <v>3</v>
      </c>
    </row>
    <row r="27" spans="1:3">
      <c r="A27" s="104">
        <v>1244</v>
      </c>
      <c r="B27" s="103">
        <v>1</v>
      </c>
      <c r="C27" s="103">
        <v>1</v>
      </c>
    </row>
    <row r="28" spans="1:3">
      <c r="A28" s="104">
        <v>1420</v>
      </c>
      <c r="B28" s="103">
        <v>12</v>
      </c>
      <c r="C28" s="103">
        <v>12</v>
      </c>
    </row>
    <row r="29" spans="1:3">
      <c r="A29" s="104">
        <v>1820</v>
      </c>
      <c r="B29" s="103">
        <v>7</v>
      </c>
      <c r="C29" s="103">
        <v>7</v>
      </c>
    </row>
    <row r="30" spans="1:3">
      <c r="A30" s="104">
        <v>1844</v>
      </c>
      <c r="B30" s="103">
        <v>1</v>
      </c>
      <c r="C30" s="103">
        <v>1</v>
      </c>
    </row>
    <row r="31" spans="1:3">
      <c r="A31" s="104">
        <v>2078</v>
      </c>
      <c r="B31" s="103">
        <v>1</v>
      </c>
      <c r="C31" s="103">
        <v>1</v>
      </c>
    </row>
    <row r="32" spans="1:3">
      <c r="A32" s="104">
        <v>2406</v>
      </c>
      <c r="B32" s="103">
        <v>1</v>
      </c>
      <c r="C32" s="103">
        <v>1</v>
      </c>
    </row>
    <row r="33" spans="1:3">
      <c r="A33" s="104">
        <v>3492</v>
      </c>
      <c r="B33" s="103">
        <v>1</v>
      </c>
      <c r="C33" s="103">
        <v>1</v>
      </c>
    </row>
    <row r="34" spans="1:3">
      <c r="A34" s="104">
        <v>3992</v>
      </c>
      <c r="B34" s="103">
        <v>3</v>
      </c>
      <c r="C34" s="103">
        <v>3</v>
      </c>
    </row>
    <row r="35" spans="1:3">
      <c r="A35" s="104">
        <v>4020</v>
      </c>
      <c r="B35" s="103">
        <v>3</v>
      </c>
      <c r="C35" s="103">
        <v>3</v>
      </c>
    </row>
    <row r="36" spans="1:3">
      <c r="A36" s="104">
        <v>4516</v>
      </c>
      <c r="B36" s="103">
        <v>1</v>
      </c>
      <c r="C36" s="103">
        <v>1</v>
      </c>
    </row>
    <row r="37" spans="1:3">
      <c r="A37" s="104">
        <v>6140</v>
      </c>
      <c r="B37" s="103">
        <v>1</v>
      </c>
      <c r="C37" s="103">
        <v>1</v>
      </c>
    </row>
    <row r="38" spans="1:3">
      <c r="A38" s="104">
        <v>15340</v>
      </c>
      <c r="B38" s="103">
        <v>2</v>
      </c>
      <c r="C38" s="103">
        <v>2</v>
      </c>
    </row>
    <row r="39" spans="1:3">
      <c r="A39" s="104">
        <v>0</v>
      </c>
      <c r="B39" s="103">
        <v>3</v>
      </c>
      <c r="C39" s="103">
        <v>3</v>
      </c>
    </row>
    <row r="40" spans="1:3">
      <c r="A40" s="104" t="s">
        <v>1479</v>
      </c>
      <c r="B40" s="103">
        <v>1194</v>
      </c>
      <c r="C40" s="103">
        <v>1194</v>
      </c>
    </row>
  </sheetData>
  <phoneticPr fontId="33"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2" tint="-0.249977111117893"/>
  </sheetPr>
  <dimension ref="A1:I22"/>
  <sheetViews>
    <sheetView workbookViewId="0">
      <selection activeCell="D21" sqref="D21"/>
    </sheetView>
  </sheetViews>
  <sheetFormatPr baseColWidth="10" defaultRowHeight="15" x14ac:dyDescent="0"/>
  <cols>
    <col min="1" max="1" width="13.6640625" style="110" bestFit="1" customWidth="1"/>
    <col min="2" max="2" width="15.6640625" style="110" bestFit="1" customWidth="1"/>
    <col min="3" max="3" width="10.1640625" style="110" bestFit="1" customWidth="1"/>
    <col min="4" max="4" width="9.6640625" style="110" bestFit="1" customWidth="1"/>
    <col min="5" max="5" width="9.33203125" style="110" bestFit="1" customWidth="1"/>
    <col min="6" max="6" width="9.6640625" style="110" bestFit="1" customWidth="1"/>
    <col min="7" max="7" width="5.6640625" style="110" bestFit="1" customWidth="1"/>
    <col min="8" max="8" width="7.83203125" style="110" bestFit="1" customWidth="1"/>
    <col min="9" max="9" width="10" style="110" bestFit="1" customWidth="1"/>
    <col min="10" max="16384" width="10.83203125" style="110"/>
  </cols>
  <sheetData>
    <row r="1" spans="1:9" ht="24">
      <c r="A1" s="111" t="s">
        <v>1535</v>
      </c>
      <c r="B1" s="111" t="s">
        <v>1484</v>
      </c>
      <c r="C1" s="111" t="s">
        <v>1485</v>
      </c>
      <c r="D1" s="111" t="s">
        <v>1486</v>
      </c>
      <c r="E1" s="111" t="s">
        <v>1487</v>
      </c>
      <c r="F1" s="111" t="s">
        <v>1488</v>
      </c>
      <c r="G1" s="111" t="s">
        <v>78</v>
      </c>
      <c r="H1" s="111" t="s">
        <v>1489</v>
      </c>
      <c r="I1" s="111" t="s">
        <v>1490</v>
      </c>
    </row>
    <row r="2" spans="1:9">
      <c r="A2" s="112" t="str">
        <f t="shared" ref="A2:A22" si="0">C2 &amp; " (" &amp;G2 &amp; ")"</f>
        <v>E5-2623 v3 (4)</v>
      </c>
      <c r="B2" s="112" t="s">
        <v>1528</v>
      </c>
      <c r="C2" s="112" t="s">
        <v>1529</v>
      </c>
      <c r="D2" s="112">
        <v>3</v>
      </c>
      <c r="E2" s="112">
        <v>105</v>
      </c>
      <c r="F2" s="112">
        <v>10</v>
      </c>
      <c r="G2" s="112">
        <v>4</v>
      </c>
      <c r="H2" s="112" t="s">
        <v>1521</v>
      </c>
      <c r="I2" s="112">
        <v>1866</v>
      </c>
    </row>
    <row r="3" spans="1:9">
      <c r="A3" s="112" t="str">
        <f t="shared" si="0"/>
        <v>E5-2637 v3 (4)</v>
      </c>
      <c r="B3" s="112" t="s">
        <v>1522</v>
      </c>
      <c r="C3" s="112" t="s">
        <v>1523</v>
      </c>
      <c r="D3" s="112">
        <v>3.5</v>
      </c>
      <c r="E3" s="112">
        <v>135</v>
      </c>
      <c r="F3" s="112">
        <v>15</v>
      </c>
      <c r="G3" s="112">
        <v>4</v>
      </c>
      <c r="H3" s="112" t="s">
        <v>1493</v>
      </c>
      <c r="I3" s="112">
        <v>2133</v>
      </c>
    </row>
    <row r="4" spans="1:9">
      <c r="A4" s="112" t="str">
        <f t="shared" si="0"/>
        <v>E5-2609 v3 (6)</v>
      </c>
      <c r="B4" s="112" t="s">
        <v>1534</v>
      </c>
      <c r="C4" s="112" t="s">
        <v>1532</v>
      </c>
      <c r="D4" s="112">
        <v>1.9</v>
      </c>
      <c r="E4" s="112">
        <v>85</v>
      </c>
      <c r="F4" s="112">
        <v>15</v>
      </c>
      <c r="G4" s="112">
        <v>6</v>
      </c>
      <c r="H4" s="112" t="s">
        <v>1533</v>
      </c>
      <c r="I4" s="112">
        <v>1600</v>
      </c>
    </row>
    <row r="5" spans="1:9">
      <c r="A5" s="112" t="str">
        <f t="shared" si="0"/>
        <v>E5-2620 v3 (6)</v>
      </c>
      <c r="B5" s="112" t="s">
        <v>1530</v>
      </c>
      <c r="C5" s="112" t="s">
        <v>1531</v>
      </c>
      <c r="D5" s="112">
        <v>2.4</v>
      </c>
      <c r="E5" s="112">
        <v>85</v>
      </c>
      <c r="F5" s="112">
        <v>15</v>
      </c>
      <c r="G5" s="112">
        <v>6</v>
      </c>
      <c r="H5" s="112" t="s">
        <v>1521</v>
      </c>
      <c r="I5" s="112">
        <v>1866</v>
      </c>
    </row>
    <row r="6" spans="1:9">
      <c r="A6" s="112" t="str">
        <f t="shared" si="0"/>
        <v>E5-2643 v3 (6)</v>
      </c>
      <c r="B6" s="112" t="s">
        <v>1517</v>
      </c>
      <c r="C6" s="112" t="s">
        <v>1518</v>
      </c>
      <c r="D6" s="112">
        <v>3.4</v>
      </c>
      <c r="E6" s="112">
        <v>135</v>
      </c>
      <c r="F6" s="112">
        <v>20</v>
      </c>
      <c r="G6" s="112">
        <v>6</v>
      </c>
      <c r="H6" s="112" t="s">
        <v>1493</v>
      </c>
      <c r="I6" s="112">
        <v>2133</v>
      </c>
    </row>
    <row r="7" spans="1:9">
      <c r="A7" s="112" t="str">
        <f t="shared" si="0"/>
        <v>E5-2630L v3 (8)</v>
      </c>
      <c r="B7" s="112" t="s">
        <v>1526</v>
      </c>
      <c r="C7" s="112" t="s">
        <v>1527</v>
      </c>
      <c r="D7" s="112">
        <v>1.8</v>
      </c>
      <c r="E7" s="112">
        <v>55</v>
      </c>
      <c r="F7" s="112">
        <v>20</v>
      </c>
      <c r="G7" s="112">
        <v>8</v>
      </c>
      <c r="H7" s="112" t="s">
        <v>1521</v>
      </c>
      <c r="I7" s="112">
        <v>1866</v>
      </c>
    </row>
    <row r="8" spans="1:9">
      <c r="A8" s="112" t="str">
        <f t="shared" si="0"/>
        <v>E5-2630 v3 (8)</v>
      </c>
      <c r="B8" s="112" t="s">
        <v>1524</v>
      </c>
      <c r="C8" s="112" t="s">
        <v>1525</v>
      </c>
      <c r="D8" s="112">
        <v>2.4</v>
      </c>
      <c r="E8" s="112">
        <v>85</v>
      </c>
      <c r="F8" s="112">
        <v>20</v>
      </c>
      <c r="G8" s="112">
        <v>8</v>
      </c>
      <c r="H8" s="112" t="s">
        <v>1521</v>
      </c>
      <c r="I8" s="112">
        <v>1866</v>
      </c>
    </row>
    <row r="9" spans="1:9">
      <c r="A9" s="112" t="str">
        <f t="shared" si="0"/>
        <v>E5-2640 v3 (8)</v>
      </c>
      <c r="B9" s="112" t="s">
        <v>1519</v>
      </c>
      <c r="C9" s="112" t="s">
        <v>1520</v>
      </c>
      <c r="D9" s="112">
        <v>2.6</v>
      </c>
      <c r="E9" s="112">
        <v>90</v>
      </c>
      <c r="F9" s="112">
        <v>20</v>
      </c>
      <c r="G9" s="112">
        <v>8</v>
      </c>
      <c r="H9" s="112" t="s">
        <v>1521</v>
      </c>
      <c r="I9" s="112">
        <v>1866</v>
      </c>
    </row>
    <row r="10" spans="1:9">
      <c r="A10" s="112" t="str">
        <f t="shared" si="0"/>
        <v>E5-2667 v3 (8)</v>
      </c>
      <c r="B10" s="112" t="s">
        <v>1507</v>
      </c>
      <c r="C10" s="112" t="s">
        <v>1508</v>
      </c>
      <c r="D10" s="112">
        <v>3.2</v>
      </c>
      <c r="E10" s="112">
        <v>135</v>
      </c>
      <c r="F10" s="112">
        <v>20</v>
      </c>
      <c r="G10" s="112">
        <v>8</v>
      </c>
      <c r="H10" s="112" t="s">
        <v>1493</v>
      </c>
      <c r="I10" s="112">
        <v>2133</v>
      </c>
    </row>
    <row r="11" spans="1:9">
      <c r="A11" s="112" t="str">
        <f t="shared" si="0"/>
        <v>E5-2650 v3 (10)</v>
      </c>
      <c r="B11" s="112" t="s">
        <v>1513</v>
      </c>
      <c r="C11" s="112" t="s">
        <v>1514</v>
      </c>
      <c r="D11" s="112">
        <v>2.2999999999999998</v>
      </c>
      <c r="E11" s="112">
        <v>105</v>
      </c>
      <c r="F11" s="112">
        <v>25</v>
      </c>
      <c r="G11" s="112">
        <v>10</v>
      </c>
      <c r="H11" s="112" t="s">
        <v>1493</v>
      </c>
      <c r="I11" s="112">
        <v>2133</v>
      </c>
    </row>
    <row r="12" spans="1:9">
      <c r="A12" s="112" t="str">
        <f t="shared" si="0"/>
        <v>E5-2660 v3 (10)</v>
      </c>
      <c r="B12" s="112" t="s">
        <v>1509</v>
      </c>
      <c r="C12" s="112" t="s">
        <v>1510</v>
      </c>
      <c r="D12" s="112">
        <v>2.6</v>
      </c>
      <c r="E12" s="112">
        <v>105</v>
      </c>
      <c r="F12" s="112">
        <v>25</v>
      </c>
      <c r="G12" s="112">
        <v>10</v>
      </c>
      <c r="H12" s="112" t="s">
        <v>1493</v>
      </c>
      <c r="I12" s="112">
        <v>2133</v>
      </c>
    </row>
    <row r="13" spans="1:9">
      <c r="A13" s="112" t="str">
        <f t="shared" si="0"/>
        <v>E5-2650L v3 (12)</v>
      </c>
      <c r="B13" s="112" t="s">
        <v>1515</v>
      </c>
      <c r="C13" s="112" t="s">
        <v>1516</v>
      </c>
      <c r="D13" s="112">
        <v>1.8</v>
      </c>
      <c r="E13" s="112">
        <v>65</v>
      </c>
      <c r="F13" s="112">
        <v>30</v>
      </c>
      <c r="G13" s="112">
        <v>12</v>
      </c>
      <c r="H13" s="112" t="s">
        <v>1493</v>
      </c>
      <c r="I13" s="112">
        <v>1866</v>
      </c>
    </row>
    <row r="14" spans="1:9">
      <c r="A14" s="112" t="str">
        <f t="shared" si="0"/>
        <v>E5-2658 v3 (12)</v>
      </c>
      <c r="B14" s="112" t="s">
        <v>1511</v>
      </c>
      <c r="C14" s="112" t="s">
        <v>1512</v>
      </c>
      <c r="D14" s="112">
        <v>2.2000000000000002</v>
      </c>
      <c r="E14" s="112">
        <v>105</v>
      </c>
      <c r="F14" s="112">
        <v>30</v>
      </c>
      <c r="G14" s="112">
        <v>12</v>
      </c>
      <c r="H14" s="112" t="s">
        <v>1493</v>
      </c>
      <c r="I14" s="112">
        <v>2133</v>
      </c>
    </row>
    <row r="15" spans="1:9">
      <c r="A15" s="112" t="str">
        <f t="shared" si="0"/>
        <v>E5-2670 v3 (12)</v>
      </c>
      <c r="B15" s="112" t="s">
        <v>1505</v>
      </c>
      <c r="C15" s="112" t="s">
        <v>1506</v>
      </c>
      <c r="D15" s="112">
        <v>2.2999999999999998</v>
      </c>
      <c r="E15" s="112">
        <v>120</v>
      </c>
      <c r="F15" s="112">
        <v>30</v>
      </c>
      <c r="G15" s="112">
        <v>12</v>
      </c>
      <c r="H15" s="112" t="s">
        <v>1493</v>
      </c>
      <c r="I15" s="112">
        <v>2133</v>
      </c>
    </row>
    <row r="16" spans="1:9">
      <c r="A16" s="112" t="str">
        <f t="shared" si="0"/>
        <v>E5-2680 v3 (12)</v>
      </c>
      <c r="B16" s="112" t="s">
        <v>1503</v>
      </c>
      <c r="C16" s="112" t="s">
        <v>1504</v>
      </c>
      <c r="D16" s="112">
        <v>2.5</v>
      </c>
      <c r="E16" s="112">
        <v>120</v>
      </c>
      <c r="F16" s="112">
        <v>30</v>
      </c>
      <c r="G16" s="112">
        <v>12</v>
      </c>
      <c r="H16" s="112" t="s">
        <v>1493</v>
      </c>
      <c r="I16" s="112">
        <v>2133</v>
      </c>
    </row>
    <row r="17" spans="1:9">
      <c r="A17" s="112" t="str">
        <f t="shared" si="0"/>
        <v>E5-2690 v3 (12)</v>
      </c>
      <c r="B17" s="112" t="s">
        <v>1500</v>
      </c>
      <c r="C17" s="112" t="s">
        <v>79</v>
      </c>
      <c r="D17" s="112">
        <v>2.6</v>
      </c>
      <c r="E17" s="112">
        <v>135</v>
      </c>
      <c r="F17" s="112">
        <v>30</v>
      </c>
      <c r="G17" s="112">
        <v>12</v>
      </c>
      <c r="H17" s="112" t="s">
        <v>1493</v>
      </c>
      <c r="I17" s="112">
        <v>2133</v>
      </c>
    </row>
    <row r="18" spans="1:9">
      <c r="A18" s="112" t="str">
        <f t="shared" si="0"/>
        <v>E5-2683 v3 (14)</v>
      </c>
      <c r="B18" s="112" t="s">
        <v>1501</v>
      </c>
      <c r="C18" s="112" t="s">
        <v>1502</v>
      </c>
      <c r="D18" s="112">
        <v>2</v>
      </c>
      <c r="E18" s="112">
        <v>120</v>
      </c>
      <c r="F18" s="112">
        <v>35</v>
      </c>
      <c r="G18" s="112">
        <v>14</v>
      </c>
      <c r="H18" s="112" t="s">
        <v>1493</v>
      </c>
      <c r="I18" s="112">
        <v>2133</v>
      </c>
    </row>
    <row r="19" spans="1:9">
      <c r="A19" s="112" t="str">
        <f t="shared" si="0"/>
        <v>E5-2695 v3 (14)</v>
      </c>
      <c r="B19" s="112" t="s">
        <v>1498</v>
      </c>
      <c r="C19" s="112" t="s">
        <v>1499</v>
      </c>
      <c r="D19" s="112">
        <v>2.2999999999999998</v>
      </c>
      <c r="E19" s="112">
        <v>120</v>
      </c>
      <c r="F19" s="112">
        <v>35</v>
      </c>
      <c r="G19" s="112">
        <v>14</v>
      </c>
      <c r="H19" s="112" t="s">
        <v>1493</v>
      </c>
      <c r="I19" s="112">
        <v>2133</v>
      </c>
    </row>
    <row r="20" spans="1:9">
      <c r="A20" s="112" t="str">
        <f t="shared" si="0"/>
        <v>E5-2697 v3 (14)</v>
      </c>
      <c r="B20" s="112" t="s">
        <v>1496</v>
      </c>
      <c r="C20" s="112" t="s">
        <v>1497</v>
      </c>
      <c r="D20" s="112">
        <v>2.6</v>
      </c>
      <c r="E20" s="112">
        <v>145</v>
      </c>
      <c r="F20" s="112">
        <v>35</v>
      </c>
      <c r="G20" s="112">
        <v>14</v>
      </c>
      <c r="H20" s="112" t="s">
        <v>1493</v>
      </c>
      <c r="I20" s="112">
        <v>2133</v>
      </c>
    </row>
    <row r="21" spans="1:9">
      <c r="A21" s="112" t="str">
        <f t="shared" si="0"/>
        <v>E5-2698 v3 (16)</v>
      </c>
      <c r="B21" s="112" t="s">
        <v>1494</v>
      </c>
      <c r="C21" s="112" t="s">
        <v>1495</v>
      </c>
      <c r="D21" s="112">
        <v>2.2999999999999998</v>
      </c>
      <c r="E21" s="112">
        <v>135</v>
      </c>
      <c r="F21" s="112">
        <v>40</v>
      </c>
      <c r="G21" s="112">
        <v>16</v>
      </c>
      <c r="H21" s="112" t="s">
        <v>1493</v>
      </c>
      <c r="I21" s="112">
        <v>2133</v>
      </c>
    </row>
    <row r="22" spans="1:9">
      <c r="A22" s="112" t="str">
        <f t="shared" si="0"/>
        <v>E5-2699 v3 (18)</v>
      </c>
      <c r="B22" s="113" t="s">
        <v>1491</v>
      </c>
      <c r="C22" s="113" t="s">
        <v>1492</v>
      </c>
      <c r="D22" s="113">
        <v>2.2999999999999998</v>
      </c>
      <c r="E22" s="113">
        <v>145</v>
      </c>
      <c r="F22" s="113">
        <v>45</v>
      </c>
      <c r="G22" s="113">
        <v>18</v>
      </c>
      <c r="H22" s="113" t="s">
        <v>1493</v>
      </c>
      <c r="I22" s="113">
        <v>2133</v>
      </c>
    </row>
  </sheetData>
  <sortState ref="B2:J22">
    <sortCondition ref="G2:G22"/>
    <sortCondition ref="D2:D22"/>
  </sortState>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theme="2" tint="-0.249977111117893"/>
  </sheetPr>
  <dimension ref="A1:I28"/>
  <sheetViews>
    <sheetView workbookViewId="0">
      <selection activeCell="B12" sqref="B12:D13"/>
    </sheetView>
  </sheetViews>
  <sheetFormatPr baseColWidth="10" defaultRowHeight="15" x14ac:dyDescent="0"/>
  <cols>
    <col min="1" max="1" width="13.6640625" style="110" bestFit="1" customWidth="1"/>
    <col min="2" max="2" width="15.6640625" style="110" bestFit="1" customWidth="1"/>
    <col min="3" max="3" width="10.83203125" style="110"/>
    <col min="4" max="4" width="11" style="110" customWidth="1"/>
    <col min="5" max="16384" width="10.83203125" style="110"/>
  </cols>
  <sheetData>
    <row r="1" spans="1:9">
      <c r="A1" s="111" t="s">
        <v>1585</v>
      </c>
      <c r="B1" s="111" t="s">
        <v>1582</v>
      </c>
      <c r="C1" s="111" t="s">
        <v>1584</v>
      </c>
      <c r="D1" s="111" t="s">
        <v>1583</v>
      </c>
    </row>
    <row r="2" spans="1:9">
      <c r="A2" s="112">
        <f>(B2*C2)-2</f>
        <v>62</v>
      </c>
      <c r="B2" s="112">
        <v>8</v>
      </c>
      <c r="C2" s="112">
        <v>8</v>
      </c>
      <c r="D2" s="112">
        <v>2133</v>
      </c>
    </row>
    <row r="3" spans="1:9">
      <c r="A3" s="112">
        <f t="shared" ref="A3:A10" si="0">(B3*C3)-2</f>
        <v>94</v>
      </c>
      <c r="B3" s="112">
        <v>6</v>
      </c>
      <c r="C3" s="112">
        <v>16</v>
      </c>
      <c r="D3" s="112">
        <v>2133</v>
      </c>
    </row>
    <row r="4" spans="1:9">
      <c r="A4" s="112">
        <f t="shared" si="0"/>
        <v>126</v>
      </c>
      <c r="B4" s="112">
        <v>16</v>
      </c>
      <c r="C4" s="112">
        <v>8</v>
      </c>
      <c r="D4" s="112">
        <v>2133</v>
      </c>
    </row>
    <row r="5" spans="1:9">
      <c r="A5" s="112">
        <f t="shared" si="0"/>
        <v>190</v>
      </c>
      <c r="B5" s="112">
        <v>12</v>
      </c>
      <c r="C5" s="112">
        <v>16</v>
      </c>
      <c r="D5" s="112">
        <v>2133</v>
      </c>
    </row>
    <row r="6" spans="1:9">
      <c r="A6" s="112">
        <f t="shared" si="0"/>
        <v>254</v>
      </c>
      <c r="B6" s="112">
        <v>16</v>
      </c>
      <c r="C6" s="112">
        <v>16</v>
      </c>
      <c r="D6" s="112">
        <v>2133</v>
      </c>
    </row>
    <row r="7" spans="1:9">
      <c r="A7" s="112">
        <f t="shared" si="0"/>
        <v>382</v>
      </c>
      <c r="B7" s="112">
        <v>24</v>
      </c>
      <c r="C7" s="112">
        <v>16</v>
      </c>
      <c r="D7" s="112">
        <v>1866</v>
      </c>
    </row>
    <row r="8" spans="1:9">
      <c r="A8" s="112">
        <f t="shared" si="0"/>
        <v>510</v>
      </c>
      <c r="B8" s="112">
        <v>16</v>
      </c>
      <c r="C8" s="112">
        <v>32</v>
      </c>
      <c r="D8" s="112">
        <v>2133</v>
      </c>
    </row>
    <row r="9" spans="1:9">
      <c r="A9" s="112">
        <f t="shared" si="0"/>
        <v>766</v>
      </c>
      <c r="B9" s="112">
        <v>24</v>
      </c>
      <c r="C9" s="112">
        <v>32</v>
      </c>
      <c r="D9" s="112">
        <v>1866</v>
      </c>
    </row>
    <row r="10" spans="1:9">
      <c r="A10" s="112">
        <f t="shared" si="0"/>
        <v>1534</v>
      </c>
      <c r="B10" s="112">
        <v>24</v>
      </c>
      <c r="C10" s="112">
        <v>64</v>
      </c>
      <c r="D10" s="112">
        <v>1600</v>
      </c>
    </row>
    <row r="11" spans="1:9" ht="16" thickBot="1"/>
    <row r="12" spans="1:9" ht="17">
      <c r="A12" s="116"/>
      <c r="B12" s="197" t="s">
        <v>1550</v>
      </c>
      <c r="C12" s="198"/>
      <c r="D12" s="199"/>
      <c r="E12" s="197" t="s">
        <v>1551</v>
      </c>
      <c r="F12" s="198"/>
      <c r="G12" s="199"/>
      <c r="H12" s="119"/>
      <c r="I12" s="122"/>
    </row>
    <row r="13" spans="1:9" ht="25" thickBot="1">
      <c r="A13" s="117" t="s">
        <v>1549</v>
      </c>
      <c r="B13" s="200"/>
      <c r="C13" s="201"/>
      <c r="D13" s="202"/>
      <c r="E13" s="200"/>
      <c r="F13" s="201"/>
      <c r="G13" s="202"/>
      <c r="H13" s="120" t="s">
        <v>1552</v>
      </c>
      <c r="I13" s="123"/>
    </row>
    <row r="14" spans="1:9" ht="49" thickBot="1">
      <c r="A14" s="118"/>
      <c r="B14" s="121" t="s">
        <v>1555</v>
      </c>
      <c r="C14" s="125" t="s">
        <v>1556</v>
      </c>
      <c r="D14" s="125" t="s">
        <v>1557</v>
      </c>
      <c r="E14" s="121" t="s">
        <v>1558</v>
      </c>
      <c r="F14" s="121" t="s">
        <v>1559</v>
      </c>
      <c r="G14" s="121" t="s">
        <v>1560</v>
      </c>
      <c r="H14" s="121" t="s">
        <v>1553</v>
      </c>
      <c r="I14" s="124" t="s">
        <v>1554</v>
      </c>
    </row>
    <row r="15" spans="1:9" ht="16" thickBot="1">
      <c r="A15" s="126" t="s">
        <v>1561</v>
      </c>
      <c r="B15" s="127" t="s">
        <v>1562</v>
      </c>
      <c r="C15" s="128" t="s">
        <v>1563</v>
      </c>
      <c r="D15" s="128" t="s">
        <v>1563</v>
      </c>
      <c r="E15" s="129" t="s">
        <v>1562</v>
      </c>
      <c r="F15" s="128" t="s">
        <v>1563</v>
      </c>
      <c r="G15" s="128" t="s">
        <v>1563</v>
      </c>
      <c r="H15" s="127">
        <v>2133</v>
      </c>
      <c r="I15" s="128">
        <v>8</v>
      </c>
    </row>
    <row r="16" spans="1:9" ht="16" thickBot="1">
      <c r="A16" s="195" t="s">
        <v>1564</v>
      </c>
      <c r="B16" s="130" t="s">
        <v>1565</v>
      </c>
      <c r="C16" s="131" t="s">
        <v>1566</v>
      </c>
      <c r="D16" s="132" t="s">
        <v>1567</v>
      </c>
      <c r="E16" s="131" t="s">
        <v>1568</v>
      </c>
      <c r="F16" s="130" t="s">
        <v>1566</v>
      </c>
      <c r="G16" s="132" t="s">
        <v>1567</v>
      </c>
      <c r="H16" s="130">
        <v>2133</v>
      </c>
      <c r="I16" s="132">
        <v>12</v>
      </c>
    </row>
    <row r="17" spans="1:9" ht="16" thickBot="1">
      <c r="A17" s="196"/>
      <c r="B17" s="131" t="s">
        <v>1569</v>
      </c>
      <c r="C17" s="132" t="s">
        <v>1563</v>
      </c>
      <c r="D17" s="132" t="s">
        <v>1563</v>
      </c>
      <c r="E17" s="131" t="s">
        <v>1569</v>
      </c>
      <c r="F17" s="132" t="s">
        <v>1563</v>
      </c>
      <c r="G17" s="132" t="s">
        <v>1563</v>
      </c>
      <c r="H17" s="130">
        <v>2133</v>
      </c>
      <c r="I17" s="132">
        <v>6</v>
      </c>
    </row>
    <row r="18" spans="1:9" ht="16" thickBot="1">
      <c r="A18" s="195" t="s">
        <v>1570</v>
      </c>
      <c r="B18" s="127" t="s">
        <v>1562</v>
      </c>
      <c r="C18" s="127" t="s">
        <v>1562</v>
      </c>
      <c r="D18" s="128" t="s">
        <v>1563</v>
      </c>
      <c r="E18" s="129" t="s">
        <v>1562</v>
      </c>
      <c r="F18" s="127" t="s">
        <v>1562</v>
      </c>
      <c r="G18" s="128" t="s">
        <v>1563</v>
      </c>
      <c r="H18" s="127">
        <v>2133</v>
      </c>
      <c r="I18" s="128">
        <v>16</v>
      </c>
    </row>
    <row r="19" spans="1:9" ht="16" thickBot="1">
      <c r="A19" s="196"/>
      <c r="B19" s="129" t="s">
        <v>1571</v>
      </c>
      <c r="C19" s="128" t="s">
        <v>1563</v>
      </c>
      <c r="D19" s="128" t="s">
        <v>1563</v>
      </c>
      <c r="E19" s="129" t="s">
        <v>1571</v>
      </c>
      <c r="F19" s="128" t="s">
        <v>1563</v>
      </c>
      <c r="G19" s="128" t="s">
        <v>1563</v>
      </c>
      <c r="H19" s="127">
        <v>2133</v>
      </c>
      <c r="I19" s="128">
        <v>8</v>
      </c>
    </row>
    <row r="20" spans="1:9" ht="16" thickBot="1">
      <c r="A20" s="195" t="s">
        <v>1572</v>
      </c>
      <c r="B20" s="130" t="s">
        <v>1562</v>
      </c>
      <c r="C20" s="130" t="s">
        <v>1562</v>
      </c>
      <c r="D20" s="130" t="s">
        <v>1562</v>
      </c>
      <c r="E20" s="131" t="s">
        <v>1562</v>
      </c>
      <c r="F20" s="130" t="s">
        <v>1562</v>
      </c>
      <c r="G20" s="130" t="s">
        <v>1562</v>
      </c>
      <c r="H20" s="130">
        <v>1600</v>
      </c>
      <c r="I20" s="132">
        <v>24</v>
      </c>
    </row>
    <row r="21" spans="1:9" ht="16" thickBot="1">
      <c r="A21" s="203"/>
      <c r="B21" s="131" t="s">
        <v>1573</v>
      </c>
      <c r="C21" s="131" t="s">
        <v>1574</v>
      </c>
      <c r="D21" s="132" t="s">
        <v>1567</v>
      </c>
      <c r="E21" s="131" t="s">
        <v>1573</v>
      </c>
      <c r="F21" s="131" t="s">
        <v>1574</v>
      </c>
      <c r="G21" s="132" t="s">
        <v>1567</v>
      </c>
      <c r="H21" s="130">
        <v>2133</v>
      </c>
      <c r="I21" s="132">
        <v>12</v>
      </c>
    </row>
    <row r="22" spans="1:9" ht="16" thickBot="1">
      <c r="A22" s="196"/>
      <c r="B22" s="129" t="s">
        <v>1571</v>
      </c>
      <c r="C22" s="127" t="s">
        <v>1562</v>
      </c>
      <c r="D22" s="128" t="s">
        <v>1563</v>
      </c>
      <c r="E22" s="129" t="s">
        <v>1571</v>
      </c>
      <c r="F22" s="127" t="s">
        <v>1562</v>
      </c>
      <c r="G22" s="128" t="s">
        <v>1563</v>
      </c>
      <c r="H22" s="127">
        <v>2133</v>
      </c>
      <c r="I22" s="128">
        <v>16</v>
      </c>
    </row>
    <row r="23" spans="1:9" ht="16" thickBot="1">
      <c r="A23" s="195" t="s">
        <v>1575</v>
      </c>
      <c r="B23" s="129" t="s">
        <v>1571</v>
      </c>
      <c r="C23" s="129" t="s">
        <v>1571</v>
      </c>
      <c r="D23" s="128" t="s">
        <v>1563</v>
      </c>
      <c r="E23" s="129" t="s">
        <v>1571</v>
      </c>
      <c r="F23" s="129" t="s">
        <v>1571</v>
      </c>
      <c r="G23" s="128" t="s">
        <v>1563</v>
      </c>
      <c r="H23" s="127">
        <v>2133</v>
      </c>
      <c r="I23" s="128">
        <v>16</v>
      </c>
    </row>
    <row r="24" spans="1:9" ht="16" thickBot="1">
      <c r="A24" s="196"/>
      <c r="B24" s="129" t="s">
        <v>1576</v>
      </c>
      <c r="C24" s="128" t="s">
        <v>1563</v>
      </c>
      <c r="D24" s="128" t="s">
        <v>1563</v>
      </c>
      <c r="E24" s="129" t="s">
        <v>1576</v>
      </c>
      <c r="F24" s="128" t="s">
        <v>1563</v>
      </c>
      <c r="G24" s="128" t="s">
        <v>1563</v>
      </c>
      <c r="H24" s="127">
        <v>2133</v>
      </c>
      <c r="I24" s="128">
        <v>8</v>
      </c>
    </row>
    <row r="25" spans="1:9" ht="16" thickBot="1">
      <c r="A25" s="126" t="s">
        <v>1577</v>
      </c>
      <c r="B25" s="131" t="s">
        <v>1571</v>
      </c>
      <c r="C25" s="131" t="s">
        <v>1571</v>
      </c>
      <c r="D25" s="131" t="s">
        <v>1571</v>
      </c>
      <c r="E25" s="131" t="s">
        <v>1571</v>
      </c>
      <c r="F25" s="131" t="s">
        <v>1571</v>
      </c>
      <c r="G25" s="131" t="s">
        <v>1571</v>
      </c>
      <c r="H25" s="130">
        <v>1866</v>
      </c>
      <c r="I25" s="132">
        <v>24</v>
      </c>
    </row>
    <row r="26" spans="1:9" ht="16" thickBot="1">
      <c r="A26" s="126" t="s">
        <v>1578</v>
      </c>
      <c r="B26" s="129" t="s">
        <v>1576</v>
      </c>
      <c r="C26" s="129" t="s">
        <v>1576</v>
      </c>
      <c r="D26" s="128" t="s">
        <v>1563</v>
      </c>
      <c r="E26" s="129" t="s">
        <v>1576</v>
      </c>
      <c r="F26" s="129" t="s">
        <v>1576</v>
      </c>
      <c r="G26" s="128" t="s">
        <v>1563</v>
      </c>
      <c r="H26" s="127">
        <v>2133</v>
      </c>
      <c r="I26" s="128">
        <v>16</v>
      </c>
    </row>
    <row r="27" spans="1:9" ht="16" thickBot="1">
      <c r="A27" s="126" t="s">
        <v>1579</v>
      </c>
      <c r="B27" s="131" t="s">
        <v>1576</v>
      </c>
      <c r="C27" s="131" t="s">
        <v>1576</v>
      </c>
      <c r="D27" s="131" t="s">
        <v>1576</v>
      </c>
      <c r="E27" s="131" t="s">
        <v>1576</v>
      </c>
      <c r="F27" s="131" t="s">
        <v>1576</v>
      </c>
      <c r="G27" s="131" t="s">
        <v>1576</v>
      </c>
      <c r="H27" s="130">
        <v>1866</v>
      </c>
      <c r="I27" s="132">
        <v>24</v>
      </c>
    </row>
    <row r="28" spans="1:9" ht="16" thickBot="1">
      <c r="A28" s="126" t="s">
        <v>1580</v>
      </c>
      <c r="B28" s="131" t="s">
        <v>1581</v>
      </c>
      <c r="C28" s="131" t="s">
        <v>1581</v>
      </c>
      <c r="D28" s="131" t="s">
        <v>1581</v>
      </c>
      <c r="E28" s="131" t="s">
        <v>1581</v>
      </c>
      <c r="F28" s="131" t="s">
        <v>1581</v>
      </c>
      <c r="G28" s="131" t="s">
        <v>1581</v>
      </c>
      <c r="H28" s="130">
        <v>1600</v>
      </c>
      <c r="I28" s="132">
        <v>24</v>
      </c>
    </row>
  </sheetData>
  <mergeCells count="6">
    <mergeCell ref="A23:A24"/>
    <mergeCell ref="B12:D13"/>
    <mergeCell ref="E12:G13"/>
    <mergeCell ref="A16:A17"/>
    <mergeCell ref="A18:A19"/>
    <mergeCell ref="A20:A22"/>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2" tint="-0.249977111117893"/>
  </sheetPr>
  <dimension ref="A1:I76"/>
  <sheetViews>
    <sheetView zoomScale="110" zoomScaleNormal="110" zoomScalePageLayoutView="110" workbookViewId="0">
      <selection activeCell="H31" sqref="H31"/>
    </sheetView>
  </sheetViews>
  <sheetFormatPr baseColWidth="10" defaultColWidth="28.33203125" defaultRowHeight="15" x14ac:dyDescent="0"/>
  <cols>
    <col min="1" max="1" width="28.6640625" style="101" bestFit="1" customWidth="1"/>
    <col min="2" max="2" width="28.33203125" style="101"/>
    <col min="3" max="3" width="9.6640625" style="101" bestFit="1" customWidth="1"/>
    <col min="4" max="4" width="8.6640625" style="101" bestFit="1" customWidth="1"/>
    <col min="5" max="6" width="8.1640625" style="101" bestFit="1" customWidth="1"/>
    <col min="7" max="7" width="9.6640625" style="101" bestFit="1" customWidth="1"/>
    <col min="8" max="8" width="19.1640625" style="101" bestFit="1" customWidth="1"/>
    <col min="9" max="9" width="8" style="101" bestFit="1" customWidth="1"/>
    <col min="10" max="16384" width="28.33203125" style="101"/>
  </cols>
  <sheetData>
    <row r="1" spans="1:9">
      <c r="A1" s="134" t="s">
        <v>1625</v>
      </c>
      <c r="B1" s="134" t="s">
        <v>1686</v>
      </c>
      <c r="C1" s="134" t="s">
        <v>80</v>
      </c>
      <c r="D1" s="134" t="s">
        <v>5</v>
      </c>
      <c r="E1" s="134" t="s">
        <v>1624</v>
      </c>
      <c r="F1" s="133" t="s">
        <v>7</v>
      </c>
      <c r="G1" s="134" t="s">
        <v>1589</v>
      </c>
      <c r="H1" s="134" t="s">
        <v>1685</v>
      </c>
      <c r="I1" s="134" t="s">
        <v>1590</v>
      </c>
    </row>
    <row r="2" spans="1:9">
      <c r="A2" s="100" t="str">
        <f>$F2 &amp; " GB " &amp; $G2 &amp; " " &amp; $E2 &amp; " " &amp; $H2 &amp; "G " &amp; $D2 &amp; " " &amp; $C2</f>
        <v>1024 GB 7.2K SAS 6G Spindle LFF</v>
      </c>
      <c r="B2" s="112">
        <v>3.5</v>
      </c>
      <c r="C2" s="112" t="s">
        <v>1622</v>
      </c>
      <c r="D2" s="112" t="s">
        <v>1684</v>
      </c>
      <c r="E2" s="135" t="s">
        <v>1597</v>
      </c>
      <c r="F2" s="135">
        <v>1024</v>
      </c>
      <c r="G2" s="135" t="s">
        <v>1733</v>
      </c>
      <c r="H2" s="135">
        <v>6</v>
      </c>
      <c r="I2" s="135">
        <v>80</v>
      </c>
    </row>
    <row r="3" spans="1:9">
      <c r="A3" s="100" t="str">
        <f t="shared" ref="A3:A26" si="0">$F3 &amp; " GB " &amp; $G3 &amp; " " &amp; $E3 &amp; " " &amp; $H3 &amp; "G " &amp; $D3 &amp; " " &amp; $C3</f>
        <v>2048 GB 7.2K SAS 6G Spindle LFF</v>
      </c>
      <c r="B3" s="112">
        <v>3.5</v>
      </c>
      <c r="C3" s="112" t="s">
        <v>1622</v>
      </c>
      <c r="D3" s="112" t="s">
        <v>1684</v>
      </c>
      <c r="E3" s="135" t="s">
        <v>1597</v>
      </c>
      <c r="F3" s="135">
        <v>2048</v>
      </c>
      <c r="G3" s="135" t="s">
        <v>1733</v>
      </c>
      <c r="H3" s="135">
        <v>6</v>
      </c>
      <c r="I3" s="135">
        <v>80</v>
      </c>
    </row>
    <row r="4" spans="1:9">
      <c r="A4" s="100" t="str">
        <f t="shared" si="0"/>
        <v>3072 GB 7.2K SAS 6G Spindle LFF</v>
      </c>
      <c r="B4" s="112">
        <v>3.5</v>
      </c>
      <c r="C4" s="112" t="s">
        <v>1622</v>
      </c>
      <c r="D4" s="112" t="s">
        <v>1684</v>
      </c>
      <c r="E4" s="135" t="s">
        <v>1597</v>
      </c>
      <c r="F4" s="135">
        <v>3072</v>
      </c>
      <c r="G4" s="135" t="s">
        <v>1733</v>
      </c>
      <c r="H4" s="135">
        <v>6</v>
      </c>
      <c r="I4" s="135">
        <v>80</v>
      </c>
    </row>
    <row r="5" spans="1:9">
      <c r="A5" s="100" t="str">
        <f t="shared" si="0"/>
        <v>4096 GB 7.2K SAS 6G Spindle LFF</v>
      </c>
      <c r="B5" s="112">
        <v>3.5</v>
      </c>
      <c r="C5" s="112" t="s">
        <v>1622</v>
      </c>
      <c r="D5" s="112" t="s">
        <v>1684</v>
      </c>
      <c r="E5" s="135" t="s">
        <v>1597</v>
      </c>
      <c r="F5" s="135">
        <v>4096</v>
      </c>
      <c r="G5" s="135" t="s">
        <v>1733</v>
      </c>
      <c r="H5" s="135">
        <v>6</v>
      </c>
      <c r="I5" s="135">
        <v>80</v>
      </c>
    </row>
    <row r="6" spans="1:9">
      <c r="A6" s="100" t="str">
        <f t="shared" si="0"/>
        <v>6144 GB 7.2K SAS 12G Spindle LFF</v>
      </c>
      <c r="B6" s="112">
        <v>3.5</v>
      </c>
      <c r="C6" s="112" t="s">
        <v>1622</v>
      </c>
      <c r="D6" s="112" t="s">
        <v>1684</v>
      </c>
      <c r="E6" s="135" t="s">
        <v>1597</v>
      </c>
      <c r="F6" s="135">
        <v>6144</v>
      </c>
      <c r="G6" s="135" t="s">
        <v>1733</v>
      </c>
      <c r="H6" s="135">
        <v>12</v>
      </c>
      <c r="I6" s="135">
        <v>80</v>
      </c>
    </row>
    <row r="7" spans="1:9">
      <c r="A7" s="100" t="str">
        <f t="shared" si="0"/>
        <v>600 GB 15K SAS 6G Spindle SFF</v>
      </c>
      <c r="B7" s="112">
        <v>2.5</v>
      </c>
      <c r="C7" s="112" t="s">
        <v>1623</v>
      </c>
      <c r="D7" s="112" t="s">
        <v>1684</v>
      </c>
      <c r="E7" s="112" t="s">
        <v>1597</v>
      </c>
      <c r="F7" s="112">
        <v>600</v>
      </c>
      <c r="G7" s="135" t="s">
        <v>1734</v>
      </c>
      <c r="H7" s="135">
        <v>6</v>
      </c>
      <c r="I7" s="135">
        <v>190</v>
      </c>
    </row>
    <row r="8" spans="1:9">
      <c r="A8" s="100" t="str">
        <f t="shared" si="0"/>
        <v>450 GB 15K SAS 6G Spindle SFF</v>
      </c>
      <c r="B8" s="112">
        <v>2.5</v>
      </c>
      <c r="C8" s="112" t="s">
        <v>1623</v>
      </c>
      <c r="D8" s="112" t="s">
        <v>1684</v>
      </c>
      <c r="E8" s="112" t="s">
        <v>1597</v>
      </c>
      <c r="F8" s="112">
        <v>450</v>
      </c>
      <c r="G8" s="135" t="s">
        <v>1734</v>
      </c>
      <c r="H8" s="135">
        <v>6</v>
      </c>
      <c r="I8" s="135">
        <v>190</v>
      </c>
    </row>
    <row r="9" spans="1:9">
      <c r="A9" s="100" t="str">
        <f t="shared" si="0"/>
        <v>300 GB 15K SAS 6G Spindle SFF</v>
      </c>
      <c r="B9" s="112">
        <v>2.5</v>
      </c>
      <c r="C9" s="112" t="s">
        <v>1623</v>
      </c>
      <c r="D9" s="112" t="s">
        <v>1684</v>
      </c>
      <c r="E9" s="112" t="s">
        <v>1597</v>
      </c>
      <c r="F9" s="112">
        <v>300</v>
      </c>
      <c r="G9" s="135" t="s">
        <v>1734</v>
      </c>
      <c r="H9" s="135">
        <v>6</v>
      </c>
      <c r="I9" s="135">
        <v>190</v>
      </c>
    </row>
    <row r="10" spans="1:9">
      <c r="A10" s="100" t="str">
        <f t="shared" si="0"/>
        <v>1844 GB 10K SAS 12G Spindle SFF</v>
      </c>
      <c r="B10" s="112">
        <v>2.5</v>
      </c>
      <c r="C10" s="112" t="s">
        <v>1623</v>
      </c>
      <c r="D10" s="112" t="s">
        <v>1684</v>
      </c>
      <c r="E10" s="112" t="s">
        <v>1597</v>
      </c>
      <c r="F10" s="112">
        <v>1844</v>
      </c>
      <c r="G10" s="135" t="s">
        <v>1735</v>
      </c>
      <c r="H10" s="135">
        <v>12</v>
      </c>
      <c r="I10" s="135">
        <v>140</v>
      </c>
    </row>
    <row r="11" spans="1:9">
      <c r="A11" s="100" t="str">
        <f t="shared" si="0"/>
        <v>1288 GB 10K SAS 6G Spindle SFF</v>
      </c>
      <c r="B11" s="112">
        <v>2.5</v>
      </c>
      <c r="C11" s="112" t="s">
        <v>1623</v>
      </c>
      <c r="D11" s="112" t="s">
        <v>1684</v>
      </c>
      <c r="E11" s="112" t="s">
        <v>1597</v>
      </c>
      <c r="F11" s="112">
        <v>1288</v>
      </c>
      <c r="G11" s="135" t="s">
        <v>1735</v>
      </c>
      <c r="H11" s="135">
        <v>6</v>
      </c>
      <c r="I11" s="135">
        <v>140</v>
      </c>
    </row>
    <row r="12" spans="1:9">
      <c r="A12" s="100" t="str">
        <f t="shared" si="0"/>
        <v>600 GB 10K SAS 12G Spindle SFF</v>
      </c>
      <c r="B12" s="112">
        <v>2.5</v>
      </c>
      <c r="C12" s="112" t="s">
        <v>1623</v>
      </c>
      <c r="D12" s="112" t="s">
        <v>1684</v>
      </c>
      <c r="E12" s="112" t="s">
        <v>1597</v>
      </c>
      <c r="F12" s="112">
        <v>600</v>
      </c>
      <c r="G12" s="135" t="s">
        <v>1735</v>
      </c>
      <c r="H12" s="135">
        <v>12</v>
      </c>
      <c r="I12" s="135">
        <v>140</v>
      </c>
    </row>
    <row r="13" spans="1:9">
      <c r="A13" s="100" t="str">
        <f t="shared" si="0"/>
        <v>900 GB 10K SAS 6G Spindle SFF</v>
      </c>
      <c r="B13" s="112">
        <v>2.5</v>
      </c>
      <c r="C13" s="112" t="s">
        <v>1623</v>
      </c>
      <c r="D13" s="112" t="s">
        <v>1684</v>
      </c>
      <c r="E13" s="112" t="s">
        <v>1597</v>
      </c>
      <c r="F13" s="112">
        <v>900</v>
      </c>
      <c r="G13" s="135" t="s">
        <v>1735</v>
      </c>
      <c r="H13" s="135">
        <v>6</v>
      </c>
      <c r="I13" s="135">
        <v>140</v>
      </c>
    </row>
    <row r="14" spans="1:9">
      <c r="A14" s="100" t="str">
        <f t="shared" si="0"/>
        <v>600 GB 10K SAS 6G Spindle SFF</v>
      </c>
      <c r="B14" s="112">
        <v>2.5</v>
      </c>
      <c r="C14" s="112" t="s">
        <v>1623</v>
      </c>
      <c r="D14" s="112" t="s">
        <v>1684</v>
      </c>
      <c r="E14" s="112" t="s">
        <v>1597</v>
      </c>
      <c r="F14" s="112">
        <v>600</v>
      </c>
      <c r="G14" s="135" t="s">
        <v>1735</v>
      </c>
      <c r="H14" s="135">
        <v>6</v>
      </c>
      <c r="I14" s="135">
        <v>140</v>
      </c>
    </row>
    <row r="15" spans="1:9">
      <c r="A15" s="100" t="str">
        <f t="shared" si="0"/>
        <v>300 GB 10K SAS 6G Spindle SFF</v>
      </c>
      <c r="B15" s="112">
        <v>2.5</v>
      </c>
      <c r="C15" s="112" t="s">
        <v>1623</v>
      </c>
      <c r="D15" s="112" t="s">
        <v>1684</v>
      </c>
      <c r="E15" s="112" t="s">
        <v>1597</v>
      </c>
      <c r="F15" s="112">
        <v>300</v>
      </c>
      <c r="G15" s="135" t="s">
        <v>1735</v>
      </c>
      <c r="H15" s="135">
        <v>6</v>
      </c>
      <c r="I15" s="135">
        <v>140</v>
      </c>
    </row>
    <row r="16" spans="1:9">
      <c r="A16" s="100" t="str">
        <f t="shared" si="0"/>
        <v>1024 GB 7.2K SAS 6G Spindle SFF</v>
      </c>
      <c r="B16" s="112">
        <v>2.5</v>
      </c>
      <c r="C16" s="112" t="s">
        <v>1623</v>
      </c>
      <c r="D16" s="112" t="s">
        <v>1684</v>
      </c>
      <c r="E16" s="112" t="s">
        <v>1597</v>
      </c>
      <c r="F16" s="112">
        <v>1024</v>
      </c>
      <c r="G16" s="135" t="s">
        <v>1733</v>
      </c>
      <c r="H16" s="135">
        <v>6</v>
      </c>
      <c r="I16" s="135">
        <v>80</v>
      </c>
    </row>
    <row r="17" spans="1:9">
      <c r="A17" s="100" t="str">
        <f t="shared" si="0"/>
        <v>1024 GB 7.2K SATA 6G Spindle SFF</v>
      </c>
      <c r="B17" s="112">
        <v>2.5</v>
      </c>
      <c r="C17" s="112" t="s">
        <v>1623</v>
      </c>
      <c r="D17" s="112" t="s">
        <v>1684</v>
      </c>
      <c r="E17" s="112" t="s">
        <v>1614</v>
      </c>
      <c r="F17" s="112">
        <v>1024</v>
      </c>
      <c r="G17" s="135" t="s">
        <v>1733</v>
      </c>
      <c r="H17" s="135">
        <v>6</v>
      </c>
      <c r="I17" s="135">
        <v>80</v>
      </c>
    </row>
    <row r="18" spans="1:9">
      <c r="A18" s="100" t="str">
        <f t="shared" si="0"/>
        <v>1638 GB  SAS 12G SSD SFF</v>
      </c>
      <c r="B18" s="112">
        <v>2.5</v>
      </c>
      <c r="C18" s="112" t="s">
        <v>1623</v>
      </c>
      <c r="D18" s="112" t="s">
        <v>6</v>
      </c>
      <c r="E18" s="112" t="s">
        <v>1597</v>
      </c>
      <c r="F18" s="112">
        <v>1638</v>
      </c>
      <c r="G18" s="135"/>
      <c r="H18" s="135">
        <v>12</v>
      </c>
      <c r="I18" s="135">
        <v>20000</v>
      </c>
    </row>
    <row r="19" spans="1:9">
      <c r="A19" s="100" t="str">
        <f t="shared" si="0"/>
        <v>800 GB  SAS 6G SSD SFF</v>
      </c>
      <c r="B19" s="112">
        <v>2.5</v>
      </c>
      <c r="C19" s="112" t="s">
        <v>1623</v>
      </c>
      <c r="D19" s="112" t="s">
        <v>6</v>
      </c>
      <c r="E19" s="112" t="s">
        <v>1597</v>
      </c>
      <c r="F19" s="112">
        <v>800</v>
      </c>
      <c r="G19" s="135"/>
      <c r="H19" s="135">
        <v>6</v>
      </c>
      <c r="I19" s="135">
        <v>20000</v>
      </c>
    </row>
    <row r="20" spans="1:9">
      <c r="A20" s="100" t="str">
        <f t="shared" si="0"/>
        <v>400 GB  SAS 12G SSD SFF</v>
      </c>
      <c r="B20" s="112">
        <v>2.5</v>
      </c>
      <c r="C20" s="112" t="s">
        <v>1623</v>
      </c>
      <c r="D20" s="112" t="s">
        <v>6</v>
      </c>
      <c r="E20" s="112" t="s">
        <v>1597</v>
      </c>
      <c r="F20" s="112">
        <v>400</v>
      </c>
      <c r="G20" s="135"/>
      <c r="H20" s="135">
        <v>12</v>
      </c>
      <c r="I20" s="135">
        <v>20000</v>
      </c>
    </row>
    <row r="21" spans="1:9">
      <c r="A21" s="100" t="str">
        <f t="shared" si="0"/>
        <v>400 GB  SAS 6G SSD SFF</v>
      </c>
      <c r="B21" s="112">
        <v>2.5</v>
      </c>
      <c r="C21" s="112" t="s">
        <v>1623</v>
      </c>
      <c r="D21" s="112" t="s">
        <v>6</v>
      </c>
      <c r="E21" s="112" t="s">
        <v>1597</v>
      </c>
      <c r="F21" s="112">
        <v>400</v>
      </c>
      <c r="G21" s="135"/>
      <c r="H21" s="135">
        <v>6</v>
      </c>
      <c r="I21" s="135">
        <v>20000</v>
      </c>
    </row>
    <row r="22" spans="1:9">
      <c r="A22" s="100" t="str">
        <f t="shared" si="0"/>
        <v>200 GB  SAS 6G SSD SFF</v>
      </c>
      <c r="B22" s="112">
        <v>2.5</v>
      </c>
      <c r="C22" s="112" t="s">
        <v>1623</v>
      </c>
      <c r="D22" s="112" t="s">
        <v>6</v>
      </c>
      <c r="E22" s="112" t="s">
        <v>1597</v>
      </c>
      <c r="F22" s="112">
        <v>200</v>
      </c>
      <c r="G22" s="135"/>
      <c r="H22" s="135">
        <v>6</v>
      </c>
      <c r="I22" s="135">
        <v>20000</v>
      </c>
    </row>
    <row r="23" spans="1:9">
      <c r="A23" s="100" t="str">
        <f t="shared" si="0"/>
        <v>960 GB  SATA 6G SSD SFF</v>
      </c>
      <c r="B23" s="112">
        <v>2.5</v>
      </c>
      <c r="C23" s="112" t="s">
        <v>1623</v>
      </c>
      <c r="D23" s="112" t="s">
        <v>6</v>
      </c>
      <c r="E23" s="112" t="s">
        <v>1614</v>
      </c>
      <c r="F23" s="112">
        <v>960</v>
      </c>
      <c r="G23" s="135"/>
      <c r="H23" s="100">
        <v>6</v>
      </c>
      <c r="I23" s="100">
        <v>5000</v>
      </c>
    </row>
    <row r="24" spans="1:9">
      <c r="A24" s="100" t="str">
        <f t="shared" si="0"/>
        <v>480 GB  SATA 6G SSD SFF</v>
      </c>
      <c r="B24" s="112">
        <v>2.5</v>
      </c>
      <c r="C24" s="112" t="s">
        <v>1623</v>
      </c>
      <c r="D24" s="112" t="s">
        <v>6</v>
      </c>
      <c r="E24" s="112" t="s">
        <v>1614</v>
      </c>
      <c r="F24" s="112">
        <v>480</v>
      </c>
      <c r="G24" s="135"/>
      <c r="H24" s="100">
        <v>6</v>
      </c>
      <c r="I24" s="100">
        <v>5000</v>
      </c>
    </row>
    <row r="25" spans="1:9">
      <c r="A25" s="100" t="str">
        <f t="shared" si="0"/>
        <v>240 GB  SATA 6G SSD SFF</v>
      </c>
      <c r="B25" s="112">
        <v>2.5</v>
      </c>
      <c r="C25" s="112" t="s">
        <v>1623</v>
      </c>
      <c r="D25" s="112" t="s">
        <v>6</v>
      </c>
      <c r="E25" s="112" t="s">
        <v>1614</v>
      </c>
      <c r="F25" s="112">
        <v>240</v>
      </c>
      <c r="G25" s="135"/>
      <c r="H25" s="100">
        <v>6</v>
      </c>
      <c r="I25" s="100">
        <v>5000</v>
      </c>
    </row>
    <row r="26" spans="1:9">
      <c r="A26" s="100" t="str">
        <f t="shared" si="0"/>
        <v>120 GB  SATA 6G SSD SFF</v>
      </c>
      <c r="B26" s="112">
        <v>2.5</v>
      </c>
      <c r="C26" s="112" t="s">
        <v>1623</v>
      </c>
      <c r="D26" s="112" t="s">
        <v>6</v>
      </c>
      <c r="E26" s="112" t="s">
        <v>1614</v>
      </c>
      <c r="F26" s="112">
        <v>120</v>
      </c>
      <c r="G26" s="135"/>
      <c r="H26" s="100">
        <v>6</v>
      </c>
      <c r="I26" s="100">
        <v>5000</v>
      </c>
    </row>
    <row r="29" spans="1:9" ht="16" thickBot="1">
      <c r="A29" s="101" t="s">
        <v>1622</v>
      </c>
    </row>
    <row r="30" spans="1:9">
      <c r="A30" s="136"/>
      <c r="B30" s="136"/>
      <c r="C30" s="205" t="s">
        <v>1592</v>
      </c>
      <c r="D30" s="136"/>
    </row>
    <row r="31" spans="1:9" ht="16" thickBot="1">
      <c r="A31" s="107" t="s">
        <v>1484</v>
      </c>
      <c r="B31" s="107" t="s">
        <v>1591</v>
      </c>
      <c r="C31" s="206"/>
      <c r="D31" s="107" t="s">
        <v>1593</v>
      </c>
    </row>
    <row r="32" spans="1:9" ht="16" thickBot="1">
      <c r="A32" s="204" t="s">
        <v>1594</v>
      </c>
      <c r="B32" s="204"/>
      <c r="C32" s="204"/>
      <c r="D32" s="204"/>
    </row>
    <row r="33" spans="1:4" ht="24">
      <c r="A33" s="108" t="s">
        <v>1595</v>
      </c>
      <c r="B33" s="108" t="s">
        <v>1596</v>
      </c>
      <c r="C33" s="108" t="s">
        <v>1597</v>
      </c>
      <c r="D33" s="108" t="s">
        <v>1598</v>
      </c>
    </row>
    <row r="34" spans="1:4">
      <c r="A34" s="108" t="s">
        <v>1599</v>
      </c>
      <c r="B34" s="108" t="s">
        <v>1600</v>
      </c>
      <c r="C34" s="108" t="s">
        <v>1597</v>
      </c>
      <c r="D34" s="108" t="s">
        <v>1601</v>
      </c>
    </row>
    <row r="35" spans="1:4">
      <c r="A35" s="108" t="s">
        <v>1602</v>
      </c>
      <c r="B35" s="108" t="s">
        <v>1603</v>
      </c>
      <c r="C35" s="108" t="s">
        <v>1597</v>
      </c>
      <c r="D35" s="108" t="s">
        <v>1604</v>
      </c>
    </row>
    <row r="36" spans="1:4">
      <c r="A36" s="108" t="s">
        <v>1605</v>
      </c>
      <c r="B36" s="108" t="s">
        <v>1606</v>
      </c>
      <c r="C36" s="108" t="s">
        <v>1597</v>
      </c>
      <c r="D36" s="108" t="s">
        <v>1607</v>
      </c>
    </row>
    <row r="37" spans="1:4" ht="16" thickBot="1">
      <c r="A37" s="109" t="s">
        <v>1608</v>
      </c>
      <c r="B37" s="109" t="s">
        <v>1609</v>
      </c>
      <c r="C37" s="109" t="s">
        <v>1597</v>
      </c>
      <c r="D37" s="109" t="s">
        <v>1610</v>
      </c>
    </row>
    <row r="38" spans="1:4" ht="16" thickBot="1"/>
    <row r="39" spans="1:4">
      <c r="A39" s="136"/>
      <c r="B39" s="136"/>
      <c r="C39" s="205" t="s">
        <v>1592</v>
      </c>
      <c r="D39" s="136"/>
    </row>
    <row r="40" spans="1:4" ht="16" thickBot="1">
      <c r="A40" s="107" t="s">
        <v>1484</v>
      </c>
      <c r="B40" s="107" t="s">
        <v>1591</v>
      </c>
      <c r="C40" s="206"/>
      <c r="D40" s="107" t="s">
        <v>1593</v>
      </c>
    </row>
    <row r="41" spans="1:4" ht="16" thickBot="1">
      <c r="A41" s="204" t="s">
        <v>1611</v>
      </c>
      <c r="B41" s="204"/>
      <c r="C41" s="204"/>
      <c r="D41" s="204"/>
    </row>
    <row r="42" spans="1:4" ht="24">
      <c r="A42" s="108" t="s">
        <v>1612</v>
      </c>
      <c r="B42" s="108" t="s">
        <v>1613</v>
      </c>
      <c r="C42" s="108" t="s">
        <v>1614</v>
      </c>
      <c r="D42" s="108" t="s">
        <v>1615</v>
      </c>
    </row>
    <row r="43" spans="1:4" ht="24">
      <c r="A43" s="108" t="s">
        <v>1616</v>
      </c>
      <c r="B43" s="108" t="s">
        <v>1617</v>
      </c>
      <c r="C43" s="108" t="s">
        <v>1614</v>
      </c>
      <c r="D43" s="108" t="s">
        <v>1618</v>
      </c>
    </row>
    <row r="44" spans="1:4" ht="25" thickBot="1">
      <c r="A44" s="109" t="s">
        <v>1619</v>
      </c>
      <c r="B44" s="109" t="s">
        <v>1620</v>
      </c>
      <c r="C44" s="109" t="s">
        <v>1614</v>
      </c>
      <c r="D44" s="109" t="s">
        <v>1621</v>
      </c>
    </row>
    <row r="46" spans="1:4" ht="16" thickBot="1">
      <c r="A46" s="137" t="s">
        <v>1623</v>
      </c>
    </row>
    <row r="47" spans="1:4">
      <c r="A47" s="136"/>
      <c r="B47" s="136"/>
      <c r="C47" s="205" t="s">
        <v>1592</v>
      </c>
      <c r="D47" s="136"/>
    </row>
    <row r="48" spans="1:4" ht="16" thickBot="1">
      <c r="A48" s="107" t="s">
        <v>1484</v>
      </c>
      <c r="B48" s="107" t="s">
        <v>1591</v>
      </c>
      <c r="C48" s="206"/>
      <c r="D48" s="107" t="s">
        <v>1593</v>
      </c>
    </row>
    <row r="49" spans="1:4" ht="16" thickBot="1">
      <c r="A49" s="204" t="s">
        <v>1626</v>
      </c>
      <c r="B49" s="204"/>
      <c r="C49" s="204"/>
      <c r="D49" s="204"/>
    </row>
    <row r="50" spans="1:4" ht="24">
      <c r="A50" s="108" t="s">
        <v>1627</v>
      </c>
      <c r="B50" s="108" t="s">
        <v>1628</v>
      </c>
      <c r="C50" s="108" t="s">
        <v>1597</v>
      </c>
      <c r="D50" s="108" t="s">
        <v>1629</v>
      </c>
    </row>
    <row r="51" spans="1:4" ht="24">
      <c r="A51" s="108" t="s">
        <v>1630</v>
      </c>
      <c r="B51" s="108" t="s">
        <v>1631</v>
      </c>
      <c r="C51" s="108" t="s">
        <v>1597</v>
      </c>
      <c r="D51" s="108" t="s">
        <v>1632</v>
      </c>
    </row>
    <row r="52" spans="1:4" ht="25" thickBot="1">
      <c r="A52" s="109" t="s">
        <v>1633</v>
      </c>
      <c r="B52" s="109" t="s">
        <v>1634</v>
      </c>
      <c r="C52" s="109" t="s">
        <v>1597</v>
      </c>
      <c r="D52" s="109" t="s">
        <v>1635</v>
      </c>
    </row>
    <row r="53" spans="1:4" ht="16" thickBot="1">
      <c r="A53" s="204" t="s">
        <v>1636</v>
      </c>
      <c r="B53" s="204"/>
      <c r="C53" s="204"/>
      <c r="D53" s="204"/>
    </row>
    <row r="54" spans="1:4" ht="24">
      <c r="A54" s="108" t="s">
        <v>1637</v>
      </c>
      <c r="B54" s="108" t="s">
        <v>1638</v>
      </c>
      <c r="C54" s="108" t="s">
        <v>1597</v>
      </c>
      <c r="D54" s="108" t="s">
        <v>1639</v>
      </c>
    </row>
    <row r="55" spans="1:4">
      <c r="A55" s="108" t="s">
        <v>1640</v>
      </c>
      <c r="B55" s="108" t="s">
        <v>1641</v>
      </c>
      <c r="C55" s="108" t="s">
        <v>1597</v>
      </c>
      <c r="D55" s="108" t="s">
        <v>1642</v>
      </c>
    </row>
    <row r="56" spans="1:4" ht="24">
      <c r="A56" s="108" t="s">
        <v>1643</v>
      </c>
      <c r="B56" s="108" t="s">
        <v>1644</v>
      </c>
      <c r="C56" s="108" t="s">
        <v>1597</v>
      </c>
      <c r="D56" s="108" t="s">
        <v>1629</v>
      </c>
    </row>
    <row r="57" spans="1:4" ht="24">
      <c r="A57" s="108" t="s">
        <v>1645</v>
      </c>
      <c r="B57" s="108" t="s">
        <v>1646</v>
      </c>
      <c r="C57" s="108" t="s">
        <v>1597</v>
      </c>
      <c r="D57" s="108" t="s">
        <v>1647</v>
      </c>
    </row>
    <row r="58" spans="1:4" ht="24">
      <c r="A58" s="108" t="s">
        <v>1648</v>
      </c>
      <c r="B58" s="108" t="s">
        <v>1649</v>
      </c>
      <c r="C58" s="108" t="s">
        <v>1597</v>
      </c>
      <c r="D58" s="108" t="s">
        <v>1629</v>
      </c>
    </row>
    <row r="59" spans="1:4" ht="25" thickBot="1">
      <c r="A59" s="109" t="s">
        <v>1650</v>
      </c>
      <c r="B59" s="109" t="s">
        <v>1651</v>
      </c>
      <c r="C59" s="109" t="s">
        <v>1597</v>
      </c>
      <c r="D59" s="109" t="s">
        <v>1635</v>
      </c>
    </row>
    <row r="60" spans="1:4" ht="16" thickBot="1">
      <c r="A60" s="204" t="s">
        <v>1652</v>
      </c>
      <c r="B60" s="204"/>
      <c r="C60" s="204"/>
      <c r="D60" s="204"/>
    </row>
    <row r="61" spans="1:4">
      <c r="A61" s="108" t="s">
        <v>1653</v>
      </c>
      <c r="B61" s="108" t="s">
        <v>1654</v>
      </c>
      <c r="C61" s="108" t="s">
        <v>1597</v>
      </c>
      <c r="D61" s="108" t="s">
        <v>1610</v>
      </c>
    </row>
    <row r="62" spans="1:4" ht="16" thickBot="1">
      <c r="A62" s="109" t="s">
        <v>1655</v>
      </c>
      <c r="B62" s="109" t="s">
        <v>1656</v>
      </c>
      <c r="C62" s="109" t="s">
        <v>1614</v>
      </c>
      <c r="D62" s="109" t="s">
        <v>1610</v>
      </c>
    </row>
    <row r="63" spans="1:4" ht="16" thickBot="1"/>
    <row r="64" spans="1:4" ht="16" thickBot="1">
      <c r="A64" s="207" t="s">
        <v>1657</v>
      </c>
      <c r="B64" s="207"/>
      <c r="C64" s="207"/>
      <c r="D64" s="207"/>
    </row>
    <row r="65" spans="1:4" ht="16" thickBot="1">
      <c r="A65" s="204" t="s">
        <v>1658</v>
      </c>
      <c r="B65" s="204"/>
      <c r="C65" s="204"/>
      <c r="D65" s="204"/>
    </row>
    <row r="66" spans="1:4" ht="16" thickBot="1">
      <c r="A66" s="204" t="s">
        <v>1659</v>
      </c>
      <c r="B66" s="204"/>
      <c r="C66" s="204"/>
      <c r="D66" s="204"/>
    </row>
    <row r="67" spans="1:4" ht="36">
      <c r="A67" s="108" t="s">
        <v>1660</v>
      </c>
      <c r="B67" s="108" t="s">
        <v>1661</v>
      </c>
      <c r="C67" s="108" t="s">
        <v>1597</v>
      </c>
      <c r="D67" s="108" t="s">
        <v>1662</v>
      </c>
    </row>
    <row r="68" spans="1:4" ht="36">
      <c r="A68" s="108" t="s">
        <v>1663</v>
      </c>
      <c r="B68" s="108" t="s">
        <v>1664</v>
      </c>
      <c r="C68" s="108" t="s">
        <v>1597</v>
      </c>
      <c r="D68" s="108" t="s">
        <v>1665</v>
      </c>
    </row>
    <row r="69" spans="1:4" ht="36">
      <c r="A69" s="108" t="s">
        <v>1666</v>
      </c>
      <c r="B69" s="108" t="s">
        <v>1667</v>
      </c>
      <c r="C69" s="108" t="s">
        <v>1597</v>
      </c>
      <c r="D69" s="108" t="s">
        <v>1668</v>
      </c>
    </row>
    <row r="70" spans="1:4" ht="36">
      <c r="A70" s="108" t="s">
        <v>1669</v>
      </c>
      <c r="B70" s="108" t="s">
        <v>1670</v>
      </c>
      <c r="C70" s="108" t="s">
        <v>1597</v>
      </c>
      <c r="D70" s="108" t="s">
        <v>1668</v>
      </c>
    </row>
    <row r="71" spans="1:4" ht="37" thickBot="1">
      <c r="A71" s="109" t="s">
        <v>1671</v>
      </c>
      <c r="B71" s="109" t="s">
        <v>1672</v>
      </c>
      <c r="C71" s="109" t="s">
        <v>1597</v>
      </c>
      <c r="D71" s="109" t="s">
        <v>1673</v>
      </c>
    </row>
    <row r="72" spans="1:4" ht="16" thickBot="1">
      <c r="A72" s="204" t="s">
        <v>1674</v>
      </c>
      <c r="B72" s="204"/>
      <c r="C72" s="204"/>
      <c r="D72" s="204"/>
    </row>
    <row r="73" spans="1:4" ht="24">
      <c r="A73" s="108" t="s">
        <v>1675</v>
      </c>
      <c r="B73" s="108" t="s">
        <v>1676</v>
      </c>
      <c r="C73" s="108" t="s">
        <v>1614</v>
      </c>
      <c r="D73" s="108" t="s">
        <v>1615</v>
      </c>
    </row>
    <row r="74" spans="1:4" ht="24">
      <c r="A74" s="108" t="s">
        <v>1677</v>
      </c>
      <c r="B74" s="108" t="s">
        <v>1678</v>
      </c>
      <c r="C74" s="108" t="s">
        <v>1614</v>
      </c>
      <c r="D74" s="108" t="s">
        <v>1618</v>
      </c>
    </row>
    <row r="75" spans="1:4" ht="24">
      <c r="A75" s="108" t="s">
        <v>1679</v>
      </c>
      <c r="B75" s="108" t="s">
        <v>1680</v>
      </c>
      <c r="C75" s="108" t="s">
        <v>1614</v>
      </c>
      <c r="D75" s="108" t="s">
        <v>1681</v>
      </c>
    </row>
    <row r="76" spans="1:4" ht="25" thickBot="1">
      <c r="A76" s="109" t="s">
        <v>1682</v>
      </c>
      <c r="B76" s="109" t="s">
        <v>1683</v>
      </c>
      <c r="C76" s="109" t="s">
        <v>1614</v>
      </c>
      <c r="D76" s="109" t="s">
        <v>1621</v>
      </c>
    </row>
  </sheetData>
  <mergeCells count="12">
    <mergeCell ref="A66:D66"/>
    <mergeCell ref="A72:D72"/>
    <mergeCell ref="C30:C31"/>
    <mergeCell ref="A32:D32"/>
    <mergeCell ref="C39:C40"/>
    <mergeCell ref="A41:D41"/>
    <mergeCell ref="C47:C48"/>
    <mergeCell ref="A49:D49"/>
    <mergeCell ref="A53:D53"/>
    <mergeCell ref="A60:D60"/>
    <mergeCell ref="A64:D64"/>
    <mergeCell ref="A65:D65"/>
  </mergeCells>
  <phoneticPr fontId="33" type="noConversion"/>
  <pageMargins left="0.7" right="0.7" top="0.75" bottom="0.75" header="0.3" footer="0.3"/>
  <pageSetup paperSize="158" orientation="portrait" horizontalDpi="360" verticalDpi="360"/>
  <ignoredErrors>
    <ignoredError sqref="A18 A19:A26" emptyCellReference="1"/>
  </ignoredError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P43"/>
  <sheetViews>
    <sheetView showGridLines="0" zoomScale="125" zoomScaleNormal="125" zoomScalePageLayoutView="125" workbookViewId="0">
      <selection activeCell="A5" sqref="A5:XFD5"/>
    </sheetView>
  </sheetViews>
  <sheetFormatPr baseColWidth="10" defaultColWidth="8.83203125" defaultRowHeight="11" x14ac:dyDescent="0"/>
  <cols>
    <col min="1" max="1" width="7.6640625" style="144" customWidth="1"/>
    <col min="2" max="2" width="21" style="144" customWidth="1"/>
    <col min="3" max="3" width="46.5" style="144" customWidth="1"/>
    <col min="4" max="4" width="10.1640625" style="144" customWidth="1"/>
    <col min="5" max="5" width="7.6640625" style="144" customWidth="1"/>
    <col min="6" max="6" width="6.83203125" style="144" customWidth="1"/>
    <col min="7" max="7" width="6.6640625" style="144" customWidth="1"/>
    <col min="8" max="8" width="10.83203125" style="144" customWidth="1"/>
    <col min="9" max="9" width="11.33203125" style="144" customWidth="1"/>
    <col min="10" max="10" width="6.83203125" style="144" customWidth="1"/>
    <col min="11" max="11" width="12" style="144" customWidth="1"/>
    <col min="12" max="12" width="28.83203125" style="144" customWidth="1"/>
    <col min="13" max="13" width="2" style="144" customWidth="1"/>
    <col min="14" max="14" width="12" style="144" customWidth="1"/>
    <col min="15" max="15" width="28.83203125" style="144" customWidth="1"/>
    <col min="16" max="16" width="35.5" style="159" customWidth="1"/>
    <col min="17" max="16384" width="8.83203125" style="144"/>
  </cols>
  <sheetData>
    <row r="1" spans="1:14" ht="20">
      <c r="A1" s="142" t="s">
        <v>1819</v>
      </c>
      <c r="B1" s="143" t="s">
        <v>1820</v>
      </c>
      <c r="C1" s="143" t="s">
        <v>1535</v>
      </c>
      <c r="D1" s="143" t="s">
        <v>1821</v>
      </c>
      <c r="E1" s="143" t="s">
        <v>1822</v>
      </c>
      <c r="F1" s="143" t="s">
        <v>1823</v>
      </c>
      <c r="G1" s="143" t="s">
        <v>1824</v>
      </c>
      <c r="H1" s="143" t="s">
        <v>1825</v>
      </c>
      <c r="I1" s="143" t="s">
        <v>1826</v>
      </c>
      <c r="J1" s="143" t="s">
        <v>1827</v>
      </c>
      <c r="K1" s="143" t="s">
        <v>1828</v>
      </c>
      <c r="L1" s="143" t="s">
        <v>1829</v>
      </c>
      <c r="N1" s="144" t="s">
        <v>1900</v>
      </c>
    </row>
    <row r="2" spans="1:14">
      <c r="A2" s="145" t="s">
        <v>1830</v>
      </c>
      <c r="B2" s="146" t="s">
        <v>1831</v>
      </c>
      <c r="C2" s="147" t="s">
        <v>1832</v>
      </c>
      <c r="D2" s="147" t="s">
        <v>1833</v>
      </c>
      <c r="E2" s="148" t="s">
        <v>1834</v>
      </c>
      <c r="F2" s="147" t="s">
        <v>1835</v>
      </c>
      <c r="G2" s="149">
        <v>3</v>
      </c>
      <c r="H2" s="150">
        <v>3365</v>
      </c>
      <c r="I2" s="150">
        <f t="shared" ref="I2:I13" si="0">IF(ISNUMBER(G2),IF(ISNUMBER(H2),H2*G2,"--"),"--")</f>
        <v>10095</v>
      </c>
      <c r="J2" s="149">
        <f>$N$2</f>
        <v>61</v>
      </c>
      <c r="K2" s="150">
        <f t="shared" ref="K2:K13" si="1">IF(ISNUMBER(I2),ROUND(I2-IF(ISNUMBER(J2),I2*J2/100,0),2),"--")</f>
        <v>3937.05</v>
      </c>
      <c r="L2" s="147" t="s">
        <v>1836</v>
      </c>
      <c r="N2" s="144">
        <v>61</v>
      </c>
    </row>
    <row r="3" spans="1:14">
      <c r="A3" s="151" t="s">
        <v>1837</v>
      </c>
      <c r="B3" s="152" t="s">
        <v>1530</v>
      </c>
      <c r="C3" s="147" t="s">
        <v>1838</v>
      </c>
      <c r="D3" s="147" t="s">
        <v>1833</v>
      </c>
      <c r="E3" s="148" t="s">
        <v>1834</v>
      </c>
      <c r="F3" s="147" t="s">
        <v>1835</v>
      </c>
      <c r="G3" s="147">
        <v>6</v>
      </c>
      <c r="H3" s="150">
        <v>1500</v>
      </c>
      <c r="I3" s="150">
        <f t="shared" si="0"/>
        <v>9000</v>
      </c>
      <c r="J3" s="149">
        <f t="shared" ref="J3:J13" si="2">$N$2</f>
        <v>61</v>
      </c>
      <c r="K3" s="150">
        <f t="shared" si="1"/>
        <v>3510</v>
      </c>
      <c r="L3" s="147" t="s">
        <v>1836</v>
      </c>
    </row>
    <row r="4" spans="1:14">
      <c r="A4" s="151" t="s">
        <v>1839</v>
      </c>
      <c r="B4" s="152" t="s">
        <v>1840</v>
      </c>
      <c r="C4" s="147" t="s">
        <v>1841</v>
      </c>
      <c r="D4" s="147" t="s">
        <v>1833</v>
      </c>
      <c r="E4" s="148" t="s">
        <v>1834</v>
      </c>
      <c r="F4" s="147" t="s">
        <v>1835</v>
      </c>
      <c r="G4" s="147">
        <v>24</v>
      </c>
      <c r="H4" s="150">
        <v>800</v>
      </c>
      <c r="I4" s="150">
        <f t="shared" si="0"/>
        <v>19200</v>
      </c>
      <c r="J4" s="149">
        <f t="shared" si="2"/>
        <v>61</v>
      </c>
      <c r="K4" s="150">
        <f t="shared" si="1"/>
        <v>7488</v>
      </c>
      <c r="L4" s="147" t="s">
        <v>1836</v>
      </c>
    </row>
    <row r="5" spans="1:14">
      <c r="A5" s="151" t="s">
        <v>1842</v>
      </c>
      <c r="B5" s="152" t="s">
        <v>1677</v>
      </c>
      <c r="C5" s="147" t="s">
        <v>1843</v>
      </c>
      <c r="D5" s="147" t="s">
        <v>1833</v>
      </c>
      <c r="E5" s="148" t="s">
        <v>1834</v>
      </c>
      <c r="F5" s="147" t="s">
        <v>1835</v>
      </c>
      <c r="G5" s="147">
        <v>12</v>
      </c>
      <c r="H5" s="150">
        <v>3150</v>
      </c>
      <c r="I5" s="150">
        <f t="shared" si="0"/>
        <v>37800</v>
      </c>
      <c r="J5" s="149">
        <f t="shared" si="2"/>
        <v>61</v>
      </c>
      <c r="K5" s="150">
        <f t="shared" si="1"/>
        <v>14742</v>
      </c>
      <c r="L5" s="147" t="s">
        <v>1836</v>
      </c>
    </row>
    <row r="6" spans="1:14">
      <c r="A6" s="151" t="s">
        <v>1844</v>
      </c>
      <c r="B6" s="152" t="s">
        <v>1845</v>
      </c>
      <c r="C6" s="147" t="s">
        <v>1846</v>
      </c>
      <c r="D6" s="147" t="s">
        <v>1833</v>
      </c>
      <c r="E6" s="148" t="s">
        <v>1834</v>
      </c>
      <c r="F6" s="147" t="s">
        <v>1835</v>
      </c>
      <c r="G6" s="147">
        <v>3</v>
      </c>
      <c r="H6" s="150">
        <v>1499</v>
      </c>
      <c r="I6" s="150">
        <f t="shared" si="0"/>
        <v>4497</v>
      </c>
      <c r="J6" s="149">
        <f t="shared" si="2"/>
        <v>61</v>
      </c>
      <c r="K6" s="150">
        <f t="shared" si="1"/>
        <v>1753.83</v>
      </c>
      <c r="L6" s="147" t="s">
        <v>1836</v>
      </c>
    </row>
    <row r="7" spans="1:14">
      <c r="A7" s="151" t="s">
        <v>1847</v>
      </c>
      <c r="B7" s="152" t="s">
        <v>1848</v>
      </c>
      <c r="C7" s="147" t="s">
        <v>1849</v>
      </c>
      <c r="D7" s="147" t="s">
        <v>1833</v>
      </c>
      <c r="E7" s="148" t="s">
        <v>1834</v>
      </c>
      <c r="F7" s="147" t="s">
        <v>1835</v>
      </c>
      <c r="G7" s="147">
        <v>3</v>
      </c>
      <c r="H7" s="150">
        <v>220</v>
      </c>
      <c r="I7" s="150">
        <f t="shared" si="0"/>
        <v>660</v>
      </c>
      <c r="J7" s="149">
        <f t="shared" si="2"/>
        <v>61</v>
      </c>
      <c r="K7" s="150">
        <f t="shared" si="1"/>
        <v>257.39999999999998</v>
      </c>
      <c r="L7" s="147" t="s">
        <v>1836</v>
      </c>
    </row>
    <row r="8" spans="1:14">
      <c r="A8" s="151" t="s">
        <v>1850</v>
      </c>
      <c r="B8" s="152" t="s">
        <v>1851</v>
      </c>
      <c r="C8" s="147" t="s">
        <v>1852</v>
      </c>
      <c r="D8" s="147" t="s">
        <v>1833</v>
      </c>
      <c r="E8" s="148" t="s">
        <v>1834</v>
      </c>
      <c r="F8" s="147" t="s">
        <v>1835</v>
      </c>
      <c r="G8" s="147">
        <v>6</v>
      </c>
      <c r="H8" s="150">
        <v>364</v>
      </c>
      <c r="I8" s="150">
        <f t="shared" si="0"/>
        <v>2184</v>
      </c>
      <c r="J8" s="149">
        <f t="shared" si="2"/>
        <v>61</v>
      </c>
      <c r="K8" s="150">
        <f t="shared" si="1"/>
        <v>851.76</v>
      </c>
      <c r="L8" s="147" t="s">
        <v>1836</v>
      </c>
    </row>
    <row r="9" spans="1:14">
      <c r="A9" s="151" t="s">
        <v>1853</v>
      </c>
      <c r="B9" s="152" t="s">
        <v>1854</v>
      </c>
      <c r="C9" s="147" t="s">
        <v>1855</v>
      </c>
      <c r="D9" s="147" t="s">
        <v>1833</v>
      </c>
      <c r="E9" s="148" t="s">
        <v>1834</v>
      </c>
      <c r="F9" s="147" t="s">
        <v>1835</v>
      </c>
      <c r="G9" s="147">
        <v>6</v>
      </c>
      <c r="H9" s="150">
        <v>699</v>
      </c>
      <c r="I9" s="150">
        <f t="shared" si="0"/>
        <v>4194</v>
      </c>
      <c r="J9" s="149">
        <f t="shared" si="2"/>
        <v>61</v>
      </c>
      <c r="K9" s="150">
        <f t="shared" si="1"/>
        <v>1635.66</v>
      </c>
      <c r="L9" s="147" t="s">
        <v>1836</v>
      </c>
    </row>
    <row r="10" spans="1:14">
      <c r="A10" s="151" t="s">
        <v>1856</v>
      </c>
      <c r="B10" s="152" t="s">
        <v>1857</v>
      </c>
      <c r="C10" s="147" t="s">
        <v>1858</v>
      </c>
      <c r="D10" s="147" t="s">
        <v>1833</v>
      </c>
      <c r="E10" s="148" t="s">
        <v>1859</v>
      </c>
      <c r="F10" s="147" t="s">
        <v>1835</v>
      </c>
      <c r="G10" s="147">
        <v>6</v>
      </c>
      <c r="H10" s="150">
        <v>0</v>
      </c>
      <c r="I10" s="150">
        <f t="shared" si="0"/>
        <v>0</v>
      </c>
      <c r="J10" s="149">
        <f t="shared" si="2"/>
        <v>61</v>
      </c>
      <c r="K10" s="150">
        <f t="shared" si="1"/>
        <v>0</v>
      </c>
      <c r="L10" s="147" t="s">
        <v>1836</v>
      </c>
    </row>
    <row r="11" spans="1:14">
      <c r="A11" s="151" t="s">
        <v>1860</v>
      </c>
      <c r="B11" s="152" t="s">
        <v>1861</v>
      </c>
      <c r="C11" s="147" t="s">
        <v>1862</v>
      </c>
      <c r="D11" s="147" t="s">
        <v>1833</v>
      </c>
      <c r="E11" s="148" t="s">
        <v>1834</v>
      </c>
      <c r="F11" s="147" t="s">
        <v>1863</v>
      </c>
      <c r="G11" s="147">
        <v>12</v>
      </c>
      <c r="H11" s="150">
        <v>0</v>
      </c>
      <c r="I11" s="150">
        <f t="shared" si="0"/>
        <v>0</v>
      </c>
      <c r="J11" s="149">
        <f t="shared" si="2"/>
        <v>61</v>
      </c>
      <c r="K11" s="150">
        <f t="shared" si="1"/>
        <v>0</v>
      </c>
      <c r="L11" s="147" t="s">
        <v>1836</v>
      </c>
    </row>
    <row r="12" spans="1:14">
      <c r="A12" s="151" t="s">
        <v>1864</v>
      </c>
      <c r="B12" s="152" t="s">
        <v>1865</v>
      </c>
      <c r="C12" s="147" t="s">
        <v>1866</v>
      </c>
      <c r="D12" s="147" t="s">
        <v>1833</v>
      </c>
      <c r="E12" s="148" t="s">
        <v>1834</v>
      </c>
      <c r="F12" s="147" t="s">
        <v>1863</v>
      </c>
      <c r="G12" s="147">
        <v>6</v>
      </c>
      <c r="H12" s="150">
        <v>0</v>
      </c>
      <c r="I12" s="150">
        <f t="shared" si="0"/>
        <v>0</v>
      </c>
      <c r="J12" s="149">
        <f t="shared" si="2"/>
        <v>61</v>
      </c>
      <c r="K12" s="150">
        <f t="shared" si="1"/>
        <v>0</v>
      </c>
      <c r="L12" s="147" t="s">
        <v>1836</v>
      </c>
    </row>
    <row r="13" spans="1:14">
      <c r="A13" s="151" t="s">
        <v>1867</v>
      </c>
      <c r="B13" s="152" t="s">
        <v>1868</v>
      </c>
      <c r="C13" s="147" t="s">
        <v>1869</v>
      </c>
      <c r="D13" s="147" t="s">
        <v>1833</v>
      </c>
      <c r="E13" s="148" t="s">
        <v>1834</v>
      </c>
      <c r="F13" s="147" t="s">
        <v>1835</v>
      </c>
      <c r="G13" s="147">
        <v>3</v>
      </c>
      <c r="H13" s="150">
        <v>656</v>
      </c>
      <c r="I13" s="150">
        <f t="shared" si="0"/>
        <v>1968</v>
      </c>
      <c r="J13" s="149">
        <f t="shared" si="2"/>
        <v>61</v>
      </c>
      <c r="K13" s="150">
        <f t="shared" si="1"/>
        <v>767.52</v>
      </c>
      <c r="L13" s="160">
        <f>SUM(K2:K13)/G2</f>
        <v>11647.739999999998</v>
      </c>
    </row>
    <row r="14" spans="1:14" ht="12.75" customHeight="1">
      <c r="A14" s="153" t="s">
        <v>1836</v>
      </c>
      <c r="B14" s="154" t="s">
        <v>1836</v>
      </c>
      <c r="C14" s="154" t="s">
        <v>1836</v>
      </c>
      <c r="D14" s="154" t="s">
        <v>1836</v>
      </c>
      <c r="E14" s="154" t="s">
        <v>1836</v>
      </c>
      <c r="F14" s="154" t="s">
        <v>1836</v>
      </c>
      <c r="G14" s="208" t="s">
        <v>1870</v>
      </c>
      <c r="H14" s="209" t="s">
        <v>1836</v>
      </c>
      <c r="I14" s="209" t="s">
        <v>1836</v>
      </c>
      <c r="J14" s="208"/>
      <c r="K14" s="155">
        <f>IF(ISERROR(MATCH("--",K2:K13,0)),SUM(K2:K13),"--")</f>
        <v>34943.219999999994</v>
      </c>
      <c r="L14" s="156" t="s">
        <v>1836</v>
      </c>
    </row>
    <row r="15" spans="1:14" ht="12.75" customHeight="1">
      <c r="A15" s="145" t="s">
        <v>1871</v>
      </c>
      <c r="B15" s="146" t="s">
        <v>1872</v>
      </c>
      <c r="C15" s="147" t="s">
        <v>1873</v>
      </c>
      <c r="D15" s="147" t="s">
        <v>1833</v>
      </c>
      <c r="E15" s="148" t="s">
        <v>1834</v>
      </c>
      <c r="F15" s="147" t="s">
        <v>1835</v>
      </c>
      <c r="G15" s="149">
        <v>17</v>
      </c>
      <c r="H15" s="150">
        <v>3425</v>
      </c>
      <c r="I15" s="150">
        <f t="shared" ref="I15:I29" si="3">IF(ISNUMBER(G15),IF(ISNUMBER(H15),H15*G15,"--"),"--")</f>
        <v>58225</v>
      </c>
      <c r="J15" s="149">
        <f>$N$2</f>
        <v>61</v>
      </c>
      <c r="K15" s="150">
        <f t="shared" ref="K15:K29" si="4">IF(ISNUMBER(I15),ROUND(I15-IF(ISNUMBER(J15),I15*J15/100,0),2),"--")</f>
        <v>22707.75</v>
      </c>
      <c r="L15" s="147" t="s">
        <v>1836</v>
      </c>
    </row>
    <row r="16" spans="1:14" ht="12.75" customHeight="1">
      <c r="A16" s="151" t="s">
        <v>1874</v>
      </c>
      <c r="B16" s="152" t="s">
        <v>1500</v>
      </c>
      <c r="C16" s="147" t="s">
        <v>1875</v>
      </c>
      <c r="D16" s="147" t="s">
        <v>1833</v>
      </c>
      <c r="E16" s="148" t="s">
        <v>1834</v>
      </c>
      <c r="F16" s="147" t="s">
        <v>1835</v>
      </c>
      <c r="G16" s="147">
        <v>34</v>
      </c>
      <c r="H16" s="150">
        <v>6307</v>
      </c>
      <c r="I16" s="150">
        <f t="shared" si="3"/>
        <v>214438</v>
      </c>
      <c r="J16" s="149">
        <f t="shared" ref="J16:J29" si="5">$N$2</f>
        <v>61</v>
      </c>
      <c r="K16" s="150">
        <f t="shared" si="4"/>
        <v>83630.820000000007</v>
      </c>
      <c r="L16" s="147">
        <f>G18/G15</f>
        <v>15.058823529411764</v>
      </c>
    </row>
    <row r="17" spans="1:12" ht="12.75" customHeight="1">
      <c r="A17" s="151" t="s">
        <v>1874</v>
      </c>
      <c r="B17" s="152" t="s">
        <v>1519</v>
      </c>
      <c r="C17" s="147" t="s">
        <v>1876</v>
      </c>
      <c r="D17" s="147" t="s">
        <v>1833</v>
      </c>
      <c r="E17" s="148" t="s">
        <v>1834</v>
      </c>
      <c r="F17" s="147" t="s">
        <v>1835</v>
      </c>
      <c r="G17" s="147">
        <v>17</v>
      </c>
      <c r="H17" s="150">
        <v>2842</v>
      </c>
      <c r="I17" s="150">
        <f t="shared" si="3"/>
        <v>48314</v>
      </c>
      <c r="J17" s="149">
        <f t="shared" si="5"/>
        <v>61</v>
      </c>
      <c r="K17" s="150">
        <f t="shared" si="4"/>
        <v>18842.46</v>
      </c>
      <c r="L17" s="147">
        <v>16</v>
      </c>
    </row>
    <row r="18" spans="1:12" ht="12.75" customHeight="1">
      <c r="A18" s="151" t="s">
        <v>1877</v>
      </c>
      <c r="B18" s="152" t="s">
        <v>1840</v>
      </c>
      <c r="C18" s="147" t="s">
        <v>1841</v>
      </c>
      <c r="D18" s="147" t="s">
        <v>1833</v>
      </c>
      <c r="E18" s="148" t="s">
        <v>1834</v>
      </c>
      <c r="F18" s="147" t="s">
        <v>1835</v>
      </c>
      <c r="G18" s="147">
        <v>256</v>
      </c>
      <c r="H18" s="150">
        <v>800</v>
      </c>
      <c r="I18" s="150">
        <f t="shared" si="3"/>
        <v>204800</v>
      </c>
      <c r="J18" s="149">
        <f t="shared" si="5"/>
        <v>61</v>
      </c>
      <c r="K18" s="150">
        <f t="shared" si="4"/>
        <v>79872</v>
      </c>
      <c r="L18" s="147">
        <f>L16*L17</f>
        <v>240.94117647058823</v>
      </c>
    </row>
    <row r="19" spans="1:12" ht="12.75" customHeight="1">
      <c r="A19" s="151" t="s">
        <v>1878</v>
      </c>
      <c r="B19" s="152" t="s">
        <v>1599</v>
      </c>
      <c r="C19" s="147" t="s">
        <v>1879</v>
      </c>
      <c r="D19" s="147" t="s">
        <v>1833</v>
      </c>
      <c r="E19" s="148" t="s">
        <v>1834</v>
      </c>
      <c r="F19" s="147" t="s">
        <v>1835</v>
      </c>
      <c r="G19" s="147">
        <v>170</v>
      </c>
      <c r="H19" s="150">
        <v>1594</v>
      </c>
      <c r="I19" s="150">
        <f t="shared" si="3"/>
        <v>270980</v>
      </c>
      <c r="J19" s="149">
        <f t="shared" si="5"/>
        <v>61</v>
      </c>
      <c r="K19" s="150">
        <f t="shared" si="4"/>
        <v>105682.2</v>
      </c>
      <c r="L19" s="147" t="s">
        <v>1836</v>
      </c>
    </row>
    <row r="20" spans="1:12" ht="12.75" customHeight="1">
      <c r="A20" s="151" t="s">
        <v>1880</v>
      </c>
      <c r="B20" s="152" t="s">
        <v>1616</v>
      </c>
      <c r="C20" s="147" t="s">
        <v>1881</v>
      </c>
      <c r="D20" s="147" t="s">
        <v>1833</v>
      </c>
      <c r="E20" s="148" t="s">
        <v>1834</v>
      </c>
      <c r="F20" s="147" t="s">
        <v>1835</v>
      </c>
      <c r="G20" s="147">
        <v>17</v>
      </c>
      <c r="H20" s="150">
        <v>3150</v>
      </c>
      <c r="I20" s="150">
        <f t="shared" si="3"/>
        <v>53550</v>
      </c>
      <c r="J20" s="149">
        <f t="shared" si="5"/>
        <v>61</v>
      </c>
      <c r="K20" s="150">
        <f t="shared" si="4"/>
        <v>20884.5</v>
      </c>
      <c r="L20" s="147"/>
    </row>
    <row r="21" spans="1:12" ht="12.75" customHeight="1">
      <c r="A21" s="151" t="s">
        <v>1882</v>
      </c>
      <c r="B21" s="152" t="s">
        <v>1883</v>
      </c>
      <c r="C21" s="147" t="s">
        <v>1884</v>
      </c>
      <c r="D21" s="147" t="s">
        <v>1833</v>
      </c>
      <c r="E21" s="148" t="s">
        <v>1834</v>
      </c>
      <c r="F21" s="147" t="s">
        <v>1835</v>
      </c>
      <c r="G21" s="147">
        <v>17</v>
      </c>
      <c r="H21" s="150">
        <v>148</v>
      </c>
      <c r="I21" s="150">
        <f t="shared" si="3"/>
        <v>2516</v>
      </c>
      <c r="J21" s="149">
        <f t="shared" si="5"/>
        <v>61</v>
      </c>
      <c r="K21" s="150">
        <f t="shared" si="4"/>
        <v>981.24</v>
      </c>
      <c r="L21" s="147" t="s">
        <v>1836</v>
      </c>
    </row>
    <row r="22" spans="1:12" ht="12.75" customHeight="1">
      <c r="A22" s="151" t="s">
        <v>1885</v>
      </c>
      <c r="B22" s="152" t="s">
        <v>1851</v>
      </c>
      <c r="C22" s="147" t="s">
        <v>1852</v>
      </c>
      <c r="D22" s="147" t="s">
        <v>1833</v>
      </c>
      <c r="E22" s="148" t="s">
        <v>1834</v>
      </c>
      <c r="F22" s="147" t="s">
        <v>1835</v>
      </c>
      <c r="G22" s="147">
        <v>34</v>
      </c>
      <c r="H22" s="150">
        <v>364</v>
      </c>
      <c r="I22" s="150">
        <f t="shared" si="3"/>
        <v>12376</v>
      </c>
      <c r="J22" s="149">
        <f t="shared" si="5"/>
        <v>61</v>
      </c>
      <c r="K22" s="150">
        <f t="shared" si="4"/>
        <v>4826.6400000000003</v>
      </c>
      <c r="L22" s="147" t="s">
        <v>1836</v>
      </c>
    </row>
    <row r="23" spans="1:12" ht="12.75" customHeight="1">
      <c r="A23" s="151" t="s">
        <v>1886</v>
      </c>
      <c r="B23" s="152" t="s">
        <v>1845</v>
      </c>
      <c r="C23" s="147" t="s">
        <v>1846</v>
      </c>
      <c r="D23" s="147" t="s">
        <v>1833</v>
      </c>
      <c r="E23" s="148" t="s">
        <v>1834</v>
      </c>
      <c r="F23" s="147" t="s">
        <v>1835</v>
      </c>
      <c r="G23" s="147">
        <v>17</v>
      </c>
      <c r="H23" s="150">
        <v>1499</v>
      </c>
      <c r="I23" s="150">
        <f t="shared" si="3"/>
        <v>25483</v>
      </c>
      <c r="J23" s="149">
        <f t="shared" si="5"/>
        <v>61</v>
      </c>
      <c r="K23" s="150">
        <f t="shared" si="4"/>
        <v>9938.3700000000008</v>
      </c>
      <c r="L23" s="147" t="s">
        <v>1836</v>
      </c>
    </row>
    <row r="24" spans="1:12" ht="12.75" customHeight="1">
      <c r="A24" s="151" t="s">
        <v>1887</v>
      </c>
      <c r="B24" s="152" t="s">
        <v>1888</v>
      </c>
      <c r="C24" s="147" t="s">
        <v>1889</v>
      </c>
      <c r="D24" s="147" t="s">
        <v>1833</v>
      </c>
      <c r="E24" s="148" t="s">
        <v>1834</v>
      </c>
      <c r="F24" s="147" t="s">
        <v>1835</v>
      </c>
      <c r="G24" s="147">
        <v>34</v>
      </c>
      <c r="H24" s="150">
        <v>632</v>
      </c>
      <c r="I24" s="150">
        <f t="shared" si="3"/>
        <v>21488</v>
      </c>
      <c r="J24" s="149">
        <f t="shared" si="5"/>
        <v>61</v>
      </c>
      <c r="K24" s="150">
        <f t="shared" si="4"/>
        <v>8380.32</v>
      </c>
      <c r="L24" s="147" t="s">
        <v>1836</v>
      </c>
    </row>
    <row r="25" spans="1:12" ht="12.75" customHeight="1">
      <c r="A25" s="151" t="s">
        <v>1890</v>
      </c>
      <c r="B25" s="152" t="s">
        <v>1857</v>
      </c>
      <c r="C25" s="147" t="s">
        <v>1858</v>
      </c>
      <c r="D25" s="147" t="s">
        <v>1833</v>
      </c>
      <c r="E25" s="148" t="s">
        <v>1859</v>
      </c>
      <c r="F25" s="147" t="s">
        <v>1835</v>
      </c>
      <c r="G25" s="147">
        <v>34</v>
      </c>
      <c r="H25" s="150">
        <v>0</v>
      </c>
      <c r="I25" s="150">
        <f t="shared" si="3"/>
        <v>0</v>
      </c>
      <c r="J25" s="149">
        <f t="shared" si="5"/>
        <v>61</v>
      </c>
      <c r="K25" s="150">
        <f t="shared" si="4"/>
        <v>0</v>
      </c>
      <c r="L25" s="147" t="s">
        <v>1836</v>
      </c>
    </row>
    <row r="26" spans="1:12" ht="12.75" customHeight="1">
      <c r="A26" s="151" t="s">
        <v>1891</v>
      </c>
      <c r="B26" s="152" t="s">
        <v>1848</v>
      </c>
      <c r="C26" s="147" t="s">
        <v>1849</v>
      </c>
      <c r="D26" s="147" t="s">
        <v>1833</v>
      </c>
      <c r="E26" s="148" t="s">
        <v>1834</v>
      </c>
      <c r="F26" s="147" t="s">
        <v>1835</v>
      </c>
      <c r="G26" s="147">
        <v>17</v>
      </c>
      <c r="H26" s="150">
        <v>220</v>
      </c>
      <c r="I26" s="150">
        <f t="shared" si="3"/>
        <v>3740</v>
      </c>
      <c r="J26" s="149">
        <f t="shared" si="5"/>
        <v>61</v>
      </c>
      <c r="K26" s="150">
        <f t="shared" si="4"/>
        <v>1458.6</v>
      </c>
      <c r="L26" s="147" t="s">
        <v>1836</v>
      </c>
    </row>
    <row r="27" spans="1:12" ht="12.75" customHeight="1">
      <c r="A27" s="151" t="s">
        <v>1892</v>
      </c>
      <c r="B27" s="152" t="s">
        <v>1893</v>
      </c>
      <c r="C27" s="147" t="s">
        <v>1894</v>
      </c>
      <c r="D27" s="147" t="s">
        <v>1833</v>
      </c>
      <c r="E27" s="148" t="s">
        <v>1834</v>
      </c>
      <c r="F27" s="147" t="s">
        <v>1863</v>
      </c>
      <c r="G27" s="147">
        <v>34</v>
      </c>
      <c r="H27" s="150">
        <v>0</v>
      </c>
      <c r="I27" s="150">
        <f t="shared" si="3"/>
        <v>0</v>
      </c>
      <c r="J27" s="149">
        <f>$N$2</f>
        <v>61</v>
      </c>
      <c r="K27" s="150">
        <f t="shared" si="4"/>
        <v>0</v>
      </c>
      <c r="L27" s="147" t="s">
        <v>1836</v>
      </c>
    </row>
    <row r="28" spans="1:12" ht="12.75" customHeight="1">
      <c r="A28" s="151" t="s">
        <v>1895</v>
      </c>
      <c r="B28" s="152" t="s">
        <v>1896</v>
      </c>
      <c r="C28" s="147" t="s">
        <v>1897</v>
      </c>
      <c r="D28" s="147" t="s">
        <v>1833</v>
      </c>
      <c r="E28" s="148" t="s">
        <v>1834</v>
      </c>
      <c r="F28" s="147" t="s">
        <v>1863</v>
      </c>
      <c r="G28" s="147">
        <v>136</v>
      </c>
      <c r="H28" s="150">
        <v>0</v>
      </c>
      <c r="I28" s="150">
        <f t="shared" si="3"/>
        <v>0</v>
      </c>
      <c r="J28" s="149">
        <f t="shared" si="5"/>
        <v>61</v>
      </c>
      <c r="K28" s="150">
        <f t="shared" si="4"/>
        <v>0</v>
      </c>
      <c r="L28" s="147" t="s">
        <v>1836</v>
      </c>
    </row>
    <row r="29" spans="1:12" ht="12.75" customHeight="1">
      <c r="A29" s="151" t="s">
        <v>1898</v>
      </c>
      <c r="B29" s="152" t="s">
        <v>1868</v>
      </c>
      <c r="C29" s="147" t="s">
        <v>1869</v>
      </c>
      <c r="D29" s="147" t="s">
        <v>1833</v>
      </c>
      <c r="E29" s="148" t="s">
        <v>1834</v>
      </c>
      <c r="F29" s="147" t="s">
        <v>1835</v>
      </c>
      <c r="G29" s="147">
        <v>17</v>
      </c>
      <c r="H29" s="150">
        <v>656</v>
      </c>
      <c r="I29" s="150">
        <f t="shared" si="3"/>
        <v>11152</v>
      </c>
      <c r="J29" s="149">
        <f t="shared" si="5"/>
        <v>61</v>
      </c>
      <c r="K29" s="150">
        <f t="shared" si="4"/>
        <v>4349.28</v>
      </c>
      <c r="L29" s="160">
        <f>SUM(K15:K29)/G15</f>
        <v>21267.892941176469</v>
      </c>
    </row>
    <row r="30" spans="1:12" ht="12.75" customHeight="1">
      <c r="A30" s="153" t="s">
        <v>1836</v>
      </c>
      <c r="B30" s="154" t="s">
        <v>1836</v>
      </c>
      <c r="C30" s="154" t="s">
        <v>1836</v>
      </c>
      <c r="D30" s="154" t="s">
        <v>1836</v>
      </c>
      <c r="E30" s="154" t="s">
        <v>1836</v>
      </c>
      <c r="F30" s="154" t="s">
        <v>1836</v>
      </c>
      <c r="G30" s="208" t="s">
        <v>1870</v>
      </c>
      <c r="H30" s="209" t="s">
        <v>1836</v>
      </c>
      <c r="I30" s="209" t="s">
        <v>1836</v>
      </c>
      <c r="J30" s="208"/>
      <c r="K30" s="155">
        <f>IF(ISERROR(MATCH("--",K15:K29,0)),SUM(K15:K29),"--")</f>
        <v>361554.18</v>
      </c>
      <c r="L30" s="156" t="s">
        <v>1836</v>
      </c>
    </row>
    <row r="31" spans="1:12">
      <c r="B31" s="157" t="s">
        <v>1836</v>
      </c>
      <c r="C31" s="157" t="s">
        <v>1836</v>
      </c>
      <c r="D31" s="157" t="s">
        <v>1836</v>
      </c>
      <c r="E31" s="157" t="s">
        <v>1836</v>
      </c>
      <c r="F31" s="157" t="s">
        <v>1836</v>
      </c>
      <c r="G31" s="210" t="s">
        <v>1899</v>
      </c>
      <c r="H31" s="211" t="s">
        <v>1836</v>
      </c>
      <c r="I31" s="211" t="s">
        <v>1836</v>
      </c>
      <c r="J31" s="210"/>
      <c r="K31" s="158">
        <f>IF(ISERROR(MATCH("--",K2:K30,0)),SUM(K14,K30),"--")</f>
        <v>396497.39999999997</v>
      </c>
      <c r="L31" s="158" t="s">
        <v>1836</v>
      </c>
    </row>
    <row r="32" spans="1:1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sheetData>
  <mergeCells count="3">
    <mergeCell ref="G14:J14"/>
    <mergeCell ref="G30:J30"/>
    <mergeCell ref="G31:J31"/>
  </mergeCells>
  <pageMargins left="0.75" right="0.75" top="1" bottom="1" header="0.5" footer="0.5"/>
  <pageSetup orientation="portrait" horizontalDpi="4294967292" verticalDpi="4294967292"/>
  <ignoredErrors>
    <ignoredError sqref="K14" formula="1"/>
  </ignoredError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
  <sheetViews>
    <sheetView workbookViewId="0">
      <selection activeCell="C12" sqref="C12"/>
    </sheetView>
  </sheetViews>
  <sheetFormatPr baseColWidth="10" defaultRowHeight="15" x14ac:dyDescent="0"/>
  <sheetData/>
  <pageMargins left="0.75" right="0.75" top="1" bottom="1" header="0.5" footer="0.5"/>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3:P34"/>
  <sheetViews>
    <sheetView showGridLines="0" workbookViewId="0">
      <selection activeCell="N34" sqref="N34"/>
    </sheetView>
  </sheetViews>
  <sheetFormatPr baseColWidth="10" defaultRowHeight="15" x14ac:dyDescent="0"/>
  <cols>
    <col min="16" max="16" width="23.83203125" customWidth="1"/>
  </cols>
  <sheetData>
    <row r="13" spans="13:16" ht="16" thickBot="1">
      <c r="M13" s="391"/>
      <c r="N13" s="391"/>
      <c r="O13" s="391"/>
      <c r="P13" s="391"/>
    </row>
    <row r="15" spans="13:16" ht="23">
      <c r="M15" s="392" t="s">
        <v>1964</v>
      </c>
      <c r="N15" s="392"/>
      <c r="O15" s="392"/>
      <c r="P15" s="392"/>
    </row>
    <row r="16" spans="13:16" ht="23">
      <c r="M16" s="393"/>
      <c r="N16" s="393"/>
      <c r="O16" s="393"/>
      <c r="P16" s="393"/>
    </row>
    <row r="17" spans="2:16" ht="23">
      <c r="M17" s="396" t="s">
        <v>1963</v>
      </c>
      <c r="N17" s="396"/>
      <c r="O17" s="396"/>
      <c r="P17" s="396"/>
    </row>
    <row r="18" spans="2:16" ht="23">
      <c r="M18" s="397" t="s">
        <v>1965</v>
      </c>
      <c r="N18" s="397"/>
      <c r="O18" s="397"/>
      <c r="P18" s="397"/>
    </row>
    <row r="19" spans="2:16" ht="16" thickBot="1">
      <c r="B19" s="394"/>
      <c r="C19" s="394"/>
      <c r="D19" s="394"/>
      <c r="E19" s="394"/>
      <c r="F19" s="394"/>
      <c r="G19" s="394"/>
      <c r="H19" s="394"/>
      <c r="I19" s="394"/>
      <c r="J19" s="394"/>
      <c r="K19" s="394"/>
      <c r="L19" s="394"/>
      <c r="M19" s="394"/>
      <c r="N19" s="394"/>
      <c r="O19" s="394"/>
      <c r="P19" s="394"/>
    </row>
    <row r="28" spans="2:16" ht="16" thickBot="1">
      <c r="M28" s="391"/>
      <c r="N28" s="391"/>
      <c r="O28" s="391"/>
      <c r="P28" s="391"/>
    </row>
    <row r="33" spans="13:13" ht="23">
      <c r="M33" s="395" t="s">
        <v>1967</v>
      </c>
    </row>
    <row r="34" spans="13:13" ht="23">
      <c r="M34" s="395" t="s">
        <v>1966</v>
      </c>
    </row>
  </sheetData>
  <mergeCells count="3">
    <mergeCell ref="M15:P15"/>
    <mergeCell ref="M17:P17"/>
    <mergeCell ref="M18:P18"/>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All-Servers</vt:lpstr>
      <vt:lpstr>Hypervisors</vt:lpstr>
      <vt:lpstr>Summary</vt:lpstr>
      <vt:lpstr>Inputs</vt:lpstr>
      <vt:lpstr>Data-Source</vt:lpstr>
      <vt:lpstr>Data-Source-EC2</vt:lpstr>
      <vt:lpstr>Data-Source-EBS</vt:lpstr>
      <vt:lpstr>CPULookup</vt:lpstr>
      <vt:lpstr>RAMLookup</vt:lpstr>
      <vt:lpstr>DiskLookup</vt:lpstr>
      <vt:lpstr>BOM</vt:lpstr>
      <vt:lpstr>Drawing</vt:lpstr>
      <vt:lpstr>Stock-Cut-Issue</vt:lpstr>
    </vt:vector>
  </TitlesOfParts>
  <Company>Rackspace Hosting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Walcik</dc:creator>
  <cp:lastModifiedBy>Jason Grimm</cp:lastModifiedBy>
  <cp:lastPrinted>2015-07-17T07:04:07Z</cp:lastPrinted>
  <dcterms:created xsi:type="dcterms:W3CDTF">2012-04-30T15:41:30Z</dcterms:created>
  <dcterms:modified xsi:type="dcterms:W3CDTF">2015-07-17T08:56:29Z</dcterms:modified>
</cp:coreProperties>
</file>